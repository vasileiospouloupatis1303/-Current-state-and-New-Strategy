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bank-my.sharepoint.com/personal/vpouloupatis_eurobank_gr/Documents/Backup 2025/Desktop/McKinsey/"/>
    </mc:Choice>
  </mc:AlternateContent>
  <xr:revisionPtr revIDLastSave="0" documentId="13_ncr:1_{0EBD4E82-E48A-4D5A-8B86-D2C2B9513398}" xr6:coauthVersionLast="47" xr6:coauthVersionMax="47" xr10:uidLastSave="{00000000-0000-0000-0000-000000000000}"/>
  <bookViews>
    <workbookView xWindow="-108" yWindow="-108" windowWidth="23256" windowHeight="12456" activeTab="3" xr2:uid="{44A413F3-CC30-4B62-8763-CE1BDE6F5EBD}"/>
  </bookViews>
  <sheets>
    <sheet name="Sheet1" sheetId="5" r:id="rId1"/>
    <sheet name="12k value car (used)" sheetId="4" r:id="rId2"/>
    <sheet name="25k value car" sheetId="1" r:id="rId3"/>
    <sheet name="40k value car" sheetId="2" r:id="rId4"/>
    <sheet name="market sizing assumption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C13" i="3"/>
  <c r="H23" i="4"/>
  <c r="H22" i="4"/>
  <c r="G21" i="4"/>
  <c r="H21" i="4" s="1"/>
  <c r="H20" i="4"/>
  <c r="H19" i="4"/>
  <c r="G18" i="4"/>
  <c r="H18" i="4" s="1"/>
  <c r="H17" i="4"/>
  <c r="H16" i="4"/>
  <c r="G21" i="1"/>
  <c r="H21" i="1" s="1"/>
  <c r="G18" i="1"/>
  <c r="H18" i="1" s="1"/>
  <c r="D21" i="4"/>
  <c r="D23" i="4" s="1"/>
  <c r="D13" i="4"/>
  <c r="D10" i="4"/>
  <c r="D5" i="4"/>
  <c r="D6" i="3"/>
  <c r="D10" i="3" s="1"/>
  <c r="H23" i="2"/>
  <c r="H22" i="2"/>
  <c r="H21" i="2"/>
  <c r="D21" i="2"/>
  <c r="D23" i="2" s="1"/>
  <c r="H20" i="2"/>
  <c r="H19" i="2"/>
  <c r="G18" i="2"/>
  <c r="H18" i="2" s="1"/>
  <c r="H17" i="2"/>
  <c r="H16" i="2"/>
  <c r="D13" i="2"/>
  <c r="D10" i="2"/>
  <c r="D5" i="2"/>
  <c r="D5" i="1"/>
  <c r="D7" i="1" s="1"/>
  <c r="D8" i="1" s="1"/>
  <c r="D21" i="1"/>
  <c r="D23" i="1" s="1"/>
  <c r="H23" i="1"/>
  <c r="H22" i="1"/>
  <c r="H20" i="1"/>
  <c r="H19" i="1"/>
  <c r="H17" i="1"/>
  <c r="H16" i="1"/>
  <c r="D13" i="1"/>
  <c r="D10" i="1"/>
  <c r="H25" i="4" l="1"/>
  <c r="D16" i="4" s="1"/>
  <c r="D15" i="4" s="1"/>
  <c r="H25" i="1"/>
  <c r="D16" i="1" s="1"/>
  <c r="D15" i="1" s="1"/>
  <c r="D7" i="4"/>
  <c r="D8" i="4" s="1"/>
  <c r="D11" i="4" s="1"/>
  <c r="D14" i="4" s="1"/>
  <c r="D7" i="2"/>
  <c r="D8" i="2" s="1"/>
  <c r="D11" i="2" s="1"/>
  <c r="D14" i="2" s="1"/>
  <c r="H25" i="2"/>
  <c r="D16" i="2" s="1"/>
  <c r="D15" i="2" s="1"/>
  <c r="D11" i="1"/>
  <c r="D17" i="4" l="1"/>
  <c r="D19" i="4" s="1"/>
  <c r="D25" i="4" s="1"/>
  <c r="D17" i="2"/>
  <c r="D14" i="1"/>
  <c r="D17" i="1" s="1"/>
  <c r="D19" i="1" l="1"/>
  <c r="D25" i="1" s="1"/>
  <c r="D19" i="2"/>
  <c r="D25" i="2" s="1"/>
</calcChain>
</file>

<file path=xl/sharedStrings.xml><?xml version="1.0" encoding="utf-8"?>
<sst xmlns="http://schemas.openxmlformats.org/spreadsheetml/2006/main" count="894" uniqueCount="426">
  <si>
    <t>net revenue</t>
  </si>
  <si>
    <t>CoR amount</t>
  </si>
  <si>
    <t>CoR rate</t>
  </si>
  <si>
    <t>revenue after risk</t>
  </si>
  <si>
    <t>depr. Expense</t>
  </si>
  <si>
    <t>depr. Rate</t>
  </si>
  <si>
    <t>revenue after risk and depr.</t>
  </si>
  <si>
    <t>CoF rate</t>
  </si>
  <si>
    <t>CoF amount</t>
  </si>
  <si>
    <t>revenue after risk, depr. and CoF</t>
  </si>
  <si>
    <t>revenue after risk, depr,  CoF and other expenses</t>
  </si>
  <si>
    <t xml:space="preserve">services </t>
  </si>
  <si>
    <t>sevices amount</t>
  </si>
  <si>
    <t>insurance</t>
  </si>
  <si>
    <t>main/nce</t>
  </si>
  <si>
    <t>rep. car</t>
  </si>
  <si>
    <t xml:space="preserve">contract (3,5mos) </t>
  </si>
  <si>
    <t>month</t>
  </si>
  <si>
    <t>MOT</t>
  </si>
  <si>
    <t>ext. warranty</t>
  </si>
  <si>
    <t>road tax</t>
  </si>
  <si>
    <t>tyres</t>
  </si>
  <si>
    <t>CAC</t>
  </si>
  <si>
    <t>--------&gt;</t>
  </si>
  <si>
    <t>Car Retail Value</t>
  </si>
  <si>
    <t>RV</t>
  </si>
  <si>
    <t>Remarketing margin (4%)</t>
  </si>
  <si>
    <t>total revenue (lease + trade)</t>
  </si>
  <si>
    <t>total market</t>
  </si>
  <si>
    <t># of cars</t>
  </si>
  <si>
    <t>€k</t>
  </si>
  <si>
    <t>opt out corporate + retail and SMEs lease directly from dealers websites and showrooms</t>
  </si>
  <si>
    <t>(-)</t>
  </si>
  <si>
    <t>(+)</t>
  </si>
  <si>
    <t>operating lease</t>
  </si>
  <si>
    <t>financial lease</t>
  </si>
  <si>
    <t>MS</t>
  </si>
  <si>
    <t>Remarketing margin (3%)</t>
  </si>
  <si>
    <t>Depr. rates by age</t>
  </si>
  <si>
    <t>Years</t>
  </si>
  <si>
    <t>alfa-romeo</t>
  </si>
  <si>
    <t>brera</t>
  </si>
  <si>
    <t>giulia</t>
  </si>
  <si>
    <t>giulietta</t>
  </si>
  <si>
    <t>gt</t>
  </si>
  <si>
    <t>mito</t>
  </si>
  <si>
    <t>spider</t>
  </si>
  <si>
    <t>stelvio</t>
  </si>
  <si>
    <t>audi</t>
  </si>
  <si>
    <t>a1</t>
  </si>
  <si>
    <t>a3</t>
  </si>
  <si>
    <t>a4</t>
  </si>
  <si>
    <t>a4-allroad</t>
  </si>
  <si>
    <t>a5</t>
  </si>
  <si>
    <t>a6</t>
  </si>
  <si>
    <t>a6-allroad</t>
  </si>
  <si>
    <t>a7</t>
  </si>
  <si>
    <t>a8</t>
  </si>
  <si>
    <t>q2</t>
  </si>
  <si>
    <t>q3</t>
  </si>
  <si>
    <t>q5</t>
  </si>
  <si>
    <t>q7</t>
  </si>
  <si>
    <t>s3</t>
  </si>
  <si>
    <t>s4</t>
  </si>
  <si>
    <t>s5</t>
  </si>
  <si>
    <t>s8</t>
  </si>
  <si>
    <t>tt</t>
  </si>
  <si>
    <t>bmw</t>
  </si>
  <si>
    <t>216-active-tourer</t>
  </si>
  <si>
    <t>218-active-tourer</t>
  </si>
  <si>
    <t>218-gran-tourer</t>
  </si>
  <si>
    <t>225-active-tourer</t>
  </si>
  <si>
    <t>630-gran-turismo</t>
  </si>
  <si>
    <t>i3</t>
  </si>
  <si>
    <t>i8</t>
  </si>
  <si>
    <t>m3</t>
  </si>
  <si>
    <t>x1</t>
  </si>
  <si>
    <t>x2</t>
  </si>
  <si>
    <t>x3</t>
  </si>
  <si>
    <t>x4</t>
  </si>
  <si>
    <t>x5</t>
  </si>
  <si>
    <t>x6</t>
  </si>
  <si>
    <t>z4</t>
  </si>
  <si>
    <t>chevrolet</t>
  </si>
  <si>
    <t>aveo</t>
  </si>
  <si>
    <t/>
  </si>
  <si>
    <t>captiva</t>
  </si>
  <si>
    <t>cruze</t>
  </si>
  <si>
    <t>lacetti</t>
  </si>
  <si>
    <t>matiz</t>
  </si>
  <si>
    <t>orlando</t>
  </si>
  <si>
    <t>spark</t>
  </si>
  <si>
    <t>trax</t>
  </si>
  <si>
    <t>citroen</t>
  </si>
  <si>
    <t>berlingo</t>
  </si>
  <si>
    <t>c-elysee</t>
  </si>
  <si>
    <t>c1</t>
  </si>
  <si>
    <t>c2</t>
  </si>
  <si>
    <t>c3</t>
  </si>
  <si>
    <t>c3-aircross</t>
  </si>
  <si>
    <t>c3-picasso</t>
  </si>
  <si>
    <t>c4</t>
  </si>
  <si>
    <t>c4-cactus</t>
  </si>
  <si>
    <t>c4-picasso</t>
  </si>
  <si>
    <t>c5</t>
  </si>
  <si>
    <t>c5-aircross</t>
  </si>
  <si>
    <t>ds-3</t>
  </si>
  <si>
    <t>ds4</t>
  </si>
  <si>
    <t>grand-c4-picasso</t>
  </si>
  <si>
    <t>nemo</t>
  </si>
  <si>
    <t>xsara-picasso</t>
  </si>
  <si>
    <t>dacia</t>
  </si>
  <si>
    <t>duster</t>
  </si>
  <si>
    <t>logan</t>
  </si>
  <si>
    <t>sandero</t>
  </si>
  <si>
    <t>fiat</t>
  </si>
  <si>
    <t>124-spider</t>
  </si>
  <si>
    <t>500l</t>
  </si>
  <si>
    <t>500l-living</t>
  </si>
  <si>
    <t>500x</t>
  </si>
  <si>
    <t>bravo</t>
  </si>
  <si>
    <t>doblo</t>
  </si>
  <si>
    <t>freemont</t>
  </si>
  <si>
    <t>linea</t>
  </si>
  <si>
    <t>panda</t>
  </si>
  <si>
    <t>punto</t>
  </si>
  <si>
    <t>punto-evo</t>
  </si>
  <si>
    <t>qubo</t>
  </si>
  <si>
    <t>sedici</t>
  </si>
  <si>
    <t>tipo</t>
  </si>
  <si>
    <t>ford</t>
  </si>
  <si>
    <t>b-max</t>
  </si>
  <si>
    <t>c-max</t>
  </si>
  <si>
    <t>ecosport</t>
  </si>
  <si>
    <t>edge</t>
  </si>
  <si>
    <t>fiesta</t>
  </si>
  <si>
    <t>focus</t>
  </si>
  <si>
    <t>fusion</t>
  </si>
  <si>
    <t>galaxy</t>
  </si>
  <si>
    <t>grand-c-max</t>
  </si>
  <si>
    <t>ka</t>
  </si>
  <si>
    <t>kuga</t>
  </si>
  <si>
    <t>maverick</t>
  </si>
  <si>
    <t>mondeo</t>
  </si>
  <si>
    <t>mustang</t>
  </si>
  <si>
    <t>s-max</t>
  </si>
  <si>
    <t>tourneo-connect</t>
  </si>
  <si>
    <t>tourneo-courier</t>
  </si>
  <si>
    <t>honda</t>
  </si>
  <si>
    <t>accord</t>
  </si>
  <si>
    <t>civic</t>
  </si>
  <si>
    <t>cr-v</t>
  </si>
  <si>
    <t>hr-v</t>
  </si>
  <si>
    <t>jazz</t>
  </si>
  <si>
    <t>hyundai</t>
  </si>
  <si>
    <t>accent</t>
  </si>
  <si>
    <t>atos</t>
  </si>
  <si>
    <t>getz</t>
  </si>
  <si>
    <t>i-10</t>
  </si>
  <si>
    <t>i-20</t>
  </si>
  <si>
    <t>i-30</t>
  </si>
  <si>
    <t>ix-35</t>
  </si>
  <si>
    <t>kona</t>
  </si>
  <si>
    <t>matrix</t>
  </si>
  <si>
    <t>santa-fe</t>
  </si>
  <si>
    <t>tucson</t>
  </si>
  <si>
    <t>jeep</t>
  </si>
  <si>
    <t>cherokee</t>
  </si>
  <si>
    <t>compass</t>
  </si>
  <si>
    <t>grand-cherokee</t>
  </si>
  <si>
    <t>patriot</t>
  </si>
  <si>
    <t>renegade</t>
  </si>
  <si>
    <t>wrangler</t>
  </si>
  <si>
    <t>kia</t>
  </si>
  <si>
    <t>ceed</t>
  </si>
  <si>
    <t>picanto</t>
  </si>
  <si>
    <t>proceed</t>
  </si>
  <si>
    <t>rio</t>
  </si>
  <si>
    <t>sorento</t>
  </si>
  <si>
    <t>soul</t>
  </si>
  <si>
    <t>sportage</t>
  </si>
  <si>
    <t>stonic</t>
  </si>
  <si>
    <t>venga</t>
  </si>
  <si>
    <t>land-rover</t>
  </si>
  <si>
    <t>discovery</t>
  </si>
  <si>
    <t>discovery-sport</t>
  </si>
  <si>
    <t>freelander</t>
  </si>
  <si>
    <t>range-rover</t>
  </si>
  <si>
    <t>range-rover-evoque</t>
  </si>
  <si>
    <t>range-rover-sport</t>
  </si>
  <si>
    <t>range-rover-velar</t>
  </si>
  <si>
    <t>mazda</t>
  </si>
  <si>
    <t>cx-7</t>
  </si>
  <si>
    <t>mx-5</t>
  </si>
  <si>
    <t>mercedes-benz</t>
  </si>
  <si>
    <t>a-150</t>
  </si>
  <si>
    <t>a-160</t>
  </si>
  <si>
    <t>a-170</t>
  </si>
  <si>
    <t>a-180</t>
  </si>
  <si>
    <t>a-200</t>
  </si>
  <si>
    <t>a-220</t>
  </si>
  <si>
    <t>a-45-amg</t>
  </si>
  <si>
    <t>amg-gt</t>
  </si>
  <si>
    <t>b-150</t>
  </si>
  <si>
    <t>b-160</t>
  </si>
  <si>
    <t>b-170</t>
  </si>
  <si>
    <t>b-180</t>
  </si>
  <si>
    <t>b-200</t>
  </si>
  <si>
    <t>c-160</t>
  </si>
  <si>
    <t>c-180</t>
  </si>
  <si>
    <t>c-200</t>
  </si>
  <si>
    <t>c-220</t>
  </si>
  <si>
    <t>c-250</t>
  </si>
  <si>
    <t>c-280</t>
  </si>
  <si>
    <t>c-350</t>
  </si>
  <si>
    <t>c-63-amg</t>
  </si>
  <si>
    <t>cl-500</t>
  </si>
  <si>
    <t>cla-180</t>
  </si>
  <si>
    <t>cla-180-shooting-brake</t>
  </si>
  <si>
    <t>cla-200</t>
  </si>
  <si>
    <t>cla-220</t>
  </si>
  <si>
    <t>cla-250</t>
  </si>
  <si>
    <t>cla-45-amg</t>
  </si>
  <si>
    <t>clc-160</t>
  </si>
  <si>
    <t>clc-180</t>
  </si>
  <si>
    <t>cls-250</t>
  </si>
  <si>
    <t>cls-350</t>
  </si>
  <si>
    <t>cls-500</t>
  </si>
  <si>
    <t>cls-63-amg</t>
  </si>
  <si>
    <t>e-180</t>
  </si>
  <si>
    <t>e-200</t>
  </si>
  <si>
    <t>e-220</t>
  </si>
  <si>
    <t>e-250</t>
  </si>
  <si>
    <t>e-280</t>
  </si>
  <si>
    <t>e-300</t>
  </si>
  <si>
    <t>e-350</t>
  </si>
  <si>
    <t>g-350</t>
  </si>
  <si>
    <t>gla-180</t>
  </si>
  <si>
    <t>gla-200</t>
  </si>
  <si>
    <t>gla-220</t>
  </si>
  <si>
    <t>gla-250</t>
  </si>
  <si>
    <t>gla-45amg</t>
  </si>
  <si>
    <t>glc-220</t>
  </si>
  <si>
    <t>glc-250</t>
  </si>
  <si>
    <t>glc-coupe</t>
  </si>
  <si>
    <t>gle-250</t>
  </si>
  <si>
    <t>gle-350</t>
  </si>
  <si>
    <t>gle-63amg</t>
  </si>
  <si>
    <t>glk-220</t>
  </si>
  <si>
    <t>glk-280</t>
  </si>
  <si>
    <t>glk-300</t>
  </si>
  <si>
    <t>glk-350</t>
  </si>
  <si>
    <t>r-350</t>
  </si>
  <si>
    <t>s-300</t>
  </si>
  <si>
    <t>s-350</t>
  </si>
  <si>
    <t>s-400</t>
  </si>
  <si>
    <t>s-500</t>
  </si>
  <si>
    <t>sl-280</t>
  </si>
  <si>
    <t>sl-350</t>
  </si>
  <si>
    <t>slk-200</t>
  </si>
  <si>
    <t>slk-250</t>
  </si>
  <si>
    <t>v-250</t>
  </si>
  <si>
    <t>viano</t>
  </si>
  <si>
    <t>mini</t>
  </si>
  <si>
    <t>clubman</t>
  </si>
  <si>
    <t>cooper</t>
  </si>
  <si>
    <t>countryman</t>
  </si>
  <si>
    <t>one</t>
  </si>
  <si>
    <t>paceman</t>
  </si>
  <si>
    <t>mitsubishi</t>
  </si>
  <si>
    <t>asx</t>
  </si>
  <si>
    <t>colt</t>
  </si>
  <si>
    <t>eclipse-cross</t>
  </si>
  <si>
    <t>lancer</t>
  </si>
  <si>
    <t>outlander</t>
  </si>
  <si>
    <t>pajero</t>
  </si>
  <si>
    <t>space-star</t>
  </si>
  <si>
    <t>nissan</t>
  </si>
  <si>
    <t>350z</t>
  </si>
  <si>
    <t>370z</t>
  </si>
  <si>
    <t>evalia</t>
  </si>
  <si>
    <t>juke</t>
  </si>
  <si>
    <t>leaf</t>
  </si>
  <si>
    <t>micra</t>
  </si>
  <si>
    <t>note</t>
  </si>
  <si>
    <t>pathfinder</t>
  </si>
  <si>
    <t>pixo</t>
  </si>
  <si>
    <t>pulsar</t>
  </si>
  <si>
    <t>qashqai</t>
  </si>
  <si>
    <t>tiida</t>
  </si>
  <si>
    <t>x-trail</t>
  </si>
  <si>
    <t>opel</t>
  </si>
  <si>
    <t>adam</t>
  </si>
  <si>
    <t>agila</t>
  </si>
  <si>
    <t>antara</t>
  </si>
  <si>
    <t>astra</t>
  </si>
  <si>
    <t>combo</t>
  </si>
  <si>
    <t>corsa</t>
  </si>
  <si>
    <t>crossland-x</t>
  </si>
  <si>
    <t>grandland-x</t>
  </si>
  <si>
    <t>insignia</t>
  </si>
  <si>
    <t>meriva</t>
  </si>
  <si>
    <t>mokka</t>
  </si>
  <si>
    <t>tigra</t>
  </si>
  <si>
    <t>vectra</t>
  </si>
  <si>
    <t>zafira</t>
  </si>
  <si>
    <t>zafira-tourer</t>
  </si>
  <si>
    <t>peugeot</t>
  </si>
  <si>
    <t>partner</t>
  </si>
  <si>
    <t>rcz</t>
  </si>
  <si>
    <t>rifter</t>
  </si>
  <si>
    <t>traveller</t>
  </si>
  <si>
    <t>porsche</t>
  </si>
  <si>
    <t>boxster</t>
  </si>
  <si>
    <t>cayenne</t>
  </si>
  <si>
    <t>cayman</t>
  </si>
  <si>
    <t>panamera</t>
  </si>
  <si>
    <t>renault</t>
  </si>
  <si>
    <t>captur</t>
  </si>
  <si>
    <t>clio</t>
  </si>
  <si>
    <t>grand-scenic</t>
  </si>
  <si>
    <t>kadjar</t>
  </si>
  <si>
    <t>kangoo</t>
  </si>
  <si>
    <t>laguna</t>
  </si>
  <si>
    <t>megane</t>
  </si>
  <si>
    <t>scenic</t>
  </si>
  <si>
    <t>twingo</t>
  </si>
  <si>
    <t>seat</t>
  </si>
  <si>
    <t>altea</t>
  </si>
  <si>
    <t>arona</t>
  </si>
  <si>
    <t>ateca</t>
  </si>
  <si>
    <t>cordoba</t>
  </si>
  <si>
    <t>ibiza</t>
  </si>
  <si>
    <t>leon</t>
  </si>
  <si>
    <t>mii</t>
  </si>
  <si>
    <t>toledo</t>
  </si>
  <si>
    <t>skoda</t>
  </si>
  <si>
    <t>citigo</t>
  </si>
  <si>
    <t>fabia</t>
  </si>
  <si>
    <t>karoq</t>
  </si>
  <si>
    <t>kodiaq</t>
  </si>
  <si>
    <t>octavia</t>
  </si>
  <si>
    <t>rapid</t>
  </si>
  <si>
    <t>roomster</t>
  </si>
  <si>
    <t>scala</t>
  </si>
  <si>
    <t>superb</t>
  </si>
  <si>
    <t>yeti</t>
  </si>
  <si>
    <t>smart</t>
  </si>
  <si>
    <t>forfour</t>
  </si>
  <si>
    <t>fortwo</t>
  </si>
  <si>
    <t>subaru</t>
  </si>
  <si>
    <t>forester</t>
  </si>
  <si>
    <t>impreza</t>
  </si>
  <si>
    <t>justy</t>
  </si>
  <si>
    <t>legacy</t>
  </si>
  <si>
    <t>outback</t>
  </si>
  <si>
    <t>trezia</t>
  </si>
  <si>
    <t>tribeca</t>
  </si>
  <si>
    <t>xv</t>
  </si>
  <si>
    <t>suzuki</t>
  </si>
  <si>
    <t>alto</t>
  </si>
  <si>
    <t>baleno</t>
  </si>
  <si>
    <t>celerio</t>
  </si>
  <si>
    <t>grand-vitara</t>
  </si>
  <si>
    <t>ignis</t>
  </si>
  <si>
    <t>jimny</t>
  </si>
  <si>
    <t>splash</t>
  </si>
  <si>
    <t>swift</t>
  </si>
  <si>
    <t>sx4</t>
  </si>
  <si>
    <t>sx4-s-cross</t>
  </si>
  <si>
    <t>vitara</t>
  </si>
  <si>
    <t>toyota</t>
  </si>
  <si>
    <t>auris</t>
  </si>
  <si>
    <t>avensis</t>
  </si>
  <si>
    <t>aygo</t>
  </si>
  <si>
    <t>c-hr</t>
  </si>
  <si>
    <t>corolla</t>
  </si>
  <si>
    <t>corolla-verso</t>
  </si>
  <si>
    <t>gt86</t>
  </si>
  <si>
    <t>iq</t>
  </si>
  <si>
    <t>land-cruiser</t>
  </si>
  <si>
    <t>prius</t>
  </si>
  <si>
    <t>proace</t>
  </si>
  <si>
    <t>rav-4</t>
  </si>
  <si>
    <t>urban-cruiser</t>
  </si>
  <si>
    <t>verso</t>
  </si>
  <si>
    <t>verso-s</t>
  </si>
  <si>
    <t>yaris</t>
  </si>
  <si>
    <t>volkswagen</t>
  </si>
  <si>
    <t>arteon</t>
  </si>
  <si>
    <t>beetle-new</t>
  </si>
  <si>
    <t>cc</t>
  </si>
  <si>
    <t>eos</t>
  </si>
  <si>
    <t>fox</t>
  </si>
  <si>
    <t>golf</t>
  </si>
  <si>
    <t>golf-plus</t>
  </si>
  <si>
    <t>golf-sportsvan</t>
  </si>
  <si>
    <t>jetta</t>
  </si>
  <si>
    <t>passat</t>
  </si>
  <si>
    <t>passat-cc</t>
  </si>
  <si>
    <t>polo</t>
  </si>
  <si>
    <t>scirocco</t>
  </si>
  <si>
    <t>sharan</t>
  </si>
  <si>
    <t>t-cross</t>
  </si>
  <si>
    <t>t-roc</t>
  </si>
  <si>
    <t>tiguan</t>
  </si>
  <si>
    <t>touareg</t>
  </si>
  <si>
    <t>touran</t>
  </si>
  <si>
    <t>up</t>
  </si>
  <si>
    <t>volvo</t>
  </si>
  <si>
    <t>c30</t>
  </si>
  <si>
    <t>s40</t>
  </si>
  <si>
    <t>s60</t>
  </si>
  <si>
    <t>s80</t>
  </si>
  <si>
    <t>s90</t>
  </si>
  <si>
    <t>v40</t>
  </si>
  <si>
    <t>v40-cross-country</t>
  </si>
  <si>
    <t>v50</t>
  </si>
  <si>
    <t>v60</t>
  </si>
  <si>
    <t>v60-cross-country</t>
  </si>
  <si>
    <t>v90</t>
  </si>
  <si>
    <t>v90-cross-country</t>
  </si>
  <si>
    <t>xc-60</t>
  </si>
  <si>
    <t>xc-70</t>
  </si>
  <si>
    <t>xc-90</t>
  </si>
  <si>
    <t>xc40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</si>
</sst>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5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1" fontId="0" fillId="0" borderId="0" xfId="0" applyNumberFormat="1"/>
    <xf numFmtId="3" fontId="0" fillId="0" borderId="0" xfId="0" applyNumberFormat="1"/>
    <xf numFmtId="165" fontId="0" fillId="0" borderId="0" xfId="1" applyNumberFormat="1" applyFont="1"/>
    <xf numFmtId="10" fontId="0" fillId="0" borderId="0" xfId="1" applyNumberFormat="1" applyFont="1"/>
    <xf numFmtId="0" fontId="0" fillId="2" borderId="0" xfId="0" applyFill="1"/>
    <xf numFmtId="3" fontId="0" fillId="2" borderId="0" xfId="0" applyNumberFormat="1" applyFill="1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2" fillId="3" borderId="4" xfId="0" applyFont="1" applyFill="1" applyBorder="1"/>
    <xf numFmtId="0" fontId="2" fillId="0" borderId="4" xfId="0" applyFont="1" applyBorder="1"/>
    <xf numFmtId="0" fontId="2" fillId="0" borderId="4" xfId="0" applyFont="1" applyBorder="1" applyAlignment="1">
      <alignment horizontal="left"/>
    </xf>
    <xf numFmtId="10" fontId="2" fillId="4" borderId="0" xfId="0" applyNumberFormat="1" applyFont="1" applyFill="1"/>
    <xf numFmtId="0" fontId="3" fillId="3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2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3</xdr:row>
      <xdr:rowOff>22860</xdr:rowOff>
    </xdr:from>
    <xdr:to>
      <xdr:col>3</xdr:col>
      <xdr:colOff>320040</xdr:colOff>
      <xdr:row>4</xdr:row>
      <xdr:rowOff>160020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A7DEB3B-91B0-D5C0-91B2-F79C8672EA4C}"/>
            </a:ext>
          </a:extLst>
        </xdr:cNvPr>
        <xdr:cNvCxnSpPr/>
      </xdr:nvCxnSpPr>
      <xdr:spPr>
        <a:xfrm>
          <a:off x="2263140" y="571500"/>
          <a:ext cx="0" cy="3200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2</xdr:row>
      <xdr:rowOff>99060</xdr:rowOff>
    </xdr:from>
    <xdr:to>
      <xdr:col>4</xdr:col>
      <xdr:colOff>525780</xdr:colOff>
      <xdr:row>2</xdr:row>
      <xdr:rowOff>99060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B90F839-525A-4586-BDA6-E2E48D870F8D}"/>
            </a:ext>
          </a:extLst>
        </xdr:cNvPr>
        <xdr:cNvCxnSpPr/>
      </xdr:nvCxnSpPr>
      <xdr:spPr>
        <a:xfrm>
          <a:off x="2644140" y="464820"/>
          <a:ext cx="43434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</xdr:row>
      <xdr:rowOff>0</xdr:rowOff>
    </xdr:from>
    <xdr:to>
      <xdr:col>3</xdr:col>
      <xdr:colOff>297180</xdr:colOff>
      <xdr:row>10</xdr:row>
      <xdr:rowOff>121920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C463C98-923C-4D56-92E6-150923FE6DC7}"/>
            </a:ext>
          </a:extLst>
        </xdr:cNvPr>
        <xdr:cNvCxnSpPr/>
      </xdr:nvCxnSpPr>
      <xdr:spPr>
        <a:xfrm flipH="1">
          <a:off x="2438400" y="1828800"/>
          <a:ext cx="297180" cy="1219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10</xdr:row>
      <xdr:rowOff>7620</xdr:rowOff>
    </xdr:from>
    <xdr:to>
      <xdr:col>3</xdr:col>
      <xdr:colOff>594360</xdr:colOff>
      <xdr:row>10</xdr:row>
      <xdr:rowOff>114300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51E6948-AF75-4717-A311-83F8E461ACBA}"/>
            </a:ext>
          </a:extLst>
        </xdr:cNvPr>
        <xdr:cNvCxnSpPr/>
      </xdr:nvCxnSpPr>
      <xdr:spPr>
        <a:xfrm>
          <a:off x="2743200" y="1836420"/>
          <a:ext cx="289560" cy="1066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55C1-7C65-421B-88B2-2BA79D5954D0}">
  <dimension ref="A1:Q907"/>
  <sheetViews>
    <sheetView workbookViewId="0">
      <selection activeCell="B1" sqref="B1"/>
    </sheetView>
  </sheetViews>
  <sheetFormatPr defaultColWidth="12.6640625" defaultRowHeight="14.4" x14ac:dyDescent="0.3"/>
  <cols>
    <col min="1" max="1" width="12.44140625" customWidth="1"/>
    <col min="2" max="2" width="20.88671875" customWidth="1"/>
    <col min="3" max="3" width="8.77734375" style="12" customWidth="1"/>
    <col min="4" max="17" width="7.6640625" style="12" customWidth="1"/>
  </cols>
  <sheetData>
    <row r="1" spans="1:17" x14ac:dyDescent="0.3">
      <c r="B1" s="12"/>
      <c r="C1" s="17" t="s">
        <v>38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</row>
    <row r="2" spans="1:17" x14ac:dyDescent="0.3">
      <c r="B2" s="12"/>
      <c r="C2" s="20" t="s">
        <v>39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9"/>
    </row>
    <row r="3" spans="1:17" x14ac:dyDescent="0.3">
      <c r="B3" s="12"/>
      <c r="C3" s="13">
        <v>1</v>
      </c>
      <c r="D3" s="13">
        <v>2</v>
      </c>
      <c r="E3" s="13">
        <v>3</v>
      </c>
      <c r="F3" s="13">
        <v>4</v>
      </c>
      <c r="G3" s="13">
        <v>5</v>
      </c>
      <c r="H3" s="13">
        <v>6</v>
      </c>
      <c r="I3" s="13">
        <v>7</v>
      </c>
      <c r="J3" s="13">
        <v>8</v>
      </c>
      <c r="K3" s="13">
        <v>9</v>
      </c>
      <c r="L3" s="13">
        <v>10</v>
      </c>
      <c r="M3" s="13">
        <v>11</v>
      </c>
      <c r="N3" s="13">
        <v>12</v>
      </c>
      <c r="O3" s="13">
        <v>13</v>
      </c>
      <c r="P3" s="13">
        <v>14</v>
      </c>
      <c r="Q3" s="13">
        <v>15</v>
      </c>
    </row>
    <row r="4" spans="1:17" x14ac:dyDescent="0.3">
      <c r="A4" s="14" t="s">
        <v>40</v>
      </c>
      <c r="B4" s="15">
        <v>147</v>
      </c>
      <c r="C4" s="16">
        <v>-0.12761867064334756</v>
      </c>
      <c r="D4" s="16">
        <v>-0.22595301856042571</v>
      </c>
      <c r="E4" s="16">
        <v>-0.3204933303826043</v>
      </c>
      <c r="F4" s="16">
        <v>-0.40048038450063939</v>
      </c>
      <c r="G4" s="16">
        <v>-0.46791682636962195</v>
      </c>
      <c r="H4" s="16">
        <v>-0.5248053014446431</v>
      </c>
      <c r="I4" s="16">
        <v>-0.57314845518079371</v>
      </c>
      <c r="J4" s="16">
        <v>-0.61494893303316456</v>
      </c>
      <c r="K4" s="16">
        <v>-0.65220938045684684</v>
      </c>
      <c r="L4" s="16">
        <v>-0.68693244290693134</v>
      </c>
      <c r="M4" s="16">
        <v>-0.72112076583850926</v>
      </c>
      <c r="N4" s="16">
        <v>-0.75677699470667137</v>
      </c>
      <c r="O4" s="16">
        <v>-0.79590377496650822</v>
      </c>
      <c r="P4" s="16">
        <v>-0.84050375207311168</v>
      </c>
      <c r="Q4" s="16">
        <v>-0.89257957148157185</v>
      </c>
    </row>
    <row r="5" spans="1:17" x14ac:dyDescent="0.3">
      <c r="A5" s="14" t="s">
        <v>40</v>
      </c>
      <c r="B5" s="15">
        <v>159</v>
      </c>
      <c r="C5" s="16">
        <v>-0.12765568175341166</v>
      </c>
      <c r="D5" s="16">
        <v>-0.2262276110720095</v>
      </c>
      <c r="E5" s="16">
        <v>-0.32119250546194467</v>
      </c>
      <c r="F5" s="16">
        <v>-0.40173892201438149</v>
      </c>
      <c r="G5" s="16">
        <v>-0.46982098599582511</v>
      </c>
      <c r="H5" s="16">
        <v>-0.52739282267278076</v>
      </c>
      <c r="I5" s="16">
        <v>-0.57640855731175389</v>
      </c>
      <c r="J5" s="16">
        <v>-0.61882231517924968</v>
      </c>
      <c r="K5" s="16">
        <v>-0.65658822154177332</v>
      </c>
      <c r="L5" s="16">
        <v>-0.69166040166583043</v>
      </c>
      <c r="M5" s="16">
        <v>-0.72599298081792629</v>
      </c>
      <c r="N5" s="16">
        <v>-0.76154008426456543</v>
      </c>
      <c r="O5" s="16">
        <v>-0.80025583727225402</v>
      </c>
      <c r="P5" s="16">
        <v>-0.84409436510749702</v>
      </c>
      <c r="Q5" s="16">
        <v>-0.89500979303679984</v>
      </c>
    </row>
    <row r="6" spans="1:17" x14ac:dyDescent="0.3">
      <c r="A6" s="14" t="s">
        <v>40</v>
      </c>
      <c r="B6" s="15" t="s">
        <v>41</v>
      </c>
      <c r="C6" s="16">
        <v>-0.13281386339622883</v>
      </c>
      <c r="D6" s="16">
        <v>-0.23307210774437634</v>
      </c>
      <c r="E6" s="16">
        <v>-0.32750668727187798</v>
      </c>
      <c r="F6" s="16">
        <v>-0.40540373003937824</v>
      </c>
      <c r="G6" s="16">
        <v>-0.46933075044714462</v>
      </c>
      <c r="H6" s="16">
        <v>-0.52185526289544437</v>
      </c>
      <c r="I6" s="16">
        <v>-0.56554478178454515</v>
      </c>
      <c r="J6" s="16">
        <v>-0.60296682151471392</v>
      </c>
      <c r="K6" s="16">
        <v>-0.63668889648621851</v>
      </c>
      <c r="L6" s="16">
        <v>-0.66927852109932606</v>
      </c>
      <c r="M6" s="16">
        <v>-0.70330320975430416</v>
      </c>
      <c r="N6" s="16">
        <v>-0.74133047685141995</v>
      </c>
      <c r="O6" s="16">
        <v>-0.78592783679094103</v>
      </c>
      <c r="P6" s="16">
        <v>-0.83966280397313497</v>
      </c>
      <c r="Q6" s="16">
        <v>-0.90510289279826861</v>
      </c>
    </row>
    <row r="7" spans="1:17" x14ac:dyDescent="0.3">
      <c r="A7" s="14" t="s">
        <v>40</v>
      </c>
      <c r="B7" s="15" t="s">
        <v>42</v>
      </c>
      <c r="C7" s="16">
        <v>-0.13281386339622883</v>
      </c>
      <c r="D7" s="16">
        <v>-0.23307210774437634</v>
      </c>
      <c r="E7" s="16">
        <v>-0.32750668727187798</v>
      </c>
      <c r="F7" s="16">
        <v>-0.40540373003937824</v>
      </c>
      <c r="G7" s="16">
        <v>-0.46933075044714462</v>
      </c>
      <c r="H7" s="16">
        <v>-0.52185526289544437</v>
      </c>
      <c r="I7" s="16">
        <v>-0.56554478178454515</v>
      </c>
      <c r="J7" s="16">
        <v>-0.60296682151471392</v>
      </c>
      <c r="K7" s="16">
        <v>-0.63668889648621851</v>
      </c>
      <c r="L7" s="16">
        <v>-0.66927852109932606</v>
      </c>
      <c r="M7" s="16">
        <v>-0.70330320975430416</v>
      </c>
      <c r="N7" s="16">
        <v>-0.74133047685141995</v>
      </c>
      <c r="O7" s="16">
        <v>-0.78592783679094103</v>
      </c>
      <c r="P7" s="16">
        <v>-0.83966280397313497</v>
      </c>
      <c r="Q7" s="16">
        <v>-0.90510289279826861</v>
      </c>
    </row>
    <row r="8" spans="1:17" x14ac:dyDescent="0.3">
      <c r="A8" s="14" t="s">
        <v>40</v>
      </c>
      <c r="B8" s="15" t="s">
        <v>43</v>
      </c>
      <c r="C8" s="16">
        <v>-0.13720002868443942</v>
      </c>
      <c r="D8" s="16">
        <v>-0.2394769201002836</v>
      </c>
      <c r="E8" s="16">
        <v>-0.33455582362632724</v>
      </c>
      <c r="F8" s="16">
        <v>-0.41165123357651068</v>
      </c>
      <c r="G8" s="16">
        <v>-0.47369764713321827</v>
      </c>
      <c r="H8" s="16">
        <v>-0.5236295614788341</v>
      </c>
      <c r="I8" s="16">
        <v>-0.56438147379574266</v>
      </c>
      <c r="J8" s="16">
        <v>-0.59888788126632808</v>
      </c>
      <c r="K8" s="16">
        <v>-0.63008328107297495</v>
      </c>
      <c r="L8" s="16">
        <v>-0.66090217039806698</v>
      </c>
      <c r="M8" s="16">
        <v>-0.69427904642398885</v>
      </c>
      <c r="N8" s="16">
        <v>-0.73314840633312461</v>
      </c>
      <c r="O8" s="16">
        <v>-0.78044474730785884</v>
      </c>
      <c r="P8" s="16">
        <v>-0.83910256653057547</v>
      </c>
      <c r="Q8" s="16">
        <v>-0.91205636118365951</v>
      </c>
    </row>
    <row r="9" spans="1:17" x14ac:dyDescent="0.3">
      <c r="A9" s="14" t="s">
        <v>40</v>
      </c>
      <c r="B9" s="15" t="s">
        <v>44</v>
      </c>
      <c r="C9" s="16">
        <v>-0.13045992895823155</v>
      </c>
      <c r="D9" s="16">
        <v>-0.22950619079371498</v>
      </c>
      <c r="E9" s="16">
        <v>-0.32340837055018778</v>
      </c>
      <c r="F9" s="16">
        <v>-0.40158542193623997</v>
      </c>
      <c r="G9" s="16">
        <v>-0.4665022915562847</v>
      </c>
      <c r="H9" s="16">
        <v>-0.52062392601473484</v>
      </c>
      <c r="I9" s="16">
        <v>-0.5664152719160036</v>
      </c>
      <c r="J9" s="16">
        <v>-0.60634127586450415</v>
      </c>
      <c r="K9" s="16">
        <v>-0.64286688446464946</v>
      </c>
      <c r="L9" s="16">
        <v>-0.67845704432085285</v>
      </c>
      <c r="M9" s="16">
        <v>-0.71557670203752688</v>
      </c>
      <c r="N9" s="16">
        <v>-0.75669080421908474</v>
      </c>
      <c r="O9" s="16">
        <v>-0.80426429746994033</v>
      </c>
      <c r="P9" s="16">
        <v>-0.86076212839450594</v>
      </c>
      <c r="Q9" s="16">
        <v>-0.92864924359719481</v>
      </c>
    </row>
    <row r="10" spans="1:17" x14ac:dyDescent="0.3">
      <c r="A10" s="14" t="s">
        <v>40</v>
      </c>
      <c r="B10" s="15" t="s">
        <v>45</v>
      </c>
      <c r="C10" s="16">
        <v>-0.13622116684011534</v>
      </c>
      <c r="D10" s="16">
        <v>-0.2377496080904605</v>
      </c>
      <c r="E10" s="16">
        <v>-0.33211816820027062</v>
      </c>
      <c r="F10" s="16">
        <v>-0.40862671920611043</v>
      </c>
      <c r="G10" s="16">
        <v>-0.47019724982855615</v>
      </c>
      <c r="H10" s="16">
        <v>-0.51975174878818409</v>
      </c>
      <c r="I10" s="16">
        <v>-0.56021220480557021</v>
      </c>
      <c r="J10" s="16">
        <v>-0.59450060660129112</v>
      </c>
      <c r="K10" s="16">
        <v>-0.62553894289592282</v>
      </c>
      <c r="L10" s="16">
        <v>-0.65624920241004148</v>
      </c>
      <c r="M10" s="16">
        <v>-0.68955337386422377</v>
      </c>
      <c r="N10" s="16">
        <v>-0.72837344597904552</v>
      </c>
      <c r="O10" s="16">
        <v>-0.77563140747508275</v>
      </c>
      <c r="P10" s="16">
        <v>-0.83424924707291237</v>
      </c>
      <c r="Q10" s="16">
        <v>-0.90714895349311009</v>
      </c>
    </row>
    <row r="11" spans="1:17" x14ac:dyDescent="0.3">
      <c r="A11" s="14" t="s">
        <v>40</v>
      </c>
      <c r="B11" s="15" t="s">
        <v>46</v>
      </c>
      <c r="C11" s="16">
        <v>-0.13281386339622883</v>
      </c>
      <c r="D11" s="16">
        <v>-0.23307210774437634</v>
      </c>
      <c r="E11" s="16">
        <v>-0.32750668727187798</v>
      </c>
      <c r="F11" s="16">
        <v>-0.40540373003937824</v>
      </c>
      <c r="G11" s="16">
        <v>-0.46933075044714462</v>
      </c>
      <c r="H11" s="16">
        <v>-0.52185526289544437</v>
      </c>
      <c r="I11" s="16">
        <v>-0.56554478178454515</v>
      </c>
      <c r="J11" s="16">
        <v>-0.60296682151471392</v>
      </c>
      <c r="K11" s="16">
        <v>-0.63668889648621851</v>
      </c>
      <c r="L11" s="16">
        <v>-0.66927852109932606</v>
      </c>
      <c r="M11" s="16">
        <v>-0.70330320975430416</v>
      </c>
      <c r="N11" s="16">
        <v>-0.74133047685141995</v>
      </c>
      <c r="O11" s="16">
        <v>-0.78592783679094103</v>
      </c>
      <c r="P11" s="16">
        <v>-0.83966280397313497</v>
      </c>
      <c r="Q11" s="16">
        <v>-0.90510289279826861</v>
      </c>
    </row>
    <row r="12" spans="1:17" x14ac:dyDescent="0.3">
      <c r="A12" s="14" t="s">
        <v>40</v>
      </c>
      <c r="B12" s="15" t="s">
        <v>47</v>
      </c>
      <c r="C12" s="16">
        <v>-0.13281386339622883</v>
      </c>
      <c r="D12" s="16">
        <v>-0.23307210774437634</v>
      </c>
      <c r="E12" s="16">
        <v>-0.32750668727187798</v>
      </c>
      <c r="F12" s="16">
        <v>-0.40540373003937824</v>
      </c>
      <c r="G12" s="16">
        <v>-0.46933075044714462</v>
      </c>
      <c r="H12" s="16">
        <v>-0.52185526289544437</v>
      </c>
      <c r="I12" s="16">
        <v>-0.56554478178454515</v>
      </c>
      <c r="J12" s="16">
        <v>-0.60296682151471392</v>
      </c>
      <c r="K12" s="16">
        <v>-0.63668889648621851</v>
      </c>
      <c r="L12" s="16">
        <v>-0.66927852109932606</v>
      </c>
      <c r="M12" s="16">
        <v>-0.70330320975430416</v>
      </c>
      <c r="N12" s="16">
        <v>-0.74133047685141995</v>
      </c>
      <c r="O12" s="16">
        <v>-0.78592783679094103</v>
      </c>
      <c r="P12" s="16">
        <v>-0.83966280397313497</v>
      </c>
      <c r="Q12" s="16">
        <v>-0.90510289279826861</v>
      </c>
    </row>
    <row r="13" spans="1:17" x14ac:dyDescent="0.3">
      <c r="A13" s="14" t="s">
        <v>48</v>
      </c>
      <c r="B13" s="15" t="s">
        <v>49</v>
      </c>
      <c r="C13" s="16">
        <v>-0.10768790775089906</v>
      </c>
      <c r="D13" s="16">
        <v>-0.19275583630003756</v>
      </c>
      <c r="E13" s="16">
        <v>-0.27660891118555642</v>
      </c>
      <c r="F13" s="16">
        <v>-0.34979427796796059</v>
      </c>
      <c r="G13" s="16">
        <v>-0.41362787298284531</v>
      </c>
      <c r="H13" s="16">
        <v>-0.46942563256580566</v>
      </c>
      <c r="I13" s="16">
        <v>-0.51850349305243659</v>
      </c>
      <c r="J13" s="16">
        <v>-0.56217739077833306</v>
      </c>
      <c r="K13" s="16">
        <v>-0.60176326207909037</v>
      </c>
      <c r="L13" s="16">
        <v>-0.6385770432903034</v>
      </c>
      <c r="M13" s="16">
        <v>-0.67393467074756741</v>
      </c>
      <c r="N13" s="16">
        <v>-0.70915208078647729</v>
      </c>
      <c r="O13" s="16">
        <v>-0.74554520974262806</v>
      </c>
      <c r="P13" s="16">
        <v>-0.78442999395161483</v>
      </c>
      <c r="Q13" s="16">
        <v>-0.82712236974903253</v>
      </c>
    </row>
    <row r="14" spans="1:17" x14ac:dyDescent="0.3">
      <c r="A14" s="14" t="s">
        <v>48</v>
      </c>
      <c r="B14" s="15" t="s">
        <v>50</v>
      </c>
      <c r="C14" s="16">
        <v>-0.12416207625522156</v>
      </c>
      <c r="D14" s="16">
        <v>-0.21898722215940047</v>
      </c>
      <c r="E14" s="16">
        <v>-0.30927972490702099</v>
      </c>
      <c r="F14" s="16">
        <v>-0.38468110159064506</v>
      </c>
      <c r="G14" s="16">
        <v>-0.4472490769283568</v>
      </c>
      <c r="H14" s="16">
        <v>-0.49904137563824019</v>
      </c>
      <c r="I14" s="16">
        <v>-0.54211572243837935</v>
      </c>
      <c r="J14" s="16">
        <v>-0.57852984204685831</v>
      </c>
      <c r="K14" s="16">
        <v>-0.61034145918176086</v>
      </c>
      <c r="L14" s="16">
        <v>-0.63960829856117163</v>
      </c>
      <c r="M14" s="16">
        <v>-0.66838808490317436</v>
      </c>
      <c r="N14" s="16">
        <v>-0.69873854292585291</v>
      </c>
      <c r="O14" s="16">
        <v>-0.73271739734729147</v>
      </c>
      <c r="P14" s="16">
        <v>-0.77238237288557454</v>
      </c>
      <c r="Q14" s="16">
        <v>-0.81979119425878555</v>
      </c>
    </row>
    <row r="15" spans="1:17" x14ac:dyDescent="0.3">
      <c r="A15" s="14" t="s">
        <v>48</v>
      </c>
      <c r="B15" s="15" t="s">
        <v>51</v>
      </c>
      <c r="C15" s="16">
        <v>-0.12605898240075603</v>
      </c>
      <c r="D15" s="16">
        <v>-0.22367536523524706</v>
      </c>
      <c r="E15" s="16">
        <v>-0.31783260460193696</v>
      </c>
      <c r="F15" s="16">
        <v>-0.39762623903741739</v>
      </c>
      <c r="G15" s="16">
        <v>-0.46475770531835547</v>
      </c>
      <c r="H15" s="16">
        <v>-0.5209284402214186</v>
      </c>
      <c r="I15" s="16">
        <v>-0.56783988052327361</v>
      </c>
      <c r="J15" s="16">
        <v>-0.60719346300058785</v>
      </c>
      <c r="K15" s="16">
        <v>-0.64069062443002878</v>
      </c>
      <c r="L15" s="16">
        <v>-0.67003280158826306</v>
      </c>
      <c r="M15" s="16">
        <v>-0.69692143125195827</v>
      </c>
      <c r="N15" s="16">
        <v>-0.72305795019778163</v>
      </c>
      <c r="O15" s="16">
        <v>-0.75014379520240004</v>
      </c>
      <c r="P15" s="16">
        <v>-0.77988040304248085</v>
      </c>
      <c r="Q15" s="16">
        <v>-0.81396921049469129</v>
      </c>
    </row>
    <row r="16" spans="1:17" x14ac:dyDescent="0.3">
      <c r="A16" s="14" t="s">
        <v>48</v>
      </c>
      <c r="B16" s="15" t="s">
        <v>52</v>
      </c>
      <c r="C16" s="16">
        <v>-0.11303413170058518</v>
      </c>
      <c r="D16" s="16">
        <v>-0.20196629547909628</v>
      </c>
      <c r="E16" s="16">
        <v>-0.28921196746371997</v>
      </c>
      <c r="F16" s="16">
        <v>-0.3648351916257116</v>
      </c>
      <c r="G16" s="16">
        <v>-0.43020342510638493</v>
      </c>
      <c r="H16" s="16">
        <v>-0.48668412504705394</v>
      </c>
      <c r="I16" s="16">
        <v>-0.53564474858903233</v>
      </c>
      <c r="J16" s="16">
        <v>-0.57845275287363429</v>
      </c>
      <c r="K16" s="16">
        <v>-0.61647559504217331</v>
      </c>
      <c r="L16" s="16">
        <v>-0.6510807322359633</v>
      </c>
      <c r="M16" s="16">
        <v>-0.6836356215963183</v>
      </c>
      <c r="N16" s="16">
        <v>-0.71550772026455189</v>
      </c>
      <c r="O16" s="16">
        <v>-0.74806448538197823</v>
      </c>
      <c r="P16" s="16">
        <v>-0.782673374089911</v>
      </c>
      <c r="Q16" s="16">
        <v>-0.82070184352966391</v>
      </c>
    </row>
    <row r="17" spans="1:17" x14ac:dyDescent="0.3">
      <c r="A17" s="14" t="s">
        <v>48</v>
      </c>
      <c r="B17" s="15" t="s">
        <v>53</v>
      </c>
      <c r="C17" s="16">
        <v>-0.11477770329409608</v>
      </c>
      <c r="D17" s="16">
        <v>-0.20420801208747164</v>
      </c>
      <c r="E17" s="16">
        <v>-0.29114047794434272</v>
      </c>
      <c r="F17" s="16">
        <v>-0.36569186415503824</v>
      </c>
      <c r="G17" s="16">
        <v>-0.42945670433929678</v>
      </c>
      <c r="H17" s="16">
        <v>-0.48402953211685706</v>
      </c>
      <c r="I17" s="16">
        <v>-0.53100488110745736</v>
      </c>
      <c r="J17" s="16">
        <v>-0.57197728493083655</v>
      </c>
      <c r="K17" s="16">
        <v>-0.60854127720673312</v>
      </c>
      <c r="L17" s="16">
        <v>-0.64229139155488546</v>
      </c>
      <c r="M17" s="16">
        <v>-0.6748221615950325</v>
      </c>
      <c r="N17" s="16">
        <v>-0.70772812094691251</v>
      </c>
      <c r="O17" s="16">
        <v>-0.74260380323026387</v>
      </c>
      <c r="P17" s="16">
        <v>-0.78104374206482585</v>
      </c>
      <c r="Q17" s="16">
        <v>-0.82464247107033628</v>
      </c>
    </row>
    <row r="18" spans="1:17" x14ac:dyDescent="0.3">
      <c r="A18" s="14" t="s">
        <v>48</v>
      </c>
      <c r="B18" s="15" t="s">
        <v>54</v>
      </c>
      <c r="C18" s="16">
        <v>-0.1041077964810266</v>
      </c>
      <c r="D18" s="16">
        <v>-0.19015649239463683</v>
      </c>
      <c r="E18" s="16">
        <v>-0.27841455866839721</v>
      </c>
      <c r="F18" s="16">
        <v>-0.3588009101729166</v>
      </c>
      <c r="G18" s="16">
        <v>-0.43164524142690686</v>
      </c>
      <c r="H18" s="16">
        <v>-0.49727724694907977</v>
      </c>
      <c r="I18" s="16">
        <v>-0.55602662125814661</v>
      </c>
      <c r="J18" s="16">
        <v>-0.60822305887281924</v>
      </c>
      <c r="K18" s="16">
        <v>-0.65419625431180961</v>
      </c>
      <c r="L18" s="16">
        <v>-0.69427590209382894</v>
      </c>
      <c r="M18" s="16">
        <v>-0.72879169673758926</v>
      </c>
      <c r="N18" s="16">
        <v>-0.758073332761802</v>
      </c>
      <c r="O18" s="16">
        <v>-0.78245050468517874</v>
      </c>
      <c r="P18" s="16">
        <v>-0.80225290702643148</v>
      </c>
      <c r="Q18" s="16">
        <v>-0.81781023430427158</v>
      </c>
    </row>
    <row r="19" spans="1:17" x14ac:dyDescent="0.3">
      <c r="A19" s="14" t="s">
        <v>48</v>
      </c>
      <c r="B19" s="15" t="s">
        <v>55</v>
      </c>
      <c r="C19" s="16">
        <v>-0.11303413170058518</v>
      </c>
      <c r="D19" s="16">
        <v>-0.20196629547909628</v>
      </c>
      <c r="E19" s="16">
        <v>-0.28921196746371997</v>
      </c>
      <c r="F19" s="16">
        <v>-0.3648351916257116</v>
      </c>
      <c r="G19" s="16">
        <v>-0.43020342510638493</v>
      </c>
      <c r="H19" s="16">
        <v>-0.48668412504705394</v>
      </c>
      <c r="I19" s="16">
        <v>-0.53564474858903233</v>
      </c>
      <c r="J19" s="16">
        <v>-0.57845275287363429</v>
      </c>
      <c r="K19" s="16">
        <v>-0.61647559504217331</v>
      </c>
      <c r="L19" s="16">
        <v>-0.6510807322359633</v>
      </c>
      <c r="M19" s="16">
        <v>-0.6836356215963183</v>
      </c>
      <c r="N19" s="16">
        <v>-0.71550772026455189</v>
      </c>
      <c r="O19" s="16">
        <v>-0.74806448538197823</v>
      </c>
      <c r="P19" s="16">
        <v>-0.782673374089911</v>
      </c>
      <c r="Q19" s="16">
        <v>-0.82070184352966391</v>
      </c>
    </row>
    <row r="20" spans="1:17" x14ac:dyDescent="0.3">
      <c r="A20" s="14" t="s">
        <v>48</v>
      </c>
      <c r="B20" s="15" t="s">
        <v>56</v>
      </c>
      <c r="C20" s="16">
        <v>-0.11303413170058518</v>
      </c>
      <c r="D20" s="16">
        <v>-0.20196629547909628</v>
      </c>
      <c r="E20" s="16">
        <v>-0.28921196746371997</v>
      </c>
      <c r="F20" s="16">
        <v>-0.3648351916257116</v>
      </c>
      <c r="G20" s="16">
        <v>-0.43020342510638493</v>
      </c>
      <c r="H20" s="16">
        <v>-0.48668412504705394</v>
      </c>
      <c r="I20" s="16">
        <v>-0.53564474858903233</v>
      </c>
      <c r="J20" s="16">
        <v>-0.57845275287363429</v>
      </c>
      <c r="K20" s="16">
        <v>-0.61647559504217331</v>
      </c>
      <c r="L20" s="16">
        <v>-0.6510807322359633</v>
      </c>
      <c r="M20" s="16">
        <v>-0.6836356215963183</v>
      </c>
      <c r="N20" s="16">
        <v>-0.71550772026455189</v>
      </c>
      <c r="O20" s="16">
        <v>-0.74806448538197823</v>
      </c>
      <c r="P20" s="16">
        <v>-0.782673374089911</v>
      </c>
      <c r="Q20" s="16">
        <v>-0.82070184352966391</v>
      </c>
    </row>
    <row r="21" spans="1:17" x14ac:dyDescent="0.3">
      <c r="A21" s="14" t="s">
        <v>48</v>
      </c>
      <c r="B21" s="15" t="s">
        <v>57</v>
      </c>
      <c r="C21" s="16">
        <v>-0.11303413170058518</v>
      </c>
      <c r="D21" s="16">
        <v>-0.20196629547909628</v>
      </c>
      <c r="E21" s="16">
        <v>-0.28921196746371997</v>
      </c>
      <c r="F21" s="16">
        <v>-0.3648351916257116</v>
      </c>
      <c r="G21" s="16">
        <v>-0.43020342510638493</v>
      </c>
      <c r="H21" s="16">
        <v>-0.48668412504705394</v>
      </c>
      <c r="I21" s="16">
        <v>-0.53564474858903233</v>
      </c>
      <c r="J21" s="16">
        <v>-0.57845275287363429</v>
      </c>
      <c r="K21" s="16">
        <v>-0.61647559504217331</v>
      </c>
      <c r="L21" s="16">
        <v>-0.6510807322359633</v>
      </c>
      <c r="M21" s="16">
        <v>-0.6836356215963183</v>
      </c>
      <c r="N21" s="16">
        <v>-0.71550772026455189</v>
      </c>
      <c r="O21" s="16">
        <v>-0.74806448538197823</v>
      </c>
      <c r="P21" s="16">
        <v>-0.782673374089911</v>
      </c>
      <c r="Q21" s="16">
        <v>-0.82070184352966391</v>
      </c>
    </row>
    <row r="22" spans="1:17" x14ac:dyDescent="0.3">
      <c r="A22" s="14" t="s">
        <v>48</v>
      </c>
      <c r="B22" s="15" t="s">
        <v>58</v>
      </c>
      <c r="C22" s="16">
        <v>-0.10938845862218978</v>
      </c>
      <c r="D22" s="16">
        <v>-0.1963596382439298</v>
      </c>
      <c r="E22" s="16">
        <v>-0.28254231579926425</v>
      </c>
      <c r="F22" s="16">
        <v>-0.35813816394754072</v>
      </c>
      <c r="G22" s="16">
        <v>-0.42428770121032539</v>
      </c>
      <c r="H22" s="16">
        <v>-0.48213144610918479</v>
      </c>
      <c r="I22" s="16">
        <v>-0.53280991716568515</v>
      </c>
      <c r="J22" s="16">
        <v>-0.5774636329013928</v>
      </c>
      <c r="K22" s="16">
        <v>-0.61723311183787422</v>
      </c>
      <c r="L22" s="16">
        <v>-0.6532588724966959</v>
      </c>
      <c r="M22" s="16">
        <v>-0.68668143339942411</v>
      </c>
      <c r="N22" s="16">
        <v>-0.71864131306762513</v>
      </c>
      <c r="O22" s="16">
        <v>-0.75027903002286533</v>
      </c>
      <c r="P22" s="16">
        <v>-0.78273510278671121</v>
      </c>
      <c r="Q22" s="16">
        <v>-0.81715004988072903</v>
      </c>
    </row>
    <row r="23" spans="1:17" x14ac:dyDescent="0.3">
      <c r="A23" s="14" t="s">
        <v>48</v>
      </c>
      <c r="B23" s="15" t="s">
        <v>59</v>
      </c>
      <c r="C23" s="16">
        <v>-8.9486430430577177E-2</v>
      </c>
      <c r="D23" s="16">
        <v>-0.1647325458906212</v>
      </c>
      <c r="E23" s="16">
        <v>-0.24322319243286927</v>
      </c>
      <c r="F23" s="16">
        <v>-0.31620475314106267</v>
      </c>
      <c r="G23" s="16">
        <v>-0.38387225414200021</v>
      </c>
      <c r="H23" s="16">
        <v>-0.44642072156248086</v>
      </c>
      <c r="I23" s="16">
        <v>-0.50404518152930367</v>
      </c>
      <c r="J23" s="16">
        <v>-0.55694066016926724</v>
      </c>
      <c r="K23" s="16">
        <v>-0.60530218360917065</v>
      </c>
      <c r="L23" s="16">
        <v>-0.64932477797581312</v>
      </c>
      <c r="M23" s="16">
        <v>-0.68920346939599342</v>
      </c>
      <c r="N23" s="16">
        <v>-0.72513328399651011</v>
      </c>
      <c r="O23" s="16">
        <v>-0.75730924790416243</v>
      </c>
      <c r="P23" s="16">
        <v>-0.78592638724574948</v>
      </c>
      <c r="Q23" s="16">
        <v>-0.81117972814806982</v>
      </c>
    </row>
    <row r="24" spans="1:17" x14ac:dyDescent="0.3">
      <c r="A24" s="14" t="s">
        <v>48</v>
      </c>
      <c r="B24" s="15" t="s">
        <v>60</v>
      </c>
      <c r="C24" s="16">
        <v>-0.11373338364913316</v>
      </c>
      <c r="D24" s="16">
        <v>-0.20303540804350517</v>
      </c>
      <c r="E24" s="16">
        <v>-0.29047170372556247</v>
      </c>
      <c r="F24" s="16">
        <v>-0.36607987124439489</v>
      </c>
      <c r="G24" s="16">
        <v>-0.43127084951400563</v>
      </c>
      <c r="H24" s="16">
        <v>-0.48745557744839785</v>
      </c>
      <c r="I24" s="16">
        <v>-0.53604499396157479</v>
      </c>
      <c r="J24" s="16">
        <v>-0.57845003796753947</v>
      </c>
      <c r="K24" s="16">
        <v>-0.61608164838029522</v>
      </c>
      <c r="L24" s="16">
        <v>-0.65035076411384518</v>
      </c>
      <c r="M24" s="16">
        <v>-0.68266832408219247</v>
      </c>
      <c r="N24" s="16">
        <v>-0.71444526719934021</v>
      </c>
      <c r="O24" s="16">
        <v>-0.74709253237929174</v>
      </c>
      <c r="P24" s="16">
        <v>-0.78202105853605031</v>
      </c>
      <c r="Q24" s="16">
        <v>-0.82064178458361858</v>
      </c>
    </row>
    <row r="25" spans="1:17" x14ac:dyDescent="0.3">
      <c r="A25" s="14" t="s">
        <v>48</v>
      </c>
      <c r="B25" s="15" t="s">
        <v>61</v>
      </c>
      <c r="C25" s="16">
        <v>-0.11648249021915168</v>
      </c>
      <c r="D25" s="16">
        <v>-0.20700322768217916</v>
      </c>
      <c r="E25" s="16">
        <v>-0.29471775225032548</v>
      </c>
      <c r="F25" s="16">
        <v>-0.36958829392524634</v>
      </c>
      <c r="G25" s="16">
        <v>-0.43322533173051275</v>
      </c>
      <c r="H25" s="16">
        <v>-0.48723934468969526</v>
      </c>
      <c r="I25" s="16">
        <v>-0.53324081182636507</v>
      </c>
      <c r="J25" s="16">
        <v>-0.57284021216409275</v>
      </c>
      <c r="K25" s="16">
        <v>-0.6076480247264493</v>
      </c>
      <c r="L25" s="16">
        <v>-0.63927472853700584</v>
      </c>
      <c r="M25" s="16">
        <v>-0.66933080261933264</v>
      </c>
      <c r="N25" s="16">
        <v>-0.69942672599700084</v>
      </c>
      <c r="O25" s="16">
        <v>-0.73117297769358169</v>
      </c>
      <c r="P25" s="16">
        <v>-0.76618003673264534</v>
      </c>
      <c r="Q25" s="16">
        <v>-0.80605838213776315</v>
      </c>
    </row>
    <row r="26" spans="1:17" x14ac:dyDescent="0.3">
      <c r="A26" s="14" t="s">
        <v>48</v>
      </c>
      <c r="B26" s="15" t="s">
        <v>62</v>
      </c>
      <c r="C26" s="16">
        <v>-0.1201211943712284</v>
      </c>
      <c r="D26" s="16">
        <v>-0.21186790050493515</v>
      </c>
      <c r="E26" s="16">
        <v>-0.2992886163357078</v>
      </c>
      <c r="F26" s="16">
        <v>-0.37241822246882822</v>
      </c>
      <c r="G26" s="16">
        <v>-0.43330371894670061</v>
      </c>
      <c r="H26" s="16">
        <v>-0.48399210581172969</v>
      </c>
      <c r="I26" s="16">
        <v>-0.52653038310631983</v>
      </c>
      <c r="J26" s="16">
        <v>-0.56296555087287559</v>
      </c>
      <c r="K26" s="16">
        <v>-0.59534460915380139</v>
      </c>
      <c r="L26" s="16">
        <v>-0.62571455799150189</v>
      </c>
      <c r="M26" s="16">
        <v>-0.65612239742838152</v>
      </c>
      <c r="N26" s="16">
        <v>-0.6886151275068445</v>
      </c>
      <c r="O26" s="16">
        <v>-0.72523974826929549</v>
      </c>
      <c r="P26" s="16">
        <v>-0.76804325975813925</v>
      </c>
      <c r="Q26" s="16">
        <v>-0.81907266201578011</v>
      </c>
    </row>
    <row r="27" spans="1:17" x14ac:dyDescent="0.3">
      <c r="A27" s="14" t="s">
        <v>48</v>
      </c>
      <c r="B27" s="15" t="s">
        <v>63</v>
      </c>
      <c r="C27" s="16">
        <v>-0.11303413170058518</v>
      </c>
      <c r="D27" s="16">
        <v>-0.20196629547909628</v>
      </c>
      <c r="E27" s="16">
        <v>-0.28921196746371997</v>
      </c>
      <c r="F27" s="16">
        <v>-0.3648351916257116</v>
      </c>
      <c r="G27" s="16">
        <v>-0.43020342510638493</v>
      </c>
      <c r="H27" s="16">
        <v>-0.48668412504705394</v>
      </c>
      <c r="I27" s="16">
        <v>-0.53564474858903233</v>
      </c>
      <c r="J27" s="16">
        <v>-0.57845275287363429</v>
      </c>
      <c r="K27" s="16">
        <v>-0.61647559504217331</v>
      </c>
      <c r="L27" s="16">
        <v>-0.6510807322359633</v>
      </c>
      <c r="M27" s="16">
        <v>-0.6836356215963183</v>
      </c>
      <c r="N27" s="16">
        <v>-0.71550772026455189</v>
      </c>
      <c r="O27" s="16">
        <v>-0.74806448538197823</v>
      </c>
      <c r="P27" s="16">
        <v>-0.782673374089911</v>
      </c>
      <c r="Q27" s="16">
        <v>-0.82070184352966391</v>
      </c>
    </row>
    <row r="28" spans="1:17" x14ac:dyDescent="0.3">
      <c r="A28" s="14" t="s">
        <v>48</v>
      </c>
      <c r="B28" s="15" t="s">
        <v>64</v>
      </c>
      <c r="C28" s="16">
        <v>-0.11228239996001363</v>
      </c>
      <c r="D28" s="16">
        <v>-0.20093383121568881</v>
      </c>
      <c r="E28" s="16">
        <v>-0.28819308644524066</v>
      </c>
      <c r="F28" s="16">
        <v>-0.36412125193467387</v>
      </c>
      <c r="G28" s="16">
        <v>-0.43000765396599433</v>
      </c>
      <c r="H28" s="16">
        <v>-0.48714161882120816</v>
      </c>
      <c r="I28" s="16">
        <v>-0.53681247278232125</v>
      </c>
      <c r="J28" s="16">
        <v>-0.58030954213133956</v>
      </c>
      <c r="K28" s="16">
        <v>-0.61892215315026922</v>
      </c>
      <c r="L28" s="16">
        <v>-0.65393963212111617</v>
      </c>
      <c r="M28" s="16">
        <v>-0.68665130532588647</v>
      </c>
      <c r="N28" s="16">
        <v>-0.71834649904658598</v>
      </c>
      <c r="O28" s="16">
        <v>-0.75031453956522065</v>
      </c>
      <c r="P28" s="16">
        <v>-0.78384475316379665</v>
      </c>
      <c r="Q28" s="16">
        <v>-0.82022646612432004</v>
      </c>
    </row>
    <row r="29" spans="1:17" x14ac:dyDescent="0.3">
      <c r="A29" s="14" t="s">
        <v>48</v>
      </c>
      <c r="B29" s="15" t="s">
        <v>65</v>
      </c>
      <c r="C29" s="16">
        <v>-0.11303413170058518</v>
      </c>
      <c r="D29" s="16">
        <v>-0.20196629547909628</v>
      </c>
      <c r="E29" s="16">
        <v>-0.28921196746371997</v>
      </c>
      <c r="F29" s="16">
        <v>-0.3648351916257116</v>
      </c>
      <c r="G29" s="16">
        <v>-0.43020342510638493</v>
      </c>
      <c r="H29" s="16">
        <v>-0.48668412504705394</v>
      </c>
      <c r="I29" s="16">
        <v>-0.53564474858903233</v>
      </c>
      <c r="J29" s="16">
        <v>-0.57845275287363429</v>
      </c>
      <c r="K29" s="16">
        <v>-0.61647559504217331</v>
      </c>
      <c r="L29" s="16">
        <v>-0.6510807322359633</v>
      </c>
      <c r="M29" s="16">
        <v>-0.6836356215963183</v>
      </c>
      <c r="N29" s="16">
        <v>-0.71550772026455189</v>
      </c>
      <c r="O29" s="16">
        <v>-0.74806448538197823</v>
      </c>
      <c r="P29" s="16">
        <v>-0.782673374089911</v>
      </c>
      <c r="Q29" s="16">
        <v>-0.82070184352966391</v>
      </c>
    </row>
    <row r="30" spans="1:17" x14ac:dyDescent="0.3">
      <c r="A30" s="14" t="s">
        <v>48</v>
      </c>
      <c r="B30" s="15" t="s">
        <v>66</v>
      </c>
      <c r="C30" s="16">
        <v>-0.11636730040671764</v>
      </c>
      <c r="D30" s="16">
        <v>-0.20634988890712502</v>
      </c>
      <c r="E30" s="16">
        <v>-0.29325491891258004</v>
      </c>
      <c r="F30" s="16">
        <v>-0.36730383591769072</v>
      </c>
      <c r="G30" s="16">
        <v>-0.43035481545773707</v>
      </c>
      <c r="H30" s="16">
        <v>-0.4842660330679992</v>
      </c>
      <c r="I30" s="16">
        <v>-0.53089566428375679</v>
      </c>
      <c r="J30" s="16">
        <v>-0.57210188464028977</v>
      </c>
      <c r="K30" s="16">
        <v>-0.60974286967287816</v>
      </c>
      <c r="L30" s="16">
        <v>-0.64567679491680197</v>
      </c>
      <c r="M30" s="16">
        <v>-0.68176183590734118</v>
      </c>
      <c r="N30" s="16">
        <v>-0.71985616817977538</v>
      </c>
      <c r="O30" s="16">
        <v>-0.76181796726938478</v>
      </c>
      <c r="P30" s="16">
        <v>-0.80950540871144916</v>
      </c>
      <c r="Q30" s="16">
        <v>-0.86477666804124853</v>
      </c>
    </row>
    <row r="31" spans="1:17" x14ac:dyDescent="0.3">
      <c r="A31" s="14" t="s">
        <v>67</v>
      </c>
      <c r="B31" s="15">
        <v>114</v>
      </c>
      <c r="C31" s="16">
        <v>-0.11532062075848666</v>
      </c>
      <c r="D31" s="16">
        <v>-0.20602557608908426</v>
      </c>
      <c r="E31" s="16">
        <v>-0.29503415605889038</v>
      </c>
      <c r="F31" s="16">
        <v>-0.37226863150448131</v>
      </c>
      <c r="G31" s="16">
        <v>-0.43918333533828219</v>
      </c>
      <c r="H31" s="16">
        <v>-0.49723260047271794</v>
      </c>
      <c r="I31" s="16">
        <v>-0.54787075982021372</v>
      </c>
      <c r="J31" s="16">
        <v>-0.5925521462931943</v>
      </c>
      <c r="K31" s="16">
        <v>-0.63273109280408502</v>
      </c>
      <c r="L31" s="16">
        <v>-0.66986193226531054</v>
      </c>
      <c r="M31" s="16">
        <v>-0.70539899758929603</v>
      </c>
      <c r="N31" s="16">
        <v>-0.74079662168846672</v>
      </c>
      <c r="O31" s="16">
        <v>-0.77750913747524741</v>
      </c>
      <c r="P31" s="16">
        <v>-0.81699087786206293</v>
      </c>
      <c r="Q31" s="16">
        <v>-0.86069617576133872</v>
      </c>
    </row>
    <row r="32" spans="1:17" x14ac:dyDescent="0.3">
      <c r="A32" s="14" t="s">
        <v>67</v>
      </c>
      <c r="B32" s="15">
        <v>116</v>
      </c>
      <c r="C32" s="16">
        <v>-0.13287899546521703</v>
      </c>
      <c r="D32" s="16">
        <v>-0.23341818469893327</v>
      </c>
      <c r="E32" s="16">
        <v>-0.32809083833921182</v>
      </c>
      <c r="F32" s="16">
        <v>-0.40584722357905662</v>
      </c>
      <c r="G32" s="16">
        <v>-0.46892550715799292</v>
      </c>
      <c r="H32" s="16">
        <v>-0.51956385581554643</v>
      </c>
      <c r="I32" s="16">
        <v>-0.56000043629124252</v>
      </c>
      <c r="J32" s="16">
        <v>-0.59247341532460673</v>
      </c>
      <c r="K32" s="16">
        <v>-0.61922095965516455</v>
      </c>
      <c r="L32" s="16">
        <v>-0.64248123602244156</v>
      </c>
      <c r="M32" s="16">
        <v>-0.66449241116596325</v>
      </c>
      <c r="N32" s="16">
        <v>-0.68749265182525499</v>
      </c>
      <c r="O32" s="16">
        <v>-0.71372012473984225</v>
      </c>
      <c r="P32" s="16">
        <v>-0.74541299664925054</v>
      </c>
      <c r="Q32" s="16">
        <v>-0.78480943429300531</v>
      </c>
    </row>
    <row r="33" spans="1:17" x14ac:dyDescent="0.3">
      <c r="A33" s="14" t="s">
        <v>67</v>
      </c>
      <c r="B33" s="15">
        <v>118</v>
      </c>
      <c r="C33" s="16">
        <v>-0.11595496284819805</v>
      </c>
      <c r="D33" s="16">
        <v>-0.2070043130702377</v>
      </c>
      <c r="E33" s="16">
        <v>-0.29620373930069982</v>
      </c>
      <c r="F33" s="16">
        <v>-0.37345063178881505</v>
      </c>
      <c r="G33" s="16">
        <v>-0.44023787706863404</v>
      </c>
      <c r="H33" s="16">
        <v>-0.49805836167420736</v>
      </c>
      <c r="I33" s="16">
        <v>-0.54840497213958528</v>
      </c>
      <c r="J33" s="16">
        <v>-0.59277059499881879</v>
      </c>
      <c r="K33" s="16">
        <v>-0.632648116785958</v>
      </c>
      <c r="L33" s="16">
        <v>-0.66953042403505381</v>
      </c>
      <c r="M33" s="16">
        <v>-0.70491040328015675</v>
      </c>
      <c r="N33" s="16">
        <v>-0.74028094105531705</v>
      </c>
      <c r="O33" s="16">
        <v>-0.77713492389458561</v>
      </c>
      <c r="P33" s="16">
        <v>-0.81696523833201262</v>
      </c>
      <c r="Q33" s="16">
        <v>-0.86126477090164888</v>
      </c>
    </row>
    <row r="34" spans="1:17" x14ac:dyDescent="0.3">
      <c r="A34" s="14" t="s">
        <v>67</v>
      </c>
      <c r="B34" s="15">
        <v>120</v>
      </c>
      <c r="C34" s="16">
        <v>-0.11595496284819805</v>
      </c>
      <c r="D34" s="16">
        <v>-0.2070043130702377</v>
      </c>
      <c r="E34" s="16">
        <v>-0.29620373930069982</v>
      </c>
      <c r="F34" s="16">
        <v>-0.37345063178881505</v>
      </c>
      <c r="G34" s="16">
        <v>-0.44023787706863404</v>
      </c>
      <c r="H34" s="16">
        <v>-0.49805836167420736</v>
      </c>
      <c r="I34" s="16">
        <v>-0.54840497213958528</v>
      </c>
      <c r="J34" s="16">
        <v>-0.59277059499881879</v>
      </c>
      <c r="K34" s="16">
        <v>-0.632648116785958</v>
      </c>
      <c r="L34" s="16">
        <v>-0.66953042403505381</v>
      </c>
      <c r="M34" s="16">
        <v>-0.70491040328015675</v>
      </c>
      <c r="N34" s="16">
        <v>-0.74028094105531705</v>
      </c>
      <c r="O34" s="16">
        <v>-0.77713492389458561</v>
      </c>
      <c r="P34" s="16">
        <v>-0.81696523833201262</v>
      </c>
      <c r="Q34" s="16">
        <v>-0.86126477090164888</v>
      </c>
    </row>
    <row r="35" spans="1:17" x14ac:dyDescent="0.3">
      <c r="A35" s="14" t="s">
        <v>67</v>
      </c>
      <c r="B35" s="15">
        <v>123</v>
      </c>
      <c r="C35" s="16">
        <v>-0.11595496284819805</v>
      </c>
      <c r="D35" s="16">
        <v>-0.2070043130702377</v>
      </c>
      <c r="E35" s="16">
        <v>-0.29620373930069982</v>
      </c>
      <c r="F35" s="16">
        <v>-0.37345063178881505</v>
      </c>
      <c r="G35" s="16">
        <v>-0.44023787706863404</v>
      </c>
      <c r="H35" s="16">
        <v>-0.49805836167420736</v>
      </c>
      <c r="I35" s="16">
        <v>-0.54840497213958528</v>
      </c>
      <c r="J35" s="16">
        <v>-0.59277059499881879</v>
      </c>
      <c r="K35" s="16">
        <v>-0.632648116785958</v>
      </c>
      <c r="L35" s="16">
        <v>-0.66953042403505381</v>
      </c>
      <c r="M35" s="16">
        <v>-0.70491040328015675</v>
      </c>
      <c r="N35" s="16">
        <v>-0.74028094105531705</v>
      </c>
      <c r="O35" s="16">
        <v>-0.77713492389458561</v>
      </c>
      <c r="P35" s="16">
        <v>-0.81696523833201262</v>
      </c>
      <c r="Q35" s="16">
        <v>-0.86126477090164888</v>
      </c>
    </row>
    <row r="36" spans="1:17" x14ac:dyDescent="0.3">
      <c r="A36" s="14" t="s">
        <v>67</v>
      </c>
      <c r="B36" s="15">
        <v>216</v>
      </c>
      <c r="C36" s="16">
        <v>-0.11595496284819805</v>
      </c>
      <c r="D36" s="16">
        <v>-0.2070043130702377</v>
      </c>
      <c r="E36" s="16">
        <v>-0.29620373930069982</v>
      </c>
      <c r="F36" s="16">
        <v>-0.37345063178881505</v>
      </c>
      <c r="G36" s="16">
        <v>-0.44023787706863404</v>
      </c>
      <c r="H36" s="16">
        <v>-0.49805836167420736</v>
      </c>
      <c r="I36" s="16">
        <v>-0.54840497213958528</v>
      </c>
      <c r="J36" s="16">
        <v>-0.59277059499881879</v>
      </c>
      <c r="K36" s="16">
        <v>-0.632648116785958</v>
      </c>
      <c r="L36" s="16">
        <v>-0.66953042403505381</v>
      </c>
      <c r="M36" s="16">
        <v>-0.70491040328015675</v>
      </c>
      <c r="N36" s="16">
        <v>-0.74028094105531705</v>
      </c>
      <c r="O36" s="16">
        <v>-0.77713492389458561</v>
      </c>
      <c r="P36" s="16">
        <v>-0.81696523833201262</v>
      </c>
      <c r="Q36" s="16">
        <v>-0.86126477090164888</v>
      </c>
    </row>
    <row r="37" spans="1:17" x14ac:dyDescent="0.3">
      <c r="A37" s="14" t="s">
        <v>67</v>
      </c>
      <c r="B37" s="15" t="s">
        <v>68</v>
      </c>
      <c r="C37" s="16">
        <v>-0.1296679663486604</v>
      </c>
      <c r="D37" s="16">
        <v>-0.22830779312641139</v>
      </c>
      <c r="E37" s="16">
        <v>-0.32190192490572977</v>
      </c>
      <c r="F37" s="16">
        <v>-0.39976763970122431</v>
      </c>
      <c r="G37" s="16">
        <v>-0.4641890121623698</v>
      </c>
      <c r="H37" s="16">
        <v>-0.51745011693864129</v>
      </c>
      <c r="I37" s="16">
        <v>-0.56183502867951318</v>
      </c>
      <c r="J37" s="16">
        <v>-0.59962782203446063</v>
      </c>
      <c r="K37" s="16">
        <v>-0.63311257165295831</v>
      </c>
      <c r="L37" s="16">
        <v>-0.66457335218448099</v>
      </c>
      <c r="M37" s="16">
        <v>-0.69629423827850379</v>
      </c>
      <c r="N37" s="16">
        <v>-0.73055930458450102</v>
      </c>
      <c r="O37" s="16">
        <v>-0.76965262575194782</v>
      </c>
      <c r="P37" s="16">
        <v>-0.81585827643031905</v>
      </c>
      <c r="Q37" s="16">
        <v>-0.87146033126908951</v>
      </c>
    </row>
    <row r="38" spans="1:17" x14ac:dyDescent="0.3">
      <c r="A38" s="14" t="s">
        <v>67</v>
      </c>
      <c r="B38" s="15">
        <v>218</v>
      </c>
      <c r="C38" s="16">
        <v>-0.11595496284819805</v>
      </c>
      <c r="D38" s="16">
        <v>-0.2070043130702377</v>
      </c>
      <c r="E38" s="16">
        <v>-0.29620373930069982</v>
      </c>
      <c r="F38" s="16">
        <v>-0.37345063178881505</v>
      </c>
      <c r="G38" s="16">
        <v>-0.44023787706863404</v>
      </c>
      <c r="H38" s="16">
        <v>-0.49805836167420736</v>
      </c>
      <c r="I38" s="16">
        <v>-0.54840497213958528</v>
      </c>
      <c r="J38" s="16">
        <v>-0.59277059499881879</v>
      </c>
      <c r="K38" s="16">
        <v>-0.632648116785958</v>
      </c>
      <c r="L38" s="16">
        <v>-0.66953042403505381</v>
      </c>
      <c r="M38" s="16">
        <v>-0.70491040328015675</v>
      </c>
      <c r="N38" s="16">
        <v>-0.74028094105531705</v>
      </c>
      <c r="O38" s="16">
        <v>-0.77713492389458561</v>
      </c>
      <c r="P38" s="16">
        <v>-0.81696523833201262</v>
      </c>
      <c r="Q38" s="16">
        <v>-0.86126477090164888</v>
      </c>
    </row>
    <row r="39" spans="1:17" x14ac:dyDescent="0.3">
      <c r="A39" s="14" t="s">
        <v>67</v>
      </c>
      <c r="B39" s="15" t="s">
        <v>69</v>
      </c>
      <c r="C39" s="16">
        <v>-0.12463856027076466</v>
      </c>
      <c r="D39" s="16">
        <v>-0.22063055099352247</v>
      </c>
      <c r="E39" s="16">
        <v>-0.31286464138366943</v>
      </c>
      <c r="F39" s="16">
        <v>-0.3908314603489586</v>
      </c>
      <c r="G39" s="16">
        <v>-0.45648549282421935</v>
      </c>
      <c r="H39" s="16">
        <v>-0.51178122374428103</v>
      </c>
      <c r="I39" s="16">
        <v>-0.55867313804397312</v>
      </c>
      <c r="J39" s="16">
        <v>-0.59911572065812502</v>
      </c>
      <c r="K39" s="16">
        <v>-0.63506345652156615</v>
      </c>
      <c r="L39" s="16">
        <v>-0.66847083056912604</v>
      </c>
      <c r="M39" s="16">
        <v>-0.7012923277356341</v>
      </c>
      <c r="N39" s="16">
        <v>-0.73548243295591942</v>
      </c>
      <c r="O39" s="16">
        <v>-0.77299563116481196</v>
      </c>
      <c r="P39" s="16">
        <v>-0.81578640729714069</v>
      </c>
      <c r="Q39" s="16">
        <v>-0.86580924628773515</v>
      </c>
    </row>
    <row r="40" spans="1:17" x14ac:dyDescent="0.3">
      <c r="A40" s="14" t="s">
        <v>67</v>
      </c>
      <c r="B40" s="15" t="s">
        <v>70</v>
      </c>
      <c r="C40" s="16">
        <v>-0.11595496284819805</v>
      </c>
      <c r="D40" s="16">
        <v>-0.2070043130702377</v>
      </c>
      <c r="E40" s="16">
        <v>-0.29620373930069982</v>
      </c>
      <c r="F40" s="16">
        <v>-0.37345063178881505</v>
      </c>
      <c r="G40" s="16">
        <v>-0.44023787706863404</v>
      </c>
      <c r="H40" s="16">
        <v>-0.49805836167420736</v>
      </c>
      <c r="I40" s="16">
        <v>-0.54840497213958528</v>
      </c>
      <c r="J40" s="16">
        <v>-0.59277059499881879</v>
      </c>
      <c r="K40" s="16">
        <v>-0.632648116785958</v>
      </c>
      <c r="L40" s="16">
        <v>-0.66953042403505381</v>
      </c>
      <c r="M40" s="16">
        <v>-0.70491040328015675</v>
      </c>
      <c r="N40" s="16">
        <v>-0.74028094105531705</v>
      </c>
      <c r="O40" s="16">
        <v>-0.77713492389458561</v>
      </c>
      <c r="P40" s="16">
        <v>-0.81696523833201262</v>
      </c>
      <c r="Q40" s="16">
        <v>-0.86126477090164888</v>
      </c>
    </row>
    <row r="41" spans="1:17" x14ac:dyDescent="0.3">
      <c r="A41" s="14" t="s">
        <v>67</v>
      </c>
      <c r="B41" s="15" t="s">
        <v>71</v>
      </c>
      <c r="C41" s="16">
        <v>-0.11595496284819805</v>
      </c>
      <c r="D41" s="16">
        <v>-0.2070043130702377</v>
      </c>
      <c r="E41" s="16">
        <v>-0.29620373930069982</v>
      </c>
      <c r="F41" s="16">
        <v>-0.37345063178881505</v>
      </c>
      <c r="G41" s="16">
        <v>-0.44023787706863404</v>
      </c>
      <c r="H41" s="16">
        <v>-0.49805836167420736</v>
      </c>
      <c r="I41" s="16">
        <v>-0.54840497213958528</v>
      </c>
      <c r="J41" s="16">
        <v>-0.59277059499881879</v>
      </c>
      <c r="K41" s="16">
        <v>-0.632648116785958</v>
      </c>
      <c r="L41" s="16">
        <v>-0.66953042403505381</v>
      </c>
      <c r="M41" s="16">
        <v>-0.70491040328015675</v>
      </c>
      <c r="N41" s="16">
        <v>-0.74028094105531705</v>
      </c>
      <c r="O41" s="16">
        <v>-0.77713492389458561</v>
      </c>
      <c r="P41" s="16">
        <v>-0.81696523833201262</v>
      </c>
      <c r="Q41" s="16">
        <v>-0.86126477090164888</v>
      </c>
    </row>
    <row r="42" spans="1:17" x14ac:dyDescent="0.3">
      <c r="A42" s="14" t="s">
        <v>67</v>
      </c>
      <c r="B42" s="15">
        <v>316</v>
      </c>
      <c r="C42" s="16">
        <v>-0.11779973677232466</v>
      </c>
      <c r="D42" s="16">
        <v>-0.20816988085487276</v>
      </c>
      <c r="E42" s="16">
        <v>-0.29473339391010511</v>
      </c>
      <c r="F42" s="16">
        <v>-0.36771236988850609</v>
      </c>
      <c r="G42" s="16">
        <v>-0.42910887641779244</v>
      </c>
      <c r="H42" s="16">
        <v>-0.48092498112568133</v>
      </c>
      <c r="I42" s="16">
        <v>-0.52516275163988946</v>
      </c>
      <c r="J42" s="16">
        <v>-0.56382425558813365</v>
      </c>
      <c r="K42" s="16">
        <v>-0.59891156059813089</v>
      </c>
      <c r="L42" s="16">
        <v>-0.63242673429759799</v>
      </c>
      <c r="M42" s="16">
        <v>-0.666371844314252</v>
      </c>
      <c r="N42" s="16">
        <v>-0.70274895827580963</v>
      </c>
      <c r="O42" s="16">
        <v>-0.74356014380998769</v>
      </c>
      <c r="P42" s="16">
        <v>-0.79080746854450323</v>
      </c>
      <c r="Q42" s="16">
        <v>-0.84649300010707274</v>
      </c>
    </row>
    <row r="43" spans="1:17" x14ac:dyDescent="0.3">
      <c r="A43" s="14" t="s">
        <v>67</v>
      </c>
      <c r="B43" s="15">
        <v>318</v>
      </c>
      <c r="C43" s="16">
        <v>-0.13040575713628688</v>
      </c>
      <c r="D43" s="16">
        <v>-0.22929986996141644</v>
      </c>
      <c r="E43" s="16">
        <v>-0.3228623971539416</v>
      </c>
      <c r="F43" s="16">
        <v>-0.40044303878531873</v>
      </c>
      <c r="G43" s="16">
        <v>-0.4644320706406328</v>
      </c>
      <c r="H43" s="16">
        <v>-0.51721976850496887</v>
      </c>
      <c r="I43" s="16">
        <v>-0.56119640816341188</v>
      </c>
      <c r="J43" s="16">
        <v>-0.59875226540104687</v>
      </c>
      <c r="K43" s="16">
        <v>-0.63227761600295895</v>
      </c>
      <c r="L43" s="16">
        <v>-0.6641627357542329</v>
      </c>
      <c r="M43" s="16">
        <v>-0.69679790043995382</v>
      </c>
      <c r="N43" s="16">
        <v>-0.73257338584520715</v>
      </c>
      <c r="O43" s="16">
        <v>-0.77387946775507754</v>
      </c>
      <c r="P43" s="16">
        <v>-0.82310642195464967</v>
      </c>
      <c r="Q43" s="16">
        <v>-0.88264452422900885</v>
      </c>
    </row>
    <row r="44" spans="1:17" x14ac:dyDescent="0.3">
      <c r="A44" s="14" t="s">
        <v>67</v>
      </c>
      <c r="B44" s="15">
        <v>320</v>
      </c>
      <c r="C44" s="16">
        <v>-0.13002344195305979</v>
      </c>
      <c r="D44" s="16">
        <v>-0.2311386189454015</v>
      </c>
      <c r="E44" s="16">
        <v>-0.32914294459694438</v>
      </c>
      <c r="F44" s="16">
        <v>-0.41276746333326841</v>
      </c>
      <c r="G44" s="16">
        <v>-0.48374556377525979</v>
      </c>
      <c r="H44" s="16">
        <v>-0.54381063454380463</v>
      </c>
      <c r="I44" s="16">
        <v>-0.59469606425978905</v>
      </c>
      <c r="J44" s="16">
        <v>-0.63813524154409895</v>
      </c>
      <c r="K44" s="16">
        <v>-0.67586155501762057</v>
      </c>
      <c r="L44" s="16">
        <v>-0.70960839330124015</v>
      </c>
      <c r="M44" s="16">
        <v>-0.74110914501584368</v>
      </c>
      <c r="N44" s="16">
        <v>-0.77209719878231697</v>
      </c>
      <c r="O44" s="16">
        <v>-0.80430594322154658</v>
      </c>
      <c r="P44" s="16">
        <v>-0.83946876695441819</v>
      </c>
      <c r="Q44" s="16">
        <v>-0.87931905860181858</v>
      </c>
    </row>
    <row r="45" spans="1:17" x14ac:dyDescent="0.3">
      <c r="A45" s="14" t="s">
        <v>67</v>
      </c>
      <c r="B45" s="15">
        <v>325</v>
      </c>
      <c r="C45" s="16">
        <v>-0.11279645981886244</v>
      </c>
      <c r="D45" s="16">
        <v>-0.20275215950986758</v>
      </c>
      <c r="E45" s="16">
        <v>-0.29216370706656697</v>
      </c>
      <c r="F45" s="16">
        <v>-0.37088688347176346</v>
      </c>
      <c r="G45" s="16">
        <v>-0.44005711569014644</v>
      </c>
      <c r="H45" s="16">
        <v>-0.50080983068640494</v>
      </c>
      <c r="I45" s="16">
        <v>-0.55428045542522819</v>
      </c>
      <c r="J45" s="16">
        <v>-0.6016044168713055</v>
      </c>
      <c r="K45" s="16">
        <v>-0.64391714198932593</v>
      </c>
      <c r="L45" s="16">
        <v>-0.68235405774397873</v>
      </c>
      <c r="M45" s="16">
        <v>-0.71805059109995306</v>
      </c>
      <c r="N45" s="16">
        <v>-0.75214216902193831</v>
      </c>
      <c r="O45" s="16">
        <v>-0.78576421847462341</v>
      </c>
      <c r="P45" s="16">
        <v>-0.82005216642269763</v>
      </c>
      <c r="Q45" s="16">
        <v>-0.85614143983085034</v>
      </c>
    </row>
    <row r="46" spans="1:17" x14ac:dyDescent="0.3">
      <c r="A46" s="14" t="s">
        <v>67</v>
      </c>
      <c r="B46" s="15">
        <v>328</v>
      </c>
      <c r="C46" s="16">
        <v>-0.11595496284819805</v>
      </c>
      <c r="D46" s="16">
        <v>-0.2070043130702377</v>
      </c>
      <c r="E46" s="16">
        <v>-0.29620373930069982</v>
      </c>
      <c r="F46" s="16">
        <v>-0.37345063178881505</v>
      </c>
      <c r="G46" s="16">
        <v>-0.44023787706863404</v>
      </c>
      <c r="H46" s="16">
        <v>-0.49805836167420736</v>
      </c>
      <c r="I46" s="16">
        <v>-0.54840497213958528</v>
      </c>
      <c r="J46" s="16">
        <v>-0.59277059499881879</v>
      </c>
      <c r="K46" s="16">
        <v>-0.632648116785958</v>
      </c>
      <c r="L46" s="16">
        <v>-0.66953042403505381</v>
      </c>
      <c r="M46" s="16">
        <v>-0.70491040328015675</v>
      </c>
      <c r="N46" s="16">
        <v>-0.74028094105531705</v>
      </c>
      <c r="O46" s="16">
        <v>-0.77713492389458561</v>
      </c>
      <c r="P46" s="16">
        <v>-0.81696523833201262</v>
      </c>
      <c r="Q46" s="16">
        <v>-0.86126477090164888</v>
      </c>
    </row>
    <row r="47" spans="1:17" x14ac:dyDescent="0.3">
      <c r="A47" s="14" t="s">
        <v>67</v>
      </c>
      <c r="B47" s="15">
        <v>330</v>
      </c>
      <c r="C47" s="16">
        <v>-0.11595496284819805</v>
      </c>
      <c r="D47" s="16">
        <v>-0.2070043130702377</v>
      </c>
      <c r="E47" s="16">
        <v>-0.29620373930069982</v>
      </c>
      <c r="F47" s="16">
        <v>-0.37345063178881505</v>
      </c>
      <c r="G47" s="16">
        <v>-0.44023787706863404</v>
      </c>
      <c r="H47" s="16">
        <v>-0.49805836167420736</v>
      </c>
      <c r="I47" s="16">
        <v>-0.54840497213958528</v>
      </c>
      <c r="J47" s="16">
        <v>-0.59277059499881879</v>
      </c>
      <c r="K47" s="16">
        <v>-0.632648116785958</v>
      </c>
      <c r="L47" s="16">
        <v>-0.66953042403505381</v>
      </c>
      <c r="M47" s="16">
        <v>-0.70491040328015675</v>
      </c>
      <c r="N47" s="16">
        <v>-0.74028094105531705</v>
      </c>
      <c r="O47" s="16">
        <v>-0.77713492389458561</v>
      </c>
      <c r="P47" s="16">
        <v>-0.81696523833201262</v>
      </c>
      <c r="Q47" s="16">
        <v>-0.86126477090164888</v>
      </c>
    </row>
    <row r="48" spans="1:17" x14ac:dyDescent="0.3">
      <c r="A48" s="14" t="s">
        <v>67</v>
      </c>
      <c r="B48" s="15">
        <v>335</v>
      </c>
      <c r="C48" s="16">
        <v>-0.11595496284819805</v>
      </c>
      <c r="D48" s="16">
        <v>-0.2070043130702377</v>
      </c>
      <c r="E48" s="16">
        <v>-0.29620373930069982</v>
      </c>
      <c r="F48" s="16">
        <v>-0.37345063178881505</v>
      </c>
      <c r="G48" s="16">
        <v>-0.44023787706863404</v>
      </c>
      <c r="H48" s="16">
        <v>-0.49805836167420736</v>
      </c>
      <c r="I48" s="16">
        <v>-0.54840497213958528</v>
      </c>
      <c r="J48" s="16">
        <v>-0.59277059499881879</v>
      </c>
      <c r="K48" s="16">
        <v>-0.632648116785958</v>
      </c>
      <c r="L48" s="16">
        <v>-0.66953042403505381</v>
      </c>
      <c r="M48" s="16">
        <v>-0.70491040328015675</v>
      </c>
      <c r="N48" s="16">
        <v>-0.74028094105531705</v>
      </c>
      <c r="O48" s="16">
        <v>-0.77713492389458561</v>
      </c>
      <c r="P48" s="16">
        <v>-0.81696523833201262</v>
      </c>
      <c r="Q48" s="16">
        <v>-0.86126477090164888</v>
      </c>
    </row>
    <row r="49" spans="1:17" x14ac:dyDescent="0.3">
      <c r="A49" s="14" t="s">
        <v>67</v>
      </c>
      <c r="B49" s="15">
        <v>418</v>
      </c>
      <c r="C49" s="16">
        <v>-0.11595496284819805</v>
      </c>
      <c r="D49" s="16">
        <v>-0.2070043130702377</v>
      </c>
      <c r="E49" s="16">
        <v>-0.29620373930069982</v>
      </c>
      <c r="F49" s="16">
        <v>-0.37345063178881505</v>
      </c>
      <c r="G49" s="16">
        <v>-0.44023787706863404</v>
      </c>
      <c r="H49" s="16">
        <v>-0.49805836167420736</v>
      </c>
      <c r="I49" s="16">
        <v>-0.54840497213958528</v>
      </c>
      <c r="J49" s="16">
        <v>-0.59277059499881879</v>
      </c>
      <c r="K49" s="16">
        <v>-0.632648116785958</v>
      </c>
      <c r="L49" s="16">
        <v>-0.66953042403505381</v>
      </c>
      <c r="M49" s="16">
        <v>-0.70491040328015675</v>
      </c>
      <c r="N49" s="16">
        <v>-0.74028094105531705</v>
      </c>
      <c r="O49" s="16">
        <v>-0.77713492389458561</v>
      </c>
      <c r="P49" s="16">
        <v>-0.81696523833201262</v>
      </c>
      <c r="Q49" s="16">
        <v>-0.86126477090164888</v>
      </c>
    </row>
    <row r="50" spans="1:17" x14ac:dyDescent="0.3">
      <c r="A50" s="14" t="s">
        <v>67</v>
      </c>
      <c r="B50" s="15">
        <v>420</v>
      </c>
      <c r="C50" s="16">
        <v>-0.11595496284819805</v>
      </c>
      <c r="D50" s="16">
        <v>-0.2070043130702377</v>
      </c>
      <c r="E50" s="16">
        <v>-0.29620373930069982</v>
      </c>
      <c r="F50" s="16">
        <v>-0.37345063178881505</v>
      </c>
      <c r="G50" s="16">
        <v>-0.44023787706863404</v>
      </c>
      <c r="H50" s="16">
        <v>-0.49805836167420736</v>
      </c>
      <c r="I50" s="16">
        <v>-0.54840497213958528</v>
      </c>
      <c r="J50" s="16">
        <v>-0.59277059499881879</v>
      </c>
      <c r="K50" s="16">
        <v>-0.632648116785958</v>
      </c>
      <c r="L50" s="16">
        <v>-0.66953042403505381</v>
      </c>
      <c r="M50" s="16">
        <v>-0.70491040328015675</v>
      </c>
      <c r="N50" s="16">
        <v>-0.74028094105531705</v>
      </c>
      <c r="O50" s="16">
        <v>-0.77713492389458561</v>
      </c>
      <c r="P50" s="16">
        <v>-0.81696523833201262</v>
      </c>
      <c r="Q50" s="16">
        <v>-0.86126477090164888</v>
      </c>
    </row>
    <row r="51" spans="1:17" x14ac:dyDescent="0.3">
      <c r="A51" s="14" t="s">
        <v>67</v>
      </c>
      <c r="B51" s="15">
        <v>428</v>
      </c>
      <c r="C51" s="16">
        <v>-0.11595496284819805</v>
      </c>
      <c r="D51" s="16">
        <v>-0.2070043130702377</v>
      </c>
      <c r="E51" s="16">
        <v>-0.29620373930069982</v>
      </c>
      <c r="F51" s="16">
        <v>-0.37345063178881505</v>
      </c>
      <c r="G51" s="16">
        <v>-0.44023787706863404</v>
      </c>
      <c r="H51" s="16">
        <v>-0.49805836167420736</v>
      </c>
      <c r="I51" s="16">
        <v>-0.54840497213958528</v>
      </c>
      <c r="J51" s="16">
        <v>-0.59277059499881879</v>
      </c>
      <c r="K51" s="16">
        <v>-0.632648116785958</v>
      </c>
      <c r="L51" s="16">
        <v>-0.66953042403505381</v>
      </c>
      <c r="M51" s="16">
        <v>-0.70491040328015675</v>
      </c>
      <c r="N51" s="16">
        <v>-0.74028094105531705</v>
      </c>
      <c r="O51" s="16">
        <v>-0.77713492389458561</v>
      </c>
      <c r="P51" s="16">
        <v>-0.81696523833201262</v>
      </c>
      <c r="Q51" s="16">
        <v>-0.86126477090164888</v>
      </c>
    </row>
    <row r="52" spans="1:17" x14ac:dyDescent="0.3">
      <c r="A52" s="14" t="s">
        <v>67</v>
      </c>
      <c r="B52" s="15">
        <v>520</v>
      </c>
      <c r="C52" s="16">
        <v>-0.12909080328278427</v>
      </c>
      <c r="D52" s="16">
        <v>-0.22810020986252938</v>
      </c>
      <c r="E52" s="16">
        <v>-0.32279357253920016</v>
      </c>
      <c r="F52" s="16">
        <v>-0.40232317464691758</v>
      </c>
      <c r="G52" s="16">
        <v>-0.46875037984808077</v>
      </c>
      <c r="H52" s="16">
        <v>-0.52413655180508889</v>
      </c>
      <c r="I52" s="16">
        <v>-0.57054305418034135</v>
      </c>
      <c r="J52" s="16">
        <v>-0.6100312506362372</v>
      </c>
      <c r="K52" s="16">
        <v>-0.64466250483517595</v>
      </c>
      <c r="L52" s="16">
        <v>-0.67649818043955623</v>
      </c>
      <c r="M52" s="16">
        <v>-0.70759964111177787</v>
      </c>
      <c r="N52" s="16">
        <v>-0.74002825051423982</v>
      </c>
      <c r="O52" s="16">
        <v>-0.77584537230934136</v>
      </c>
      <c r="P52" s="16">
        <v>-0.81711237015948202</v>
      </c>
      <c r="Q52" s="16">
        <v>-0.8658906077270605</v>
      </c>
    </row>
    <row r="53" spans="1:17" x14ac:dyDescent="0.3">
      <c r="A53" s="14" t="s">
        <v>67</v>
      </c>
      <c r="B53" s="15">
        <v>525</v>
      </c>
      <c r="C53" s="16">
        <v>-0.11595496284819805</v>
      </c>
      <c r="D53" s="16">
        <v>-0.2070043130702377</v>
      </c>
      <c r="E53" s="16">
        <v>-0.29620373930069982</v>
      </c>
      <c r="F53" s="16">
        <v>-0.37345063178881505</v>
      </c>
      <c r="G53" s="16">
        <v>-0.44023787706863404</v>
      </c>
      <c r="H53" s="16">
        <v>-0.49805836167420736</v>
      </c>
      <c r="I53" s="16">
        <v>-0.54840497213958528</v>
      </c>
      <c r="J53" s="16">
        <v>-0.59277059499881879</v>
      </c>
      <c r="K53" s="16">
        <v>-0.632648116785958</v>
      </c>
      <c r="L53" s="16">
        <v>-0.66953042403505381</v>
      </c>
      <c r="M53" s="16">
        <v>-0.70491040328015675</v>
      </c>
      <c r="N53" s="16">
        <v>-0.74028094105531705</v>
      </c>
      <c r="O53" s="16">
        <v>-0.77713492389458561</v>
      </c>
      <c r="P53" s="16">
        <v>-0.81696523833201262</v>
      </c>
      <c r="Q53" s="16">
        <v>-0.86126477090164888</v>
      </c>
    </row>
    <row r="54" spans="1:17" x14ac:dyDescent="0.3">
      <c r="A54" s="14" t="s">
        <v>67</v>
      </c>
      <c r="B54" s="15">
        <v>528</v>
      </c>
      <c r="C54" s="16">
        <v>-0.11595496284819805</v>
      </c>
      <c r="D54" s="16">
        <v>-0.2070043130702377</v>
      </c>
      <c r="E54" s="16">
        <v>-0.29620373930069982</v>
      </c>
      <c r="F54" s="16">
        <v>-0.37345063178881505</v>
      </c>
      <c r="G54" s="16">
        <v>-0.44023787706863404</v>
      </c>
      <c r="H54" s="16">
        <v>-0.49805836167420736</v>
      </c>
      <c r="I54" s="16">
        <v>-0.54840497213958528</v>
      </c>
      <c r="J54" s="16">
        <v>-0.59277059499881879</v>
      </c>
      <c r="K54" s="16">
        <v>-0.632648116785958</v>
      </c>
      <c r="L54" s="16">
        <v>-0.66953042403505381</v>
      </c>
      <c r="M54" s="16">
        <v>-0.70491040328015675</v>
      </c>
      <c r="N54" s="16">
        <v>-0.74028094105531705</v>
      </c>
      <c r="O54" s="16">
        <v>-0.77713492389458561</v>
      </c>
      <c r="P54" s="16">
        <v>-0.81696523833201262</v>
      </c>
      <c r="Q54" s="16">
        <v>-0.86126477090164888</v>
      </c>
    </row>
    <row r="55" spans="1:17" x14ac:dyDescent="0.3">
      <c r="A55" s="14" t="s">
        <v>67</v>
      </c>
      <c r="B55" s="15">
        <v>530</v>
      </c>
      <c r="C55" s="16">
        <v>-0.11595496284819805</v>
      </c>
      <c r="D55" s="16">
        <v>-0.2070043130702377</v>
      </c>
      <c r="E55" s="16">
        <v>-0.29620373930069982</v>
      </c>
      <c r="F55" s="16">
        <v>-0.37345063178881505</v>
      </c>
      <c r="G55" s="16">
        <v>-0.44023787706863404</v>
      </c>
      <c r="H55" s="16">
        <v>-0.49805836167420736</v>
      </c>
      <c r="I55" s="16">
        <v>-0.54840497213958528</v>
      </c>
      <c r="J55" s="16">
        <v>-0.59277059499881879</v>
      </c>
      <c r="K55" s="16">
        <v>-0.632648116785958</v>
      </c>
      <c r="L55" s="16">
        <v>-0.66953042403505381</v>
      </c>
      <c r="M55" s="16">
        <v>-0.70491040328015675</v>
      </c>
      <c r="N55" s="16">
        <v>-0.74028094105531705</v>
      </c>
      <c r="O55" s="16">
        <v>-0.77713492389458561</v>
      </c>
      <c r="P55" s="16">
        <v>-0.81696523833201262</v>
      </c>
      <c r="Q55" s="16">
        <v>-0.86126477090164888</v>
      </c>
    </row>
    <row r="56" spans="1:17" x14ac:dyDescent="0.3">
      <c r="A56" s="14" t="s">
        <v>67</v>
      </c>
      <c r="B56" s="15">
        <v>535</v>
      </c>
      <c r="C56" s="16">
        <v>-0.11595496284819805</v>
      </c>
      <c r="D56" s="16">
        <v>-0.2070043130702377</v>
      </c>
      <c r="E56" s="16">
        <v>-0.29620373930069982</v>
      </c>
      <c r="F56" s="16">
        <v>-0.37345063178881505</v>
      </c>
      <c r="G56" s="16">
        <v>-0.44023787706863404</v>
      </c>
      <c r="H56" s="16">
        <v>-0.49805836167420736</v>
      </c>
      <c r="I56" s="16">
        <v>-0.54840497213958528</v>
      </c>
      <c r="J56" s="16">
        <v>-0.59277059499881879</v>
      </c>
      <c r="K56" s="16">
        <v>-0.632648116785958</v>
      </c>
      <c r="L56" s="16">
        <v>-0.66953042403505381</v>
      </c>
      <c r="M56" s="16">
        <v>-0.70491040328015675</v>
      </c>
      <c r="N56" s="16">
        <v>-0.74028094105531705</v>
      </c>
      <c r="O56" s="16">
        <v>-0.77713492389458561</v>
      </c>
      <c r="P56" s="16">
        <v>-0.81696523833201262</v>
      </c>
      <c r="Q56" s="16">
        <v>-0.86126477090164888</v>
      </c>
    </row>
    <row r="57" spans="1:17" x14ac:dyDescent="0.3">
      <c r="A57" s="14" t="s">
        <v>67</v>
      </c>
      <c r="B57" s="15" t="s">
        <v>72</v>
      </c>
      <c r="C57" s="16">
        <v>-0.11595496284819805</v>
      </c>
      <c r="D57" s="16">
        <v>-0.2070043130702377</v>
      </c>
      <c r="E57" s="16">
        <v>-0.29620373930069982</v>
      </c>
      <c r="F57" s="16">
        <v>-0.37345063178881505</v>
      </c>
      <c r="G57" s="16">
        <v>-0.44023787706863404</v>
      </c>
      <c r="H57" s="16">
        <v>-0.49805836167420736</v>
      </c>
      <c r="I57" s="16">
        <v>-0.54840497213958528</v>
      </c>
      <c r="J57" s="16">
        <v>-0.59277059499881879</v>
      </c>
      <c r="K57" s="16">
        <v>-0.632648116785958</v>
      </c>
      <c r="L57" s="16">
        <v>-0.66953042403505381</v>
      </c>
      <c r="M57" s="16">
        <v>-0.70491040328015675</v>
      </c>
      <c r="N57" s="16">
        <v>-0.74028094105531705</v>
      </c>
      <c r="O57" s="16">
        <v>-0.77713492389458561</v>
      </c>
      <c r="P57" s="16">
        <v>-0.81696523833201262</v>
      </c>
      <c r="Q57" s="16">
        <v>-0.86126477090164888</v>
      </c>
    </row>
    <row r="58" spans="1:17" x14ac:dyDescent="0.3">
      <c r="A58" s="14" t="s">
        <v>67</v>
      </c>
      <c r="B58" s="15">
        <v>640</v>
      </c>
      <c r="C58" s="16">
        <v>-0.11595496284819805</v>
      </c>
      <c r="D58" s="16">
        <v>-0.2070043130702377</v>
      </c>
      <c r="E58" s="16">
        <v>-0.29620373930069982</v>
      </c>
      <c r="F58" s="16">
        <v>-0.37345063178881505</v>
      </c>
      <c r="G58" s="16">
        <v>-0.44023787706863404</v>
      </c>
      <c r="H58" s="16">
        <v>-0.49805836167420736</v>
      </c>
      <c r="I58" s="16">
        <v>-0.54840497213958528</v>
      </c>
      <c r="J58" s="16">
        <v>-0.59277059499881879</v>
      </c>
      <c r="K58" s="16">
        <v>-0.632648116785958</v>
      </c>
      <c r="L58" s="16">
        <v>-0.66953042403505381</v>
      </c>
      <c r="M58" s="16">
        <v>-0.70491040328015675</v>
      </c>
      <c r="N58" s="16">
        <v>-0.74028094105531705</v>
      </c>
      <c r="O58" s="16">
        <v>-0.77713492389458561</v>
      </c>
      <c r="P58" s="16">
        <v>-0.81696523833201262</v>
      </c>
      <c r="Q58" s="16">
        <v>-0.86126477090164888</v>
      </c>
    </row>
    <row r="59" spans="1:17" x14ac:dyDescent="0.3">
      <c r="A59" s="14" t="s">
        <v>67</v>
      </c>
      <c r="B59" s="15">
        <v>730</v>
      </c>
      <c r="C59" s="16">
        <v>-0.10871126563814749</v>
      </c>
      <c r="D59" s="16">
        <v>-0.19575009835915075</v>
      </c>
      <c r="E59" s="16">
        <v>-0.28262636200257635</v>
      </c>
      <c r="F59" s="16">
        <v>-0.35954421429606187</v>
      </c>
      <c r="G59" s="16">
        <v>-0.42757893953105963</v>
      </c>
      <c r="H59" s="16">
        <v>-0.48780582199902189</v>
      </c>
      <c r="I59" s="16">
        <v>-0.54130014599140108</v>
      </c>
      <c r="J59" s="16">
        <v>-0.58913719579964929</v>
      </c>
      <c r="K59" s="16">
        <v>-0.63239225571521895</v>
      </c>
      <c r="L59" s="16">
        <v>-0.67214061002956249</v>
      </c>
      <c r="M59" s="16">
        <v>-0.70945754303413189</v>
      </c>
      <c r="N59" s="16">
        <v>-0.74541833902037968</v>
      </c>
      <c r="O59" s="16">
        <v>-0.78109828227975819</v>
      </c>
      <c r="P59" s="16">
        <v>-0.81757265710371985</v>
      </c>
      <c r="Q59" s="16">
        <v>-0.85591674778371651</v>
      </c>
    </row>
    <row r="60" spans="1:17" x14ac:dyDescent="0.3">
      <c r="A60" s="14" t="s">
        <v>67</v>
      </c>
      <c r="B60" s="15">
        <v>740</v>
      </c>
      <c r="C60" s="16">
        <v>-0.11595496284819805</v>
      </c>
      <c r="D60" s="16">
        <v>-0.2070043130702377</v>
      </c>
      <c r="E60" s="16">
        <v>-0.29620373930069982</v>
      </c>
      <c r="F60" s="16">
        <v>-0.37345063178881505</v>
      </c>
      <c r="G60" s="16">
        <v>-0.44023787706863404</v>
      </c>
      <c r="H60" s="16">
        <v>-0.49805836167420736</v>
      </c>
      <c r="I60" s="16">
        <v>-0.54840497213958528</v>
      </c>
      <c r="J60" s="16">
        <v>-0.59277059499881879</v>
      </c>
      <c r="K60" s="16">
        <v>-0.632648116785958</v>
      </c>
      <c r="L60" s="16">
        <v>-0.66953042403505381</v>
      </c>
      <c r="M60" s="16">
        <v>-0.70491040328015675</v>
      </c>
      <c r="N60" s="16">
        <v>-0.74028094105531705</v>
      </c>
      <c r="O60" s="16">
        <v>-0.77713492389458561</v>
      </c>
      <c r="P60" s="16">
        <v>-0.81696523833201262</v>
      </c>
      <c r="Q60" s="16">
        <v>-0.86126477090164888</v>
      </c>
    </row>
    <row r="61" spans="1:17" x14ac:dyDescent="0.3">
      <c r="A61" s="14" t="s">
        <v>67</v>
      </c>
      <c r="B61" s="15">
        <v>745</v>
      </c>
      <c r="C61" s="16">
        <v>-0.11595496284819805</v>
      </c>
      <c r="D61" s="16">
        <v>-0.2070043130702377</v>
      </c>
      <c r="E61" s="16">
        <v>-0.29620373930069982</v>
      </c>
      <c r="F61" s="16">
        <v>-0.37345063178881505</v>
      </c>
      <c r="G61" s="16">
        <v>-0.44023787706863404</v>
      </c>
      <c r="H61" s="16">
        <v>-0.49805836167420736</v>
      </c>
      <c r="I61" s="16">
        <v>-0.54840497213958528</v>
      </c>
      <c r="J61" s="16">
        <v>-0.59277059499881879</v>
      </c>
      <c r="K61" s="16">
        <v>-0.632648116785958</v>
      </c>
      <c r="L61" s="16">
        <v>-0.66953042403505381</v>
      </c>
      <c r="M61" s="16">
        <v>-0.70491040328015675</v>
      </c>
      <c r="N61" s="16">
        <v>-0.74028094105531705</v>
      </c>
      <c r="O61" s="16">
        <v>-0.77713492389458561</v>
      </c>
      <c r="P61" s="16">
        <v>-0.81696523833201262</v>
      </c>
      <c r="Q61" s="16">
        <v>-0.86126477090164888</v>
      </c>
    </row>
    <row r="62" spans="1:17" x14ac:dyDescent="0.3">
      <c r="A62" s="14" t="s">
        <v>67</v>
      </c>
      <c r="B62" s="15" t="s">
        <v>73</v>
      </c>
      <c r="C62" s="16">
        <v>-0.11595496284819805</v>
      </c>
      <c r="D62" s="16">
        <v>-0.2070043130702377</v>
      </c>
      <c r="E62" s="16">
        <v>-0.29620373930069982</v>
      </c>
      <c r="F62" s="16">
        <v>-0.37345063178881505</v>
      </c>
      <c r="G62" s="16">
        <v>-0.44023787706863404</v>
      </c>
      <c r="H62" s="16">
        <v>-0.49805836167420736</v>
      </c>
      <c r="I62" s="16">
        <v>-0.54840497213958528</v>
      </c>
      <c r="J62" s="16">
        <v>-0.59277059499881879</v>
      </c>
      <c r="K62" s="16">
        <v>-0.632648116785958</v>
      </c>
      <c r="L62" s="16">
        <v>-0.66953042403505381</v>
      </c>
      <c r="M62" s="16">
        <v>-0.70491040328015675</v>
      </c>
      <c r="N62" s="16">
        <v>-0.74028094105531705</v>
      </c>
      <c r="O62" s="16">
        <v>-0.77713492389458561</v>
      </c>
      <c r="P62" s="16">
        <v>-0.81696523833201262</v>
      </c>
      <c r="Q62" s="16">
        <v>-0.86126477090164888</v>
      </c>
    </row>
    <row r="63" spans="1:17" x14ac:dyDescent="0.3">
      <c r="A63" s="14" t="s">
        <v>67</v>
      </c>
      <c r="B63" s="15" t="s">
        <v>74</v>
      </c>
      <c r="C63" s="16">
        <v>-0.11595496284819805</v>
      </c>
      <c r="D63" s="16">
        <v>-0.2070043130702377</v>
      </c>
      <c r="E63" s="16">
        <v>-0.29620373930069982</v>
      </c>
      <c r="F63" s="16">
        <v>-0.37345063178881505</v>
      </c>
      <c r="G63" s="16">
        <v>-0.44023787706863404</v>
      </c>
      <c r="H63" s="16">
        <v>-0.49805836167420736</v>
      </c>
      <c r="I63" s="16">
        <v>-0.54840497213958528</v>
      </c>
      <c r="J63" s="16">
        <v>-0.59277059499881879</v>
      </c>
      <c r="K63" s="16">
        <v>-0.632648116785958</v>
      </c>
      <c r="L63" s="16">
        <v>-0.66953042403505381</v>
      </c>
      <c r="M63" s="16">
        <v>-0.70491040328015675</v>
      </c>
      <c r="N63" s="16">
        <v>-0.74028094105531705</v>
      </c>
      <c r="O63" s="16">
        <v>-0.77713492389458561</v>
      </c>
      <c r="P63" s="16">
        <v>-0.81696523833201262</v>
      </c>
      <c r="Q63" s="16">
        <v>-0.86126477090164888</v>
      </c>
    </row>
    <row r="64" spans="1:17" x14ac:dyDescent="0.3">
      <c r="A64" s="14" t="s">
        <v>67</v>
      </c>
      <c r="B64" s="15" t="s">
        <v>75</v>
      </c>
      <c r="C64" s="16">
        <v>-0.11595496284819805</v>
      </c>
      <c r="D64" s="16">
        <v>-0.2070043130702377</v>
      </c>
      <c r="E64" s="16">
        <v>-0.29620373930069982</v>
      </c>
      <c r="F64" s="16">
        <v>-0.37345063178881505</v>
      </c>
      <c r="G64" s="16">
        <v>-0.44023787706863404</v>
      </c>
      <c r="H64" s="16">
        <v>-0.49805836167420736</v>
      </c>
      <c r="I64" s="16">
        <v>-0.54840497213958528</v>
      </c>
      <c r="J64" s="16">
        <v>-0.59277059499881879</v>
      </c>
      <c r="K64" s="16">
        <v>-0.632648116785958</v>
      </c>
      <c r="L64" s="16">
        <v>-0.66953042403505381</v>
      </c>
      <c r="M64" s="16">
        <v>-0.70491040328015675</v>
      </c>
      <c r="N64" s="16">
        <v>-0.74028094105531705</v>
      </c>
      <c r="O64" s="16">
        <v>-0.77713492389458561</v>
      </c>
      <c r="P64" s="16">
        <v>-0.81696523833201262</v>
      </c>
      <c r="Q64" s="16">
        <v>-0.86126477090164888</v>
      </c>
    </row>
    <row r="65" spans="1:17" x14ac:dyDescent="0.3">
      <c r="A65" s="14" t="s">
        <v>67</v>
      </c>
      <c r="B65" s="15" t="s">
        <v>76</v>
      </c>
      <c r="C65" s="16">
        <v>-8.1423681439354703E-2</v>
      </c>
      <c r="D65" s="16">
        <v>-0.15233472105304235</v>
      </c>
      <c r="E65" s="16">
        <v>-0.22856872898229069</v>
      </c>
      <c r="F65" s="16">
        <v>-0.30177693441179915</v>
      </c>
      <c r="G65" s="16">
        <v>-0.37175293467020265</v>
      </c>
      <c r="H65" s="16">
        <v>-0.43829032708613619</v>
      </c>
      <c r="I65" s="16">
        <v>-0.50118270898823458</v>
      </c>
      <c r="J65" s="16">
        <v>-0.56022367770513293</v>
      </c>
      <c r="K65" s="16">
        <v>-0.6152068305654661</v>
      </c>
      <c r="L65" s="16">
        <v>-0.66592576489786881</v>
      </c>
      <c r="M65" s="16">
        <v>-0.71217407803097643</v>
      </c>
      <c r="N65" s="16">
        <v>-0.75374536729342356</v>
      </c>
      <c r="O65" s="16">
        <v>-0.79043323001384524</v>
      </c>
      <c r="P65" s="16">
        <v>-0.82203126352087608</v>
      </c>
      <c r="Q65" s="16">
        <v>-0.84833306514315154</v>
      </c>
    </row>
    <row r="66" spans="1:17" x14ac:dyDescent="0.3">
      <c r="A66" s="14" t="s">
        <v>67</v>
      </c>
      <c r="B66" s="15" t="s">
        <v>77</v>
      </c>
      <c r="C66" s="16">
        <v>-0.11595496284819805</v>
      </c>
      <c r="D66" s="16">
        <v>-0.2070043130702377</v>
      </c>
      <c r="E66" s="16">
        <v>-0.29620373930069982</v>
      </c>
      <c r="F66" s="16">
        <v>-0.37345063178881505</v>
      </c>
      <c r="G66" s="16">
        <v>-0.44023787706863404</v>
      </c>
      <c r="H66" s="16">
        <v>-0.49805836167420736</v>
      </c>
      <c r="I66" s="16">
        <v>-0.54840497213958528</v>
      </c>
      <c r="J66" s="16">
        <v>-0.59277059499881879</v>
      </c>
      <c r="K66" s="16">
        <v>-0.632648116785958</v>
      </c>
      <c r="L66" s="16">
        <v>-0.66953042403505381</v>
      </c>
      <c r="M66" s="16">
        <v>-0.70491040328015675</v>
      </c>
      <c r="N66" s="16">
        <v>-0.74028094105531705</v>
      </c>
      <c r="O66" s="16">
        <v>-0.77713492389458561</v>
      </c>
      <c r="P66" s="16">
        <v>-0.81696523833201262</v>
      </c>
      <c r="Q66" s="16">
        <v>-0.86126477090164888</v>
      </c>
    </row>
    <row r="67" spans="1:17" x14ac:dyDescent="0.3">
      <c r="A67" s="14" t="s">
        <v>67</v>
      </c>
      <c r="B67" s="15" t="s">
        <v>78</v>
      </c>
      <c r="C67" s="16">
        <v>-0.10105519446206575</v>
      </c>
      <c r="D67" s="16">
        <v>-0.1852140677546848</v>
      </c>
      <c r="E67" s="16">
        <v>-0.27220251417080077</v>
      </c>
      <c r="F67" s="16">
        <v>-0.35221433529235696</v>
      </c>
      <c r="G67" s="16">
        <v>-0.42554885214750326</v>
      </c>
      <c r="H67" s="16">
        <v>-0.49250538576438957</v>
      </c>
      <c r="I67" s="16">
        <v>-0.55338325717116565</v>
      </c>
      <c r="J67" s="16">
        <v>-0.6084817873959818</v>
      </c>
      <c r="K67" s="16">
        <v>-0.65810029746698739</v>
      </c>
      <c r="L67" s="16">
        <v>-0.70253810841233266</v>
      </c>
      <c r="M67" s="16">
        <v>-0.74209454126016738</v>
      </c>
      <c r="N67" s="16">
        <v>-0.77706891703864123</v>
      </c>
      <c r="O67" s="16">
        <v>-0.80776055677590464</v>
      </c>
      <c r="P67" s="16">
        <v>-0.83446878150010684</v>
      </c>
      <c r="Q67" s="16">
        <v>-0.85749291223939827</v>
      </c>
    </row>
    <row r="68" spans="1:17" x14ac:dyDescent="0.3">
      <c r="A68" s="14" t="s">
        <v>67</v>
      </c>
      <c r="B68" s="15" t="s">
        <v>79</v>
      </c>
      <c r="C68" s="16">
        <v>-0.11595496284819805</v>
      </c>
      <c r="D68" s="16">
        <v>-0.2070043130702377</v>
      </c>
      <c r="E68" s="16">
        <v>-0.29620373930069982</v>
      </c>
      <c r="F68" s="16">
        <v>-0.37345063178881505</v>
      </c>
      <c r="G68" s="16">
        <v>-0.44023787706863404</v>
      </c>
      <c r="H68" s="16">
        <v>-0.49805836167420736</v>
      </c>
      <c r="I68" s="16">
        <v>-0.54840497213958528</v>
      </c>
      <c r="J68" s="16">
        <v>-0.59277059499881879</v>
      </c>
      <c r="K68" s="16">
        <v>-0.632648116785958</v>
      </c>
      <c r="L68" s="16">
        <v>-0.66953042403505381</v>
      </c>
      <c r="M68" s="16">
        <v>-0.70491040328015675</v>
      </c>
      <c r="N68" s="16">
        <v>-0.74028094105531705</v>
      </c>
      <c r="O68" s="16">
        <v>-0.77713492389458561</v>
      </c>
      <c r="P68" s="16">
        <v>-0.81696523833201262</v>
      </c>
      <c r="Q68" s="16">
        <v>-0.86126477090164888</v>
      </c>
    </row>
    <row r="69" spans="1:17" x14ac:dyDescent="0.3">
      <c r="A69" s="14" t="s">
        <v>67</v>
      </c>
      <c r="B69" s="15" t="s">
        <v>80</v>
      </c>
      <c r="C69" s="16">
        <v>-9.3036966387551934E-2</v>
      </c>
      <c r="D69" s="16">
        <v>-0.17100685983388575</v>
      </c>
      <c r="E69" s="16">
        <v>-0.2521745457471663</v>
      </c>
      <c r="F69" s="16">
        <v>-0.32756726890571902</v>
      </c>
      <c r="G69" s="16">
        <v>-0.39751597072662459</v>
      </c>
      <c r="H69" s="16">
        <v>-0.46235159262696363</v>
      </c>
      <c r="I69" s="16">
        <v>-0.52240507602381681</v>
      </c>
      <c r="J69" s="16">
        <v>-0.57800736233426475</v>
      </c>
      <c r="K69" s="16">
        <v>-0.62948939297538808</v>
      </c>
      <c r="L69" s="16">
        <v>-0.67718210936426748</v>
      </c>
      <c r="M69" s="16">
        <v>-0.72141645291798351</v>
      </c>
      <c r="N69" s="16">
        <v>-0.76252336505361695</v>
      </c>
      <c r="O69" s="16">
        <v>-0.80083378718824838</v>
      </c>
      <c r="P69" s="16">
        <v>-0.83667866073895836</v>
      </c>
      <c r="Q69" s="16">
        <v>-0.87038892712282778</v>
      </c>
    </row>
    <row r="70" spans="1:17" x14ac:dyDescent="0.3">
      <c r="A70" s="14" t="s">
        <v>67</v>
      </c>
      <c r="B70" s="15" t="s">
        <v>81</v>
      </c>
      <c r="C70" s="16">
        <v>-9.7766345821391362E-2</v>
      </c>
      <c r="D70" s="16">
        <v>-0.17697024106449322</v>
      </c>
      <c r="E70" s="16">
        <v>-0.25702578379118618</v>
      </c>
      <c r="F70" s="16">
        <v>-0.32908637350261138</v>
      </c>
      <c r="G70" s="16">
        <v>-0.39408204428204918</v>
      </c>
      <c r="H70" s="16">
        <v>-0.45294283021278003</v>
      </c>
      <c r="I70" s="16">
        <v>-0.50659876537808413</v>
      </c>
      <c r="J70" s="16">
        <v>-0.55597988386124197</v>
      </c>
      <c r="K70" s="16">
        <v>-0.60201621974553376</v>
      </c>
      <c r="L70" s="16">
        <v>-0.64563780711424001</v>
      </c>
      <c r="M70" s="16">
        <v>-0.68777468005064102</v>
      </c>
      <c r="N70" s="16">
        <v>-0.72935687263801696</v>
      </c>
      <c r="O70" s="16">
        <v>-0.77131441895964836</v>
      </c>
      <c r="P70" s="16">
        <v>-0.81457735309881563</v>
      </c>
      <c r="Q70" s="16">
        <v>-0.86007570913879905</v>
      </c>
    </row>
    <row r="71" spans="1:17" x14ac:dyDescent="0.3">
      <c r="A71" s="14" t="s">
        <v>67</v>
      </c>
      <c r="B71" s="15" t="s">
        <v>82</v>
      </c>
      <c r="C71" s="16">
        <v>-0.11184673043184888</v>
      </c>
      <c r="D71" s="16">
        <v>-0.20128835210372747</v>
      </c>
      <c r="E71" s="16">
        <v>-0.29040943152892534</v>
      </c>
      <c r="F71" s="16">
        <v>-0.36909411289377159</v>
      </c>
      <c r="G71" s="16">
        <v>-0.43841121342778033</v>
      </c>
      <c r="H71" s="16">
        <v>-0.49942955036046538</v>
      </c>
      <c r="I71" s="16">
        <v>-0.5532179409213408</v>
      </c>
      <c r="J71" s="16">
        <v>-0.60084520233992078</v>
      </c>
      <c r="K71" s="16">
        <v>-0.64338015184571928</v>
      </c>
      <c r="L71" s="16">
        <v>-0.68189160666825022</v>
      </c>
      <c r="M71" s="16">
        <v>-0.71744838403702738</v>
      </c>
      <c r="N71" s="16">
        <v>-0.75111930118156522</v>
      </c>
      <c r="O71" s="16">
        <v>-0.78397317533137756</v>
      </c>
      <c r="P71" s="16">
        <v>-0.81707882371597851</v>
      </c>
      <c r="Q71" s="16">
        <v>-0.85150506356488187</v>
      </c>
    </row>
    <row r="72" spans="1:17" x14ac:dyDescent="0.3">
      <c r="A72" s="14" t="s">
        <v>83</v>
      </c>
      <c r="B72" s="15" t="s">
        <v>84</v>
      </c>
      <c r="C72" s="16" t="s">
        <v>85</v>
      </c>
      <c r="D72" s="16">
        <v>0</v>
      </c>
      <c r="E72" s="16">
        <v>0</v>
      </c>
      <c r="F72" s="16">
        <v>0</v>
      </c>
      <c r="G72" s="16">
        <v>-0.41974309429443407</v>
      </c>
      <c r="H72" s="16">
        <v>-0.51525661630908592</v>
      </c>
      <c r="I72" s="16">
        <v>-0.56127435330079112</v>
      </c>
      <c r="J72" s="16">
        <v>-0.59954125550096482</v>
      </c>
      <c r="K72" s="16">
        <v>-0.6316777083042654</v>
      </c>
      <c r="L72" s="16">
        <v>-0.65930409710535187</v>
      </c>
      <c r="M72" s="16">
        <v>-0.68404080729888261</v>
      </c>
      <c r="N72" s="16">
        <v>-0.70750822427951654</v>
      </c>
      <c r="O72" s="16">
        <v>-0.73132673344191212</v>
      </c>
      <c r="P72" s="16">
        <v>-0.75711672018072806</v>
      </c>
      <c r="Q72" s="16">
        <v>-7.5971705401576828E-2</v>
      </c>
    </row>
    <row r="73" spans="1:17" x14ac:dyDescent="0.3">
      <c r="A73" s="14" t="s">
        <v>83</v>
      </c>
      <c r="B73" s="15" t="s">
        <v>86</v>
      </c>
      <c r="C73" s="16" t="s">
        <v>85</v>
      </c>
      <c r="D73" s="16">
        <v>0</v>
      </c>
      <c r="E73" s="16">
        <v>0</v>
      </c>
      <c r="F73" s="16">
        <v>0</v>
      </c>
      <c r="G73" s="16">
        <v>-0.38486231021595979</v>
      </c>
      <c r="H73" s="16">
        <v>-0.48486591909361143</v>
      </c>
      <c r="I73" s="16">
        <v>-0.54193309370725595</v>
      </c>
      <c r="J73" s="16">
        <v>-0.59175861976753152</v>
      </c>
      <c r="K73" s="16">
        <v>-0.63436298765065025</v>
      </c>
      <c r="L73" s="16">
        <v>-0.66976668773282333</v>
      </c>
      <c r="M73" s="16">
        <v>-0.69799021039026299</v>
      </c>
      <c r="N73" s="16">
        <v>-0.71905404599918066</v>
      </c>
      <c r="O73" s="16">
        <v>-0.73297868493578844</v>
      </c>
      <c r="P73" s="16">
        <v>-0.73978461757629799</v>
      </c>
      <c r="Q73" s="16">
        <v>-7.4039404426776367E-2</v>
      </c>
    </row>
    <row r="74" spans="1:17" x14ac:dyDescent="0.3">
      <c r="A74" s="14" t="s">
        <v>83</v>
      </c>
      <c r="B74" s="15" t="s">
        <v>87</v>
      </c>
      <c r="C74" s="16" t="s">
        <v>85</v>
      </c>
      <c r="D74" s="16">
        <v>0</v>
      </c>
      <c r="E74" s="16">
        <v>0</v>
      </c>
      <c r="F74" s="16">
        <v>0</v>
      </c>
      <c r="G74" s="16">
        <v>-0.41418367233991127</v>
      </c>
      <c r="H74" s="16">
        <v>-0.50112461812073794</v>
      </c>
      <c r="I74" s="16">
        <v>-0.53781178107692651</v>
      </c>
      <c r="J74" s="16">
        <v>-0.56696840361813183</v>
      </c>
      <c r="K74" s="16">
        <v>-0.59106684973112011</v>
      </c>
      <c r="L74" s="16">
        <v>-0.61257948340265778</v>
      </c>
      <c r="M74" s="16">
        <v>-0.63397866861951102</v>
      </c>
      <c r="N74" s="16">
        <v>-0.65773676936844561</v>
      </c>
      <c r="O74" s="16">
        <v>-0.68632614963622818</v>
      </c>
      <c r="P74" s="16">
        <v>-0.72221917340962472</v>
      </c>
      <c r="Q74" s="16">
        <v>-7.2588398458600656E-2</v>
      </c>
    </row>
    <row r="75" spans="1:17" x14ac:dyDescent="0.3">
      <c r="A75" s="14" t="s">
        <v>83</v>
      </c>
      <c r="B75" s="15" t="s">
        <v>88</v>
      </c>
      <c r="C75" s="16" t="s">
        <v>85</v>
      </c>
      <c r="D75" s="16">
        <v>0</v>
      </c>
      <c r="E75" s="16">
        <v>0</v>
      </c>
      <c r="F75" s="16">
        <v>0</v>
      </c>
      <c r="G75" s="16">
        <v>-0.41418367233991127</v>
      </c>
      <c r="H75" s="16">
        <v>-0.50112461812073794</v>
      </c>
      <c r="I75" s="16">
        <v>-0.53781178107692651</v>
      </c>
      <c r="J75" s="16">
        <v>-0.56696840361813183</v>
      </c>
      <c r="K75" s="16">
        <v>-0.59106684973112011</v>
      </c>
      <c r="L75" s="16">
        <v>-0.61257948340265778</v>
      </c>
      <c r="M75" s="16">
        <v>-0.63397866861951102</v>
      </c>
      <c r="N75" s="16">
        <v>-0.65773676936844561</v>
      </c>
      <c r="O75" s="16">
        <v>-0.68632614963622818</v>
      </c>
      <c r="P75" s="16">
        <v>-0.72221917340962472</v>
      </c>
      <c r="Q75" s="16">
        <v>-7.2588398458600656E-2</v>
      </c>
    </row>
    <row r="76" spans="1:17" x14ac:dyDescent="0.3">
      <c r="A76" s="14" t="s">
        <v>83</v>
      </c>
      <c r="B76" s="15" t="s">
        <v>89</v>
      </c>
      <c r="C76" s="16" t="s">
        <v>85</v>
      </c>
      <c r="D76" s="16">
        <v>0</v>
      </c>
      <c r="E76" s="16">
        <v>0</v>
      </c>
      <c r="F76" s="16">
        <v>0</v>
      </c>
      <c r="G76" s="16">
        <v>-0.41739426169135974</v>
      </c>
      <c r="H76" s="16">
        <v>-0.49735014646848774</v>
      </c>
      <c r="I76" s="16">
        <v>-0.52528000710082101</v>
      </c>
      <c r="J76" s="16">
        <v>-0.54589645469643289</v>
      </c>
      <c r="K76" s="16">
        <v>-0.56265354338475349</v>
      </c>
      <c r="L76" s="16">
        <v>-0.57900532729521226</v>
      </c>
      <c r="M76" s="16">
        <v>-0.59840586055723988</v>
      </c>
      <c r="N76" s="16">
        <v>-0.62430919730026657</v>
      </c>
      <c r="O76" s="16">
        <v>-0.66016939165372235</v>
      </c>
      <c r="P76" s="16">
        <v>-0.70944049774703644</v>
      </c>
      <c r="Q76" s="16">
        <v>-7.1450517152789605E-2</v>
      </c>
    </row>
    <row r="77" spans="1:17" x14ac:dyDescent="0.3">
      <c r="A77" s="14" t="s">
        <v>83</v>
      </c>
      <c r="B77" s="15" t="s">
        <v>90</v>
      </c>
      <c r="C77" s="16" t="s">
        <v>85</v>
      </c>
      <c r="D77" s="16">
        <v>0</v>
      </c>
      <c r="E77" s="16">
        <v>0</v>
      </c>
      <c r="F77" s="16">
        <v>0</v>
      </c>
      <c r="G77" s="16">
        <v>-0.41418367233991127</v>
      </c>
      <c r="H77" s="16">
        <v>-0.50112461812073794</v>
      </c>
      <c r="I77" s="16">
        <v>-0.53781178107692651</v>
      </c>
      <c r="J77" s="16">
        <v>-0.56696840361813183</v>
      </c>
      <c r="K77" s="16">
        <v>-0.59106684973112011</v>
      </c>
      <c r="L77" s="16">
        <v>-0.61257948340265778</v>
      </c>
      <c r="M77" s="16">
        <v>-0.63397866861951102</v>
      </c>
      <c r="N77" s="16">
        <v>-0.65773676936844561</v>
      </c>
      <c r="O77" s="16">
        <v>-0.68632614963622818</v>
      </c>
      <c r="P77" s="16">
        <v>-0.72221917340962472</v>
      </c>
      <c r="Q77" s="16">
        <v>-7.2588398458600656E-2</v>
      </c>
    </row>
    <row r="78" spans="1:17" x14ac:dyDescent="0.3">
      <c r="A78" s="14" t="s">
        <v>83</v>
      </c>
      <c r="B78" s="15" t="s">
        <v>91</v>
      </c>
      <c r="C78" s="16" t="s">
        <v>85</v>
      </c>
      <c r="D78" s="16">
        <v>0</v>
      </c>
      <c r="E78" s="16">
        <v>0</v>
      </c>
      <c r="F78" s="16">
        <v>0</v>
      </c>
      <c r="G78" s="16">
        <v>-0.39257603619326076</v>
      </c>
      <c r="H78" s="16">
        <v>-0.47893559517006268</v>
      </c>
      <c r="I78" s="16">
        <v>-0.518752933671496</v>
      </c>
      <c r="J78" s="16">
        <v>-0.55186926499289524</v>
      </c>
      <c r="K78" s="16">
        <v>-0.58031007463858897</v>
      </c>
      <c r="L78" s="16">
        <v>-0.60610084811290577</v>
      </c>
      <c r="M78" s="16">
        <v>-0.63126707092017409</v>
      </c>
      <c r="N78" s="16">
        <v>-0.65783422856472218</v>
      </c>
      <c r="O78" s="16">
        <v>-0.68782780655087883</v>
      </c>
      <c r="P78" s="16">
        <v>-0.72327329038297195</v>
      </c>
      <c r="Q78" s="16">
        <v>-7.2687438331014431E-2</v>
      </c>
    </row>
    <row r="79" spans="1:17" x14ac:dyDescent="0.3">
      <c r="A79" s="14" t="s">
        <v>83</v>
      </c>
      <c r="B79" s="15" t="s">
        <v>92</v>
      </c>
      <c r="C79" s="16" t="s">
        <v>85</v>
      </c>
      <c r="D79" s="16">
        <v>0</v>
      </c>
      <c r="E79" s="16">
        <v>0</v>
      </c>
      <c r="F79" s="16">
        <v>0</v>
      </c>
      <c r="G79" s="16">
        <v>-0.41418367233991127</v>
      </c>
      <c r="H79" s="16">
        <v>-0.50112461812073794</v>
      </c>
      <c r="I79" s="16">
        <v>-0.53781178107692651</v>
      </c>
      <c r="J79" s="16">
        <v>-0.56696840361813183</v>
      </c>
      <c r="K79" s="16">
        <v>-0.59106684973112011</v>
      </c>
      <c r="L79" s="16">
        <v>-0.61257948340265778</v>
      </c>
      <c r="M79" s="16">
        <v>-0.63397866861951102</v>
      </c>
      <c r="N79" s="16">
        <v>-0.65773676936844561</v>
      </c>
      <c r="O79" s="16">
        <v>-0.68632614963622818</v>
      </c>
      <c r="P79" s="16">
        <v>-0.72221917340962472</v>
      </c>
      <c r="Q79" s="16">
        <v>-7.2588398458600656E-2</v>
      </c>
    </row>
    <row r="80" spans="1:17" x14ac:dyDescent="0.3">
      <c r="A80" s="14" t="s">
        <v>93</v>
      </c>
      <c r="B80" s="15" t="s">
        <v>94</v>
      </c>
      <c r="C80" s="16">
        <v>-0.16596703075988692</v>
      </c>
      <c r="D80" s="16">
        <v>-0.28909464041346211</v>
      </c>
      <c r="E80" s="16">
        <v>-0.40231374632410788</v>
      </c>
      <c r="F80" s="16">
        <v>-0.49197583293842423</v>
      </c>
      <c r="G80" s="16">
        <v>-0.56102908777899985</v>
      </c>
      <c r="H80" s="16">
        <v>-0.61242169836842275</v>
      </c>
      <c r="I80" s="16">
        <v>-0.64910185222928229</v>
      </c>
      <c r="J80" s="16">
        <v>-0.67401773688416677</v>
      </c>
      <c r="K80" s="16">
        <v>-0.69011753985566471</v>
      </c>
      <c r="L80" s="16">
        <v>-0.70034944866636473</v>
      </c>
      <c r="M80" s="16">
        <v>-0.70766165083885535</v>
      </c>
      <c r="N80" s="16">
        <v>-0.71500233389572498</v>
      </c>
      <c r="O80" s="16">
        <v>-0.72531968535956259</v>
      </c>
      <c r="P80" s="16">
        <v>-0.74156189275295714</v>
      </c>
      <c r="Q80" s="16">
        <v>-0.7666771435984967</v>
      </c>
    </row>
    <row r="81" spans="1:17" x14ac:dyDescent="0.3">
      <c r="A81" s="14" t="s">
        <v>93</v>
      </c>
      <c r="B81" s="15" t="s">
        <v>95</v>
      </c>
      <c r="C81" s="16">
        <v>-0.15233581113850411</v>
      </c>
      <c r="D81" s="16">
        <v>-0.26411950931544975</v>
      </c>
      <c r="E81" s="16">
        <v>-0.36588296328917702</v>
      </c>
      <c r="F81" s="16">
        <v>-0.44559023276354665</v>
      </c>
      <c r="G81" s="16">
        <v>-0.50643895855626997</v>
      </c>
      <c r="H81" s="16">
        <v>-0.55162678148505828</v>
      </c>
      <c r="I81" s="16">
        <v>-0.58435134236762276</v>
      </c>
      <c r="J81" s="16">
        <v>-0.60781028202167475</v>
      </c>
      <c r="K81" s="16">
        <v>-0.6252012412649256</v>
      </c>
      <c r="L81" s="16">
        <v>-0.63972186091508598</v>
      </c>
      <c r="M81" s="16">
        <v>-0.65456978178986769</v>
      </c>
      <c r="N81" s="16">
        <v>-0.67294264470698217</v>
      </c>
      <c r="O81" s="16">
        <v>-0.69803809048414045</v>
      </c>
      <c r="P81" s="16">
        <v>-0.7330537599390532</v>
      </c>
      <c r="Q81" s="16">
        <v>-0.78118729388943253</v>
      </c>
    </row>
    <row r="82" spans="1:17" x14ac:dyDescent="0.3">
      <c r="A82" s="14" t="s">
        <v>93</v>
      </c>
      <c r="B82" s="15" t="s">
        <v>96</v>
      </c>
      <c r="C82" s="16">
        <v>-0.11924577483447527</v>
      </c>
      <c r="D82" s="16">
        <v>-0.20851469756726734</v>
      </c>
      <c r="E82" s="16">
        <v>-0.29170257307609676</v>
      </c>
      <c r="F82" s="16">
        <v>-0.35916533299056108</v>
      </c>
      <c r="G82" s="16">
        <v>-0.41318348642370534</v>
      </c>
      <c r="H82" s="16">
        <v>-0.45603754248857453</v>
      </c>
      <c r="I82" s="16">
        <v>-0.49000801029821384</v>
      </c>
      <c r="J82" s="16">
        <v>-0.51737539896566831</v>
      </c>
      <c r="K82" s="16">
        <v>-0.54042021760398284</v>
      </c>
      <c r="L82" s="16">
        <v>-0.561422975326203</v>
      </c>
      <c r="M82" s="16">
        <v>-0.582664181245373</v>
      </c>
      <c r="N82" s="16">
        <v>-0.60642434447453852</v>
      </c>
      <c r="O82" s="16">
        <v>-0.63498397412674468</v>
      </c>
      <c r="P82" s="16">
        <v>-0.67062357931503591</v>
      </c>
      <c r="Q82" s="16">
        <v>-0.71562366915245834</v>
      </c>
    </row>
    <row r="83" spans="1:17" x14ac:dyDescent="0.3">
      <c r="A83" s="14" t="s">
        <v>93</v>
      </c>
      <c r="B83" s="15" t="s">
        <v>97</v>
      </c>
      <c r="C83" s="16">
        <v>-0.14680687827625089</v>
      </c>
      <c r="D83" s="16">
        <v>-0.25616235090774309</v>
      </c>
      <c r="E83" s="16">
        <v>-0.35729725957371011</v>
      </c>
      <c r="F83" s="16">
        <v>-0.43819707842590788</v>
      </c>
      <c r="G83" s="16">
        <v>-0.50152796944371736</v>
      </c>
      <c r="H83" s="16">
        <v>-0.54995609460651895</v>
      </c>
      <c r="I83" s="16">
        <v>-0.58614761589369402</v>
      </c>
      <c r="J83" s="16">
        <v>-0.61276869528462319</v>
      </c>
      <c r="K83" s="16">
        <v>-0.63248549475868732</v>
      </c>
      <c r="L83" s="16">
        <v>-0.64796417629526737</v>
      </c>
      <c r="M83" s="16">
        <v>-0.66187090187374398</v>
      </c>
      <c r="N83" s="16">
        <v>-0.67687183347349822</v>
      </c>
      <c r="O83" s="16">
        <v>-0.69563313307391117</v>
      </c>
      <c r="P83" s="16">
        <v>-0.72082096265436291</v>
      </c>
      <c r="Q83" s="16">
        <v>-0.75510148419423562</v>
      </c>
    </row>
    <row r="84" spans="1:17" x14ac:dyDescent="0.3">
      <c r="A84" s="14" t="s">
        <v>93</v>
      </c>
      <c r="B84" s="15" t="s">
        <v>98</v>
      </c>
      <c r="C84" s="16">
        <v>-0.1653475146971729</v>
      </c>
      <c r="D84" s="16">
        <v>-0.28426077557095908</v>
      </c>
      <c r="E84" s="16">
        <v>-0.39002850780697362</v>
      </c>
      <c r="F84" s="16">
        <v>-0.47005083679590642</v>
      </c>
      <c r="G84" s="16">
        <v>-0.52826263939816409</v>
      </c>
      <c r="H84" s="16">
        <v>-0.56859879247415335</v>
      </c>
      <c r="I84" s="16">
        <v>-0.59499417288428136</v>
      </c>
      <c r="J84" s="16">
        <v>-0.61138365748895485</v>
      </c>
      <c r="K84" s="16">
        <v>-0.62170212314858064</v>
      </c>
      <c r="L84" s="16">
        <v>-0.62988444672356558</v>
      </c>
      <c r="M84" s="16">
        <v>-0.63986550507431661</v>
      </c>
      <c r="N84" s="16">
        <v>-0.65558017506123967</v>
      </c>
      <c r="O84" s="16">
        <v>-0.68096333354474314</v>
      </c>
      <c r="P84" s="16">
        <v>-0.71994985738523332</v>
      </c>
      <c r="Q84" s="16">
        <v>-0.77647462344311635</v>
      </c>
    </row>
    <row r="85" spans="1:17" x14ac:dyDescent="0.3">
      <c r="A85" s="14" t="s">
        <v>93</v>
      </c>
      <c r="B85" s="15" t="s">
        <v>99</v>
      </c>
      <c r="C85" s="16">
        <v>-0.14716869005931343</v>
      </c>
      <c r="D85" s="16">
        <v>-0.25618779015621407</v>
      </c>
      <c r="E85" s="16">
        <v>-0.35647190504111725</v>
      </c>
      <c r="F85" s="16">
        <v>-0.43617583504185115</v>
      </c>
      <c r="G85" s="16">
        <v>-0.49817124949217562</v>
      </c>
      <c r="H85" s="16">
        <v>-0.54532981772585043</v>
      </c>
      <c r="I85" s="16">
        <v>-0.58052320907663513</v>
      </c>
      <c r="J85" s="16">
        <v>-0.60662309287828975</v>
      </c>
      <c r="K85" s="16">
        <v>-0.62650113846457378</v>
      </c>
      <c r="L85" s="16">
        <v>-0.64302901516924682</v>
      </c>
      <c r="M85" s="16">
        <v>-0.65907839232606924</v>
      </c>
      <c r="N85" s="16">
        <v>-0.6775209392688003</v>
      </c>
      <c r="O85" s="16">
        <v>-0.70122832533119939</v>
      </c>
      <c r="P85" s="16">
        <v>-0.73307221984702642</v>
      </c>
      <c r="Q85" s="16">
        <v>-0.77592429215004222</v>
      </c>
    </row>
    <row r="86" spans="1:17" x14ac:dyDescent="0.3">
      <c r="A86" s="14" t="s">
        <v>93</v>
      </c>
      <c r="B86" s="15" t="s">
        <v>100</v>
      </c>
      <c r="C86" s="16">
        <v>-0.14891326333610341</v>
      </c>
      <c r="D86" s="16">
        <v>-0.25981792952561744</v>
      </c>
      <c r="E86" s="16">
        <v>-0.36237686276879422</v>
      </c>
      <c r="F86" s="16">
        <v>-0.44441962248637684</v>
      </c>
      <c r="G86" s="16">
        <v>-0.50866709443271863</v>
      </c>
      <c r="H86" s="16">
        <v>-0.5578401643621731</v>
      </c>
      <c r="I86" s="16">
        <v>-0.59465971802909345</v>
      </c>
      <c r="J86" s="16">
        <v>-0.62184664118783339</v>
      </c>
      <c r="K86" s="16">
        <v>-0.64212181959274583</v>
      </c>
      <c r="L86" s="16">
        <v>-0.65820613899818459</v>
      </c>
      <c r="M86" s="16">
        <v>-0.6728204851585029</v>
      </c>
      <c r="N86" s="16">
        <v>-0.68868574382805392</v>
      </c>
      <c r="O86" s="16">
        <v>-0.70852280076119167</v>
      </c>
      <c r="P86" s="16">
        <v>-0.73505254171226864</v>
      </c>
      <c r="Q86" s="16">
        <v>-0.77099585243563906</v>
      </c>
    </row>
    <row r="87" spans="1:17" x14ac:dyDescent="0.3">
      <c r="A87" s="14" t="s">
        <v>93</v>
      </c>
      <c r="B87" s="15" t="s">
        <v>101</v>
      </c>
      <c r="C87" s="16">
        <v>-0.13579067114762192</v>
      </c>
      <c r="D87" s="16">
        <v>-0.2415457135914833</v>
      </c>
      <c r="E87" s="16">
        <v>-0.34394651841065782</v>
      </c>
      <c r="F87" s="16">
        <v>-0.430915978149018</v>
      </c>
      <c r="G87" s="16">
        <v>-0.5039560524651987</v>
      </c>
      <c r="H87" s="16">
        <v>-0.56456870101783452</v>
      </c>
      <c r="I87" s="16">
        <v>-0.61425588346556026</v>
      </c>
      <c r="J87" s="16">
        <v>-0.65451955946701079</v>
      </c>
      <c r="K87" s="16">
        <v>-0.68686168868082098</v>
      </c>
      <c r="L87" s="16">
        <v>-0.71278423076562514</v>
      </c>
      <c r="M87" s="16">
        <v>-0.73378914538005824</v>
      </c>
      <c r="N87" s="16">
        <v>-0.75137839218275537</v>
      </c>
      <c r="O87" s="16">
        <v>-0.76705393083235118</v>
      </c>
      <c r="P87" s="16">
        <v>-0.78231772098747976</v>
      </c>
      <c r="Q87" s="16">
        <v>-0.79867172230677652</v>
      </c>
    </row>
    <row r="88" spans="1:17" x14ac:dyDescent="0.3">
      <c r="A88" s="14" t="s">
        <v>93</v>
      </c>
      <c r="B88" s="15" t="s">
        <v>102</v>
      </c>
      <c r="C88" s="16">
        <v>-0.13220505879395222</v>
      </c>
      <c r="D88" s="16">
        <v>-0.23274606021191713</v>
      </c>
      <c r="E88" s="16">
        <v>-0.32787325030540959</v>
      </c>
      <c r="F88" s="16">
        <v>-0.4064311429643076</v>
      </c>
      <c r="G88" s="16">
        <v>-0.47048475795788425</v>
      </c>
      <c r="H88" s="16">
        <v>-0.52209911505541251</v>
      </c>
      <c r="I88" s="16">
        <v>-0.56333923402616581</v>
      </c>
      <c r="J88" s="16">
        <v>-0.59627013463941725</v>
      </c>
      <c r="K88" s="16">
        <v>-0.62295683666443991</v>
      </c>
      <c r="L88" s="16">
        <v>-0.64546435987050677</v>
      </c>
      <c r="M88" s="16">
        <v>-0.66585772402689114</v>
      </c>
      <c r="N88" s="16">
        <v>-0.6862019489028659</v>
      </c>
      <c r="O88" s="16">
        <v>-0.70856205426770458</v>
      </c>
      <c r="P88" s="16">
        <v>-0.73500305989068015</v>
      </c>
      <c r="Q88" s="16">
        <v>-0.76758998554106617</v>
      </c>
    </row>
    <row r="89" spans="1:17" x14ac:dyDescent="0.3">
      <c r="A89" s="14" t="s">
        <v>93</v>
      </c>
      <c r="B89" s="15" t="s">
        <v>103</v>
      </c>
      <c r="C89" s="16">
        <v>-0.16354197148202484</v>
      </c>
      <c r="D89" s="16">
        <v>-0.28165816037974678</v>
      </c>
      <c r="E89" s="16">
        <v>-0.38725260415556417</v>
      </c>
      <c r="F89" s="16">
        <v>-0.46777757157856353</v>
      </c>
      <c r="G89" s="16">
        <v>-0.52703952856603364</v>
      </c>
      <c r="H89" s="16">
        <v>-0.5688449410352634</v>
      </c>
      <c r="I89" s="16">
        <v>-0.59700027490354191</v>
      </c>
      <c r="J89" s="16">
        <v>-0.61531199608815779</v>
      </c>
      <c r="K89" s="16">
        <v>-0.6275865705064001</v>
      </c>
      <c r="L89" s="16">
        <v>-0.63763046407555801</v>
      </c>
      <c r="M89" s="16">
        <v>-0.64925014271292014</v>
      </c>
      <c r="N89" s="16">
        <v>-0.66625207233577532</v>
      </c>
      <c r="O89" s="16">
        <v>-0.69244271886141284</v>
      </c>
      <c r="P89" s="16">
        <v>-0.73162854820712175</v>
      </c>
      <c r="Q89" s="16">
        <v>-0.78761602629018979</v>
      </c>
    </row>
    <row r="90" spans="1:17" x14ac:dyDescent="0.3">
      <c r="A90" s="14" t="s">
        <v>93</v>
      </c>
      <c r="B90" s="15" t="s">
        <v>104</v>
      </c>
      <c r="C90" s="16">
        <v>-0.14883634322330552</v>
      </c>
      <c r="D90" s="16">
        <v>-0.25957486345355485</v>
      </c>
      <c r="E90" s="16">
        <v>-0.36187482334146132</v>
      </c>
      <c r="F90" s="16">
        <v>-0.44359853112336051</v>
      </c>
      <c r="G90" s="16">
        <v>-0.50749192935791854</v>
      </c>
      <c r="H90" s="16">
        <v>-0.55630096060380119</v>
      </c>
      <c r="I90" s="16">
        <v>-0.59277156741967507</v>
      </c>
      <c r="J90" s="16">
        <v>-0.61964969236420586</v>
      </c>
      <c r="K90" s="16">
        <v>-0.63968127799605989</v>
      </c>
      <c r="L90" s="16">
        <v>-0.65561226687390317</v>
      </c>
      <c r="M90" s="16">
        <v>-0.67018860155640159</v>
      </c>
      <c r="N90" s="16">
        <v>-0.68615622460222148</v>
      </c>
      <c r="O90" s="16">
        <v>-0.7062610785700294</v>
      </c>
      <c r="P90" s="16">
        <v>-0.7332491060184908</v>
      </c>
      <c r="Q90" s="16">
        <v>-0.7698662495062718</v>
      </c>
    </row>
    <row r="91" spans="1:17" x14ac:dyDescent="0.3">
      <c r="A91" s="14" t="s">
        <v>93</v>
      </c>
      <c r="B91" s="15" t="s">
        <v>105</v>
      </c>
      <c r="C91" s="16">
        <v>-0.14438132426537159</v>
      </c>
      <c r="D91" s="16">
        <v>-0.25190908206498558</v>
      </c>
      <c r="E91" s="16">
        <v>-0.35139517822903654</v>
      </c>
      <c r="F91" s="16">
        <v>-0.43109730673016039</v>
      </c>
      <c r="G91" s="16">
        <v>-0.49371129396753038</v>
      </c>
      <c r="H91" s="16">
        <v>-0.54193296634031962</v>
      </c>
      <c r="I91" s="16">
        <v>-0.5784581502477012</v>
      </c>
      <c r="J91" s="16">
        <v>-0.60598267208884837</v>
      </c>
      <c r="K91" s="16">
        <v>-0.62720235826293425</v>
      </c>
      <c r="L91" s="16">
        <v>-0.64481303516913191</v>
      </c>
      <c r="M91" s="16">
        <v>-0.66151052920661457</v>
      </c>
      <c r="N91" s="16">
        <v>-0.67999066677455555</v>
      </c>
      <c r="O91" s="16">
        <v>-0.70294927427212794</v>
      </c>
      <c r="P91" s="16">
        <v>-0.73308217809850451</v>
      </c>
      <c r="Q91" s="16">
        <v>-0.77308520465285868</v>
      </c>
    </row>
    <row r="92" spans="1:17" x14ac:dyDescent="0.3">
      <c r="A92" s="14" t="s">
        <v>93</v>
      </c>
      <c r="B92" s="15" t="s">
        <v>106</v>
      </c>
      <c r="C92" s="16">
        <v>-0.14731247210725665</v>
      </c>
      <c r="D92" s="16">
        <v>-0.25577237632739791</v>
      </c>
      <c r="E92" s="16">
        <v>-0.35491509111711184</v>
      </c>
      <c r="F92" s="16">
        <v>-0.43306829235129252</v>
      </c>
      <c r="G92" s="16">
        <v>-0.49329090311555962</v>
      </c>
      <c r="H92" s="16">
        <v>-0.53864184649553326</v>
      </c>
      <c r="I92" s="16">
        <v>-0.57218004557683289</v>
      </c>
      <c r="J92" s="16">
        <v>-0.59696442344507827</v>
      </c>
      <c r="K92" s="16">
        <v>-0.61605390318588926</v>
      </c>
      <c r="L92" s="16">
        <v>-0.6325074078848858</v>
      </c>
      <c r="M92" s="16">
        <v>-0.6493838606276876</v>
      </c>
      <c r="N92" s="16">
        <v>-0.66974218449991452</v>
      </c>
      <c r="O92" s="16">
        <v>-0.69664130258718571</v>
      </c>
      <c r="P92" s="16">
        <v>-0.73314013797512201</v>
      </c>
      <c r="Q92" s="16">
        <v>-0.78229761374934237</v>
      </c>
    </row>
    <row r="93" spans="1:17" x14ac:dyDescent="0.3">
      <c r="A93" s="14" t="s">
        <v>93</v>
      </c>
      <c r="B93" s="15" t="s">
        <v>107</v>
      </c>
      <c r="C93" s="16">
        <v>-0.14881091687725623</v>
      </c>
      <c r="D93" s="16">
        <v>-0.25870866815638949</v>
      </c>
      <c r="E93" s="16">
        <v>-0.3594629501172561</v>
      </c>
      <c r="F93" s="16">
        <v>-0.43916794144867893</v>
      </c>
      <c r="G93" s="16">
        <v>-0.50079891252720632</v>
      </c>
      <c r="H93" s="16">
        <v>-0.54733113372938702</v>
      </c>
      <c r="I93" s="16">
        <v>-0.58173987543176897</v>
      </c>
      <c r="J93" s="16">
        <v>-0.60700040801090138</v>
      </c>
      <c r="K93" s="16">
        <v>-0.62608800184333224</v>
      </c>
      <c r="L93" s="16">
        <v>-0.64197792730561021</v>
      </c>
      <c r="M93" s="16">
        <v>-0.65764545477428371</v>
      </c>
      <c r="N93" s="16">
        <v>-0.67606585462590119</v>
      </c>
      <c r="O93" s="16">
        <v>-0.70021439723701107</v>
      </c>
      <c r="P93" s="16">
        <v>-0.73306635298416178</v>
      </c>
      <c r="Q93" s="16">
        <v>-0.77759699224390255</v>
      </c>
    </row>
    <row r="94" spans="1:17" x14ac:dyDescent="0.3">
      <c r="A94" s="14" t="s">
        <v>93</v>
      </c>
      <c r="B94" s="15" t="s">
        <v>108</v>
      </c>
      <c r="C94" s="16">
        <v>-0.15030787102142709</v>
      </c>
      <c r="D94" s="16">
        <v>-0.26082303613031838</v>
      </c>
      <c r="E94" s="16">
        <v>-0.36166592986717261</v>
      </c>
      <c r="F94" s="16">
        <v>-0.44092819251704629</v>
      </c>
      <c r="G94" s="16">
        <v>-0.50173225146713862</v>
      </c>
      <c r="H94" s="16">
        <v>-0.54720053410464864</v>
      </c>
      <c r="I94" s="16">
        <v>-0.58045546781677593</v>
      </c>
      <c r="J94" s="16">
        <v>-0.60461947999071919</v>
      </c>
      <c r="K94" s="16">
        <v>-0.6228149980136779</v>
      </c>
      <c r="L94" s="16">
        <v>-0.63816444927285143</v>
      </c>
      <c r="M94" s="16">
        <v>-0.65379026115543837</v>
      </c>
      <c r="N94" s="16">
        <v>-0.67281486104863808</v>
      </c>
      <c r="O94" s="16">
        <v>-0.69836067633965038</v>
      </c>
      <c r="P94" s="16">
        <v>-0.73355013441567407</v>
      </c>
      <c r="Q94" s="16">
        <v>-0.78150566266390786</v>
      </c>
    </row>
    <row r="95" spans="1:17" x14ac:dyDescent="0.3">
      <c r="A95" s="14" t="s">
        <v>93</v>
      </c>
      <c r="B95" s="15" t="s">
        <v>109</v>
      </c>
      <c r="C95" s="16">
        <v>-0.14685696744991006</v>
      </c>
      <c r="D95" s="16">
        <v>-0.25660476751802386</v>
      </c>
      <c r="E95" s="16">
        <v>-0.35846899742891514</v>
      </c>
      <c r="F95" s="16">
        <v>-0.44037029429538654</v>
      </c>
      <c r="G95" s="16">
        <v>-0.50491499197523204</v>
      </c>
      <c r="H95" s="16">
        <v>-0.55470942432624515</v>
      </c>
      <c r="I95" s="16">
        <v>-0.59235992520622005</v>
      </c>
      <c r="J95" s="16">
        <v>-0.62047282847295004</v>
      </c>
      <c r="K95" s="16">
        <v>-0.6416544679842292</v>
      </c>
      <c r="L95" s="16">
        <v>-0.6585111775978516</v>
      </c>
      <c r="M95" s="16">
        <v>-0.67364929117161043</v>
      </c>
      <c r="N95" s="16">
        <v>-0.68967514256329965</v>
      </c>
      <c r="O95" s="16">
        <v>-0.70919506563071333</v>
      </c>
      <c r="P95" s="16">
        <v>-0.73481539423164532</v>
      </c>
      <c r="Q95" s="16">
        <v>-0.76914246222388893</v>
      </c>
    </row>
    <row r="96" spans="1:17" x14ac:dyDescent="0.3">
      <c r="A96" s="14" t="s">
        <v>93</v>
      </c>
      <c r="B96" s="15" t="s">
        <v>110</v>
      </c>
      <c r="C96" s="16">
        <v>-0.13983848889905004</v>
      </c>
      <c r="D96" s="16">
        <v>-0.24575097302080362</v>
      </c>
      <c r="E96" s="16">
        <v>-0.34553971301649311</v>
      </c>
      <c r="F96" s="16">
        <v>-0.42749903551845958</v>
      </c>
      <c r="G96" s="16">
        <v>-0.49390711604894921</v>
      </c>
      <c r="H96" s="16">
        <v>-0.54704213013020797</v>
      </c>
      <c r="I96" s="16">
        <v>-0.58918225328448193</v>
      </c>
      <c r="J96" s="16">
        <v>-0.62260566103401715</v>
      </c>
      <c r="K96" s="16">
        <v>-0.64959052890105962</v>
      </c>
      <c r="L96" s="16">
        <v>-0.67241503240785561</v>
      </c>
      <c r="M96" s="16">
        <v>-0.69335734707665098</v>
      </c>
      <c r="N96" s="16">
        <v>-0.71469564842969213</v>
      </c>
      <c r="O96" s="16">
        <v>-0.73870811198922459</v>
      </c>
      <c r="P96" s="16">
        <v>-0.76767291327749521</v>
      </c>
      <c r="Q96" s="16">
        <v>-0.80386822781674916</v>
      </c>
    </row>
    <row r="97" spans="1:17" x14ac:dyDescent="0.3">
      <c r="A97" s="14" t="s">
        <v>111</v>
      </c>
      <c r="B97" s="15" t="s">
        <v>112</v>
      </c>
      <c r="C97" s="16">
        <v>-0.16100277698578486</v>
      </c>
      <c r="D97" s="16">
        <v>-0.26885966783308946</v>
      </c>
      <c r="E97" s="16">
        <v>-0.35716479537963808</v>
      </c>
      <c r="F97" s="16">
        <v>-0.41593982210031</v>
      </c>
      <c r="G97" s="16">
        <v>-0.45130668816856301</v>
      </c>
      <c r="H97" s="16">
        <v>-0.46938733375785485</v>
      </c>
      <c r="I97" s="16">
        <v>-0.47630369904164305</v>
      </c>
      <c r="J97" s="16">
        <v>-0.47817772419338589</v>
      </c>
      <c r="K97" s="16">
        <v>-0.4811313493865409</v>
      </c>
      <c r="L97" s="16">
        <v>-4.8144362984644362E-2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</row>
    <row r="98" spans="1:17" x14ac:dyDescent="0.3">
      <c r="A98" s="14" t="s">
        <v>111</v>
      </c>
      <c r="B98" s="15" t="s">
        <v>113</v>
      </c>
      <c r="C98" s="16">
        <v>-0.165640421692133</v>
      </c>
      <c r="D98" s="16">
        <v>-0.2742754619183172</v>
      </c>
      <c r="E98" s="16">
        <v>-0.361300602077674</v>
      </c>
      <c r="F98" s="16">
        <v>-0.41766388800629728</v>
      </c>
      <c r="G98" s="16">
        <v>-0.45087740770949425</v>
      </c>
      <c r="H98" s="16">
        <v>-0.46845324919257203</v>
      </c>
      <c r="I98" s="16">
        <v>-0.47790350046083796</v>
      </c>
      <c r="J98" s="16">
        <v>-0.48674024951959921</v>
      </c>
      <c r="K98" s="16">
        <v>-0.50247558437416273</v>
      </c>
      <c r="L98" s="16">
        <v>-5.0412561580558235E-2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</row>
    <row r="99" spans="1:17" x14ac:dyDescent="0.3">
      <c r="A99" s="14" t="s">
        <v>111</v>
      </c>
      <c r="B99" s="15" t="s">
        <v>114</v>
      </c>
      <c r="C99" s="16">
        <v>-0.16987325402742451</v>
      </c>
      <c r="D99" s="16">
        <v>-0.27823917373758933</v>
      </c>
      <c r="E99" s="16">
        <v>-0.36260301178011234</v>
      </c>
      <c r="F99" s="16">
        <v>-0.41539663108703118</v>
      </c>
      <c r="G99" s="16">
        <v>-0.4460392199931254</v>
      </c>
      <c r="H99" s="16">
        <v>-0.46394996683317458</v>
      </c>
      <c r="I99" s="16">
        <v>-0.47854805994195876</v>
      </c>
      <c r="J99" s="16">
        <v>-0.49925268765425751</v>
      </c>
      <c r="K99" s="16">
        <v>-0.53548303830485067</v>
      </c>
      <c r="L99" s="16">
        <v>-5.3927074978762757E-2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</row>
    <row r="100" spans="1:17" x14ac:dyDescent="0.3">
      <c r="A100" s="14" t="s">
        <v>115</v>
      </c>
      <c r="B100" s="15" t="s">
        <v>116</v>
      </c>
      <c r="C100" s="16">
        <v>-0.13993218624850409</v>
      </c>
      <c r="D100" s="16">
        <v>-0.24321934695618713</v>
      </c>
      <c r="E100" s="16">
        <v>-0.33801655028954847</v>
      </c>
      <c r="F100" s="16">
        <v>-0.41331446468141164</v>
      </c>
      <c r="G100" s="16">
        <v>-0.47209697718945043</v>
      </c>
      <c r="H100" s="16">
        <v>-0.51734797487133899</v>
      </c>
      <c r="I100" s="16">
        <v>-0.55205134478475082</v>
      </c>
      <c r="J100" s="16">
        <v>-0.57919097398735986</v>
      </c>
      <c r="K100" s="16">
        <v>-0.60175074953684005</v>
      </c>
      <c r="L100" s="16">
        <v>-0.62271455849086521</v>
      </c>
      <c r="M100" s="16">
        <v>-0.64506628790710918</v>
      </c>
      <c r="N100" s="16">
        <v>-0.67178982484324634</v>
      </c>
      <c r="O100" s="16">
        <v>-0.70586905635694974</v>
      </c>
      <c r="P100" s="16">
        <v>-0.75028786950589388</v>
      </c>
      <c r="Q100" s="16">
        <v>-0.8080301513477518</v>
      </c>
    </row>
    <row r="101" spans="1:17" x14ac:dyDescent="0.3">
      <c r="A101" s="14" t="s">
        <v>115</v>
      </c>
      <c r="B101" s="15">
        <v>500</v>
      </c>
      <c r="C101" s="16">
        <v>-0.13559932041987158</v>
      </c>
      <c r="D101" s="16">
        <v>-0.23122739694933742</v>
      </c>
      <c r="E101" s="16">
        <v>-0.314806613568826</v>
      </c>
      <c r="F101" s="16">
        <v>-0.37692938279394383</v>
      </c>
      <c r="G101" s="16">
        <v>-0.42174804918228437</v>
      </c>
      <c r="H101" s="16">
        <v>-0.45341495729144116</v>
      </c>
      <c r="I101" s="16">
        <v>-0.47608245167900776</v>
      </c>
      <c r="J101" s="16">
        <v>-0.49390287690257745</v>
      </c>
      <c r="K101" s="16">
        <v>-0.51102857751974384</v>
      </c>
      <c r="L101" s="16">
        <v>-0.53161189808810072</v>
      </c>
      <c r="M101" s="16">
        <v>-0.5598051831652413</v>
      </c>
      <c r="N101" s="16">
        <v>-0.59976077730875932</v>
      </c>
      <c r="O101" s="16">
        <v>-0.65563102507624793</v>
      </c>
      <c r="P101" s="16">
        <v>-0.73156827102530164</v>
      </c>
      <c r="Q101" s="16">
        <v>-0.83172485971351251</v>
      </c>
    </row>
    <row r="102" spans="1:17" x14ac:dyDescent="0.3">
      <c r="A102" s="14" t="s">
        <v>115</v>
      </c>
      <c r="B102" s="15" t="s">
        <v>117</v>
      </c>
      <c r="C102" s="16">
        <v>-0.14402990330101514</v>
      </c>
      <c r="D102" s="16">
        <v>-0.24948768540899727</v>
      </c>
      <c r="E102" s="16">
        <v>-0.34541691688041543</v>
      </c>
      <c r="F102" s="16">
        <v>-0.42066243947520832</v>
      </c>
      <c r="G102" s="16">
        <v>-0.47847208528341589</v>
      </c>
      <c r="H102" s="16">
        <v>-0.52209368639507858</v>
      </c>
      <c r="I102" s="16">
        <v>-0.55477507490023636</v>
      </c>
      <c r="J102" s="16">
        <v>-0.57976408288892956</v>
      </c>
      <c r="K102" s="16">
        <v>-0.60030854245119802</v>
      </c>
      <c r="L102" s="16">
        <v>-0.61965628567708231</v>
      </c>
      <c r="M102" s="16">
        <v>-0.64105514465662261</v>
      </c>
      <c r="N102" s="16">
        <v>-0.66775295147985858</v>
      </c>
      <c r="O102" s="16">
        <v>-0.70299753823683075</v>
      </c>
      <c r="P102" s="16">
        <v>-0.750036737017579</v>
      </c>
      <c r="Q102" s="16">
        <v>-0.81211837991214431</v>
      </c>
    </row>
    <row r="103" spans="1:17" x14ac:dyDescent="0.3">
      <c r="A103" s="14" t="s">
        <v>115</v>
      </c>
      <c r="B103" s="15" t="s">
        <v>118</v>
      </c>
      <c r="C103" s="16">
        <v>-0.13993218624850409</v>
      </c>
      <c r="D103" s="16">
        <v>-0.24321934695618713</v>
      </c>
      <c r="E103" s="16">
        <v>-0.33801655028954847</v>
      </c>
      <c r="F103" s="16">
        <v>-0.41331446468141164</v>
      </c>
      <c r="G103" s="16">
        <v>-0.47209697718945043</v>
      </c>
      <c r="H103" s="16">
        <v>-0.51734797487133899</v>
      </c>
      <c r="I103" s="16">
        <v>-0.55205134478475082</v>
      </c>
      <c r="J103" s="16">
        <v>-0.57919097398735986</v>
      </c>
      <c r="K103" s="16">
        <v>-0.60175074953684005</v>
      </c>
      <c r="L103" s="16">
        <v>-0.62271455849086521</v>
      </c>
      <c r="M103" s="16">
        <v>-0.64506628790710918</v>
      </c>
      <c r="N103" s="16">
        <v>-0.67178982484324634</v>
      </c>
      <c r="O103" s="16">
        <v>-0.70586905635694974</v>
      </c>
      <c r="P103" s="16">
        <v>-0.75028786950589388</v>
      </c>
      <c r="Q103" s="16">
        <v>-0.8080301513477518</v>
      </c>
    </row>
    <row r="104" spans="1:17" x14ac:dyDescent="0.3">
      <c r="A104" s="14" t="s">
        <v>115</v>
      </c>
      <c r="B104" s="15" t="s">
        <v>119</v>
      </c>
      <c r="C104" s="16">
        <v>-0.13495143372403232</v>
      </c>
      <c r="D104" s="16">
        <v>-0.23546338189328606</v>
      </c>
      <c r="E104" s="16">
        <v>-0.32863039451684112</v>
      </c>
      <c r="F104" s="16">
        <v>-0.40365889755079271</v>
      </c>
      <c r="G104" s="16">
        <v>-0.46325046032363926</v>
      </c>
      <c r="H104" s="16">
        <v>-0.51010665216387907</v>
      </c>
      <c r="I104" s="16">
        <v>-0.5469290424000105</v>
      </c>
      <c r="J104" s="16">
        <v>-0.57641920036053207</v>
      </c>
      <c r="K104" s="16">
        <v>-0.60127869537394218</v>
      </c>
      <c r="L104" s="16">
        <v>-0.62420909676873904</v>
      </c>
      <c r="M104" s="16">
        <v>-0.64791197387342081</v>
      </c>
      <c r="N104" s="16">
        <v>-0.67508889601648658</v>
      </c>
      <c r="O104" s="16">
        <v>-0.70844143252643432</v>
      </c>
      <c r="P104" s="16">
        <v>-0.75067115273176221</v>
      </c>
      <c r="Q104" s="16">
        <v>-0.804479625960969</v>
      </c>
    </row>
    <row r="105" spans="1:17" x14ac:dyDescent="0.3">
      <c r="A105" s="14" t="s">
        <v>115</v>
      </c>
      <c r="B105" s="15" t="s">
        <v>120</v>
      </c>
      <c r="C105" s="16">
        <v>-0.13333430414489919</v>
      </c>
      <c r="D105" s="16">
        <v>-0.23610812350014476</v>
      </c>
      <c r="E105" s="16">
        <v>-0.3346556769627414</v>
      </c>
      <c r="F105" s="16">
        <v>-0.41740072880800005</v>
      </c>
      <c r="G105" s="16">
        <v>-0.48610047372572174</v>
      </c>
      <c r="H105" s="16">
        <v>-0.54251210640570746</v>
      </c>
      <c r="I105" s="16">
        <v>-0.58839282153775785</v>
      </c>
      <c r="J105" s="16">
        <v>-0.62549981381167419</v>
      </c>
      <c r="K105" s="16">
        <v>-0.6555902779172571</v>
      </c>
      <c r="L105" s="16">
        <v>-0.68042140854430744</v>
      </c>
      <c r="M105" s="16">
        <v>-0.7017504003826267</v>
      </c>
      <c r="N105" s="16">
        <v>-0.7213344481220153</v>
      </c>
      <c r="O105" s="16">
        <v>-0.74093074645227397</v>
      </c>
      <c r="P105" s="16">
        <v>-0.76229649006320388</v>
      </c>
      <c r="Q105" s="16">
        <v>-0.78718887364460643</v>
      </c>
    </row>
    <row r="106" spans="1:17" x14ac:dyDescent="0.3">
      <c r="A106" s="14" t="s">
        <v>115</v>
      </c>
      <c r="B106" s="15" t="s">
        <v>121</v>
      </c>
      <c r="C106" s="16">
        <v>-0.17144310946803312</v>
      </c>
      <c r="D106" s="16">
        <v>-0.29451248815224629</v>
      </c>
      <c r="E106" s="16">
        <v>-0.40368663240007685</v>
      </c>
      <c r="F106" s="16">
        <v>-0.48588768681058458</v>
      </c>
      <c r="G106" s="16">
        <v>-0.54518210692963287</v>
      </c>
      <c r="H106" s="16">
        <v>-0.58563634830308509</v>
      </c>
      <c r="I106" s="16">
        <v>-0.61131686647680439</v>
      </c>
      <c r="J106" s="16">
        <v>-0.62629011699665393</v>
      </c>
      <c r="K106" s="16">
        <v>-0.63462255540849721</v>
      </c>
      <c r="L106" s="16">
        <v>-0.64038063725819772</v>
      </c>
      <c r="M106" s="16">
        <v>-0.64763081809161771</v>
      </c>
      <c r="N106" s="16">
        <v>-0.66043955345462169</v>
      </c>
      <c r="O106" s="16">
        <v>-0.68287329889307224</v>
      </c>
      <c r="P106" s="16">
        <v>-0.7189985099528331</v>
      </c>
      <c r="Q106" s="16">
        <v>-0.77288164217976707</v>
      </c>
    </row>
    <row r="107" spans="1:17" x14ac:dyDescent="0.3">
      <c r="A107" s="14" t="s">
        <v>115</v>
      </c>
      <c r="B107" s="15" t="s">
        <v>122</v>
      </c>
      <c r="C107" s="16">
        <v>-0.13993218624850409</v>
      </c>
      <c r="D107" s="16">
        <v>-0.24321934695618713</v>
      </c>
      <c r="E107" s="16">
        <v>-0.33801655028954847</v>
      </c>
      <c r="F107" s="16">
        <v>-0.41331446468141164</v>
      </c>
      <c r="G107" s="16">
        <v>-0.47209697718945043</v>
      </c>
      <c r="H107" s="16">
        <v>-0.51734797487133899</v>
      </c>
      <c r="I107" s="16">
        <v>-0.55205134478475082</v>
      </c>
      <c r="J107" s="16">
        <v>-0.57919097398735986</v>
      </c>
      <c r="K107" s="16">
        <v>-0.60175074953684005</v>
      </c>
      <c r="L107" s="16">
        <v>-0.62271455849086521</v>
      </c>
      <c r="M107" s="16">
        <v>-0.64506628790710918</v>
      </c>
      <c r="N107" s="16">
        <v>-0.67178982484324634</v>
      </c>
      <c r="O107" s="16">
        <v>-0.70586905635694974</v>
      </c>
      <c r="P107" s="16">
        <v>-0.75028786950589388</v>
      </c>
      <c r="Q107" s="16">
        <v>-0.8080301513477518</v>
      </c>
    </row>
    <row r="108" spans="1:17" x14ac:dyDescent="0.3">
      <c r="A108" s="14" t="s">
        <v>115</v>
      </c>
      <c r="B108" s="15" t="s">
        <v>123</v>
      </c>
      <c r="C108" s="16">
        <v>-0.13993218624850409</v>
      </c>
      <c r="D108" s="16">
        <v>-0.24321934695618713</v>
      </c>
      <c r="E108" s="16">
        <v>-0.33801655028954847</v>
      </c>
      <c r="F108" s="16">
        <v>-0.41331446468141164</v>
      </c>
      <c r="G108" s="16">
        <v>-0.47209697718945043</v>
      </c>
      <c r="H108" s="16">
        <v>-0.51734797487133899</v>
      </c>
      <c r="I108" s="16">
        <v>-0.55205134478475082</v>
      </c>
      <c r="J108" s="16">
        <v>-0.57919097398735986</v>
      </c>
      <c r="K108" s="16">
        <v>-0.60175074953684005</v>
      </c>
      <c r="L108" s="16">
        <v>-0.62271455849086521</v>
      </c>
      <c r="M108" s="16">
        <v>-0.64506628790710918</v>
      </c>
      <c r="N108" s="16">
        <v>-0.67178982484324634</v>
      </c>
      <c r="O108" s="16">
        <v>-0.70586905635694974</v>
      </c>
      <c r="P108" s="16">
        <v>-0.75028786950589388</v>
      </c>
      <c r="Q108" s="16">
        <v>-0.8080301513477518</v>
      </c>
    </row>
    <row r="109" spans="1:17" x14ac:dyDescent="0.3">
      <c r="A109" s="14" t="s">
        <v>115</v>
      </c>
      <c r="B109" s="15" t="s">
        <v>124</v>
      </c>
      <c r="C109" s="16">
        <v>-0.12814894318923734</v>
      </c>
      <c r="D109" s="16">
        <v>-0.22573694424654495</v>
      </c>
      <c r="E109" s="16">
        <v>-0.31825145557422679</v>
      </c>
      <c r="F109" s="16">
        <v>-0.39491030158090418</v>
      </c>
      <c r="G109" s="16">
        <v>-0.45774620099412205</v>
      </c>
      <c r="H109" s="16">
        <v>-0.50879187254142555</v>
      </c>
      <c r="I109" s="16">
        <v>-0.55008003495035973</v>
      </c>
      <c r="J109" s="16">
        <v>-0.58364340694846928</v>
      </c>
      <c r="K109" s="16">
        <v>-0.61151470726329937</v>
      </c>
      <c r="L109" s="16">
        <v>-0.63572665462239497</v>
      </c>
      <c r="M109" s="16">
        <v>-0.65831196775330159</v>
      </c>
      <c r="N109" s="16">
        <v>-0.68130336538356362</v>
      </c>
      <c r="O109" s="16">
        <v>-0.70673356624072603</v>
      </c>
      <c r="P109" s="16">
        <v>-0.73663528905233466</v>
      </c>
      <c r="Q109" s="16">
        <v>-0.77304125254593303</v>
      </c>
    </row>
    <row r="110" spans="1:17" x14ac:dyDescent="0.3">
      <c r="A110" s="14" t="s">
        <v>115</v>
      </c>
      <c r="B110" s="15" t="s">
        <v>125</v>
      </c>
      <c r="C110" s="16">
        <v>-0.14716476879223753</v>
      </c>
      <c r="D110" s="16">
        <v>-0.25812853534829566</v>
      </c>
      <c r="E110" s="16">
        <v>-0.36213530248329012</v>
      </c>
      <c r="F110" s="16">
        <v>-0.44691105836330192</v>
      </c>
      <c r="G110" s="16">
        <v>-0.51489826803363592</v>
      </c>
      <c r="H110" s="16">
        <v>-0.56853939653959684</v>
      </c>
      <c r="I110" s="16">
        <v>-0.61027690892648956</v>
      </c>
      <c r="J110" s="16">
        <v>-0.64255327023961895</v>
      </c>
      <c r="K110" s="16">
        <v>-0.66781094552428977</v>
      </c>
      <c r="L110" s="16">
        <v>-0.68849239982580679</v>
      </c>
      <c r="M110" s="16">
        <v>-0.70704009818947455</v>
      </c>
      <c r="N110" s="16">
        <v>-0.7258965056605986</v>
      </c>
      <c r="O110" s="16">
        <v>-0.74750408728448325</v>
      </c>
      <c r="P110" s="16">
        <v>-0.77430530810643317</v>
      </c>
      <c r="Q110" s="16">
        <v>-0.80874263317175343</v>
      </c>
    </row>
    <row r="111" spans="1:17" x14ac:dyDescent="0.3">
      <c r="A111" s="14" t="s">
        <v>115</v>
      </c>
      <c r="B111" s="15" t="s">
        <v>126</v>
      </c>
      <c r="C111" s="16">
        <v>-0.14023518215779598</v>
      </c>
      <c r="D111" s="16">
        <v>-0.24427638255579348</v>
      </c>
      <c r="E111" s="16">
        <v>-0.34026113058483454</v>
      </c>
      <c r="F111" s="16">
        <v>-0.41700355002636968</v>
      </c>
      <c r="G111" s="16">
        <v>-0.47734128287762911</v>
      </c>
      <c r="H111" s="16">
        <v>-0.52411197113584307</v>
      </c>
      <c r="I111" s="16">
        <v>-0.56015325679824157</v>
      </c>
      <c r="J111" s="16">
        <v>-0.58830278186205487</v>
      </c>
      <c r="K111" s="16">
        <v>-0.61139818832451309</v>
      </c>
      <c r="L111" s="16">
        <v>-0.63227711818284671</v>
      </c>
      <c r="M111" s="16">
        <v>-0.65377721343428574</v>
      </c>
      <c r="N111" s="16">
        <v>-0.6787361160760601</v>
      </c>
      <c r="O111" s="16">
        <v>-0.70999146810539981</v>
      </c>
      <c r="P111" s="16">
        <v>-0.75038091151953601</v>
      </c>
      <c r="Q111" s="16">
        <v>-0.80274208831569804</v>
      </c>
    </row>
    <row r="112" spans="1:17" x14ac:dyDescent="0.3">
      <c r="A112" s="14" t="s">
        <v>115</v>
      </c>
      <c r="B112" s="15" t="s">
        <v>127</v>
      </c>
      <c r="C112" s="16">
        <v>-0.14869967964584663</v>
      </c>
      <c r="D112" s="16">
        <v>-0.25841779728070624</v>
      </c>
      <c r="E112" s="16">
        <v>-0.35895697148514877</v>
      </c>
      <c r="F112" s="16">
        <v>-0.43849362169076345</v>
      </c>
      <c r="G112" s="16">
        <v>-0.50007413529372402</v>
      </c>
      <c r="H112" s="16">
        <v>-0.54674489969020423</v>
      </c>
      <c r="I112" s="16">
        <v>-0.58155230227637833</v>
      </c>
      <c r="J112" s="16">
        <v>-0.60754273044841967</v>
      </c>
      <c r="K112" s="16">
        <v>-0.62776257160250215</v>
      </c>
      <c r="L112" s="16">
        <v>-0.64525821313479992</v>
      </c>
      <c r="M112" s="16">
        <v>-0.66307604244148644</v>
      </c>
      <c r="N112" s="16">
        <v>-0.68426244691873561</v>
      </c>
      <c r="O112" s="16">
        <v>-0.71186381396272158</v>
      </c>
      <c r="P112" s="16">
        <v>-0.74892653096961803</v>
      </c>
      <c r="Q112" s="16">
        <v>-0.7984969853355981</v>
      </c>
    </row>
    <row r="113" spans="1:17" x14ac:dyDescent="0.3">
      <c r="A113" s="14" t="s">
        <v>115</v>
      </c>
      <c r="B113" s="15" t="s">
        <v>128</v>
      </c>
      <c r="C113" s="16">
        <v>-0.13936620119052148</v>
      </c>
      <c r="D113" s="16">
        <v>-0.24234398283103903</v>
      </c>
      <c r="E113" s="16">
        <v>-0.33697152149963594</v>
      </c>
      <c r="F113" s="16">
        <v>-0.41226728676747759</v>
      </c>
      <c r="G113" s="16">
        <v>-0.47118636832478156</v>
      </c>
      <c r="H113" s="16">
        <v>-0.51668385586176524</v>
      </c>
      <c r="I113" s="16">
        <v>-0.55171483906864682</v>
      </c>
      <c r="J113" s="16">
        <v>-0.57923440763564316</v>
      </c>
      <c r="K113" s="16">
        <v>-0.60219765125297209</v>
      </c>
      <c r="L113" s="16">
        <v>-0.62355965961085125</v>
      </c>
      <c r="M113" s="16">
        <v>-0.64627552239949804</v>
      </c>
      <c r="N113" s="16">
        <v>-0.67330032930912997</v>
      </c>
      <c r="O113" s="16">
        <v>-0.70758917002996524</v>
      </c>
      <c r="P113" s="16">
        <v>-0.75209713425222102</v>
      </c>
      <c r="Q113" s="16">
        <v>-0.80977931166611428</v>
      </c>
    </row>
    <row r="114" spans="1:17" x14ac:dyDescent="0.3">
      <c r="A114" s="14" t="s">
        <v>115</v>
      </c>
      <c r="B114" s="15" t="s">
        <v>129</v>
      </c>
      <c r="C114" s="16">
        <v>-0.13631305546226494</v>
      </c>
      <c r="D114" s="16">
        <v>-0.23763274535535794</v>
      </c>
      <c r="E114" s="16">
        <v>-0.33133633323615075</v>
      </c>
      <c r="F114" s="16">
        <v>-0.40655719654640637</v>
      </c>
      <c r="G114" s="16">
        <v>-0.46606001827411409</v>
      </c>
      <c r="H114" s="16">
        <v>-0.51260948140726348</v>
      </c>
      <c r="I114" s="16">
        <v>-0.54897026893384404</v>
      </c>
      <c r="J114" s="16">
        <v>-0.57790706384184498</v>
      </c>
      <c r="K114" s="16">
        <v>-0.6021845491192559</v>
      </c>
      <c r="L114" s="16">
        <v>-0.62456740775406616</v>
      </c>
      <c r="M114" s="16">
        <v>-0.64782032273426504</v>
      </c>
      <c r="N114" s="16">
        <v>-0.67470797704784236</v>
      </c>
      <c r="O114" s="16">
        <v>-0.70799505368278737</v>
      </c>
      <c r="P114" s="16">
        <v>-0.75044623562708956</v>
      </c>
      <c r="Q114" s="16">
        <v>-0.80482620586873799</v>
      </c>
    </row>
    <row r="115" spans="1:17" x14ac:dyDescent="0.3">
      <c r="A115" s="14" t="s">
        <v>130</v>
      </c>
      <c r="B115" s="15" t="s">
        <v>131</v>
      </c>
      <c r="C115" s="16">
        <v>-0.12870446622645959</v>
      </c>
      <c r="D115" s="16">
        <v>-0.22652263148680868</v>
      </c>
      <c r="E115" s="16">
        <v>-0.31916448251003976</v>
      </c>
      <c r="F115" s="16">
        <v>-0.39594941164841685</v>
      </c>
      <c r="G115" s="16">
        <v>-0.45906725787684988</v>
      </c>
      <c r="H115" s="16">
        <v>-0.51070786017024883</v>
      </c>
      <c r="I115" s="16">
        <v>-0.55306105750352352</v>
      </c>
      <c r="J115" s="16">
        <v>-0.58831668885158406</v>
      </c>
      <c r="K115" s="16">
        <v>-0.61866459318934008</v>
      </c>
      <c r="L115" s="16">
        <v>-0.64629460949170192</v>
      </c>
      <c r="M115" s="16">
        <v>-0.67339657673357944</v>
      </c>
      <c r="N115" s="16">
        <v>-0.70216033388988208</v>
      </c>
      <c r="O115" s="16">
        <v>-0.73477571993552016</v>
      </c>
      <c r="P115" s="16">
        <v>-0.77343257384540376</v>
      </c>
      <c r="Q115" s="16">
        <v>-0.82032073459444288</v>
      </c>
    </row>
    <row r="116" spans="1:17" x14ac:dyDescent="0.3">
      <c r="A116" s="14" t="s">
        <v>130</v>
      </c>
      <c r="B116" s="15" t="s">
        <v>132</v>
      </c>
      <c r="C116" s="16">
        <v>-0.13705967500674013</v>
      </c>
      <c r="D116" s="16">
        <v>-0.24291746102623335</v>
      </c>
      <c r="E116" s="16">
        <v>-0.34461375635165165</v>
      </c>
      <c r="F116" s="16">
        <v>-0.43018976522466534</v>
      </c>
      <c r="G116" s="16">
        <v>-0.5013926593876189</v>
      </c>
      <c r="H116" s="16">
        <v>-0.55996961058285677</v>
      </c>
      <c r="I116" s="16">
        <v>-0.60766779055272302</v>
      </c>
      <c r="J116" s="16">
        <v>-0.64623437103956249</v>
      </c>
      <c r="K116" s="16">
        <v>-0.67741652378571904</v>
      </c>
      <c r="L116" s="16">
        <v>-0.70296142053353727</v>
      </c>
      <c r="M116" s="16">
        <v>-0.7246162330253616</v>
      </c>
      <c r="N116" s="16">
        <v>-0.74412813300353653</v>
      </c>
      <c r="O116" s="16">
        <v>-0.76324429221040591</v>
      </c>
      <c r="P116" s="16">
        <v>-0.78371188238831435</v>
      </c>
      <c r="Q116" s="16">
        <v>-0.80727807527960715</v>
      </c>
    </row>
    <row r="117" spans="1:17" x14ac:dyDescent="0.3">
      <c r="A117" s="14" t="s">
        <v>130</v>
      </c>
      <c r="B117" s="15" t="s">
        <v>133</v>
      </c>
      <c r="C117" s="16">
        <v>-0.12840863772855296</v>
      </c>
      <c r="D117" s="16">
        <v>-0.22568844369501237</v>
      </c>
      <c r="E117" s="16">
        <v>-0.31754140558685107</v>
      </c>
      <c r="F117" s="16">
        <v>-0.39340694472567028</v>
      </c>
      <c r="G117" s="16">
        <v>-0.45556534620592681</v>
      </c>
      <c r="H117" s="16">
        <v>-0.50629689512207721</v>
      </c>
      <c r="I117" s="16">
        <v>-0.54788187656857812</v>
      </c>
      <c r="J117" s="16">
        <v>-0.5826005756398861</v>
      </c>
      <c r="K117" s="16">
        <v>-0.61273327743045791</v>
      </c>
      <c r="L117" s="16">
        <v>-0.64056026703475</v>
      </c>
      <c r="M117" s="16">
        <v>-0.66836182954721923</v>
      </c>
      <c r="N117" s="16">
        <v>-0.69841825006232205</v>
      </c>
      <c r="O117" s="16">
        <v>-0.73300981367451501</v>
      </c>
      <c r="P117" s="16">
        <v>-0.77441680547825464</v>
      </c>
      <c r="Q117" s="16">
        <v>-0.82491951056799828</v>
      </c>
    </row>
    <row r="118" spans="1:17" x14ac:dyDescent="0.3">
      <c r="A118" s="14" t="s">
        <v>130</v>
      </c>
      <c r="B118" s="15" t="s">
        <v>134</v>
      </c>
      <c r="C118" s="16">
        <v>-0.12465538714571622</v>
      </c>
      <c r="D118" s="16">
        <v>-0.2199096924484655</v>
      </c>
      <c r="E118" s="16">
        <v>-0.31065600477262395</v>
      </c>
      <c r="F118" s="16">
        <v>-0.38647738368084122</v>
      </c>
      <c r="G118" s="16">
        <v>-0.44942242745033828</v>
      </c>
      <c r="H118" s="16">
        <v>-0.50153973435833632</v>
      </c>
      <c r="I118" s="16">
        <v>-0.5448779026820566</v>
      </c>
      <c r="J118" s="16">
        <v>-0.58148553069872011</v>
      </c>
      <c r="K118" s="16">
        <v>-0.6134112166855481</v>
      </c>
      <c r="L118" s="16">
        <v>-0.64270355891976161</v>
      </c>
      <c r="M118" s="16">
        <v>-0.67141115567858189</v>
      </c>
      <c r="N118" s="16">
        <v>-0.70158260523922977</v>
      </c>
      <c r="O118" s="16">
        <v>-0.73526650587892717</v>
      </c>
      <c r="P118" s="16">
        <v>-0.77451145587489423</v>
      </c>
      <c r="Q118" s="16">
        <v>-0.8213660535043531</v>
      </c>
    </row>
    <row r="119" spans="1:17" x14ac:dyDescent="0.3">
      <c r="A119" s="14" t="s">
        <v>130</v>
      </c>
      <c r="B119" s="15" t="s">
        <v>135</v>
      </c>
      <c r="C119" s="16">
        <v>-0.11909729269383457</v>
      </c>
      <c r="D119" s="16">
        <v>-0.21091637784594186</v>
      </c>
      <c r="E119" s="16">
        <v>-0.29915583424274023</v>
      </c>
      <c r="F119" s="16">
        <v>-0.37366896477548933</v>
      </c>
      <c r="G119" s="16">
        <v>-0.43621880160483201</v>
      </c>
      <c r="H119" s="16">
        <v>-0.48856837689141108</v>
      </c>
      <c r="I119" s="16">
        <v>-0.53248072279586978</v>
      </c>
      <c r="J119" s="16">
        <v>-0.56971887147885081</v>
      </c>
      <c r="K119" s="16">
        <v>-0.60204585510099728</v>
      </c>
      <c r="L119" s="16">
        <v>-0.63122470582295209</v>
      </c>
      <c r="M119" s="16">
        <v>-0.65901845580535801</v>
      </c>
      <c r="N119" s="16">
        <v>-0.68719013720885791</v>
      </c>
      <c r="O119" s="16">
        <v>-0.71750278219409502</v>
      </c>
      <c r="P119" s="16">
        <v>-0.75171942292171234</v>
      </c>
      <c r="Q119" s="16">
        <v>-0.79160309155235264</v>
      </c>
    </row>
    <row r="120" spans="1:17" x14ac:dyDescent="0.3">
      <c r="A120" s="14" t="s">
        <v>130</v>
      </c>
      <c r="B120" s="15" t="s">
        <v>136</v>
      </c>
      <c r="C120" s="16">
        <v>-0.11731279440999016</v>
      </c>
      <c r="D120" s="16">
        <v>-0.21037267247976926</v>
      </c>
      <c r="E120" s="16">
        <v>-0.30234084609430567</v>
      </c>
      <c r="F120" s="16">
        <v>-0.38269708691456877</v>
      </c>
      <c r="G120" s="16">
        <v>-0.45265244604252702</v>
      </c>
      <c r="H120" s="16">
        <v>-0.51341797458014893</v>
      </c>
      <c r="I120" s="16">
        <v>-0.56620472362940288</v>
      </c>
      <c r="J120" s="16">
        <v>-0.61222374429225723</v>
      </c>
      <c r="K120" s="16">
        <v>-0.65268608767068081</v>
      </c>
      <c r="L120" s="16">
        <v>-0.68880280486664158</v>
      </c>
      <c r="M120" s="16">
        <v>-0.72178494698210827</v>
      </c>
      <c r="N120" s="16">
        <v>-0.7528435651190496</v>
      </c>
      <c r="O120" s="16">
        <v>-0.7831897103794333</v>
      </c>
      <c r="P120" s="16">
        <v>-0.81403443386522878</v>
      </c>
      <c r="Q120" s="16">
        <v>-0.84658878667840365</v>
      </c>
    </row>
    <row r="121" spans="1:17" x14ac:dyDescent="0.3">
      <c r="A121" s="14" t="s">
        <v>130</v>
      </c>
      <c r="B121" s="15" t="s">
        <v>137</v>
      </c>
      <c r="C121" s="16">
        <v>-0.11846512272165746</v>
      </c>
      <c r="D121" s="16">
        <v>-0.21162816690292097</v>
      </c>
      <c r="E121" s="16">
        <v>-0.302867126493507</v>
      </c>
      <c r="F121" s="16">
        <v>-0.38164663624800221</v>
      </c>
      <c r="G121" s="16">
        <v>-0.44927784319315878</v>
      </c>
      <c r="H121" s="16">
        <v>-0.50707189435572897</v>
      </c>
      <c r="I121" s="16">
        <v>-0.55633993676246518</v>
      </c>
      <c r="J121" s="16">
        <v>-0.59839311744011958</v>
      </c>
      <c r="K121" s="16">
        <v>-0.63454258341544456</v>
      </c>
      <c r="L121" s="16">
        <v>-0.66609948171519229</v>
      </c>
      <c r="M121" s="16">
        <v>-0.69437495936611526</v>
      </c>
      <c r="N121" s="16">
        <v>-0.72068016339496543</v>
      </c>
      <c r="O121" s="16">
        <v>-0.7463262408284953</v>
      </c>
      <c r="P121" s="16">
        <v>-0.77262433869345726</v>
      </c>
      <c r="Q121" s="16">
        <v>-0.80088560401660314</v>
      </c>
    </row>
    <row r="122" spans="1:17" x14ac:dyDescent="0.3">
      <c r="A122" s="14" t="s">
        <v>130</v>
      </c>
      <c r="B122" s="15" t="s">
        <v>138</v>
      </c>
      <c r="C122" s="16">
        <v>-0.12465538714571622</v>
      </c>
      <c r="D122" s="16">
        <v>-0.2199096924484655</v>
      </c>
      <c r="E122" s="16">
        <v>-0.31065600477262395</v>
      </c>
      <c r="F122" s="16">
        <v>-0.38647738368084122</v>
      </c>
      <c r="G122" s="16">
        <v>-0.44942242745033828</v>
      </c>
      <c r="H122" s="16">
        <v>-0.50153973435833632</v>
      </c>
      <c r="I122" s="16">
        <v>-0.5448779026820566</v>
      </c>
      <c r="J122" s="16">
        <v>-0.58148553069872011</v>
      </c>
      <c r="K122" s="16">
        <v>-0.6134112166855481</v>
      </c>
      <c r="L122" s="16">
        <v>-0.64270355891976161</v>
      </c>
      <c r="M122" s="16">
        <v>-0.67141115567858189</v>
      </c>
      <c r="N122" s="16">
        <v>-0.70158260523922977</v>
      </c>
      <c r="O122" s="16">
        <v>-0.73526650587892717</v>
      </c>
      <c r="P122" s="16">
        <v>-0.77451145587489423</v>
      </c>
      <c r="Q122" s="16">
        <v>-0.8213660535043531</v>
      </c>
    </row>
    <row r="123" spans="1:17" x14ac:dyDescent="0.3">
      <c r="A123" s="14" t="s">
        <v>130</v>
      </c>
      <c r="B123" s="15" t="s">
        <v>139</v>
      </c>
      <c r="C123" s="16">
        <v>-0.12493614300796506</v>
      </c>
      <c r="D123" s="16">
        <v>-0.22060242834628979</v>
      </c>
      <c r="E123" s="16">
        <v>-0.31191551315889832</v>
      </c>
      <c r="F123" s="16">
        <v>-0.38837451157089825</v>
      </c>
      <c r="G123" s="16">
        <v>-0.45197215200819374</v>
      </c>
      <c r="H123" s="16">
        <v>-0.50470116289668898</v>
      </c>
      <c r="I123" s="16">
        <v>-0.54855427266228796</v>
      </c>
      <c r="J123" s="16">
        <v>-0.58552420973089492</v>
      </c>
      <c r="K123" s="16">
        <v>-0.61760370252841412</v>
      </c>
      <c r="L123" s="16">
        <v>-0.64678547948074949</v>
      </c>
      <c r="M123" s="16">
        <v>-0.67506226901380517</v>
      </c>
      <c r="N123" s="16">
        <v>-0.70442679955348564</v>
      </c>
      <c r="O123" s="16">
        <v>-0.73687179952569493</v>
      </c>
      <c r="P123" s="16">
        <v>-0.77438999735633651</v>
      </c>
      <c r="Q123" s="16">
        <v>-0.81897412147131532</v>
      </c>
    </row>
    <row r="124" spans="1:17" x14ac:dyDescent="0.3">
      <c r="A124" s="14" t="s">
        <v>130</v>
      </c>
      <c r="B124" s="15" t="s">
        <v>140</v>
      </c>
      <c r="C124" s="16">
        <v>-0.12671133971207199</v>
      </c>
      <c r="D124" s="16">
        <v>-0.22321492188422268</v>
      </c>
      <c r="E124" s="16">
        <v>-0.31472683335389623</v>
      </c>
      <c r="F124" s="16">
        <v>-0.39060075417753748</v>
      </c>
      <c r="G124" s="16">
        <v>-0.45286149838279871</v>
      </c>
      <c r="H124" s="16">
        <v>-0.50353387999733201</v>
      </c>
      <c r="I124" s="16">
        <v>-0.54464271304878953</v>
      </c>
      <c r="J124" s="16">
        <v>-0.5782128115648234</v>
      </c>
      <c r="K124" s="16">
        <v>-0.60626898957308573</v>
      </c>
      <c r="L124" s="16">
        <v>-0.63083606110122847</v>
      </c>
      <c r="M124" s="16">
        <v>-0.65393884017690407</v>
      </c>
      <c r="N124" s="16">
        <v>-0.67760214082776449</v>
      </c>
      <c r="O124" s="16">
        <v>-0.70385077708146182</v>
      </c>
      <c r="P124" s="16">
        <v>-0.73470956296564849</v>
      </c>
      <c r="Q124" s="16">
        <v>-0.77220331250797625</v>
      </c>
    </row>
    <row r="125" spans="1:17" x14ac:dyDescent="0.3">
      <c r="A125" s="14" t="s">
        <v>130</v>
      </c>
      <c r="B125" s="15" t="s">
        <v>141</v>
      </c>
      <c r="C125" s="16">
        <v>-0.1150351615116038</v>
      </c>
      <c r="D125" s="16">
        <v>-0.20487627131073888</v>
      </c>
      <c r="E125" s="16">
        <v>-0.29237553801043636</v>
      </c>
      <c r="F125" s="16">
        <v>-0.36754760871357334</v>
      </c>
      <c r="G125" s="16">
        <v>-0.4319106466741871</v>
      </c>
      <c r="H125" s="16">
        <v>-0.48698281514631497</v>
      </c>
      <c r="I125" s="16">
        <v>-0.53428227738399436</v>
      </c>
      <c r="J125" s="16">
        <v>-0.57532719664126253</v>
      </c>
      <c r="K125" s="16">
        <v>-0.61163573617215683</v>
      </c>
      <c r="L125" s="16">
        <v>-0.64472605923071458</v>
      </c>
      <c r="M125" s="16">
        <v>-0.67611632907097319</v>
      </c>
      <c r="N125" s="16">
        <v>-0.70732470894697008</v>
      </c>
      <c r="O125" s="16">
        <v>-0.73986936211274257</v>
      </c>
      <c r="P125" s="16">
        <v>-0.77526845182232795</v>
      </c>
      <c r="Q125" s="16">
        <v>-0.81504014132976332</v>
      </c>
    </row>
    <row r="126" spans="1:17" x14ac:dyDescent="0.3">
      <c r="A126" s="14" t="s">
        <v>130</v>
      </c>
      <c r="B126" s="15" t="s">
        <v>142</v>
      </c>
      <c r="C126" s="16">
        <v>-0.12109352789326876</v>
      </c>
      <c r="D126" s="16">
        <v>-0.21402753969777111</v>
      </c>
      <c r="E126" s="16">
        <v>-0.30322328507085333</v>
      </c>
      <c r="F126" s="16">
        <v>-0.37877796184141965</v>
      </c>
      <c r="G126" s="16">
        <v>-0.44289812062770118</v>
      </c>
      <c r="H126" s="16">
        <v>-0.49779031204792934</v>
      </c>
      <c r="I126" s="16">
        <v>-0.54566108672033486</v>
      </c>
      <c r="J126" s="16">
        <v>-0.58871699526314925</v>
      </c>
      <c r="K126" s="16">
        <v>-0.62916458829460331</v>
      </c>
      <c r="L126" s="16">
        <v>-0.66921041643292856</v>
      </c>
      <c r="M126" s="16">
        <v>-0.71106103029635592</v>
      </c>
      <c r="N126" s="16">
        <v>-0.75692298050311679</v>
      </c>
      <c r="O126" s="16">
        <v>-0.80900281767144189</v>
      </c>
      <c r="P126" s="16">
        <v>-0.86950709241956281</v>
      </c>
      <c r="Q126" s="16">
        <v>-0.94064235536571028</v>
      </c>
    </row>
    <row r="127" spans="1:17" x14ac:dyDescent="0.3">
      <c r="A127" s="14" t="s">
        <v>130</v>
      </c>
      <c r="B127" s="15" t="s">
        <v>143</v>
      </c>
      <c r="C127" s="16">
        <v>-0.12592503916344322</v>
      </c>
      <c r="D127" s="16">
        <v>-0.22109955334997486</v>
      </c>
      <c r="E127" s="16">
        <v>-0.31096580392313067</v>
      </c>
      <c r="F127" s="16">
        <v>-0.38545885521819484</v>
      </c>
      <c r="G127" s="16">
        <v>-0.44710627548679588</v>
      </c>
      <c r="H127" s="16">
        <v>-0.49843563298056254</v>
      </c>
      <c r="I127" s="16">
        <v>-0.54197449595112335</v>
      </c>
      <c r="J127" s="16">
        <v>-0.58025043265010656</v>
      </c>
      <c r="K127" s="16">
        <v>-0.61579101132914094</v>
      </c>
      <c r="L127" s="16">
        <v>-0.65112380023985494</v>
      </c>
      <c r="M127" s="16">
        <v>-0.68877636763387762</v>
      </c>
      <c r="N127" s="16">
        <v>-0.73127628176283654</v>
      </c>
      <c r="O127" s="16">
        <v>-0.78115111087836109</v>
      </c>
      <c r="P127" s="16">
        <v>-0.84092842323207961</v>
      </c>
      <c r="Q127" s="16">
        <v>-0.91313578707562015</v>
      </c>
    </row>
    <row r="128" spans="1:17" x14ac:dyDescent="0.3">
      <c r="A128" s="14" t="s">
        <v>130</v>
      </c>
      <c r="B128" s="15" t="s">
        <v>144</v>
      </c>
      <c r="C128" s="16">
        <v>-0.12465538714571622</v>
      </c>
      <c r="D128" s="16">
        <v>-0.2199096924484655</v>
      </c>
      <c r="E128" s="16">
        <v>-0.31065600477262395</v>
      </c>
      <c r="F128" s="16">
        <v>-0.38647738368084122</v>
      </c>
      <c r="G128" s="16">
        <v>-0.44942242745033828</v>
      </c>
      <c r="H128" s="16">
        <v>-0.50153973435833632</v>
      </c>
      <c r="I128" s="16">
        <v>-0.5448779026820566</v>
      </c>
      <c r="J128" s="16">
        <v>-0.58148553069872011</v>
      </c>
      <c r="K128" s="16">
        <v>-0.6134112166855481</v>
      </c>
      <c r="L128" s="16">
        <v>-0.64270355891976161</v>
      </c>
      <c r="M128" s="16">
        <v>-0.67141115567858189</v>
      </c>
      <c r="N128" s="16">
        <v>-0.70158260523922977</v>
      </c>
      <c r="O128" s="16">
        <v>-0.73526650587892717</v>
      </c>
      <c r="P128" s="16">
        <v>-0.77451145587489423</v>
      </c>
      <c r="Q128" s="16">
        <v>-0.8213660535043531</v>
      </c>
    </row>
    <row r="129" spans="1:17" x14ac:dyDescent="0.3">
      <c r="A129" s="14" t="s">
        <v>130</v>
      </c>
      <c r="B129" s="15" t="s">
        <v>145</v>
      </c>
      <c r="C129" s="16">
        <v>-0.12705897915151929</v>
      </c>
      <c r="D129" s="16">
        <v>-0.22554355139309715</v>
      </c>
      <c r="E129" s="16">
        <v>-0.32062099684560225</v>
      </c>
      <c r="F129" s="16">
        <v>-0.40127280865682974</v>
      </c>
      <c r="G129" s="16">
        <v>-0.46918637788972689</v>
      </c>
      <c r="H129" s="16">
        <v>-0.52604909560724111</v>
      </c>
      <c r="I129" s="16">
        <v>-0.57354835287231942</v>
      </c>
      <c r="J129" s="16">
        <v>-0.61337154074790912</v>
      </c>
      <c r="K129" s="16">
        <v>-0.64720605029695732</v>
      </c>
      <c r="L129" s="16">
        <v>-0.67673927258241129</v>
      </c>
      <c r="M129" s="16">
        <v>-0.70365859866721847</v>
      </c>
      <c r="N129" s="16">
        <v>-0.72965141961432589</v>
      </c>
      <c r="O129" s="16">
        <v>-0.7564051264866809</v>
      </c>
      <c r="P129" s="16">
        <v>-0.78560711034723052</v>
      </c>
      <c r="Q129" s="16">
        <v>-0.81894476225892165</v>
      </c>
    </row>
    <row r="130" spans="1:17" x14ac:dyDescent="0.3">
      <c r="A130" s="14" t="s">
        <v>130</v>
      </c>
      <c r="B130" s="15" t="s">
        <v>146</v>
      </c>
      <c r="C130" s="16">
        <v>-0.12465538714571622</v>
      </c>
      <c r="D130" s="16">
        <v>-0.2199096924484655</v>
      </c>
      <c r="E130" s="16">
        <v>-0.31065600477262395</v>
      </c>
      <c r="F130" s="16">
        <v>-0.38647738368084122</v>
      </c>
      <c r="G130" s="16">
        <v>-0.44942242745033828</v>
      </c>
      <c r="H130" s="16">
        <v>-0.50153973435833632</v>
      </c>
      <c r="I130" s="16">
        <v>-0.5448779026820566</v>
      </c>
      <c r="J130" s="16">
        <v>-0.58148553069872011</v>
      </c>
      <c r="K130" s="16">
        <v>-0.6134112166855481</v>
      </c>
      <c r="L130" s="16">
        <v>-0.64270355891976161</v>
      </c>
      <c r="M130" s="16">
        <v>-0.67141115567858189</v>
      </c>
      <c r="N130" s="16">
        <v>-0.70158260523922977</v>
      </c>
      <c r="O130" s="16">
        <v>-0.73526650587892717</v>
      </c>
      <c r="P130" s="16">
        <v>-0.77451145587489423</v>
      </c>
      <c r="Q130" s="16">
        <v>-0.8213660535043531</v>
      </c>
    </row>
    <row r="131" spans="1:17" x14ac:dyDescent="0.3">
      <c r="A131" s="14" t="s">
        <v>130</v>
      </c>
      <c r="B131" s="15" t="s">
        <v>147</v>
      </c>
      <c r="C131" s="16">
        <v>-0.12465538714571622</v>
      </c>
      <c r="D131" s="16">
        <v>-0.2199096924484655</v>
      </c>
      <c r="E131" s="16">
        <v>-0.31065600477262395</v>
      </c>
      <c r="F131" s="16">
        <v>-0.38647738368084122</v>
      </c>
      <c r="G131" s="16">
        <v>-0.44942242745033828</v>
      </c>
      <c r="H131" s="16">
        <v>-0.50153973435833632</v>
      </c>
      <c r="I131" s="16">
        <v>-0.5448779026820566</v>
      </c>
      <c r="J131" s="16">
        <v>-0.58148553069872011</v>
      </c>
      <c r="K131" s="16">
        <v>-0.6134112166855481</v>
      </c>
      <c r="L131" s="16">
        <v>-0.64270355891976161</v>
      </c>
      <c r="M131" s="16">
        <v>-0.67141115567858189</v>
      </c>
      <c r="N131" s="16">
        <v>-0.70158260523922977</v>
      </c>
      <c r="O131" s="16">
        <v>-0.73526650587892717</v>
      </c>
      <c r="P131" s="16">
        <v>-0.77451145587489423</v>
      </c>
      <c r="Q131" s="16">
        <v>-0.8213660535043531</v>
      </c>
    </row>
    <row r="132" spans="1:17" x14ac:dyDescent="0.3">
      <c r="A132" s="14" t="s">
        <v>148</v>
      </c>
      <c r="B132" s="15" t="s">
        <v>149</v>
      </c>
      <c r="C132" s="16">
        <v>-0.11290627767460966</v>
      </c>
      <c r="D132" s="16">
        <v>-0.19963088494346054</v>
      </c>
      <c r="E132" s="16">
        <v>-0.28273009921016157</v>
      </c>
      <c r="F132" s="16">
        <v>-0.35272393955373088</v>
      </c>
      <c r="G132" s="16">
        <v>-0.41142305282064745</v>
      </c>
      <c r="H132" s="16">
        <v>-0.46063808585739019</v>
      </c>
      <c r="I132" s="16">
        <v>-0.50217968551043857</v>
      </c>
      <c r="J132" s="16">
        <v>-0.53785849862627122</v>
      </c>
      <c r="K132" s="16">
        <v>-0.56948517205136739</v>
      </c>
      <c r="L132" s="16">
        <v>-0.59887035263220623</v>
      </c>
      <c r="M132" s="16">
        <v>-0.62782468721526652</v>
      </c>
      <c r="N132" s="16">
        <v>-0.65815882264702752</v>
      </c>
      <c r="O132" s="16">
        <v>-0.69168340577396814</v>
      </c>
      <c r="P132" s="16">
        <v>-0.73020908344256807</v>
      </c>
      <c r="Q132" s="16">
        <v>-0.77554650249930512</v>
      </c>
    </row>
    <row r="133" spans="1:17" x14ac:dyDescent="0.3">
      <c r="A133" s="14" t="s">
        <v>148</v>
      </c>
      <c r="B133" s="15" t="s">
        <v>150</v>
      </c>
      <c r="C133" s="16">
        <v>-0.11336319710266117</v>
      </c>
      <c r="D133" s="16">
        <v>-0.20061920693806545</v>
      </c>
      <c r="E133" s="16">
        <v>-0.28440513286501473</v>
      </c>
      <c r="F133" s="16">
        <v>-0.35516873455613363</v>
      </c>
      <c r="G133" s="16">
        <v>-0.41469409139431318</v>
      </c>
      <c r="H133" s="16">
        <v>-0.46476528276244433</v>
      </c>
      <c r="I133" s="16">
        <v>-0.50716638804341785</v>
      </c>
      <c r="J133" s="16">
        <v>-0.54368148662012505</v>
      </c>
      <c r="K133" s="16">
        <v>-0.57609465787545655</v>
      </c>
      <c r="L133" s="16">
        <v>-0.60618998119230327</v>
      </c>
      <c r="M133" s="16">
        <v>-0.63575153595355605</v>
      </c>
      <c r="N133" s="16">
        <v>-0.66656340154210636</v>
      </c>
      <c r="O133" s="16">
        <v>-0.70040965734084459</v>
      </c>
      <c r="P133" s="16">
        <v>-0.73907438273266157</v>
      </c>
      <c r="Q133" s="16">
        <v>-0.7843416571004489</v>
      </c>
    </row>
    <row r="134" spans="1:17" x14ac:dyDescent="0.3">
      <c r="A134" s="14" t="s">
        <v>148</v>
      </c>
      <c r="B134" s="15" t="s">
        <v>151</v>
      </c>
      <c r="C134" s="16">
        <v>-0.10374272473543089</v>
      </c>
      <c r="D134" s="16">
        <v>-0.18662887234989711</v>
      </c>
      <c r="E134" s="16">
        <v>-0.26933540031920977</v>
      </c>
      <c r="F134" s="16">
        <v>-0.34270260621994236</v>
      </c>
      <c r="G134" s="16">
        <v>-0.40794506010221177</v>
      </c>
      <c r="H134" s="16">
        <v>-0.46627733201613458</v>
      </c>
      <c r="I134" s="16">
        <v>-0.51891399201182753</v>
      </c>
      <c r="J134" s="16">
        <v>-0.56706961013940727</v>
      </c>
      <c r="K134" s="16">
        <v>-0.61195875644899067</v>
      </c>
      <c r="L134" s="16">
        <v>-0.65479600099069446</v>
      </c>
      <c r="M134" s="16">
        <v>-0.69679591381463502</v>
      </c>
      <c r="N134" s="16">
        <v>-0.73917306497092961</v>
      </c>
      <c r="O134" s="16">
        <v>-0.78314202450969439</v>
      </c>
      <c r="P134" s="16">
        <v>-0.82991736248104642</v>
      </c>
      <c r="Q134" s="16">
        <v>-0.88071364893510229</v>
      </c>
    </row>
    <row r="135" spans="1:17" x14ac:dyDescent="0.3">
      <c r="A135" s="14" t="s">
        <v>148</v>
      </c>
      <c r="B135" s="15" t="s">
        <v>152</v>
      </c>
      <c r="C135" s="16">
        <v>-0.11484087020243849</v>
      </c>
      <c r="D135" s="16">
        <v>-0.20227738040014648</v>
      </c>
      <c r="E135" s="16">
        <v>-0.28535816270910724</v>
      </c>
      <c r="F135" s="16">
        <v>-0.3546539937712927</v>
      </c>
      <c r="G135" s="16">
        <v>-0.41221973724891858</v>
      </c>
      <c r="H135" s="16">
        <v>-0.46011025680420059</v>
      </c>
      <c r="I135" s="16">
        <v>-0.50038041609935446</v>
      </c>
      <c r="J135" s="16">
        <v>-0.53508507879659584</v>
      </c>
      <c r="K135" s="16">
        <v>-0.56627910855814045</v>
      </c>
      <c r="L135" s="16">
        <v>-0.59601736904620439</v>
      </c>
      <c r="M135" s="16">
        <v>-0.62635472392300295</v>
      </c>
      <c r="N135" s="16">
        <v>-0.65934603685075188</v>
      </c>
      <c r="O135" s="16">
        <v>-0.69704617149166703</v>
      </c>
      <c r="P135" s="16">
        <v>-0.74150999150796415</v>
      </c>
      <c r="Q135" s="16">
        <v>-0.79479236056185854</v>
      </c>
    </row>
    <row r="136" spans="1:17" x14ac:dyDescent="0.3">
      <c r="A136" s="14" t="s">
        <v>148</v>
      </c>
      <c r="B136" s="15" t="s">
        <v>153</v>
      </c>
      <c r="C136" s="16">
        <v>-0.11500520610973887</v>
      </c>
      <c r="D136" s="16">
        <v>-0.20240342815020076</v>
      </c>
      <c r="E136" s="16">
        <v>-0.28520491954539284</v>
      </c>
      <c r="F136" s="16">
        <v>-0.35390784774321027</v>
      </c>
      <c r="G136" s="16">
        <v>-0.41051090080252184</v>
      </c>
      <c r="H136" s="16">
        <v>-0.45701276678219638</v>
      </c>
      <c r="I136" s="16">
        <v>-0.49541213374110282</v>
      </c>
      <c r="J136" s="16">
        <v>-0.52770768973811033</v>
      </c>
      <c r="K136" s="16">
        <v>-0.55589812283208739</v>
      </c>
      <c r="L136" s="16">
        <v>-0.58198212108190339</v>
      </c>
      <c r="M136" s="16">
        <v>-0.60795837254642637</v>
      </c>
      <c r="N136" s="16">
        <v>-0.63582556528452638</v>
      </c>
      <c r="O136" s="16">
        <v>-0.66758238735507158</v>
      </c>
      <c r="P136" s="16">
        <v>-0.70522752681693068</v>
      </c>
      <c r="Q136" s="16">
        <v>-0.75075967172897329</v>
      </c>
    </row>
    <row r="137" spans="1:17" x14ac:dyDescent="0.3">
      <c r="A137" s="14" t="s">
        <v>154</v>
      </c>
      <c r="B137" s="15" t="s">
        <v>155</v>
      </c>
      <c r="C137" s="16">
        <v>-0.13935530076280797</v>
      </c>
      <c r="D137" s="16">
        <v>-0.24129953275800853</v>
      </c>
      <c r="E137" s="16">
        <v>-0.3339202979924768</v>
      </c>
      <c r="F137" s="16">
        <v>-0.40642088310353025</v>
      </c>
      <c r="G137" s="16">
        <v>-0.46194010480476744</v>
      </c>
      <c r="H137" s="16">
        <v>-0.50361677980978681</v>
      </c>
      <c r="I137" s="16">
        <v>-0.53458972483218681</v>
      </c>
      <c r="J137" s="16">
        <v>-0.55799775658556572</v>
      </c>
      <c r="K137" s="16">
        <v>-0.57697969178352204</v>
      </c>
      <c r="L137" s="16">
        <v>-0.59467434713965428</v>
      </c>
      <c r="M137" s="16">
        <v>-0.61422053936756105</v>
      </c>
      <c r="N137" s="16">
        <v>-0.63875708518084073</v>
      </c>
      <c r="O137" s="16">
        <v>-0.67142280129309106</v>
      </c>
      <c r="P137" s="16">
        <v>-0.71535650441791154</v>
      </c>
      <c r="Q137" s="16">
        <v>-0.77369701126889967</v>
      </c>
    </row>
    <row r="138" spans="1:17" x14ac:dyDescent="0.3">
      <c r="A138" s="14" t="s">
        <v>154</v>
      </c>
      <c r="B138" s="15" t="s">
        <v>156</v>
      </c>
      <c r="C138" s="16">
        <v>-0.1422442570300296</v>
      </c>
      <c r="D138" s="16">
        <v>-0.24525756141360794</v>
      </c>
      <c r="E138" s="16">
        <v>-0.33772145083494631</v>
      </c>
      <c r="F138" s="16">
        <v>-0.40875726544873292</v>
      </c>
      <c r="G138" s="16">
        <v>-0.46171077111265874</v>
      </c>
      <c r="H138" s="16">
        <v>-0.49992773368441457</v>
      </c>
      <c r="I138" s="16">
        <v>-0.52675391902169177</v>
      </c>
      <c r="J138" s="16">
        <v>-0.54553509298218117</v>
      </c>
      <c r="K138" s="16">
        <v>-0.55961702142357383</v>
      </c>
      <c r="L138" s="16">
        <v>-0.57234547020356075</v>
      </c>
      <c r="M138" s="16">
        <v>-0.58706620517983299</v>
      </c>
      <c r="N138" s="16">
        <v>-0.60712499221008132</v>
      </c>
      <c r="O138" s="16">
        <v>-0.63586759715199703</v>
      </c>
      <c r="P138" s="16">
        <v>-0.67663978586327123</v>
      </c>
      <c r="Q138" s="16">
        <v>-0.73278732420159476</v>
      </c>
    </row>
    <row r="139" spans="1:17" x14ac:dyDescent="0.3">
      <c r="A139" s="14" t="s">
        <v>154</v>
      </c>
      <c r="B139" s="15" t="s">
        <v>157</v>
      </c>
      <c r="C139" s="16">
        <v>-0.13857662229171219</v>
      </c>
      <c r="D139" s="16">
        <v>-0.24021418803202338</v>
      </c>
      <c r="E139" s="16">
        <v>-0.33275175320127376</v>
      </c>
      <c r="F139" s="16">
        <v>-0.40531868989377495</v>
      </c>
      <c r="G139" s="16">
        <v>-0.46090203243300965</v>
      </c>
      <c r="H139" s="16">
        <v>-0.50248881514246069</v>
      </c>
      <c r="I139" s="16">
        <v>-0.53306607234561076</v>
      </c>
      <c r="J139" s="16">
        <v>-0.55562083836594256</v>
      </c>
      <c r="K139" s="16">
        <v>-0.57314014752693887</v>
      </c>
      <c r="L139" s="16">
        <v>-0.5886110341520826</v>
      </c>
      <c r="M139" s="16">
        <v>-0.60502053256485633</v>
      </c>
      <c r="N139" s="16">
        <v>-0.62535567708874273</v>
      </c>
      <c r="O139" s="16">
        <v>-0.65260350204722462</v>
      </c>
      <c r="P139" s="16">
        <v>-0.6897510417637851</v>
      </c>
      <c r="Q139" s="16">
        <v>-0.73978533056190676</v>
      </c>
    </row>
    <row r="140" spans="1:17" x14ac:dyDescent="0.3">
      <c r="A140" s="14" t="s">
        <v>154</v>
      </c>
      <c r="B140" s="15" t="s">
        <v>158</v>
      </c>
      <c r="C140" s="16">
        <v>-0.11005849197403969</v>
      </c>
      <c r="D140" s="16">
        <v>-0.19218458614065081</v>
      </c>
      <c r="E140" s="16">
        <v>-0.26868164028860747</v>
      </c>
      <c r="F140" s="16">
        <v>-0.33095756857306347</v>
      </c>
      <c r="G140" s="16">
        <v>-0.38142613434657691</v>
      </c>
      <c r="H140" s="16">
        <v>-0.42250110096170573</v>
      </c>
      <c r="I140" s="16">
        <v>-0.45659623177100783</v>
      </c>
      <c r="J140" s="16">
        <v>-0.48612529012704109</v>
      </c>
      <c r="K140" s="16">
        <v>-0.5135020393823635</v>
      </c>
      <c r="L140" s="16">
        <v>-0.54114024288953311</v>
      </c>
      <c r="M140" s="16">
        <v>-0.57145366400110775</v>
      </c>
      <c r="N140" s="16">
        <v>-0.60685606606964559</v>
      </c>
      <c r="O140" s="16">
        <v>-0.64976121244770391</v>
      </c>
      <c r="P140" s="16">
        <v>-0.70258286648784163</v>
      </c>
      <c r="Q140" s="16">
        <v>-0.76773479154261615</v>
      </c>
    </row>
    <row r="141" spans="1:17" x14ac:dyDescent="0.3">
      <c r="A141" s="14" t="s">
        <v>154</v>
      </c>
      <c r="B141" s="15" t="s">
        <v>159</v>
      </c>
      <c r="C141" s="16">
        <v>-0.15454965540403162</v>
      </c>
      <c r="D141" s="16">
        <v>-0.26497022353757888</v>
      </c>
      <c r="E141" s="16">
        <v>-0.36254611957014121</v>
      </c>
      <c r="F141" s="16">
        <v>-0.435778486421602</v>
      </c>
      <c r="G141" s="16">
        <v>-0.48862343255224755</v>
      </c>
      <c r="H141" s="16">
        <v>-0.52503706642236414</v>
      </c>
      <c r="I141" s="16">
        <v>-0.54897549649223842</v>
      </c>
      <c r="J141" s="16">
        <v>-0.56439483122215672</v>
      </c>
      <c r="K141" s="16">
        <v>-0.57525117907240531</v>
      </c>
      <c r="L141" s="16">
        <v>-0.58550064850327099</v>
      </c>
      <c r="M141" s="16">
        <v>-0.59909934797503916</v>
      </c>
      <c r="N141" s="16">
        <v>-0.62000338594799764</v>
      </c>
      <c r="O141" s="16">
        <v>-0.65216887088243203</v>
      </c>
      <c r="P141" s="16">
        <v>-0.69955191123862859</v>
      </c>
      <c r="Q141" s="16">
        <v>-0.76610861547687392</v>
      </c>
    </row>
    <row r="142" spans="1:17" x14ac:dyDescent="0.3">
      <c r="A142" s="14" t="s">
        <v>154</v>
      </c>
      <c r="B142" s="15" t="s">
        <v>160</v>
      </c>
      <c r="C142" s="16">
        <v>-0.14280356315787346</v>
      </c>
      <c r="D142" s="16">
        <v>-0.24580910508457032</v>
      </c>
      <c r="E142" s="16">
        <v>-0.33792454181333681</v>
      </c>
      <c r="F142" s="16">
        <v>-0.40840562758769844</v>
      </c>
      <c r="G142" s="16">
        <v>-0.46078847296696807</v>
      </c>
      <c r="H142" s="16">
        <v>-0.49860918851045827</v>
      </c>
      <c r="I142" s="16">
        <v>-0.52540388477748201</v>
      </c>
      <c r="J142" s="16">
        <v>-0.54470867232735232</v>
      </c>
      <c r="K142" s="16">
        <v>-0.56005966171938171</v>
      </c>
      <c r="L142" s="16">
        <v>-0.57499296351288298</v>
      </c>
      <c r="M142" s="16">
        <v>-0.59304468826716905</v>
      </c>
      <c r="N142" s="16">
        <v>-0.61775094654155227</v>
      </c>
      <c r="O142" s="16">
        <v>-0.65264784889534599</v>
      </c>
      <c r="P142" s="16">
        <v>-0.70127150588786291</v>
      </c>
      <c r="Q142" s="16">
        <v>-0.76715802807841604</v>
      </c>
    </row>
    <row r="143" spans="1:17" x14ac:dyDescent="0.3">
      <c r="A143" s="14" t="s">
        <v>154</v>
      </c>
      <c r="B143" s="15" t="s">
        <v>161</v>
      </c>
      <c r="C143" s="16">
        <v>-0.14274431788641812</v>
      </c>
      <c r="D143" s="16">
        <v>-0.24566292357114672</v>
      </c>
      <c r="E143" s="16">
        <v>-0.33765875968949233</v>
      </c>
      <c r="F143" s="16">
        <v>-0.4080052946917333</v>
      </c>
      <c r="G143" s="16">
        <v>-0.46025042881678985</v>
      </c>
      <c r="H143" s="16">
        <v>-0.49794206230358218</v>
      </c>
      <c r="I143" s="16">
        <v>-0.52462809539103028</v>
      </c>
      <c r="J143" s="16">
        <v>-0.54385642831805492</v>
      </c>
      <c r="K143" s="16">
        <v>-0.55917496132357591</v>
      </c>
      <c r="L143" s="16">
        <v>-0.5741315946465132</v>
      </c>
      <c r="M143" s="16">
        <v>-0.59227422852578737</v>
      </c>
      <c r="N143" s="16">
        <v>-0.6171507632003187</v>
      </c>
      <c r="O143" s="16">
        <v>-0.65230909890902689</v>
      </c>
      <c r="P143" s="16">
        <v>-0.70129713589083242</v>
      </c>
      <c r="Q143" s="16">
        <v>-0.76766277438465647</v>
      </c>
    </row>
    <row r="144" spans="1:17" x14ac:dyDescent="0.3">
      <c r="A144" s="14" t="s">
        <v>154</v>
      </c>
      <c r="B144" s="15" t="s">
        <v>162</v>
      </c>
      <c r="C144" s="16">
        <v>-0.14034586969850366</v>
      </c>
      <c r="D144" s="16">
        <v>-0.24203645605484142</v>
      </c>
      <c r="E144" s="16">
        <v>-0.33344825878803147</v>
      </c>
      <c r="F144" s="16">
        <v>-0.40392775616108412</v>
      </c>
      <c r="G144" s="16">
        <v>-0.45685601340686022</v>
      </c>
      <c r="H144" s="16">
        <v>-0.49561409575822052</v>
      </c>
      <c r="I144" s="16">
        <v>-0.52358306844802582</v>
      </c>
      <c r="J144" s="16">
        <v>-0.54414399670913682</v>
      </c>
      <c r="K144" s="16">
        <v>-0.56067794577441432</v>
      </c>
      <c r="L144" s="16">
        <v>-0.57656598087671929</v>
      </c>
      <c r="M144" s="16">
        <v>-0.59518916724891213</v>
      </c>
      <c r="N144" s="16">
        <v>-0.61992857012385427</v>
      </c>
      <c r="O144" s="16">
        <v>-0.65416525473440568</v>
      </c>
      <c r="P144" s="16">
        <v>-0.70128028631342765</v>
      </c>
      <c r="Q144" s="16">
        <v>-0.76465473009378093</v>
      </c>
    </row>
    <row r="145" spans="1:17" x14ac:dyDescent="0.3">
      <c r="A145" s="14" t="s">
        <v>154</v>
      </c>
      <c r="B145" s="15" t="s">
        <v>163</v>
      </c>
      <c r="C145" s="16">
        <v>-0.14022848391565595</v>
      </c>
      <c r="D145" s="16">
        <v>-0.24207216079781621</v>
      </c>
      <c r="E145" s="16">
        <v>-0.33399215433186163</v>
      </c>
      <c r="F145" s="16">
        <v>-0.40543485078822417</v>
      </c>
      <c r="G145" s="16">
        <v>-0.45986948482890094</v>
      </c>
      <c r="H145" s="16">
        <v>-0.50076529111588919</v>
      </c>
      <c r="I145" s="16">
        <v>-0.5315915043111864</v>
      </c>
      <c r="J145" s="16">
        <v>-0.55581735907678975</v>
      </c>
      <c r="K145" s="16">
        <v>-0.57691209007469646</v>
      </c>
      <c r="L145" s="16">
        <v>-0.5983449319669043</v>
      </c>
      <c r="M145" s="16">
        <v>-0.62358511941540984</v>
      </c>
      <c r="N145" s="16">
        <v>-0.65610188708221062</v>
      </c>
      <c r="O145" s="16">
        <v>-0.69936446962930454</v>
      </c>
      <c r="P145" s="16">
        <v>-0.75684210171868838</v>
      </c>
      <c r="Q145" s="16">
        <v>-0.83200401801235913</v>
      </c>
    </row>
    <row r="146" spans="1:17" x14ac:dyDescent="0.3">
      <c r="A146" s="14" t="s">
        <v>154</v>
      </c>
      <c r="B146" s="15" t="s">
        <v>164</v>
      </c>
      <c r="C146" s="16">
        <v>-0.14280356315787346</v>
      </c>
      <c r="D146" s="16">
        <v>-0.24580910508457032</v>
      </c>
      <c r="E146" s="16">
        <v>-0.33792454181333681</v>
      </c>
      <c r="F146" s="16">
        <v>-0.40840562758769844</v>
      </c>
      <c r="G146" s="16">
        <v>-0.46078847296696807</v>
      </c>
      <c r="H146" s="16">
        <v>-0.49860918851045827</v>
      </c>
      <c r="I146" s="16">
        <v>-0.52540388477748201</v>
      </c>
      <c r="J146" s="16">
        <v>-0.54470867232735232</v>
      </c>
      <c r="K146" s="16">
        <v>-0.56005966171938171</v>
      </c>
      <c r="L146" s="16">
        <v>-0.57499296351288298</v>
      </c>
      <c r="M146" s="16">
        <v>-0.59304468826716905</v>
      </c>
      <c r="N146" s="16">
        <v>-0.61775094654155227</v>
      </c>
      <c r="O146" s="16">
        <v>-0.65264784889534599</v>
      </c>
      <c r="P146" s="16">
        <v>-0.70127150588786291</v>
      </c>
      <c r="Q146" s="16">
        <v>-0.76715802807841604</v>
      </c>
    </row>
    <row r="147" spans="1:17" x14ac:dyDescent="0.3">
      <c r="A147" s="14" t="s">
        <v>154</v>
      </c>
      <c r="B147" s="15" t="s">
        <v>165</v>
      </c>
      <c r="C147" s="16">
        <v>-0.13033111331153194</v>
      </c>
      <c r="D147" s="16">
        <v>-0.2282075856128635</v>
      </c>
      <c r="E147" s="16">
        <v>-0.31975835480521586</v>
      </c>
      <c r="F147" s="16">
        <v>-0.39441771286969263</v>
      </c>
      <c r="G147" s="16">
        <v>-0.45465306311855064</v>
      </c>
      <c r="H147" s="16">
        <v>-0.50293180886404687</v>
      </c>
      <c r="I147" s="16">
        <v>-0.54172135341843786</v>
      </c>
      <c r="J147" s="16">
        <v>-0.57348910009398091</v>
      </c>
      <c r="K147" s="16">
        <v>-0.60070245220293228</v>
      </c>
      <c r="L147" s="16">
        <v>-0.62582881305754945</v>
      </c>
      <c r="M147" s="16">
        <v>-0.65133558597008889</v>
      </c>
      <c r="N147" s="16">
        <v>-0.67969017425280731</v>
      </c>
      <c r="O147" s="16">
        <v>-0.71335998121796196</v>
      </c>
      <c r="P147" s="16">
        <v>-0.75481241017780909</v>
      </c>
      <c r="Q147" s="16">
        <v>-0.80651486444460618</v>
      </c>
    </row>
    <row r="148" spans="1:17" x14ac:dyDescent="0.3">
      <c r="A148" s="14" t="s">
        <v>166</v>
      </c>
      <c r="B148" s="15" t="s">
        <v>167</v>
      </c>
      <c r="C148" s="16">
        <v>-0.11292985131496236</v>
      </c>
      <c r="D148" s="16">
        <v>-0.19895453372298932</v>
      </c>
      <c r="E148" s="16">
        <v>-0.28107775896557413</v>
      </c>
      <c r="F148" s="16">
        <v>-0.3503981292052879</v>
      </c>
      <c r="G148" s="16">
        <v>-3.5720452926652435E-2</v>
      </c>
      <c r="H148" s="16">
        <v>0</v>
      </c>
      <c r="I148" s="16">
        <v>-0.45893720376316305</v>
      </c>
      <c r="J148" s="16">
        <v>-5.0993022640351438E-2</v>
      </c>
      <c r="K148" s="16">
        <v>-0.53349717916687944</v>
      </c>
      <c r="L148" s="16">
        <v>-0.63138928405105144</v>
      </c>
      <c r="M148" s="16">
        <v>-0.67805411350455436</v>
      </c>
      <c r="N148" s="16">
        <v>-0.73104878630772518</v>
      </c>
      <c r="O148" s="16">
        <v>-0.79276488975463122</v>
      </c>
      <c r="P148" s="16">
        <v>-0.86559401113933998</v>
      </c>
      <c r="Q148" s="16">
        <v>-0.95192773775591899</v>
      </c>
    </row>
    <row r="149" spans="1:17" x14ac:dyDescent="0.3">
      <c r="A149" s="14" t="s">
        <v>166</v>
      </c>
      <c r="B149" s="15" t="s">
        <v>168</v>
      </c>
      <c r="C149" s="16">
        <v>-8.2061484176069593E-2</v>
      </c>
      <c r="D149" s="16">
        <v>-0.15427479185047599</v>
      </c>
      <c r="E149" s="16">
        <v>-0.23261447210054861</v>
      </c>
      <c r="F149" s="16">
        <v>-0.30859070962758123</v>
      </c>
      <c r="G149" s="16">
        <v>-3.1616441528617312E-2</v>
      </c>
      <c r="H149" s="16">
        <v>0</v>
      </c>
      <c r="I149" s="16">
        <v>-0.47356925378943043</v>
      </c>
      <c r="J149" s="16">
        <v>-5.2618805976603344E-2</v>
      </c>
      <c r="K149" s="16">
        <v>-0.58413979458903453</v>
      </c>
      <c r="L149" s="16">
        <v>-0.69893049226437864</v>
      </c>
      <c r="M149" s="16">
        <v>-0.75041995805935191</v>
      </c>
      <c r="N149" s="16">
        <v>-0.79727664608249116</v>
      </c>
      <c r="O149" s="16">
        <v>-0.83921688945269701</v>
      </c>
      <c r="P149" s="16">
        <v>-0.87595702128887021</v>
      </c>
      <c r="Q149" s="16">
        <v>-0.90721337470991159</v>
      </c>
    </row>
    <row r="150" spans="1:17" x14ac:dyDescent="0.3">
      <c r="A150" s="14" t="s">
        <v>166</v>
      </c>
      <c r="B150" s="15" t="s">
        <v>169</v>
      </c>
      <c r="C150" s="16">
        <v>-9.514135342323779E-2</v>
      </c>
      <c r="D150" s="16">
        <v>-0.17461977196430101</v>
      </c>
      <c r="E150" s="16">
        <v>-0.25718636781234883</v>
      </c>
      <c r="F150" s="16">
        <v>-0.33377816279548406</v>
      </c>
      <c r="G150" s="16">
        <v>-3.4137804544231876E-2</v>
      </c>
      <c r="H150" s="16">
        <v>0</v>
      </c>
      <c r="I150" s="16">
        <v>-0.48447718709796928</v>
      </c>
      <c r="J150" s="16">
        <v>-5.3830798566441018E-2</v>
      </c>
      <c r="K150" s="16">
        <v>-0.58339566137784848</v>
      </c>
      <c r="L150" s="16">
        <v>-0.69312291607502174</v>
      </c>
      <c r="M150" s="16">
        <v>-0.74052350577571402</v>
      </c>
      <c r="N150" s="16">
        <v>-0.78555855197490687</v>
      </c>
      <c r="O150" s="16">
        <v>-0.8286792118430264</v>
      </c>
      <c r="P150" s="16">
        <v>-0.87033664255049958</v>
      </c>
      <c r="Q150" s="16">
        <v>-0.91098200126775286</v>
      </c>
    </row>
    <row r="151" spans="1:17" x14ac:dyDescent="0.3">
      <c r="A151" s="14" t="s">
        <v>166</v>
      </c>
      <c r="B151" s="15" t="s">
        <v>170</v>
      </c>
      <c r="C151" s="16">
        <v>-9.5268544198350721E-2</v>
      </c>
      <c r="D151" s="16">
        <v>-0.17366181651838564</v>
      </c>
      <c r="E151" s="16">
        <v>-0.25411458814182813</v>
      </c>
      <c r="F151" s="16">
        <v>-0.32787506372748021</v>
      </c>
      <c r="G151" s="16">
        <v>-3.351849633847459E-2</v>
      </c>
      <c r="H151" s="16">
        <v>0</v>
      </c>
      <c r="I151" s="16">
        <v>-0.47028942279858116</v>
      </c>
      <c r="J151" s="16">
        <v>-5.2254380310953474E-2</v>
      </c>
      <c r="K151" s="16">
        <v>-0.56572664584629562</v>
      </c>
      <c r="L151" s="16">
        <v>-0.67330300885146921</v>
      </c>
      <c r="M151" s="16">
        <v>-0.72191906637442615</v>
      </c>
      <c r="N151" s="16">
        <v>-0.77004330048868908</v>
      </c>
      <c r="O151" s="16">
        <v>-0.81845077027289515</v>
      </c>
      <c r="P151" s="16">
        <v>-0.86791653480568154</v>
      </c>
      <c r="Q151" s="16">
        <v>-0.91921565316568488</v>
      </c>
    </row>
    <row r="152" spans="1:17" x14ac:dyDescent="0.3">
      <c r="A152" s="14" t="s">
        <v>166</v>
      </c>
      <c r="B152" s="15" t="s">
        <v>171</v>
      </c>
      <c r="C152" s="16">
        <v>-9.7141670769740396E-2</v>
      </c>
      <c r="D152" s="16">
        <v>-0.17670490052833249</v>
      </c>
      <c r="E152" s="16">
        <v>-0.25800733728550618</v>
      </c>
      <c r="F152" s="16">
        <v>-0.3321827273761655</v>
      </c>
      <c r="G152" s="16">
        <v>-3.3952984383197826E-2</v>
      </c>
      <c r="H152" s="16">
        <v>0</v>
      </c>
      <c r="I152" s="16">
        <v>-0.4735520457058599</v>
      </c>
      <c r="J152" s="16">
        <v>-5.2616893967317779E-2</v>
      </c>
      <c r="K152" s="16">
        <v>-0.56783592554259621</v>
      </c>
      <c r="L152" s="16">
        <v>-0.6750502389884836</v>
      </c>
      <c r="M152" s="16">
        <v>-0.72307787794612455</v>
      </c>
      <c r="N152" s="16">
        <v>-0.77076177753227459</v>
      </c>
      <c r="O152" s="16">
        <v>-0.81894985115881214</v>
      </c>
      <c r="P152" s="16">
        <v>-0.86849001223761435</v>
      </c>
      <c r="Q152" s="16">
        <v>-0.92023017418055986</v>
      </c>
    </row>
    <row r="153" spans="1:17" x14ac:dyDescent="0.3">
      <c r="A153" s="14" t="s">
        <v>166</v>
      </c>
      <c r="B153" s="15" t="s">
        <v>172</v>
      </c>
      <c r="C153" s="16">
        <v>-9.4823371596747946E-2</v>
      </c>
      <c r="D153" s="16">
        <v>-0.17306887253657516</v>
      </c>
      <c r="E153" s="16">
        <v>-0.25356431487723996</v>
      </c>
      <c r="F153" s="16">
        <v>-0.327551284069305</v>
      </c>
      <c r="G153" s="16">
        <v>-3.3488562017963575E-2</v>
      </c>
      <c r="H153" s="16">
        <v>0</v>
      </c>
      <c r="I153" s="16">
        <v>-0.47118459983982991</v>
      </c>
      <c r="J153" s="16">
        <v>-5.2353844426647755E-2</v>
      </c>
      <c r="K153" s="16">
        <v>-0.56735865336676239</v>
      </c>
      <c r="L153" s="16">
        <v>-0.67533482927440303</v>
      </c>
      <c r="M153" s="16">
        <v>-0.72403231951292091</v>
      </c>
      <c r="N153" s="16">
        <v>-0.77201271748473943</v>
      </c>
      <c r="O153" s="16">
        <v>-0.81999994580009594</v>
      </c>
      <c r="P153" s="16">
        <v>-0.86871792706922812</v>
      </c>
      <c r="Q153" s="16">
        <v>-0.91889058390237333</v>
      </c>
    </row>
    <row r="154" spans="1:17" x14ac:dyDescent="0.3">
      <c r="A154" s="14" t="s">
        <v>173</v>
      </c>
      <c r="B154" s="15" t="s">
        <v>174</v>
      </c>
      <c r="C154" s="16">
        <v>-0.13027519918776126</v>
      </c>
      <c r="D154" s="16">
        <v>-0.2264341103086302</v>
      </c>
      <c r="E154" s="16">
        <v>-0.31466290833995014</v>
      </c>
      <c r="F154" s="16">
        <v>-0.38468333069704819</v>
      </c>
      <c r="G154" s="16">
        <v>-0.43924463471402753</v>
      </c>
      <c r="H154" s="16">
        <v>-0.48109607772499136</v>
      </c>
      <c r="I154" s="16">
        <v>-0.51298691706404276</v>
      </c>
      <c r="J154" s="16">
        <v>-0.53766641006528515</v>
      </c>
      <c r="K154" s="16">
        <v>-0.55788381406282173</v>
      </c>
      <c r="L154" s="16">
        <v>-0.57638838639075551</v>
      </c>
      <c r="M154" s="16">
        <v>-0.59592938438318965</v>
      </c>
      <c r="N154" s="16">
        <v>-0.61925606537422784</v>
      </c>
      <c r="O154" s="16">
        <v>-0.64911768669797254</v>
      </c>
      <c r="P154" s="16">
        <v>-0.68826350568852734</v>
      </c>
      <c r="Q154" s="16">
        <v>-0.73944277967999594</v>
      </c>
    </row>
    <row r="155" spans="1:17" x14ac:dyDescent="0.3">
      <c r="A155" s="14" t="s">
        <v>173</v>
      </c>
      <c r="B155" s="15" t="s">
        <v>175</v>
      </c>
      <c r="C155" s="16">
        <v>-0.12015601948212097</v>
      </c>
      <c r="D155" s="16">
        <v>-0.20960888594034896</v>
      </c>
      <c r="E155" s="16">
        <v>-0.29248050862676117</v>
      </c>
      <c r="F155" s="16">
        <v>-0.35916317439272033</v>
      </c>
      <c r="G155" s="16">
        <v>-0.41206477203780156</v>
      </c>
      <c r="H155" s="16">
        <v>-0.45359319036157975</v>
      </c>
      <c r="I155" s="16">
        <v>-0.48615631816362986</v>
      </c>
      <c r="J155" s="16">
        <v>-0.51216204424352707</v>
      </c>
      <c r="K155" s="16">
        <v>-0.53401825740084607</v>
      </c>
      <c r="L155" s="16">
        <v>-0.55413284643516214</v>
      </c>
      <c r="M155" s="16">
        <v>-0.57491370014604981</v>
      </c>
      <c r="N155" s="16">
        <v>-0.59876870733308474</v>
      </c>
      <c r="O155" s="16">
        <v>-0.62810575679584124</v>
      </c>
      <c r="P155" s="16">
        <v>-0.66533273733389442</v>
      </c>
      <c r="Q155" s="16">
        <v>-0.7128575377468197</v>
      </c>
    </row>
    <row r="156" spans="1:17" x14ac:dyDescent="0.3">
      <c r="A156" s="14" t="s">
        <v>173</v>
      </c>
      <c r="B156" s="15" t="s">
        <v>176</v>
      </c>
      <c r="C156" s="16">
        <v>-0.13043559310071229</v>
      </c>
      <c r="D156" s="16">
        <v>-0.22668079288803888</v>
      </c>
      <c r="E156" s="16">
        <v>-0.31495537459461564</v>
      </c>
      <c r="F156" s="16">
        <v>-0.38497389539379795</v>
      </c>
      <c r="G156" s="16">
        <v>-0.43949447176901241</v>
      </c>
      <c r="H156" s="16">
        <v>-0.48127522020368563</v>
      </c>
      <c r="I156" s="16">
        <v>-0.51307425718124433</v>
      </c>
      <c r="J156" s="16">
        <v>-0.53764969918511485</v>
      </c>
      <c r="K156" s="16">
        <v>-0.55775966269872401</v>
      </c>
      <c r="L156" s="16">
        <v>-0.57616226420549843</v>
      </c>
      <c r="M156" s="16">
        <v>-0.59561562018886471</v>
      </c>
      <c r="N156" s="16">
        <v>-0.61887784713224914</v>
      </c>
      <c r="O156" s="16">
        <v>-0.64870706151907898</v>
      </c>
      <c r="P156" s="16">
        <v>-0.68786137983278028</v>
      </c>
      <c r="Q156" s="16">
        <v>-0.73909891855677956</v>
      </c>
    </row>
    <row r="157" spans="1:17" x14ac:dyDescent="0.3">
      <c r="A157" s="14" t="s">
        <v>173</v>
      </c>
      <c r="B157" s="15" t="s">
        <v>177</v>
      </c>
      <c r="C157" s="16">
        <v>-0.14394058744502525</v>
      </c>
      <c r="D157" s="16">
        <v>-0.24817237263644731</v>
      </c>
      <c r="E157" s="16">
        <v>-0.34178681945904388</v>
      </c>
      <c r="F157" s="16">
        <v>-0.41385219769560322</v>
      </c>
      <c r="G157" s="16">
        <v>-0.46783083587341606</v>
      </c>
      <c r="H157" s="16">
        <v>-0.50718506251977302</v>
      </c>
      <c r="I157" s="16">
        <v>-0.53537720616196516</v>
      </c>
      <c r="J157" s="16">
        <v>-0.55586959532728297</v>
      </c>
      <c r="K157" s="16">
        <v>-0.57212455854301703</v>
      </c>
      <c r="L157" s="16">
        <v>-0.58760442433645865</v>
      </c>
      <c r="M157" s="16">
        <v>-0.60577152123489775</v>
      </c>
      <c r="N157" s="16">
        <v>-0.63008817776562609</v>
      </c>
      <c r="O157" s="16">
        <v>-0.66401672245593357</v>
      </c>
      <c r="P157" s="16">
        <v>-0.7110194838331112</v>
      </c>
      <c r="Q157" s="16">
        <v>-0.77455879042444986</v>
      </c>
    </row>
    <row r="158" spans="1:17" x14ac:dyDescent="0.3">
      <c r="A158" s="14" t="s">
        <v>173</v>
      </c>
      <c r="B158" s="15" t="s">
        <v>178</v>
      </c>
      <c r="C158" s="16">
        <v>-0.12618250964956104</v>
      </c>
      <c r="D158" s="16">
        <v>-0.21957586150284025</v>
      </c>
      <c r="E158" s="16">
        <v>-0.3059703353526832</v>
      </c>
      <c r="F158" s="16">
        <v>-0.37585322438200103</v>
      </c>
      <c r="G158" s="16">
        <v>-0.4323300727386612</v>
      </c>
      <c r="H158" s="16">
        <v>-0.47850642457053122</v>
      </c>
      <c r="I158" s="16">
        <v>-0.51748782402547822</v>
      </c>
      <c r="J158" s="16">
        <v>-0.55237981525136959</v>
      </c>
      <c r="K158" s="16">
        <v>-0.58628794239607285</v>
      </c>
      <c r="L158" s="16">
        <v>-0.62231774960745512</v>
      </c>
      <c r="M158" s="16">
        <v>-0.66357478103338419</v>
      </c>
      <c r="N158" s="16">
        <v>-0.71316458082172718</v>
      </c>
      <c r="O158" s="16">
        <v>-0.77419269312035122</v>
      </c>
      <c r="P158" s="16">
        <v>-0.84976466207712431</v>
      </c>
      <c r="Q158" s="16">
        <v>-0.94298603183991281</v>
      </c>
    </row>
    <row r="159" spans="1:17" x14ac:dyDescent="0.3">
      <c r="A159" s="14" t="s">
        <v>173</v>
      </c>
      <c r="B159" s="15" t="s">
        <v>179</v>
      </c>
      <c r="C159" s="16">
        <v>-0.13043559310071229</v>
      </c>
      <c r="D159" s="16">
        <v>-0.22668079288803888</v>
      </c>
      <c r="E159" s="16">
        <v>-0.31495537459461564</v>
      </c>
      <c r="F159" s="16">
        <v>-0.38497389539379795</v>
      </c>
      <c r="G159" s="16">
        <v>-0.43949447176901241</v>
      </c>
      <c r="H159" s="16">
        <v>-0.48127522020368563</v>
      </c>
      <c r="I159" s="16">
        <v>-0.51307425718124433</v>
      </c>
      <c r="J159" s="16">
        <v>-0.53764969918511485</v>
      </c>
      <c r="K159" s="16">
        <v>-0.55775966269872401</v>
      </c>
      <c r="L159" s="16">
        <v>-0.57616226420549843</v>
      </c>
      <c r="M159" s="16">
        <v>-0.59561562018886471</v>
      </c>
      <c r="N159" s="16">
        <v>-0.61887784713224914</v>
      </c>
      <c r="O159" s="16">
        <v>-0.64870706151907898</v>
      </c>
      <c r="P159" s="16">
        <v>-0.68786137983278028</v>
      </c>
      <c r="Q159" s="16">
        <v>-0.73909891855677956</v>
      </c>
    </row>
    <row r="160" spans="1:17" x14ac:dyDescent="0.3">
      <c r="A160" s="14" t="s">
        <v>173</v>
      </c>
      <c r="B160" s="15" t="s">
        <v>180</v>
      </c>
      <c r="C160" s="16">
        <v>-0.11951087574921186</v>
      </c>
      <c r="D160" s="16">
        <v>-0.21059732817195204</v>
      </c>
      <c r="E160" s="16">
        <v>-0.29719667997101962</v>
      </c>
      <c r="F160" s="16">
        <v>-0.3694306415626244</v>
      </c>
      <c r="G160" s="16">
        <v>-0.42937201093789734</v>
      </c>
      <c r="H160" s="16">
        <v>-0.47909358608796926</v>
      </c>
      <c r="I160" s="16">
        <v>-0.52066816500397128</v>
      </c>
      <c r="J160" s="16">
        <v>-0.55616854567703422</v>
      </c>
      <c r="K160" s="16">
        <v>-0.58766752609828909</v>
      </c>
      <c r="L160" s="16">
        <v>-0.61723790425886704</v>
      </c>
      <c r="M160" s="16">
        <v>-0.64695247814989865</v>
      </c>
      <c r="N160" s="16">
        <v>-0.67888404576251493</v>
      </c>
      <c r="O160" s="16">
        <v>-0.71510540508784715</v>
      </c>
      <c r="P160" s="16">
        <v>-0.75768935411702609</v>
      </c>
      <c r="Q160" s="16">
        <v>-0.80870869084118291</v>
      </c>
    </row>
    <row r="161" spans="1:17" x14ac:dyDescent="0.3">
      <c r="A161" s="14" t="s">
        <v>173</v>
      </c>
      <c r="B161" s="15" t="s">
        <v>181</v>
      </c>
      <c r="C161" s="16">
        <v>-0.12592150378395123</v>
      </c>
      <c r="D161" s="16">
        <v>-0.21975150125452664</v>
      </c>
      <c r="E161" s="16">
        <v>-0.30673370584493242</v>
      </c>
      <c r="F161" s="16">
        <v>-0.37674930915488758</v>
      </c>
      <c r="G161" s="16">
        <v>-0.43227165316250626</v>
      </c>
      <c r="H161" s="16">
        <v>-0.4757740798459027</v>
      </c>
      <c r="I161" s="16">
        <v>-0.50972993118319088</v>
      </c>
      <c r="J161" s="16">
        <v>-0.53661254915248502</v>
      </c>
      <c r="K161" s="16">
        <v>-0.55889527573189923</v>
      </c>
      <c r="L161" s="16">
        <v>-0.57905145289954774</v>
      </c>
      <c r="M161" s="16">
        <v>-0.59955442263354464</v>
      </c>
      <c r="N161" s="16">
        <v>-0.62287752691200393</v>
      </c>
      <c r="O161" s="16">
        <v>-0.65149410771304006</v>
      </c>
      <c r="P161" s="16">
        <v>-0.6878775070147668</v>
      </c>
      <c r="Q161" s="16">
        <v>-0.73450106679529858</v>
      </c>
    </row>
    <row r="162" spans="1:17" x14ac:dyDescent="0.3">
      <c r="A162" s="14" t="s">
        <v>173</v>
      </c>
      <c r="B162" s="15" t="s">
        <v>182</v>
      </c>
      <c r="C162" s="16">
        <v>-0.13043559310071229</v>
      </c>
      <c r="D162" s="16">
        <v>-0.22668079288803888</v>
      </c>
      <c r="E162" s="16">
        <v>-0.31495537459461564</v>
      </c>
      <c r="F162" s="16">
        <v>-0.38497389539379795</v>
      </c>
      <c r="G162" s="16">
        <v>-0.43949447176901241</v>
      </c>
      <c r="H162" s="16">
        <v>-0.48127522020368563</v>
      </c>
      <c r="I162" s="16">
        <v>-0.51307425718124433</v>
      </c>
      <c r="J162" s="16">
        <v>-0.53764969918511485</v>
      </c>
      <c r="K162" s="16">
        <v>-0.55775966269872401</v>
      </c>
      <c r="L162" s="16">
        <v>-0.57616226420549843</v>
      </c>
      <c r="M162" s="16">
        <v>-0.59561562018886471</v>
      </c>
      <c r="N162" s="16">
        <v>-0.61887784713224914</v>
      </c>
      <c r="O162" s="16">
        <v>-0.64870706151907898</v>
      </c>
      <c r="P162" s="16">
        <v>-0.68786137983278028</v>
      </c>
      <c r="Q162" s="16">
        <v>-0.73909891855677956</v>
      </c>
    </row>
    <row r="163" spans="1:17" x14ac:dyDescent="0.3">
      <c r="A163" s="14" t="s">
        <v>183</v>
      </c>
      <c r="B163" s="15" t="s">
        <v>184</v>
      </c>
      <c r="C163" s="16" t="s">
        <v>85</v>
      </c>
      <c r="D163" s="16">
        <v>-0.19720464896873247</v>
      </c>
      <c r="E163" s="16">
        <v>-0.30424580126107204</v>
      </c>
      <c r="F163" s="16">
        <v>-0.39048974402083991</v>
      </c>
      <c r="G163" s="16">
        <v>-0.46794019776566037</v>
      </c>
      <c r="H163" s="16">
        <v>-0.53712836968791799</v>
      </c>
      <c r="I163" s="16">
        <v>-5.4396509526911052E-2</v>
      </c>
      <c r="J163" s="16">
        <v>0</v>
      </c>
      <c r="K163" s="16">
        <v>-0.63461157120790923</v>
      </c>
      <c r="L163" s="16">
        <v>-0.74188238299901621</v>
      </c>
      <c r="M163" s="16">
        <v>-0.77772725369423112</v>
      </c>
      <c r="N163" s="16">
        <v>-0.80849708572119194</v>
      </c>
      <c r="O163" s="16">
        <v>-0.8347230862722832</v>
      </c>
      <c r="P163" s="16">
        <v>-0.85693646253988998</v>
      </c>
      <c r="Q163" s="16">
        <v>-0.87566842171639647</v>
      </c>
    </row>
    <row r="164" spans="1:17" x14ac:dyDescent="0.3">
      <c r="A164" s="14" t="s">
        <v>183</v>
      </c>
      <c r="B164" s="15" t="s">
        <v>185</v>
      </c>
      <c r="C164" s="16" t="s">
        <v>85</v>
      </c>
      <c r="D164" s="16">
        <v>-0.19720464896873247</v>
      </c>
      <c r="E164" s="16">
        <v>-0.30424580126107204</v>
      </c>
      <c r="F164" s="16">
        <v>-0.39048974402083991</v>
      </c>
      <c r="G164" s="16">
        <v>-0.46794019776566037</v>
      </c>
      <c r="H164" s="16">
        <v>-0.53712836968791799</v>
      </c>
      <c r="I164" s="16">
        <v>-5.4396509526911052E-2</v>
      </c>
      <c r="J164" s="16">
        <v>0</v>
      </c>
      <c r="K164" s="16">
        <v>-0.63461157120790923</v>
      </c>
      <c r="L164" s="16">
        <v>-0.74188238299901621</v>
      </c>
      <c r="M164" s="16">
        <v>-0.77772725369423112</v>
      </c>
      <c r="N164" s="16">
        <v>-0.80849708572119194</v>
      </c>
      <c r="O164" s="16">
        <v>-0.8347230862722832</v>
      </c>
      <c r="P164" s="16">
        <v>-0.85693646253988998</v>
      </c>
      <c r="Q164" s="16">
        <v>-0.87566842171639647</v>
      </c>
    </row>
    <row r="165" spans="1:17" x14ac:dyDescent="0.3">
      <c r="A165" s="14" t="s">
        <v>183</v>
      </c>
      <c r="B165" s="15" t="s">
        <v>186</v>
      </c>
      <c r="C165" s="16" t="s">
        <v>85</v>
      </c>
      <c r="D165" s="16">
        <v>-0.19822732089089803</v>
      </c>
      <c r="E165" s="16">
        <v>-0.30537511582610721</v>
      </c>
      <c r="F165" s="16">
        <v>-0.39135886004953818</v>
      </c>
      <c r="G165" s="16">
        <v>-0.46833846824293002</v>
      </c>
      <c r="H165" s="16">
        <v>-0.5369227429755874</v>
      </c>
      <c r="I165" s="16">
        <v>-5.4369782591681515E-2</v>
      </c>
      <c r="J165" s="16">
        <v>0</v>
      </c>
      <c r="K165" s="16">
        <v>-0.63272845856148052</v>
      </c>
      <c r="L165" s="16">
        <v>-0.73948255868496326</v>
      </c>
      <c r="M165" s="16">
        <v>-0.77522220465351699</v>
      </c>
      <c r="N165" s="16">
        <v>-0.80621933257716405</v>
      </c>
      <c r="O165" s="16">
        <v>-0.83308274502520885</v>
      </c>
      <c r="P165" s="16">
        <v>-0.8564212445669559</v>
      </c>
      <c r="Q165" s="16">
        <v>-0.87684363377171015</v>
      </c>
    </row>
    <row r="166" spans="1:17" x14ac:dyDescent="0.3">
      <c r="A166" s="14" t="s">
        <v>183</v>
      </c>
      <c r="B166" s="15" t="s">
        <v>187</v>
      </c>
      <c r="C166" s="16" t="s">
        <v>85</v>
      </c>
      <c r="D166" s="16">
        <v>-0.19571078541601516</v>
      </c>
      <c r="E166" s="16">
        <v>-0.30250944486343312</v>
      </c>
      <c r="F166" s="16">
        <v>-0.38902314096825535</v>
      </c>
      <c r="G166" s="16">
        <v>-0.46706838812006096</v>
      </c>
      <c r="H166" s="16">
        <v>-0.53709957106114503</v>
      </c>
      <c r="I166" s="16">
        <v>-5.440230030978882E-2</v>
      </c>
      <c r="J166" s="16">
        <v>0</v>
      </c>
      <c r="K166" s="16">
        <v>-0.63761225148376988</v>
      </c>
      <c r="L166" s="16">
        <v>-0.74617135556416214</v>
      </c>
      <c r="M166" s="16">
        <v>-0.78294798858606107</v>
      </c>
      <c r="N166" s="16">
        <v>-0.81443686585100739</v>
      </c>
      <c r="O166" s="16">
        <v>-0.84109237210129639</v>
      </c>
      <c r="P166" s="16">
        <v>-0.86336889207922241</v>
      </c>
      <c r="Q166" s="16">
        <v>-0.88172081052708084</v>
      </c>
    </row>
    <row r="167" spans="1:17" x14ac:dyDescent="0.3">
      <c r="A167" s="14" t="s">
        <v>183</v>
      </c>
      <c r="B167" s="15" t="s">
        <v>188</v>
      </c>
      <c r="C167" s="16" t="s">
        <v>85</v>
      </c>
      <c r="D167" s="16">
        <v>-0.19720464896873247</v>
      </c>
      <c r="E167" s="16">
        <v>-0.30424580126107204</v>
      </c>
      <c r="F167" s="16">
        <v>-0.39048974402083991</v>
      </c>
      <c r="G167" s="16">
        <v>-0.46794019776566037</v>
      </c>
      <c r="H167" s="16">
        <v>-0.53712836968791799</v>
      </c>
      <c r="I167" s="16">
        <v>-5.4396509526911052E-2</v>
      </c>
      <c r="J167" s="16">
        <v>0</v>
      </c>
      <c r="K167" s="16">
        <v>-0.63461157120790923</v>
      </c>
      <c r="L167" s="16">
        <v>-0.74188238299901621</v>
      </c>
      <c r="M167" s="16">
        <v>-0.77772725369423112</v>
      </c>
      <c r="N167" s="16">
        <v>-0.80849708572119194</v>
      </c>
      <c r="O167" s="16">
        <v>-0.8347230862722832</v>
      </c>
      <c r="P167" s="16">
        <v>-0.85693646253988998</v>
      </c>
      <c r="Q167" s="16">
        <v>-0.87566842171639647</v>
      </c>
    </row>
    <row r="168" spans="1:17" x14ac:dyDescent="0.3">
      <c r="A168" s="14" t="s">
        <v>183</v>
      </c>
      <c r="B168" s="15" t="s">
        <v>189</v>
      </c>
      <c r="C168" s="16" t="s">
        <v>85</v>
      </c>
      <c r="D168" s="16">
        <v>-0.19732445879438573</v>
      </c>
      <c r="E168" s="16">
        <v>-0.3045844423977136</v>
      </c>
      <c r="F168" s="16">
        <v>-0.39111143599179871</v>
      </c>
      <c r="G168" s="16">
        <v>-0.46887392930859217</v>
      </c>
      <c r="H168" s="16">
        <v>-0.53836781299007219</v>
      </c>
      <c r="I168" s="16">
        <v>-5.4523501115250894E-2</v>
      </c>
      <c r="J168" s="16">
        <v>0</v>
      </c>
      <c r="K168" s="16">
        <v>-0.63620616511683159</v>
      </c>
      <c r="L168" s="16">
        <v>-0.74357506420242014</v>
      </c>
      <c r="M168" s="16">
        <v>-0.77916425933700484</v>
      </c>
      <c r="N168" s="16">
        <v>-0.80946018868814518</v>
      </c>
      <c r="O168" s="16">
        <v>-0.83495874289781902</v>
      </c>
      <c r="P168" s="16">
        <v>-0.85615581260800444</v>
      </c>
      <c r="Q168" s="16">
        <v>-0.87354728846068019</v>
      </c>
    </row>
    <row r="169" spans="1:17" x14ac:dyDescent="0.3">
      <c r="A169" s="14" t="s">
        <v>183</v>
      </c>
      <c r="B169" s="15" t="s">
        <v>190</v>
      </c>
      <c r="C169" s="16" t="s">
        <v>85</v>
      </c>
      <c r="D169" s="16">
        <v>-0.19720464896873247</v>
      </c>
      <c r="E169" s="16">
        <v>-0.30424580126107204</v>
      </c>
      <c r="F169" s="16">
        <v>-0.39048974402083991</v>
      </c>
      <c r="G169" s="16">
        <v>-0.46794019776566037</v>
      </c>
      <c r="H169" s="16">
        <v>-0.53712836968791799</v>
      </c>
      <c r="I169" s="16">
        <v>-5.4396509526911052E-2</v>
      </c>
      <c r="J169" s="16">
        <v>0</v>
      </c>
      <c r="K169" s="16">
        <v>-0.63461157120790923</v>
      </c>
      <c r="L169" s="16">
        <v>-0.74188238299901621</v>
      </c>
      <c r="M169" s="16">
        <v>-0.77772725369423112</v>
      </c>
      <c r="N169" s="16">
        <v>-0.80849708572119194</v>
      </c>
      <c r="O169" s="16">
        <v>-0.8347230862722832</v>
      </c>
      <c r="P169" s="16">
        <v>-0.85693646253988998</v>
      </c>
      <c r="Q169" s="16">
        <v>-0.87566842171639647</v>
      </c>
    </row>
    <row r="170" spans="1:17" x14ac:dyDescent="0.3">
      <c r="A170" s="14" t="s">
        <v>191</v>
      </c>
      <c r="B170" s="15">
        <v>2</v>
      </c>
      <c r="C170" s="16" t="s">
        <v>85</v>
      </c>
      <c r="D170" s="16">
        <v>0</v>
      </c>
      <c r="E170" s="16">
        <v>0</v>
      </c>
      <c r="F170" s="16">
        <v>0</v>
      </c>
      <c r="G170" s="16">
        <v>0</v>
      </c>
      <c r="H170" s="16">
        <v>-0.46065493617821729</v>
      </c>
      <c r="I170" s="16">
        <v>-0.54650042205589866</v>
      </c>
      <c r="J170" s="16">
        <v>-0.57792814061276288</v>
      </c>
      <c r="K170" s="16">
        <v>-0.60333873978677122</v>
      </c>
      <c r="L170" s="16">
        <v>-0.62479366083829524</v>
      </c>
      <c r="M170" s="16">
        <v>-0.64435434502770572</v>
      </c>
      <c r="N170" s="16">
        <v>-0.66408223361537477</v>
      </c>
      <c r="O170" s="16">
        <v>-0.68603876786167306</v>
      </c>
      <c r="P170" s="16">
        <v>-0.71228538902697236</v>
      </c>
      <c r="Q170" s="16">
        <v>-0.74488353837164378</v>
      </c>
    </row>
    <row r="171" spans="1:17" x14ac:dyDescent="0.3">
      <c r="A171" s="14" t="s">
        <v>191</v>
      </c>
      <c r="B171" s="15">
        <v>3</v>
      </c>
      <c r="C171" s="16" t="s">
        <v>85</v>
      </c>
      <c r="D171" s="16">
        <v>0</v>
      </c>
      <c r="E171" s="16">
        <v>0</v>
      </c>
      <c r="F171" s="16">
        <v>0</v>
      </c>
      <c r="G171" s="16">
        <v>0</v>
      </c>
      <c r="H171" s="16">
        <v>-0.47335745167198734</v>
      </c>
      <c r="I171" s="16">
        <v>-0.55685487238116649</v>
      </c>
      <c r="J171" s="16">
        <v>-0.58430795127799029</v>
      </c>
      <c r="K171" s="16">
        <v>-0.60667452743643324</v>
      </c>
      <c r="L171" s="16">
        <v>-0.62680001934202401</v>
      </c>
      <c r="M171" s="16">
        <v>-0.64752984548029158</v>
      </c>
      <c r="N171" s="16">
        <v>-0.67170942433676528</v>
      </c>
      <c r="O171" s="16">
        <v>-0.70218417439697367</v>
      </c>
      <c r="P171" s="16">
        <v>-0.74179951414644574</v>
      </c>
      <c r="Q171" s="16">
        <v>-0.79340086207071026</v>
      </c>
    </row>
    <row r="172" spans="1:17" x14ac:dyDescent="0.3">
      <c r="A172" s="14" t="s">
        <v>191</v>
      </c>
      <c r="B172" s="15">
        <v>6</v>
      </c>
      <c r="C172" s="16" t="s">
        <v>85</v>
      </c>
      <c r="D172" s="16">
        <v>0</v>
      </c>
      <c r="E172" s="16">
        <v>0</v>
      </c>
      <c r="F172" s="16">
        <v>0</v>
      </c>
      <c r="G172" s="16">
        <v>0</v>
      </c>
      <c r="H172" s="16">
        <v>-0.4539678298301637</v>
      </c>
      <c r="I172" s="16">
        <v>-0.54566836690909948</v>
      </c>
      <c r="J172" s="16">
        <v>-0.58572449596203213</v>
      </c>
      <c r="K172" s="16">
        <v>-0.62086498466883566</v>
      </c>
      <c r="L172" s="16">
        <v>-0.65277362215132373</v>
      </c>
      <c r="M172" s="16">
        <v>-0.68313419753131055</v>
      </c>
      <c r="N172" s="16">
        <v>-0.71363049993061001</v>
      </c>
      <c r="O172" s="16">
        <v>-0.74594631847103621</v>
      </c>
      <c r="P172" s="16">
        <v>-0.78176544227440314</v>
      </c>
      <c r="Q172" s="16">
        <v>-0.82277166046252448</v>
      </c>
    </row>
    <row r="173" spans="1:17" x14ac:dyDescent="0.3">
      <c r="A173" s="14" t="s">
        <v>191</v>
      </c>
      <c r="B173" s="15" t="s">
        <v>192</v>
      </c>
      <c r="C173" s="16" t="s">
        <v>85</v>
      </c>
      <c r="D173" s="16">
        <v>0</v>
      </c>
      <c r="E173" s="16">
        <v>0</v>
      </c>
      <c r="F173" s="16">
        <v>0</v>
      </c>
      <c r="G173" s="16">
        <v>0</v>
      </c>
      <c r="H173" s="16">
        <v>-0.45313478092684056</v>
      </c>
      <c r="I173" s="16">
        <v>-0.55908173616100687</v>
      </c>
      <c r="J173" s="16">
        <v>-0.61441526489232479</v>
      </c>
      <c r="K173" s="16">
        <v>-0.66230885358932645</v>
      </c>
      <c r="L173" s="16">
        <v>-0.70244990822774966</v>
      </c>
      <c r="M173" s="16">
        <v>-0.73452583478333267</v>
      </c>
      <c r="N173" s="16">
        <v>-0.75822403923181303</v>
      </c>
      <c r="O173" s="16">
        <v>-0.77323192754892878</v>
      </c>
      <c r="P173" s="16">
        <v>-0.77923690571041804</v>
      </c>
      <c r="Q173" s="16">
        <v>-0.77592637969201828</v>
      </c>
    </row>
    <row r="174" spans="1:17" x14ac:dyDescent="0.3">
      <c r="A174" s="14" t="s">
        <v>191</v>
      </c>
      <c r="B174" s="15" t="s">
        <v>193</v>
      </c>
      <c r="C174" s="16" t="s">
        <v>85</v>
      </c>
      <c r="D174" s="16">
        <v>0</v>
      </c>
      <c r="E174" s="16">
        <v>0</v>
      </c>
      <c r="F174" s="16">
        <v>0</v>
      </c>
      <c r="G174" s="16">
        <v>0</v>
      </c>
      <c r="H174" s="16">
        <v>-0.4617903667429501</v>
      </c>
      <c r="I174" s="16">
        <v>-0.55024112527951863</v>
      </c>
      <c r="J174" s="16">
        <v>-0.58540528955904236</v>
      </c>
      <c r="K174" s="16">
        <v>-0.61576616592907063</v>
      </c>
      <c r="L174" s="16">
        <v>-0.64352170600701031</v>
      </c>
      <c r="M174" s="16">
        <v>-0.67086986141026783</v>
      </c>
      <c r="N174" s="16">
        <v>-0.70000858375624964</v>
      </c>
      <c r="O174" s="16">
        <v>-0.73313582466236205</v>
      </c>
      <c r="P174" s="16">
        <v>-0.77244953574601238</v>
      </c>
      <c r="Q174" s="16">
        <v>-0.82014766862460697</v>
      </c>
    </row>
    <row r="175" spans="1:17" x14ac:dyDescent="0.3">
      <c r="A175" s="14" t="s">
        <v>194</v>
      </c>
      <c r="B175" s="15" t="s">
        <v>195</v>
      </c>
      <c r="C175" s="16">
        <v>-9.9239391557203432E-2</v>
      </c>
      <c r="D175" s="16">
        <v>-0.18091829443570379</v>
      </c>
      <c r="E175" s="16">
        <v>-0.26443745605259378</v>
      </c>
      <c r="F175" s="16">
        <v>-0.34031890903904827</v>
      </c>
      <c r="G175" s="16">
        <v>-0.40900862518196224</v>
      </c>
      <c r="H175" s="16">
        <v>-0.47095257626823112</v>
      </c>
      <c r="I175" s="16">
        <v>-0.52659673408475005</v>
      </c>
      <c r="J175" s="16">
        <v>-0.57638707041841397</v>
      </c>
      <c r="K175" s="16">
        <v>-0.62076955705611825</v>
      </c>
      <c r="L175" s="16">
        <v>-0.66019016578475798</v>
      </c>
      <c r="M175" s="16">
        <v>-0.69509486839122836</v>
      </c>
      <c r="N175" s="16">
        <v>-0.7259296366624246</v>
      </c>
      <c r="O175" s="16">
        <v>-0.75314044238524191</v>
      </c>
      <c r="P175" s="16">
        <v>-0.77717325734657527</v>
      </c>
      <c r="Q175" s="16">
        <v>-0.79847405333332</v>
      </c>
    </row>
    <row r="176" spans="1:17" x14ac:dyDescent="0.3">
      <c r="A176" s="14" t="s">
        <v>194</v>
      </c>
      <c r="B176" s="15" t="s">
        <v>196</v>
      </c>
      <c r="C176" s="16">
        <v>-0.10760828647892916</v>
      </c>
      <c r="D176" s="16">
        <v>-0.19367440892265581</v>
      </c>
      <c r="E176" s="16">
        <v>-0.27944868214774315</v>
      </c>
      <c r="F176" s="16">
        <v>-0.35519981492287922</v>
      </c>
      <c r="G176" s="16">
        <v>-0.4219573446646448</v>
      </c>
      <c r="H176" s="16">
        <v>-0.48075080878962095</v>
      </c>
      <c r="I176" s="16">
        <v>-0.5326097447143886</v>
      </c>
      <c r="J176" s="16">
        <v>-0.57856368985552864</v>
      </c>
      <c r="K176" s="16">
        <v>-0.6196421816296217</v>
      </c>
      <c r="L176" s="16">
        <v>-0.6568747574532493</v>
      </c>
      <c r="M176" s="16">
        <v>-0.69129095474299196</v>
      </c>
      <c r="N176" s="16">
        <v>-0.72392031091543074</v>
      </c>
      <c r="O176" s="16">
        <v>-0.75579236338714639</v>
      </c>
      <c r="P176" s="16">
        <v>-0.78793664957472009</v>
      </c>
      <c r="Q176" s="16">
        <v>-0.82138270689473269</v>
      </c>
    </row>
    <row r="177" spans="1:17" x14ac:dyDescent="0.3">
      <c r="A177" s="14" t="s">
        <v>194</v>
      </c>
      <c r="B177" s="15" t="s">
        <v>197</v>
      </c>
      <c r="C177" s="16">
        <v>-0.1000107631517563</v>
      </c>
      <c r="D177" s="16">
        <v>-0.18144113860336541</v>
      </c>
      <c r="E177" s="16">
        <v>-0.26401602903506338</v>
      </c>
      <c r="F177" s="16">
        <v>-0.33848547687660469</v>
      </c>
      <c r="G177" s="16">
        <v>-0.40560060087291955</v>
      </c>
      <c r="H177" s="16">
        <v>-0.46611251976893792</v>
      </c>
      <c r="I177" s="16">
        <v>-0.52077235230959029</v>
      </c>
      <c r="J177" s="16">
        <v>-0.5703312172398064</v>
      </c>
      <c r="K177" s="16">
        <v>-0.61554023330451668</v>
      </c>
      <c r="L177" s="16">
        <v>-0.65715051924865142</v>
      </c>
      <c r="M177" s="16">
        <v>-0.69591319381714034</v>
      </c>
      <c r="N177" s="16">
        <v>-0.73257937575491394</v>
      </c>
      <c r="O177" s="16">
        <v>-0.76790018380690228</v>
      </c>
      <c r="P177" s="16">
        <v>-0.80262673671803553</v>
      </c>
      <c r="Q177" s="16">
        <v>-0.83751015323324396</v>
      </c>
    </row>
    <row r="178" spans="1:17" x14ac:dyDescent="0.3">
      <c r="A178" s="14" t="s">
        <v>194</v>
      </c>
      <c r="B178" s="15" t="s">
        <v>198</v>
      </c>
      <c r="C178" s="16">
        <v>-0.11041564906430325</v>
      </c>
      <c r="D178" s="16">
        <v>-0.19759245326955338</v>
      </c>
      <c r="E178" s="16">
        <v>-0.28344167583926644</v>
      </c>
      <c r="F178" s="16">
        <v>-0.35823662602115031</v>
      </c>
      <c r="G178" s="16">
        <v>-0.42329217796934338</v>
      </c>
      <c r="H178" s="16">
        <v>-0.47992320583798398</v>
      </c>
      <c r="I178" s="16">
        <v>-0.52944458378121051</v>
      </c>
      <c r="J178" s="16">
        <v>-0.57317118595316119</v>
      </c>
      <c r="K178" s="16">
        <v>-0.61241788650797446</v>
      </c>
      <c r="L178" s="16">
        <v>-0.64849955959978856</v>
      </c>
      <c r="M178" s="16">
        <v>-0.6827310793827418</v>
      </c>
      <c r="N178" s="16">
        <v>-0.71642732001097253</v>
      </c>
      <c r="O178" s="16">
        <v>-0.75090315563861942</v>
      </c>
      <c r="P178" s="16">
        <v>-0.78747346041982036</v>
      </c>
      <c r="Q178" s="16">
        <v>-0.8274531085087139</v>
      </c>
    </row>
    <row r="179" spans="1:17" x14ac:dyDescent="0.3">
      <c r="A179" s="14" t="s">
        <v>194</v>
      </c>
      <c r="B179" s="15" t="s">
        <v>199</v>
      </c>
      <c r="C179" s="16">
        <v>-0.10094290821287497</v>
      </c>
      <c r="D179" s="16">
        <v>-0.18289675987127577</v>
      </c>
      <c r="E179" s="16">
        <v>-0.26574811225484413</v>
      </c>
      <c r="F179" s="16">
        <v>-0.34016521114313047</v>
      </c>
      <c r="G179" s="16">
        <v>-0.40691059313697292</v>
      </c>
      <c r="H179" s="16">
        <v>-0.46674679483720921</v>
      </c>
      <c r="I179" s="16">
        <v>-0.52043635284467737</v>
      </c>
      <c r="J179" s="16">
        <v>-0.56874180376021533</v>
      </c>
      <c r="K179" s="16">
        <v>-0.61242568418466103</v>
      </c>
      <c r="L179" s="16">
        <v>-0.65225053071885264</v>
      </c>
      <c r="M179" s="16">
        <v>-0.68897887996362783</v>
      </c>
      <c r="N179" s="16">
        <v>-0.72337326851982464</v>
      </c>
      <c r="O179" s="16">
        <v>-0.75619623298828098</v>
      </c>
      <c r="P179" s="16">
        <v>-0.78821030996983499</v>
      </c>
      <c r="Q179" s="16">
        <v>-0.82017803606532436</v>
      </c>
    </row>
    <row r="180" spans="1:17" x14ac:dyDescent="0.3">
      <c r="A180" s="14" t="s">
        <v>194</v>
      </c>
      <c r="B180" s="15" t="s">
        <v>200</v>
      </c>
      <c r="C180" s="16">
        <v>-0.10094290821287497</v>
      </c>
      <c r="D180" s="16">
        <v>-0.18289675987127577</v>
      </c>
      <c r="E180" s="16">
        <v>-0.26574811225484413</v>
      </c>
      <c r="F180" s="16">
        <v>-0.34016521114313047</v>
      </c>
      <c r="G180" s="16">
        <v>-0.40691059313697292</v>
      </c>
      <c r="H180" s="16">
        <v>-0.46674679483720921</v>
      </c>
      <c r="I180" s="16">
        <v>-0.52043635284467737</v>
      </c>
      <c r="J180" s="16">
        <v>-0.56874180376021533</v>
      </c>
      <c r="K180" s="16">
        <v>-0.61242568418466103</v>
      </c>
      <c r="L180" s="16">
        <v>-0.65225053071885264</v>
      </c>
      <c r="M180" s="16">
        <v>-0.68897887996362783</v>
      </c>
      <c r="N180" s="16">
        <v>-0.72337326851982464</v>
      </c>
      <c r="O180" s="16">
        <v>-0.75619623298828098</v>
      </c>
      <c r="P180" s="16">
        <v>-0.78821030996983499</v>
      </c>
      <c r="Q180" s="16">
        <v>-0.82017803606532436</v>
      </c>
    </row>
    <row r="181" spans="1:17" x14ac:dyDescent="0.3">
      <c r="A181" s="14" t="s">
        <v>194</v>
      </c>
      <c r="B181" s="15" t="s">
        <v>201</v>
      </c>
      <c r="C181" s="16">
        <v>-0.10094290821287497</v>
      </c>
      <c r="D181" s="16">
        <v>-0.18289675987127577</v>
      </c>
      <c r="E181" s="16">
        <v>-0.26574811225484413</v>
      </c>
      <c r="F181" s="16">
        <v>-0.34016521114313047</v>
      </c>
      <c r="G181" s="16">
        <v>-0.40691059313697292</v>
      </c>
      <c r="H181" s="16">
        <v>-0.46674679483720921</v>
      </c>
      <c r="I181" s="16">
        <v>-0.52043635284467737</v>
      </c>
      <c r="J181" s="16">
        <v>-0.56874180376021533</v>
      </c>
      <c r="K181" s="16">
        <v>-0.61242568418466103</v>
      </c>
      <c r="L181" s="16">
        <v>-0.65225053071885264</v>
      </c>
      <c r="M181" s="16">
        <v>-0.68897887996362783</v>
      </c>
      <c r="N181" s="16">
        <v>-0.72337326851982464</v>
      </c>
      <c r="O181" s="16">
        <v>-0.75619623298828098</v>
      </c>
      <c r="P181" s="16">
        <v>-0.78821030996983499</v>
      </c>
      <c r="Q181" s="16">
        <v>-0.82017803606532436</v>
      </c>
    </row>
    <row r="182" spans="1:17" x14ac:dyDescent="0.3">
      <c r="A182" s="14" t="s">
        <v>194</v>
      </c>
      <c r="B182" s="15" t="s">
        <v>202</v>
      </c>
      <c r="C182" s="16">
        <v>-0.10094290821287497</v>
      </c>
      <c r="D182" s="16">
        <v>-0.18289675987127577</v>
      </c>
      <c r="E182" s="16">
        <v>-0.26574811225484413</v>
      </c>
      <c r="F182" s="16">
        <v>-0.34016521114313047</v>
      </c>
      <c r="G182" s="16">
        <v>-0.40691059313697292</v>
      </c>
      <c r="H182" s="16">
        <v>-0.46674679483720921</v>
      </c>
      <c r="I182" s="16">
        <v>-0.52043635284467737</v>
      </c>
      <c r="J182" s="16">
        <v>-0.56874180376021533</v>
      </c>
      <c r="K182" s="16">
        <v>-0.61242568418466103</v>
      </c>
      <c r="L182" s="16">
        <v>-0.65225053071885264</v>
      </c>
      <c r="M182" s="16">
        <v>-0.68897887996362783</v>
      </c>
      <c r="N182" s="16">
        <v>-0.72337326851982464</v>
      </c>
      <c r="O182" s="16">
        <v>-0.75619623298828098</v>
      </c>
      <c r="P182" s="16">
        <v>-0.78821030996983499</v>
      </c>
      <c r="Q182" s="16">
        <v>-0.82017803606532436</v>
      </c>
    </row>
    <row r="183" spans="1:17" x14ac:dyDescent="0.3">
      <c r="A183" s="14" t="s">
        <v>194</v>
      </c>
      <c r="B183" s="15" t="s">
        <v>203</v>
      </c>
      <c r="C183" s="16">
        <v>-0.10225892499644042</v>
      </c>
      <c r="D183" s="16">
        <v>-0.18470424014339973</v>
      </c>
      <c r="E183" s="16">
        <v>-0.267531813044113</v>
      </c>
      <c r="F183" s="16">
        <v>-0.34141506734527693</v>
      </c>
      <c r="G183" s="16">
        <v>-0.40725331919323204</v>
      </c>
      <c r="H183" s="16">
        <v>-0.46594588473431936</v>
      </c>
      <c r="I183" s="16">
        <v>-0.51839208011487925</v>
      </c>
      <c r="J183" s="16">
        <v>-0.56549122148125264</v>
      </c>
      <c r="K183" s="16">
        <v>-0.60814262497978022</v>
      </c>
      <c r="L183" s="16">
        <v>-0.64724560675680243</v>
      </c>
      <c r="M183" s="16">
        <v>-0.68369948295866034</v>
      </c>
      <c r="N183" s="16">
        <v>-0.71840356973169439</v>
      </c>
      <c r="O183" s="16">
        <v>-0.75225718322224544</v>
      </c>
      <c r="P183" s="16">
        <v>-0.78615963957665413</v>
      </c>
      <c r="Q183" s="16">
        <v>-0.82101025494126112</v>
      </c>
    </row>
    <row r="184" spans="1:17" x14ac:dyDescent="0.3">
      <c r="A184" s="14" t="s">
        <v>194</v>
      </c>
      <c r="B184" s="15" t="s">
        <v>204</v>
      </c>
      <c r="C184" s="16">
        <v>-0.10094290821287497</v>
      </c>
      <c r="D184" s="16">
        <v>-0.18289675987127577</v>
      </c>
      <c r="E184" s="16">
        <v>-0.26574811225484413</v>
      </c>
      <c r="F184" s="16">
        <v>-0.34016521114313047</v>
      </c>
      <c r="G184" s="16">
        <v>-0.40691059313697292</v>
      </c>
      <c r="H184" s="16">
        <v>-0.46674679483720921</v>
      </c>
      <c r="I184" s="16">
        <v>-0.52043635284467737</v>
      </c>
      <c r="J184" s="16">
        <v>-0.56874180376021533</v>
      </c>
      <c r="K184" s="16">
        <v>-0.61242568418466103</v>
      </c>
      <c r="L184" s="16">
        <v>-0.65225053071885264</v>
      </c>
      <c r="M184" s="16">
        <v>-0.68897887996362783</v>
      </c>
      <c r="N184" s="16">
        <v>-0.72337326851982464</v>
      </c>
      <c r="O184" s="16">
        <v>-0.75619623298828098</v>
      </c>
      <c r="P184" s="16">
        <v>-0.78821030996983499</v>
      </c>
      <c r="Q184" s="16">
        <v>-0.82017803606532436</v>
      </c>
    </row>
    <row r="185" spans="1:17" x14ac:dyDescent="0.3">
      <c r="A185" s="14" t="s">
        <v>194</v>
      </c>
      <c r="B185" s="15" t="s">
        <v>205</v>
      </c>
      <c r="C185" s="16">
        <v>-0.10141169904276312</v>
      </c>
      <c r="D185" s="16">
        <v>-0.18356851510002081</v>
      </c>
      <c r="E185" s="16">
        <v>-0.26646128490953308</v>
      </c>
      <c r="F185" s="16">
        <v>-0.34075009602925771</v>
      </c>
      <c r="G185" s="16">
        <v>-0.40723620592142878</v>
      </c>
      <c r="H185" s="16">
        <v>-0.4667208720482805</v>
      </c>
      <c r="I185" s="16">
        <v>-0.52000535187204666</v>
      </c>
      <c r="J185" s="16">
        <v>-0.5678909028549618</v>
      </c>
      <c r="K185" s="16">
        <v>-0.6111787824592595</v>
      </c>
      <c r="L185" s="16">
        <v>-0.650670248147174</v>
      </c>
      <c r="M185" s="16">
        <v>-0.68716655738093968</v>
      </c>
      <c r="N185" s="16">
        <v>-0.72146896762279034</v>
      </c>
      <c r="O185" s="16">
        <v>-0.75437873633496011</v>
      </c>
      <c r="P185" s="16">
        <v>-0.78669712097968303</v>
      </c>
      <c r="Q185" s="16">
        <v>-0.81922537901919323</v>
      </c>
    </row>
    <row r="186" spans="1:17" x14ac:dyDescent="0.3">
      <c r="A186" s="14" t="s">
        <v>194</v>
      </c>
      <c r="B186" s="15" t="s">
        <v>206</v>
      </c>
      <c r="C186" s="16">
        <v>-0.11565376594339385</v>
      </c>
      <c r="D186" s="16">
        <v>-0.20603210207450298</v>
      </c>
      <c r="E186" s="16">
        <v>-0.29411983292314037</v>
      </c>
      <c r="F186" s="16">
        <v>-0.36988203810338038</v>
      </c>
      <c r="G186" s="16">
        <v>-0.43484917382363708</v>
      </c>
      <c r="H186" s="16">
        <v>-0.49055169629232442</v>
      </c>
      <c r="I186" s="16">
        <v>-0.53852006171785605</v>
      </c>
      <c r="J186" s="16">
        <v>-0.58028472630864614</v>
      </c>
      <c r="K186" s="16">
        <v>-0.61737614627310833</v>
      </c>
      <c r="L186" s="16">
        <v>-0.65132477781965681</v>
      </c>
      <c r="M186" s="16">
        <v>-0.68366107715670532</v>
      </c>
      <c r="N186" s="16">
        <v>-0.71591550049266794</v>
      </c>
      <c r="O186" s="16">
        <v>-0.74961850403595842</v>
      </c>
      <c r="P186" s="16">
        <v>-0.7863005439949905</v>
      </c>
      <c r="Q186" s="16">
        <v>-0.82749207657817836</v>
      </c>
    </row>
    <row r="187" spans="1:17" x14ac:dyDescent="0.3">
      <c r="A187" s="14" t="s">
        <v>194</v>
      </c>
      <c r="B187" s="15" t="s">
        <v>207</v>
      </c>
      <c r="C187" s="16">
        <v>-0.10929537392540691</v>
      </c>
      <c r="D187" s="16">
        <v>-0.19620854190447296</v>
      </c>
      <c r="E187" s="16">
        <v>-0.28235894895830321</v>
      </c>
      <c r="F187" s="16">
        <v>-0.35796471209904979</v>
      </c>
      <c r="G187" s="16">
        <v>-0.42417348573140579</v>
      </c>
      <c r="H187" s="16">
        <v>-0.48213292426006427</v>
      </c>
      <c r="I187" s="16">
        <v>-0.532990682089718</v>
      </c>
      <c r="J187" s="16">
        <v>-0.57789441362506</v>
      </c>
      <c r="K187" s="16">
        <v>-0.61799177327078336</v>
      </c>
      <c r="L187" s="16">
        <v>-0.65443041543158076</v>
      </c>
      <c r="M187" s="16">
        <v>-0.68835799451214552</v>
      </c>
      <c r="N187" s="16">
        <v>-0.72092216491717043</v>
      </c>
      <c r="O187" s="16">
        <v>-0.75327058105134825</v>
      </c>
      <c r="P187" s="16">
        <v>-0.78655089731937244</v>
      </c>
      <c r="Q187" s="16">
        <v>-0.82191076812593544</v>
      </c>
    </row>
    <row r="188" spans="1:17" x14ac:dyDescent="0.3">
      <c r="A188" s="14" t="s">
        <v>194</v>
      </c>
      <c r="B188" s="15" t="s">
        <v>208</v>
      </c>
      <c r="C188" s="16">
        <v>-0.10094290821287497</v>
      </c>
      <c r="D188" s="16">
        <v>-0.18289675987127577</v>
      </c>
      <c r="E188" s="16">
        <v>-0.26574811225484413</v>
      </c>
      <c r="F188" s="16">
        <v>-0.34016521114313047</v>
      </c>
      <c r="G188" s="16">
        <v>-0.40691059313697292</v>
      </c>
      <c r="H188" s="16">
        <v>-0.46674679483720921</v>
      </c>
      <c r="I188" s="16">
        <v>-0.52043635284467737</v>
      </c>
      <c r="J188" s="16">
        <v>-0.56874180376021533</v>
      </c>
      <c r="K188" s="16">
        <v>-0.61242568418466103</v>
      </c>
      <c r="L188" s="16">
        <v>-0.65225053071885264</v>
      </c>
      <c r="M188" s="16">
        <v>-0.68897887996362783</v>
      </c>
      <c r="N188" s="16">
        <v>-0.72337326851982464</v>
      </c>
      <c r="O188" s="16">
        <v>-0.75619623298828098</v>
      </c>
      <c r="P188" s="16">
        <v>-0.78821030996983499</v>
      </c>
      <c r="Q188" s="16">
        <v>-0.82017803606532436</v>
      </c>
    </row>
    <row r="189" spans="1:17" x14ac:dyDescent="0.3">
      <c r="A189" s="14" t="s">
        <v>194</v>
      </c>
      <c r="B189" s="15" t="s">
        <v>209</v>
      </c>
      <c r="C189" s="16">
        <v>-0.10036064263069706</v>
      </c>
      <c r="D189" s="16">
        <v>-0.18046744103204554</v>
      </c>
      <c r="E189" s="16">
        <v>-0.26032110538322056</v>
      </c>
      <c r="F189" s="16">
        <v>-0.33106767201912779</v>
      </c>
      <c r="G189" s="16">
        <v>-0.39388924153774246</v>
      </c>
      <c r="H189" s="16">
        <v>-0.44996791453703994</v>
      </c>
      <c r="I189" s="16">
        <v>-0.50048579161499562</v>
      </c>
      <c r="J189" s="16">
        <v>-0.54662497336958482</v>
      </c>
      <c r="K189" s="16">
        <v>-0.58956756039878278</v>
      </c>
      <c r="L189" s="16">
        <v>-0.63049565330056501</v>
      </c>
      <c r="M189" s="16">
        <v>-0.67059135267290659</v>
      </c>
      <c r="N189" s="16">
        <v>-0.71103675911378295</v>
      </c>
      <c r="O189" s="16">
        <v>-0.75301397322116947</v>
      </c>
      <c r="P189" s="16">
        <v>-0.79770509559304159</v>
      </c>
      <c r="Q189" s="16">
        <v>-0.84629222682737448</v>
      </c>
    </row>
    <row r="190" spans="1:17" x14ac:dyDescent="0.3">
      <c r="A190" s="14" t="s">
        <v>194</v>
      </c>
      <c r="B190" s="15" t="s">
        <v>210</v>
      </c>
      <c r="C190" s="16">
        <v>-0.1020552289911351</v>
      </c>
      <c r="D190" s="16">
        <v>-0.18449487464950487</v>
      </c>
      <c r="E190" s="16">
        <v>-0.26747943458125617</v>
      </c>
      <c r="F190" s="16">
        <v>-0.34168673486319279</v>
      </c>
      <c r="G190" s="16">
        <v>-0.40800012447123207</v>
      </c>
      <c r="H190" s="16">
        <v>-0.46730295238129149</v>
      </c>
      <c r="I190" s="16">
        <v>-0.52047856756928834</v>
      </c>
      <c r="J190" s="16">
        <v>-0.56841031901113959</v>
      </c>
      <c r="K190" s="16">
        <v>-0.61198155568276302</v>
      </c>
      <c r="L190" s="16">
        <v>-0.65207562656007567</v>
      </c>
      <c r="M190" s="16">
        <v>-0.68957588061899555</v>
      </c>
      <c r="N190" s="16">
        <v>-0.72536566683543913</v>
      </c>
      <c r="O190" s="16">
        <v>-0.76032833418532386</v>
      </c>
      <c r="P190" s="16">
        <v>-0.79534723164456778</v>
      </c>
      <c r="Q190" s="16">
        <v>-0.83130570818908756</v>
      </c>
    </row>
    <row r="191" spans="1:17" x14ac:dyDescent="0.3">
      <c r="A191" s="14" t="s">
        <v>194</v>
      </c>
      <c r="B191" s="15" t="s">
        <v>211</v>
      </c>
      <c r="C191" s="16">
        <v>-0.10094290821287497</v>
      </c>
      <c r="D191" s="16">
        <v>-0.18289675987127577</v>
      </c>
      <c r="E191" s="16">
        <v>-0.26574811225484413</v>
      </c>
      <c r="F191" s="16">
        <v>-0.34016521114313047</v>
      </c>
      <c r="G191" s="16">
        <v>-0.40691059313697292</v>
      </c>
      <c r="H191" s="16">
        <v>-0.46674679483720921</v>
      </c>
      <c r="I191" s="16">
        <v>-0.52043635284467737</v>
      </c>
      <c r="J191" s="16">
        <v>-0.56874180376021533</v>
      </c>
      <c r="K191" s="16">
        <v>-0.61242568418466103</v>
      </c>
      <c r="L191" s="16">
        <v>-0.65225053071885264</v>
      </c>
      <c r="M191" s="16">
        <v>-0.68897887996362783</v>
      </c>
      <c r="N191" s="16">
        <v>-0.72337326851982464</v>
      </c>
      <c r="O191" s="16">
        <v>-0.75619623298828098</v>
      </c>
      <c r="P191" s="16">
        <v>-0.78821030996983499</v>
      </c>
      <c r="Q191" s="16">
        <v>-0.82017803606532436</v>
      </c>
    </row>
    <row r="192" spans="1:17" x14ac:dyDescent="0.3">
      <c r="A192" s="14" t="s">
        <v>194</v>
      </c>
      <c r="B192" s="15" t="s">
        <v>212</v>
      </c>
      <c r="C192" s="16">
        <v>-0.10094290821287497</v>
      </c>
      <c r="D192" s="16">
        <v>-0.18289675987127577</v>
      </c>
      <c r="E192" s="16">
        <v>-0.26574811225484413</v>
      </c>
      <c r="F192" s="16">
        <v>-0.34016521114313047</v>
      </c>
      <c r="G192" s="16">
        <v>-0.40691059313697292</v>
      </c>
      <c r="H192" s="16">
        <v>-0.46674679483720921</v>
      </c>
      <c r="I192" s="16">
        <v>-0.52043635284467737</v>
      </c>
      <c r="J192" s="16">
        <v>-0.56874180376021533</v>
      </c>
      <c r="K192" s="16">
        <v>-0.61242568418466103</v>
      </c>
      <c r="L192" s="16">
        <v>-0.65225053071885264</v>
      </c>
      <c r="M192" s="16">
        <v>-0.68897887996362783</v>
      </c>
      <c r="N192" s="16">
        <v>-0.72337326851982464</v>
      </c>
      <c r="O192" s="16">
        <v>-0.75619623298828098</v>
      </c>
      <c r="P192" s="16">
        <v>-0.78821030996983499</v>
      </c>
      <c r="Q192" s="16">
        <v>-0.82017803606532436</v>
      </c>
    </row>
    <row r="193" spans="1:17" x14ac:dyDescent="0.3">
      <c r="A193" s="14" t="s">
        <v>194</v>
      </c>
      <c r="B193" s="15" t="s">
        <v>213</v>
      </c>
      <c r="C193" s="16">
        <v>-0.10094290821287497</v>
      </c>
      <c r="D193" s="16">
        <v>-0.18289675987127577</v>
      </c>
      <c r="E193" s="16">
        <v>-0.26574811225484413</v>
      </c>
      <c r="F193" s="16">
        <v>-0.34016521114313047</v>
      </c>
      <c r="G193" s="16">
        <v>-0.40691059313697292</v>
      </c>
      <c r="H193" s="16">
        <v>-0.46674679483720921</v>
      </c>
      <c r="I193" s="16">
        <v>-0.52043635284467737</v>
      </c>
      <c r="J193" s="16">
        <v>-0.56874180376021533</v>
      </c>
      <c r="K193" s="16">
        <v>-0.61242568418466103</v>
      </c>
      <c r="L193" s="16">
        <v>-0.65225053071885264</v>
      </c>
      <c r="M193" s="16">
        <v>-0.68897887996362783</v>
      </c>
      <c r="N193" s="16">
        <v>-0.72337326851982464</v>
      </c>
      <c r="O193" s="16">
        <v>-0.75619623298828098</v>
      </c>
      <c r="P193" s="16">
        <v>-0.78821030996983499</v>
      </c>
      <c r="Q193" s="16">
        <v>-0.82017803606532436</v>
      </c>
    </row>
    <row r="194" spans="1:17" x14ac:dyDescent="0.3">
      <c r="A194" s="14" t="s">
        <v>194</v>
      </c>
      <c r="B194" s="15" t="s">
        <v>214</v>
      </c>
      <c r="C194" s="16">
        <v>-0.10094290821287497</v>
      </c>
      <c r="D194" s="16">
        <v>-0.18289675987127577</v>
      </c>
      <c r="E194" s="16">
        <v>-0.26574811225484413</v>
      </c>
      <c r="F194" s="16">
        <v>-0.34016521114313047</v>
      </c>
      <c r="G194" s="16">
        <v>-0.40691059313697292</v>
      </c>
      <c r="H194" s="16">
        <v>-0.46674679483720921</v>
      </c>
      <c r="I194" s="16">
        <v>-0.52043635284467737</v>
      </c>
      <c r="J194" s="16">
        <v>-0.56874180376021533</v>
      </c>
      <c r="K194" s="16">
        <v>-0.61242568418466103</v>
      </c>
      <c r="L194" s="16">
        <v>-0.65225053071885264</v>
      </c>
      <c r="M194" s="16">
        <v>-0.68897887996362783</v>
      </c>
      <c r="N194" s="16">
        <v>-0.72337326851982464</v>
      </c>
      <c r="O194" s="16">
        <v>-0.75619623298828098</v>
      </c>
      <c r="P194" s="16">
        <v>-0.78821030996983499</v>
      </c>
      <c r="Q194" s="16">
        <v>-0.82017803606532436</v>
      </c>
    </row>
    <row r="195" spans="1:17" x14ac:dyDescent="0.3">
      <c r="A195" s="14" t="s">
        <v>194</v>
      </c>
      <c r="B195" s="15" t="s">
        <v>215</v>
      </c>
      <c r="C195" s="16">
        <v>-0.10094290821287497</v>
      </c>
      <c r="D195" s="16">
        <v>-0.18289675987127577</v>
      </c>
      <c r="E195" s="16">
        <v>-0.26574811225484413</v>
      </c>
      <c r="F195" s="16">
        <v>-0.34016521114313047</v>
      </c>
      <c r="G195" s="16">
        <v>-0.40691059313697292</v>
      </c>
      <c r="H195" s="16">
        <v>-0.46674679483720921</v>
      </c>
      <c r="I195" s="16">
        <v>-0.52043635284467737</v>
      </c>
      <c r="J195" s="16">
        <v>-0.56874180376021533</v>
      </c>
      <c r="K195" s="16">
        <v>-0.61242568418466103</v>
      </c>
      <c r="L195" s="16">
        <v>-0.65225053071885264</v>
      </c>
      <c r="M195" s="16">
        <v>-0.68897887996362783</v>
      </c>
      <c r="N195" s="16">
        <v>-0.72337326851982464</v>
      </c>
      <c r="O195" s="16">
        <v>-0.75619623298828098</v>
      </c>
      <c r="P195" s="16">
        <v>-0.78821030996983499</v>
      </c>
      <c r="Q195" s="16">
        <v>-0.82017803606532436</v>
      </c>
    </row>
    <row r="196" spans="1:17" x14ac:dyDescent="0.3">
      <c r="A196" s="14" t="s">
        <v>194</v>
      </c>
      <c r="B196" s="15" t="s">
        <v>216</v>
      </c>
      <c r="C196" s="16">
        <v>-9.8414823414772354E-2</v>
      </c>
      <c r="D196" s="16">
        <v>-0.17930313315898619</v>
      </c>
      <c r="E196" s="16">
        <v>-0.26198093973229142</v>
      </c>
      <c r="F196" s="16">
        <v>-0.33714780322275889</v>
      </c>
      <c r="G196" s="16">
        <v>-0.40534476605993686</v>
      </c>
      <c r="H196" s="16">
        <v>-0.46711287067337326</v>
      </c>
      <c r="I196" s="16">
        <v>-0.52299315949261649</v>
      </c>
      <c r="J196" s="16">
        <v>-0.57352667494721465</v>
      </c>
      <c r="K196" s="16">
        <v>-0.61925445946671598</v>
      </c>
      <c r="L196" s="16">
        <v>-0.66071755548066846</v>
      </c>
      <c r="M196" s="16">
        <v>-0.69845700541861999</v>
      </c>
      <c r="N196" s="16">
        <v>-0.73301385171011935</v>
      </c>
      <c r="O196" s="16">
        <v>-0.76492913678471441</v>
      </c>
      <c r="P196" s="16">
        <v>-0.79474390307195308</v>
      </c>
      <c r="Q196" s="16">
        <v>-0.82299919300138369</v>
      </c>
    </row>
    <row r="197" spans="1:17" x14ac:dyDescent="0.3">
      <c r="A197" s="14" t="s">
        <v>194</v>
      </c>
      <c r="B197" s="15" t="s">
        <v>217</v>
      </c>
      <c r="C197" s="16">
        <v>-8.1207972033734838E-2</v>
      </c>
      <c r="D197" s="16">
        <v>-0.15170386100015748</v>
      </c>
      <c r="E197" s="16">
        <v>-0.22724158143629605</v>
      </c>
      <c r="F197" s="16">
        <v>-0.29947838145192129</v>
      </c>
      <c r="G197" s="16">
        <v>-0.36819230636017741</v>
      </c>
      <c r="H197" s="16">
        <v>-0.4331614014742089</v>
      </c>
      <c r="I197" s="16">
        <v>-0.49416371210715987</v>
      </c>
      <c r="J197" s="16">
        <v>-0.55097728357217468</v>
      </c>
      <c r="K197" s="16">
        <v>-0.60338016118239757</v>
      </c>
      <c r="L197" s="16">
        <v>-0.65115039025097288</v>
      </c>
      <c r="M197" s="16">
        <v>-0.69406601609104479</v>
      </c>
      <c r="N197" s="16">
        <v>-0.73190508401575793</v>
      </c>
      <c r="O197" s="16">
        <v>-0.76444563933825604</v>
      </c>
      <c r="P197" s="16">
        <v>-0.79146572737168386</v>
      </c>
      <c r="Q197" s="16">
        <v>-0.81274339342918533</v>
      </c>
    </row>
    <row r="198" spans="1:17" x14ac:dyDescent="0.3">
      <c r="A198" s="14" t="s">
        <v>194</v>
      </c>
      <c r="B198" s="15" t="s">
        <v>218</v>
      </c>
      <c r="C198" s="16">
        <v>-0.10094290821287497</v>
      </c>
      <c r="D198" s="16">
        <v>-0.18289675987127577</v>
      </c>
      <c r="E198" s="16">
        <v>-0.26574811225484413</v>
      </c>
      <c r="F198" s="16">
        <v>-0.34016521114313047</v>
      </c>
      <c r="G198" s="16">
        <v>-0.40691059313697292</v>
      </c>
      <c r="H198" s="16">
        <v>-0.46674679483720921</v>
      </c>
      <c r="I198" s="16">
        <v>-0.52043635284467737</v>
      </c>
      <c r="J198" s="16">
        <v>-0.56874180376021533</v>
      </c>
      <c r="K198" s="16">
        <v>-0.61242568418466103</v>
      </c>
      <c r="L198" s="16">
        <v>-0.65225053071885264</v>
      </c>
      <c r="M198" s="16">
        <v>-0.68897887996362783</v>
      </c>
      <c r="N198" s="16">
        <v>-0.72337326851982464</v>
      </c>
      <c r="O198" s="16">
        <v>-0.75619623298828098</v>
      </c>
      <c r="P198" s="16">
        <v>-0.78821030996983499</v>
      </c>
      <c r="Q198" s="16">
        <v>-0.82017803606532436</v>
      </c>
    </row>
    <row r="199" spans="1:17" x14ac:dyDescent="0.3">
      <c r="A199" s="14" t="s">
        <v>194</v>
      </c>
      <c r="B199" s="15" t="s">
        <v>219</v>
      </c>
      <c r="C199" s="16">
        <v>-9.4092886695780073E-2</v>
      </c>
      <c r="D199" s="16">
        <v>-0.1719795052747225</v>
      </c>
      <c r="E199" s="16">
        <v>-0.25212523771567086</v>
      </c>
      <c r="F199" s="16">
        <v>-0.3255674893249052</v>
      </c>
      <c r="G199" s="16">
        <v>-0.3927529540782832</v>
      </c>
      <c r="H199" s="16">
        <v>-0.45412832595166258</v>
      </c>
      <c r="I199" s="16">
        <v>-0.5101402989209014</v>
      </c>
      <c r="J199" s="16">
        <v>-0.56123556696185761</v>
      </c>
      <c r="K199" s="16">
        <v>-0.60786082405038866</v>
      </c>
      <c r="L199" s="16">
        <v>-0.6504627641623526</v>
      </c>
      <c r="M199" s="16">
        <v>-0.68948808127360728</v>
      </c>
      <c r="N199" s="16">
        <v>-0.72538346936001019</v>
      </c>
      <c r="O199" s="16">
        <v>-0.75859562239741973</v>
      </c>
      <c r="P199" s="16">
        <v>-0.78957123436169352</v>
      </c>
      <c r="Q199" s="16">
        <v>-0.81875699922868939</v>
      </c>
    </row>
    <row r="200" spans="1:17" x14ac:dyDescent="0.3">
      <c r="A200" s="14" t="s">
        <v>194</v>
      </c>
      <c r="B200" s="15" t="s">
        <v>220</v>
      </c>
      <c r="C200" s="16">
        <v>-0.10094290821287497</v>
      </c>
      <c r="D200" s="16">
        <v>-0.18289675987127577</v>
      </c>
      <c r="E200" s="16">
        <v>-0.26574811225484413</v>
      </c>
      <c r="F200" s="16">
        <v>-0.34016521114313047</v>
      </c>
      <c r="G200" s="16">
        <v>-0.40691059313697292</v>
      </c>
      <c r="H200" s="16">
        <v>-0.46674679483720921</v>
      </c>
      <c r="I200" s="16">
        <v>-0.52043635284467737</v>
      </c>
      <c r="J200" s="16">
        <v>-0.56874180376021533</v>
      </c>
      <c r="K200" s="16">
        <v>-0.61242568418466103</v>
      </c>
      <c r="L200" s="16">
        <v>-0.65225053071885264</v>
      </c>
      <c r="M200" s="16">
        <v>-0.68897887996362783</v>
      </c>
      <c r="N200" s="16">
        <v>-0.72337326851982464</v>
      </c>
      <c r="O200" s="16">
        <v>-0.75619623298828098</v>
      </c>
      <c r="P200" s="16">
        <v>-0.78821030996983499</v>
      </c>
      <c r="Q200" s="16">
        <v>-0.82017803606532436</v>
      </c>
    </row>
    <row r="201" spans="1:17" x14ac:dyDescent="0.3">
      <c r="A201" s="14" t="s">
        <v>194</v>
      </c>
      <c r="B201" s="15" t="s">
        <v>221</v>
      </c>
      <c r="C201" s="16">
        <v>-0.10094290821287497</v>
      </c>
      <c r="D201" s="16">
        <v>-0.18289675987127577</v>
      </c>
      <c r="E201" s="16">
        <v>-0.26574811225484413</v>
      </c>
      <c r="F201" s="16">
        <v>-0.34016521114313047</v>
      </c>
      <c r="G201" s="16">
        <v>-0.40691059313697292</v>
      </c>
      <c r="H201" s="16">
        <v>-0.46674679483720921</v>
      </c>
      <c r="I201" s="16">
        <v>-0.52043635284467737</v>
      </c>
      <c r="J201" s="16">
        <v>-0.56874180376021533</v>
      </c>
      <c r="K201" s="16">
        <v>-0.61242568418466103</v>
      </c>
      <c r="L201" s="16">
        <v>-0.65225053071885264</v>
      </c>
      <c r="M201" s="16">
        <v>-0.68897887996362783</v>
      </c>
      <c r="N201" s="16">
        <v>-0.72337326851982464</v>
      </c>
      <c r="O201" s="16">
        <v>-0.75619623298828098</v>
      </c>
      <c r="P201" s="16">
        <v>-0.78821030996983499</v>
      </c>
      <c r="Q201" s="16">
        <v>-0.82017803606532436</v>
      </c>
    </row>
    <row r="202" spans="1:17" x14ac:dyDescent="0.3">
      <c r="A202" s="14" t="s">
        <v>194</v>
      </c>
      <c r="B202" s="15" t="s">
        <v>222</v>
      </c>
      <c r="C202" s="16">
        <v>-0.10094290821287497</v>
      </c>
      <c r="D202" s="16">
        <v>-0.18289675987127577</v>
      </c>
      <c r="E202" s="16">
        <v>-0.26574811225484413</v>
      </c>
      <c r="F202" s="16">
        <v>-0.34016521114313047</v>
      </c>
      <c r="G202" s="16">
        <v>-0.40691059313697292</v>
      </c>
      <c r="H202" s="16">
        <v>-0.46674679483720921</v>
      </c>
      <c r="I202" s="16">
        <v>-0.52043635284467737</v>
      </c>
      <c r="J202" s="16">
        <v>-0.56874180376021533</v>
      </c>
      <c r="K202" s="16">
        <v>-0.61242568418466103</v>
      </c>
      <c r="L202" s="16">
        <v>-0.65225053071885264</v>
      </c>
      <c r="M202" s="16">
        <v>-0.68897887996362783</v>
      </c>
      <c r="N202" s="16">
        <v>-0.72337326851982464</v>
      </c>
      <c r="O202" s="16">
        <v>-0.75619623298828098</v>
      </c>
      <c r="P202" s="16">
        <v>-0.78821030996983499</v>
      </c>
      <c r="Q202" s="16">
        <v>-0.82017803606532436</v>
      </c>
    </row>
    <row r="203" spans="1:17" x14ac:dyDescent="0.3">
      <c r="A203" s="14" t="s">
        <v>194</v>
      </c>
      <c r="B203" s="15" t="s">
        <v>223</v>
      </c>
      <c r="C203" s="16">
        <v>-0.10094290821287497</v>
      </c>
      <c r="D203" s="16">
        <v>-0.18289675987127577</v>
      </c>
      <c r="E203" s="16">
        <v>-0.26574811225484413</v>
      </c>
      <c r="F203" s="16">
        <v>-0.34016521114313047</v>
      </c>
      <c r="G203" s="16">
        <v>-0.40691059313697292</v>
      </c>
      <c r="H203" s="16">
        <v>-0.46674679483720921</v>
      </c>
      <c r="I203" s="16">
        <v>-0.52043635284467737</v>
      </c>
      <c r="J203" s="16">
        <v>-0.56874180376021533</v>
      </c>
      <c r="K203" s="16">
        <v>-0.61242568418466103</v>
      </c>
      <c r="L203" s="16">
        <v>-0.65225053071885264</v>
      </c>
      <c r="M203" s="16">
        <v>-0.68897887996362783</v>
      </c>
      <c r="N203" s="16">
        <v>-0.72337326851982464</v>
      </c>
      <c r="O203" s="16">
        <v>-0.75619623298828098</v>
      </c>
      <c r="P203" s="16">
        <v>-0.78821030996983499</v>
      </c>
      <c r="Q203" s="16">
        <v>-0.82017803606532436</v>
      </c>
    </row>
    <row r="204" spans="1:17" x14ac:dyDescent="0.3">
      <c r="A204" s="14" t="s">
        <v>194</v>
      </c>
      <c r="B204" s="15" t="s">
        <v>224</v>
      </c>
      <c r="C204" s="16">
        <v>-0.10329915546732474</v>
      </c>
      <c r="D204" s="16">
        <v>-0.18593006259921557</v>
      </c>
      <c r="E204" s="16">
        <v>-0.26836458412489139</v>
      </c>
      <c r="F204" s="16">
        <v>-0.34134028814088963</v>
      </c>
      <c r="G204" s="16">
        <v>-0.40592465829048041</v>
      </c>
      <c r="H204" s="16">
        <v>-0.46318517821693389</v>
      </c>
      <c r="I204" s="16">
        <v>-0.51418933156351965</v>
      </c>
      <c r="J204" s="16">
        <v>-0.56000460197350821</v>
      </c>
      <c r="K204" s="16">
        <v>-0.60169847309016933</v>
      </c>
      <c r="L204" s="16">
        <v>-0.64033842855677292</v>
      </c>
      <c r="M204" s="16">
        <v>-0.67699195201658902</v>
      </c>
      <c r="N204" s="16">
        <v>-0.71272652711288809</v>
      </c>
      <c r="O204" s="16">
        <v>-0.74860963748893938</v>
      </c>
      <c r="P204" s="16">
        <v>-0.7857087667880136</v>
      </c>
      <c r="Q204" s="16">
        <v>-0.82509139865338044</v>
      </c>
    </row>
    <row r="205" spans="1:17" x14ac:dyDescent="0.3">
      <c r="A205" s="14" t="s">
        <v>194</v>
      </c>
      <c r="B205" s="15" t="s">
        <v>225</v>
      </c>
      <c r="C205" s="16">
        <v>-0.10094290821287497</v>
      </c>
      <c r="D205" s="16">
        <v>-0.18289675987127577</v>
      </c>
      <c r="E205" s="16">
        <v>-0.26574811225484413</v>
      </c>
      <c r="F205" s="16">
        <v>-0.34016521114313047</v>
      </c>
      <c r="G205" s="16">
        <v>-0.40691059313697292</v>
      </c>
      <c r="H205" s="16">
        <v>-0.46674679483720921</v>
      </c>
      <c r="I205" s="16">
        <v>-0.52043635284467737</v>
      </c>
      <c r="J205" s="16">
        <v>-0.56874180376021533</v>
      </c>
      <c r="K205" s="16">
        <v>-0.61242568418466103</v>
      </c>
      <c r="L205" s="16">
        <v>-0.65225053071885264</v>
      </c>
      <c r="M205" s="16">
        <v>-0.68897887996362783</v>
      </c>
      <c r="N205" s="16">
        <v>-0.72337326851982464</v>
      </c>
      <c r="O205" s="16">
        <v>-0.75619623298828098</v>
      </c>
      <c r="P205" s="16">
        <v>-0.78821030996983499</v>
      </c>
      <c r="Q205" s="16">
        <v>-0.82017803606532436</v>
      </c>
    </row>
    <row r="206" spans="1:17" x14ac:dyDescent="0.3">
      <c r="A206" s="14" t="s">
        <v>194</v>
      </c>
      <c r="B206" s="15" t="s">
        <v>226</v>
      </c>
      <c r="C206" s="16">
        <v>-9.6990968369394054E-2</v>
      </c>
      <c r="D206" s="16">
        <v>-0.17702231746865085</v>
      </c>
      <c r="E206" s="16">
        <v>-0.25917525052531909</v>
      </c>
      <c r="F206" s="16">
        <v>-0.33429481988964771</v>
      </c>
      <c r="G206" s="16">
        <v>-0.40292517474882528</v>
      </c>
      <c r="H206" s="16">
        <v>-0.4656104642900401</v>
      </c>
      <c r="I206" s="16">
        <v>-0.52289483770048073</v>
      </c>
      <c r="J206" s="16">
        <v>-0.57532244416733558</v>
      </c>
      <c r="K206" s="16">
        <v>-0.62343743287779296</v>
      </c>
      <c r="L206" s="16">
        <v>-0.6677839530190417</v>
      </c>
      <c r="M206" s="16">
        <v>-0.70890615377826982</v>
      </c>
      <c r="N206" s="16">
        <v>-0.74734818434266592</v>
      </c>
      <c r="O206" s="16">
        <v>-0.78365419389941815</v>
      </c>
      <c r="P206" s="16">
        <v>-0.81836833163571554</v>
      </c>
      <c r="Q206" s="16">
        <v>-0.85203474673874613</v>
      </c>
    </row>
    <row r="207" spans="1:17" x14ac:dyDescent="0.3">
      <c r="A207" s="14" t="s">
        <v>194</v>
      </c>
      <c r="B207" s="15" t="s">
        <v>227</v>
      </c>
      <c r="C207" s="16">
        <v>-0.10094290821287497</v>
      </c>
      <c r="D207" s="16">
        <v>-0.18289675987127577</v>
      </c>
      <c r="E207" s="16">
        <v>-0.26574811225484413</v>
      </c>
      <c r="F207" s="16">
        <v>-0.34016521114313047</v>
      </c>
      <c r="G207" s="16">
        <v>-0.40691059313697292</v>
      </c>
      <c r="H207" s="16">
        <v>-0.46674679483720921</v>
      </c>
      <c r="I207" s="16">
        <v>-0.52043635284467737</v>
      </c>
      <c r="J207" s="16">
        <v>-0.56874180376021533</v>
      </c>
      <c r="K207" s="16">
        <v>-0.61242568418466103</v>
      </c>
      <c r="L207" s="16">
        <v>-0.65225053071885264</v>
      </c>
      <c r="M207" s="16">
        <v>-0.68897887996362783</v>
      </c>
      <c r="N207" s="16">
        <v>-0.72337326851982464</v>
      </c>
      <c r="O207" s="16">
        <v>-0.75619623298828098</v>
      </c>
      <c r="P207" s="16">
        <v>-0.78821030996983499</v>
      </c>
      <c r="Q207" s="16">
        <v>-0.82017803606532436</v>
      </c>
    </row>
    <row r="208" spans="1:17" x14ac:dyDescent="0.3">
      <c r="A208" s="14" t="s">
        <v>194</v>
      </c>
      <c r="B208" s="15" t="s">
        <v>228</v>
      </c>
      <c r="C208" s="16">
        <v>-0.10094290821287497</v>
      </c>
      <c r="D208" s="16">
        <v>-0.18289675987127577</v>
      </c>
      <c r="E208" s="16">
        <v>-0.26574811225484413</v>
      </c>
      <c r="F208" s="16">
        <v>-0.34016521114313047</v>
      </c>
      <c r="G208" s="16">
        <v>-0.40691059313697292</v>
      </c>
      <c r="H208" s="16">
        <v>-0.46674679483720921</v>
      </c>
      <c r="I208" s="16">
        <v>-0.52043635284467737</v>
      </c>
      <c r="J208" s="16">
        <v>-0.56874180376021533</v>
      </c>
      <c r="K208" s="16">
        <v>-0.61242568418466103</v>
      </c>
      <c r="L208" s="16">
        <v>-0.65225053071885264</v>
      </c>
      <c r="M208" s="16">
        <v>-0.68897887996362783</v>
      </c>
      <c r="N208" s="16">
        <v>-0.72337326851982464</v>
      </c>
      <c r="O208" s="16">
        <v>-0.75619623298828098</v>
      </c>
      <c r="P208" s="16">
        <v>-0.78821030996983499</v>
      </c>
      <c r="Q208" s="16">
        <v>-0.82017803606532436</v>
      </c>
    </row>
    <row r="209" spans="1:17" x14ac:dyDescent="0.3">
      <c r="A209" s="14" t="s">
        <v>194</v>
      </c>
      <c r="B209" s="15" t="s">
        <v>229</v>
      </c>
      <c r="C209" s="16">
        <v>-0.10094290821287497</v>
      </c>
      <c r="D209" s="16">
        <v>-0.18289675987127577</v>
      </c>
      <c r="E209" s="16">
        <v>-0.26574811225484413</v>
      </c>
      <c r="F209" s="16">
        <v>-0.34016521114313047</v>
      </c>
      <c r="G209" s="16">
        <v>-0.40691059313697292</v>
      </c>
      <c r="H209" s="16">
        <v>-0.46674679483720921</v>
      </c>
      <c r="I209" s="16">
        <v>-0.52043635284467737</v>
      </c>
      <c r="J209" s="16">
        <v>-0.56874180376021533</v>
      </c>
      <c r="K209" s="16">
        <v>-0.61242568418466103</v>
      </c>
      <c r="L209" s="16">
        <v>-0.65225053071885264</v>
      </c>
      <c r="M209" s="16">
        <v>-0.68897887996362783</v>
      </c>
      <c r="N209" s="16">
        <v>-0.72337326851982464</v>
      </c>
      <c r="O209" s="16">
        <v>-0.75619623298828098</v>
      </c>
      <c r="P209" s="16">
        <v>-0.78821030996983499</v>
      </c>
      <c r="Q209" s="16">
        <v>-0.82017803606532436</v>
      </c>
    </row>
    <row r="210" spans="1:17" x14ac:dyDescent="0.3">
      <c r="A210" s="14" t="s">
        <v>194</v>
      </c>
      <c r="B210" s="15" t="s">
        <v>230</v>
      </c>
      <c r="C210" s="16">
        <v>-9.8854718452670715E-2</v>
      </c>
      <c r="D210" s="16">
        <v>-0.17994971924863912</v>
      </c>
      <c r="E210" s="16">
        <v>-0.26271183008963661</v>
      </c>
      <c r="F210" s="16">
        <v>-0.33784535714424924</v>
      </c>
      <c r="G210" s="16">
        <v>-0.40594007842633029</v>
      </c>
      <c r="H210" s="16">
        <v>-0.46758577194973278</v>
      </c>
      <c r="I210" s="16">
        <v>-0.52337221572830994</v>
      </c>
      <c r="J210" s="16">
        <v>-0.57388918777591491</v>
      </c>
      <c r="K210" s="16">
        <v>-0.61972646610640081</v>
      </c>
      <c r="L210" s="16">
        <v>-0.66147382873362082</v>
      </c>
      <c r="M210" s="16">
        <v>-0.69972105367142845</v>
      </c>
      <c r="N210" s="16">
        <v>-0.73505791893367611</v>
      </c>
      <c r="O210" s="16">
        <v>-0.76807420253421754</v>
      </c>
      <c r="P210" s="16">
        <v>-0.79935968248690592</v>
      </c>
      <c r="Q210" s="16">
        <v>-0.82950413680559409</v>
      </c>
    </row>
    <row r="211" spans="1:17" x14ac:dyDescent="0.3">
      <c r="A211" s="14" t="s">
        <v>194</v>
      </c>
      <c r="B211" s="15" t="s">
        <v>231</v>
      </c>
      <c r="C211" s="16">
        <v>-8.4039946319544145E-2</v>
      </c>
      <c r="D211" s="16">
        <v>-0.15668419288300417</v>
      </c>
      <c r="E211" s="16">
        <v>-0.23420478959559565</v>
      </c>
      <c r="F211" s="16">
        <v>-0.30797159996065926</v>
      </c>
      <c r="G211" s="16">
        <v>-0.37775848211349006</v>
      </c>
      <c r="H211" s="16">
        <v>-0.443339294189383</v>
      </c>
      <c r="I211" s="16">
        <v>-0.50448789432363328</v>
      </c>
      <c r="J211" s="16">
        <v>-0.56097814065153595</v>
      </c>
      <c r="K211" s="16">
        <v>-0.61258389130838609</v>
      </c>
      <c r="L211" s="16">
        <v>-0.65907900442947875</v>
      </c>
      <c r="M211" s="16">
        <v>-0.70023733815010891</v>
      </c>
      <c r="N211" s="16">
        <v>-0.73583275060557163</v>
      </c>
      <c r="O211" s="16">
        <v>-0.76563909993116219</v>
      </c>
      <c r="P211" s="16">
        <v>-0.78943024426217545</v>
      </c>
      <c r="Q211" s="16">
        <v>-0.80698004173390669</v>
      </c>
    </row>
    <row r="212" spans="1:17" x14ac:dyDescent="0.3">
      <c r="A212" s="14" t="s">
        <v>194</v>
      </c>
      <c r="B212" s="15" t="s">
        <v>232</v>
      </c>
      <c r="C212" s="16">
        <v>-0.10509760672504495</v>
      </c>
      <c r="D212" s="16">
        <v>-0.18786776444581538</v>
      </c>
      <c r="E212" s="16">
        <v>-0.26928295882203845</v>
      </c>
      <c r="F212" s="16">
        <v>-0.34024014117679424</v>
      </c>
      <c r="G212" s="16">
        <v>-0.40214602350566708</v>
      </c>
      <c r="H212" s="16">
        <v>-0.45640731780424149</v>
      </c>
      <c r="I212" s="16">
        <v>-0.50443073606810185</v>
      </c>
      <c r="J212" s="16">
        <v>-0.54762299029283279</v>
      </c>
      <c r="K212" s="16">
        <v>-0.58739079247401849</v>
      </c>
      <c r="L212" s="16">
        <v>-0.62514085460724356</v>
      </c>
      <c r="M212" s="16">
        <v>-0.6622798886880924</v>
      </c>
      <c r="N212" s="16">
        <v>-0.70021460671214941</v>
      </c>
      <c r="O212" s="16">
        <v>-0.74035172067499933</v>
      </c>
      <c r="P212" s="16">
        <v>-0.78409794257222631</v>
      </c>
      <c r="Q212" s="16">
        <v>-0.83285998439941489</v>
      </c>
    </row>
    <row r="213" spans="1:17" x14ac:dyDescent="0.3">
      <c r="A213" s="14" t="s">
        <v>194</v>
      </c>
      <c r="B213" s="15" t="s">
        <v>233</v>
      </c>
      <c r="C213" s="16">
        <v>-0.10094290821287497</v>
      </c>
      <c r="D213" s="16">
        <v>-0.18289675987127577</v>
      </c>
      <c r="E213" s="16">
        <v>-0.26574811225484413</v>
      </c>
      <c r="F213" s="16">
        <v>-0.34016521114313047</v>
      </c>
      <c r="G213" s="16">
        <v>-0.40691059313697292</v>
      </c>
      <c r="H213" s="16">
        <v>-0.46674679483720921</v>
      </c>
      <c r="I213" s="16">
        <v>-0.52043635284467737</v>
      </c>
      <c r="J213" s="16">
        <v>-0.56874180376021533</v>
      </c>
      <c r="K213" s="16">
        <v>-0.61242568418466103</v>
      </c>
      <c r="L213" s="16">
        <v>-0.65225053071885264</v>
      </c>
      <c r="M213" s="16">
        <v>-0.68897887996362783</v>
      </c>
      <c r="N213" s="16">
        <v>-0.72337326851982464</v>
      </c>
      <c r="O213" s="16">
        <v>-0.75619623298828098</v>
      </c>
      <c r="P213" s="16">
        <v>-0.78821030996983499</v>
      </c>
      <c r="Q213" s="16">
        <v>-0.82017803606532436</v>
      </c>
    </row>
    <row r="214" spans="1:17" x14ac:dyDescent="0.3">
      <c r="A214" s="14" t="s">
        <v>194</v>
      </c>
      <c r="B214" s="15" t="s">
        <v>234</v>
      </c>
      <c r="C214" s="16">
        <v>-0.10094290821287497</v>
      </c>
      <c r="D214" s="16">
        <v>-0.18289675987127577</v>
      </c>
      <c r="E214" s="16">
        <v>-0.26574811225484413</v>
      </c>
      <c r="F214" s="16">
        <v>-0.34016521114313047</v>
      </c>
      <c r="G214" s="16">
        <v>-0.40691059313697292</v>
      </c>
      <c r="H214" s="16">
        <v>-0.46674679483720921</v>
      </c>
      <c r="I214" s="16">
        <v>-0.52043635284467737</v>
      </c>
      <c r="J214" s="16">
        <v>-0.56874180376021533</v>
      </c>
      <c r="K214" s="16">
        <v>-0.61242568418466103</v>
      </c>
      <c r="L214" s="16">
        <v>-0.65225053071885264</v>
      </c>
      <c r="M214" s="16">
        <v>-0.68897887996362783</v>
      </c>
      <c r="N214" s="16">
        <v>-0.72337326851982464</v>
      </c>
      <c r="O214" s="16">
        <v>-0.75619623298828098</v>
      </c>
      <c r="P214" s="16">
        <v>-0.78821030996983499</v>
      </c>
      <c r="Q214" s="16">
        <v>-0.82017803606532436</v>
      </c>
    </row>
    <row r="215" spans="1:17" x14ac:dyDescent="0.3">
      <c r="A215" s="14" t="s">
        <v>194</v>
      </c>
      <c r="B215" s="15" t="s">
        <v>235</v>
      </c>
      <c r="C215" s="16">
        <v>-9.9760107301286718E-2</v>
      </c>
      <c r="D215" s="16">
        <v>-0.18137408738753258</v>
      </c>
      <c r="E215" s="16">
        <v>-0.26443468293004385</v>
      </c>
      <c r="F215" s="16">
        <v>-0.33957534090046376</v>
      </c>
      <c r="G215" s="16">
        <v>-0.4074055190005641</v>
      </c>
      <c r="H215" s="16">
        <v>-0.46853467493211703</v>
      </c>
      <c r="I215" s="16">
        <v>-0.52357226639689414</v>
      </c>
      <c r="J215" s="16">
        <v>-0.57312775109666769</v>
      </c>
      <c r="K215" s="16">
        <v>-0.6178105867332091</v>
      </c>
      <c r="L215" s="16">
        <v>-0.65823023100829059</v>
      </c>
      <c r="M215" s="16">
        <v>-0.69499614162368417</v>
      </c>
      <c r="N215" s="16">
        <v>-0.72871777628116163</v>
      </c>
      <c r="O215" s="16">
        <v>-0.76000459268249465</v>
      </c>
      <c r="P215" s="16">
        <v>-0.78946604852945534</v>
      </c>
      <c r="Q215" s="16">
        <v>-0.81771160152381561</v>
      </c>
    </row>
    <row r="216" spans="1:17" x14ac:dyDescent="0.3">
      <c r="A216" s="14" t="s">
        <v>194</v>
      </c>
      <c r="B216" s="15" t="s">
        <v>236</v>
      </c>
      <c r="C216" s="16">
        <v>-0.10094290821287497</v>
      </c>
      <c r="D216" s="16">
        <v>-0.18289675987127577</v>
      </c>
      <c r="E216" s="16">
        <v>-0.26574811225484413</v>
      </c>
      <c r="F216" s="16">
        <v>-0.34016521114313047</v>
      </c>
      <c r="G216" s="16">
        <v>-0.40691059313697292</v>
      </c>
      <c r="H216" s="16">
        <v>-0.46674679483720921</v>
      </c>
      <c r="I216" s="16">
        <v>-0.52043635284467737</v>
      </c>
      <c r="J216" s="16">
        <v>-0.56874180376021533</v>
      </c>
      <c r="K216" s="16">
        <v>-0.61242568418466103</v>
      </c>
      <c r="L216" s="16">
        <v>-0.65225053071885264</v>
      </c>
      <c r="M216" s="16">
        <v>-0.68897887996362783</v>
      </c>
      <c r="N216" s="16">
        <v>-0.72337326851982464</v>
      </c>
      <c r="O216" s="16">
        <v>-0.75619623298828098</v>
      </c>
      <c r="P216" s="16">
        <v>-0.78821030996983499</v>
      </c>
      <c r="Q216" s="16">
        <v>-0.82017803606532436</v>
      </c>
    </row>
    <row r="217" spans="1:17" x14ac:dyDescent="0.3">
      <c r="A217" s="14" t="s">
        <v>194</v>
      </c>
      <c r="B217" s="15" t="s">
        <v>237</v>
      </c>
      <c r="C217" s="16">
        <v>-9.0063138878132304E-2</v>
      </c>
      <c r="D217" s="16">
        <v>-0.16580686662086416</v>
      </c>
      <c r="E217" s="16">
        <v>-0.24482378112611441</v>
      </c>
      <c r="F217" s="16">
        <v>-0.31829680657375126</v>
      </c>
      <c r="G217" s="16">
        <v>-0.38641518103145595</v>
      </c>
      <c r="H217" s="16">
        <v>-0.44936814256690977</v>
      </c>
      <c r="I217" s="16">
        <v>-0.50734492924779417</v>
      </c>
      <c r="J217" s="16">
        <v>-0.56053477914179051</v>
      </c>
      <c r="K217" s="16">
        <v>-0.60912693031658016</v>
      </c>
      <c r="L217" s="16">
        <v>-0.65331062083984426</v>
      </c>
      <c r="M217" s="16">
        <v>-0.69327508877926425</v>
      </c>
      <c r="N217" s="16">
        <v>-0.72920957220252136</v>
      </c>
      <c r="O217" s="16">
        <v>-0.76130330917729716</v>
      </c>
      <c r="P217" s="16">
        <v>-0.7897455377712731</v>
      </c>
      <c r="Q217" s="16">
        <v>-0.81472549605213018</v>
      </c>
    </row>
    <row r="218" spans="1:17" x14ac:dyDescent="0.3">
      <c r="A218" s="14" t="s">
        <v>194</v>
      </c>
      <c r="B218" s="15" t="s">
        <v>238</v>
      </c>
      <c r="C218" s="16">
        <v>-8.1705551006903104E-2</v>
      </c>
      <c r="D218" s="16">
        <v>-0.1528257699171581</v>
      </c>
      <c r="E218" s="16">
        <v>-0.22916916750662614</v>
      </c>
      <c r="F218" s="16">
        <v>-0.3022715321519357</v>
      </c>
      <c r="G218" s="16">
        <v>-0.37183920733040543</v>
      </c>
      <c r="H218" s="16">
        <v>-0.43757853651935441</v>
      </c>
      <c r="I218" s="16">
        <v>-0.4991958631961011</v>
      </c>
      <c r="J218" s="16">
        <v>-0.55639753083796462</v>
      </c>
      <c r="K218" s="16">
        <v>-0.60888988292226365</v>
      </c>
      <c r="L218" s="16">
        <v>-0.65637926292631665</v>
      </c>
      <c r="M218" s="16">
        <v>-0.69857201432744298</v>
      </c>
      <c r="N218" s="16">
        <v>-0.73517448060296109</v>
      </c>
      <c r="O218" s="16">
        <v>-0.76589300523018988</v>
      </c>
      <c r="P218" s="16">
        <v>-0.79043393168644793</v>
      </c>
      <c r="Q218" s="16">
        <v>-0.80850360344905425</v>
      </c>
    </row>
    <row r="219" spans="1:17" x14ac:dyDescent="0.3">
      <c r="A219" s="14" t="s">
        <v>194</v>
      </c>
      <c r="B219" s="15" t="s">
        <v>239</v>
      </c>
      <c r="C219" s="16">
        <v>-0.10094290821287497</v>
      </c>
      <c r="D219" s="16">
        <v>-0.18289675987127577</v>
      </c>
      <c r="E219" s="16">
        <v>-0.26574811225484413</v>
      </c>
      <c r="F219" s="16">
        <v>-0.34016521114313047</v>
      </c>
      <c r="G219" s="16">
        <v>-0.40691059313697292</v>
      </c>
      <c r="H219" s="16">
        <v>-0.46674679483720921</v>
      </c>
      <c r="I219" s="16">
        <v>-0.52043635284467737</v>
      </c>
      <c r="J219" s="16">
        <v>-0.56874180376021533</v>
      </c>
      <c r="K219" s="16">
        <v>-0.61242568418466103</v>
      </c>
      <c r="L219" s="16">
        <v>-0.65225053071885264</v>
      </c>
      <c r="M219" s="16">
        <v>-0.68897887996362783</v>
      </c>
      <c r="N219" s="16">
        <v>-0.72337326851982464</v>
      </c>
      <c r="O219" s="16">
        <v>-0.75619623298828098</v>
      </c>
      <c r="P219" s="16">
        <v>-0.78821030996983499</v>
      </c>
      <c r="Q219" s="16">
        <v>-0.82017803606532436</v>
      </c>
    </row>
    <row r="220" spans="1:17" x14ac:dyDescent="0.3">
      <c r="A220" s="14" t="s">
        <v>194</v>
      </c>
      <c r="B220" s="15" t="s">
        <v>240</v>
      </c>
      <c r="C220" s="16">
        <v>-8.7193745242265919E-2</v>
      </c>
      <c r="D220" s="16">
        <v>-0.16098396559725014</v>
      </c>
      <c r="E220" s="16">
        <v>-0.23840467679551622</v>
      </c>
      <c r="F220" s="16">
        <v>-0.31086509079457203</v>
      </c>
      <c r="G220" s="16">
        <v>-0.37849379407615191</v>
      </c>
      <c r="H220" s="16">
        <v>-0.44141937312199037</v>
      </c>
      <c r="I220" s="16">
        <v>-0.49977041441382175</v>
      </c>
      <c r="J220" s="16">
        <v>-0.55367550443338054</v>
      </c>
      <c r="K220" s="16">
        <v>-0.6032632296624012</v>
      </c>
      <c r="L220" s="16">
        <v>-0.64866217658261793</v>
      </c>
      <c r="M220" s="16">
        <v>-0.69000093167576526</v>
      </c>
      <c r="N220" s="16">
        <v>-0.72740808142357771</v>
      </c>
      <c r="O220" s="16">
        <v>-0.76101221230778959</v>
      </c>
      <c r="P220" s="16">
        <v>-0.79094191081013521</v>
      </c>
      <c r="Q220" s="16">
        <v>-0.8173257634123493</v>
      </c>
    </row>
    <row r="221" spans="1:17" x14ac:dyDescent="0.3">
      <c r="A221" s="14" t="s">
        <v>194</v>
      </c>
      <c r="B221" s="15" t="s">
        <v>241</v>
      </c>
      <c r="C221" s="16">
        <v>-0.10094290821287497</v>
      </c>
      <c r="D221" s="16">
        <v>-0.18289675987127577</v>
      </c>
      <c r="E221" s="16">
        <v>-0.26574811225484413</v>
      </c>
      <c r="F221" s="16">
        <v>-0.34016521114313047</v>
      </c>
      <c r="G221" s="16">
        <v>-0.40691059313697292</v>
      </c>
      <c r="H221" s="16">
        <v>-0.46674679483720921</v>
      </c>
      <c r="I221" s="16">
        <v>-0.52043635284467737</v>
      </c>
      <c r="J221" s="16">
        <v>-0.56874180376021533</v>
      </c>
      <c r="K221" s="16">
        <v>-0.61242568418466103</v>
      </c>
      <c r="L221" s="16">
        <v>-0.65225053071885264</v>
      </c>
      <c r="M221" s="16">
        <v>-0.68897887996362783</v>
      </c>
      <c r="N221" s="16">
        <v>-0.72337326851982464</v>
      </c>
      <c r="O221" s="16">
        <v>-0.75619623298828098</v>
      </c>
      <c r="P221" s="16">
        <v>-0.78821030996983499</v>
      </c>
      <c r="Q221" s="16">
        <v>-0.82017803606532436</v>
      </c>
    </row>
    <row r="222" spans="1:17" x14ac:dyDescent="0.3">
      <c r="A222" s="14" t="s">
        <v>194</v>
      </c>
      <c r="B222" s="15" t="s">
        <v>242</v>
      </c>
      <c r="C222" s="16">
        <v>-0.10094290821287497</v>
      </c>
      <c r="D222" s="16">
        <v>-0.18289675987127577</v>
      </c>
      <c r="E222" s="16">
        <v>-0.26574811225484413</v>
      </c>
      <c r="F222" s="16">
        <v>-0.34016521114313047</v>
      </c>
      <c r="G222" s="16">
        <v>-0.40691059313697292</v>
      </c>
      <c r="H222" s="16">
        <v>-0.46674679483720921</v>
      </c>
      <c r="I222" s="16">
        <v>-0.52043635284467737</v>
      </c>
      <c r="J222" s="16">
        <v>-0.56874180376021533</v>
      </c>
      <c r="K222" s="16">
        <v>-0.61242568418466103</v>
      </c>
      <c r="L222" s="16">
        <v>-0.65225053071885264</v>
      </c>
      <c r="M222" s="16">
        <v>-0.68897887996362783</v>
      </c>
      <c r="N222" s="16">
        <v>-0.72337326851982464</v>
      </c>
      <c r="O222" s="16">
        <v>-0.75619623298828098</v>
      </c>
      <c r="P222" s="16">
        <v>-0.78821030996983499</v>
      </c>
      <c r="Q222" s="16">
        <v>-0.82017803606532436</v>
      </c>
    </row>
    <row r="223" spans="1:17" x14ac:dyDescent="0.3">
      <c r="A223" s="14" t="s">
        <v>194</v>
      </c>
      <c r="B223" s="15" t="s">
        <v>243</v>
      </c>
      <c r="C223" s="16">
        <v>-8.8327103810661806E-2</v>
      </c>
      <c r="D223" s="16">
        <v>-0.16346176337282764</v>
      </c>
      <c r="E223" s="16">
        <v>-0.24257324241281783</v>
      </c>
      <c r="F223" s="16">
        <v>-0.31681578370328478</v>
      </c>
      <c r="G223" s="16">
        <v>-0.38617634039794713</v>
      </c>
      <c r="H223" s="16">
        <v>-0.45064186565052372</v>
      </c>
      <c r="I223" s="16">
        <v>-0.51019931261473306</v>
      </c>
      <c r="J223" s="16">
        <v>-0.56483563444429374</v>
      </c>
      <c r="K223" s="16">
        <v>-0.6145377842929246</v>
      </c>
      <c r="L223" s="16">
        <v>-0.65929271531434419</v>
      </c>
      <c r="M223" s="16">
        <v>-0.69908738066227127</v>
      </c>
      <c r="N223" s="16">
        <v>-0.7339087334904244</v>
      </c>
      <c r="O223" s="16">
        <v>-0.76374372695252213</v>
      </c>
      <c r="P223" s="16">
        <v>-0.78857931420228355</v>
      </c>
      <c r="Q223" s="16">
        <v>-0.80840244839342668</v>
      </c>
    </row>
    <row r="224" spans="1:17" x14ac:dyDescent="0.3">
      <c r="A224" s="14" t="s">
        <v>194</v>
      </c>
      <c r="B224" s="15" t="s">
        <v>244</v>
      </c>
      <c r="C224" s="16">
        <v>-0.10094290821287497</v>
      </c>
      <c r="D224" s="16">
        <v>-0.18289675987127577</v>
      </c>
      <c r="E224" s="16">
        <v>-0.26574811225484413</v>
      </c>
      <c r="F224" s="16">
        <v>-0.34016521114313047</v>
      </c>
      <c r="G224" s="16">
        <v>-0.40691059313697292</v>
      </c>
      <c r="H224" s="16">
        <v>-0.46674679483720921</v>
      </c>
      <c r="I224" s="16">
        <v>-0.52043635284467737</v>
      </c>
      <c r="J224" s="16">
        <v>-0.56874180376021533</v>
      </c>
      <c r="K224" s="16">
        <v>-0.61242568418466103</v>
      </c>
      <c r="L224" s="16">
        <v>-0.65225053071885264</v>
      </c>
      <c r="M224" s="16">
        <v>-0.68897887996362783</v>
      </c>
      <c r="N224" s="16">
        <v>-0.72337326851982464</v>
      </c>
      <c r="O224" s="16">
        <v>-0.75619623298828098</v>
      </c>
      <c r="P224" s="16">
        <v>-0.78821030996983499</v>
      </c>
      <c r="Q224" s="16">
        <v>-0.82017803606532436</v>
      </c>
    </row>
    <row r="225" spans="1:17" x14ac:dyDescent="0.3">
      <c r="A225" s="14" t="s">
        <v>194</v>
      </c>
      <c r="B225" s="15" t="s">
        <v>245</v>
      </c>
      <c r="C225" s="16">
        <v>-0.10094290821287497</v>
      </c>
      <c r="D225" s="16">
        <v>-0.18289675987127577</v>
      </c>
      <c r="E225" s="16">
        <v>-0.26574811225484413</v>
      </c>
      <c r="F225" s="16">
        <v>-0.34016521114313047</v>
      </c>
      <c r="G225" s="16">
        <v>-0.40691059313697292</v>
      </c>
      <c r="H225" s="16">
        <v>-0.46674679483720921</v>
      </c>
      <c r="I225" s="16">
        <v>-0.52043635284467737</v>
      </c>
      <c r="J225" s="16">
        <v>-0.56874180376021533</v>
      </c>
      <c r="K225" s="16">
        <v>-0.61242568418466103</v>
      </c>
      <c r="L225" s="16">
        <v>-0.65225053071885264</v>
      </c>
      <c r="M225" s="16">
        <v>-0.68897887996362783</v>
      </c>
      <c r="N225" s="16">
        <v>-0.72337326851982464</v>
      </c>
      <c r="O225" s="16">
        <v>-0.75619623298828098</v>
      </c>
      <c r="P225" s="16">
        <v>-0.78821030996983499</v>
      </c>
      <c r="Q225" s="16">
        <v>-0.82017803606532436</v>
      </c>
    </row>
    <row r="226" spans="1:17" x14ac:dyDescent="0.3">
      <c r="A226" s="14" t="s">
        <v>194</v>
      </c>
      <c r="B226" s="15" t="s">
        <v>246</v>
      </c>
      <c r="C226" s="16">
        <v>-0.10094290821287497</v>
      </c>
      <c r="D226" s="16">
        <v>-0.18289675987127577</v>
      </c>
      <c r="E226" s="16">
        <v>-0.26574811225484413</v>
      </c>
      <c r="F226" s="16">
        <v>-0.34016521114313047</v>
      </c>
      <c r="G226" s="16">
        <v>-0.40691059313697292</v>
      </c>
      <c r="H226" s="16">
        <v>-0.46674679483720921</v>
      </c>
      <c r="I226" s="16">
        <v>-0.52043635284467737</v>
      </c>
      <c r="J226" s="16">
        <v>-0.56874180376021533</v>
      </c>
      <c r="K226" s="16">
        <v>-0.61242568418466103</v>
      </c>
      <c r="L226" s="16">
        <v>-0.65225053071885264</v>
      </c>
      <c r="M226" s="16">
        <v>-0.68897887996362783</v>
      </c>
      <c r="N226" s="16">
        <v>-0.72337326851982464</v>
      </c>
      <c r="O226" s="16">
        <v>-0.75619623298828098</v>
      </c>
      <c r="P226" s="16">
        <v>-0.78821030996983499</v>
      </c>
      <c r="Q226" s="16">
        <v>-0.82017803606532436</v>
      </c>
    </row>
    <row r="227" spans="1:17" x14ac:dyDescent="0.3">
      <c r="A227" s="14" t="s">
        <v>194</v>
      </c>
      <c r="B227" s="15" t="s">
        <v>247</v>
      </c>
      <c r="C227" s="16">
        <v>-0.10094290821287497</v>
      </c>
      <c r="D227" s="16">
        <v>-0.18289675987127577</v>
      </c>
      <c r="E227" s="16">
        <v>-0.26574811225484413</v>
      </c>
      <c r="F227" s="16">
        <v>-0.34016521114313047</v>
      </c>
      <c r="G227" s="16">
        <v>-0.40691059313697292</v>
      </c>
      <c r="H227" s="16">
        <v>-0.46674679483720921</v>
      </c>
      <c r="I227" s="16">
        <v>-0.52043635284467737</v>
      </c>
      <c r="J227" s="16">
        <v>-0.56874180376021533</v>
      </c>
      <c r="K227" s="16">
        <v>-0.61242568418466103</v>
      </c>
      <c r="L227" s="16">
        <v>-0.65225053071885264</v>
      </c>
      <c r="M227" s="16">
        <v>-0.68897887996362783</v>
      </c>
      <c r="N227" s="16">
        <v>-0.72337326851982464</v>
      </c>
      <c r="O227" s="16">
        <v>-0.75619623298828098</v>
      </c>
      <c r="P227" s="16">
        <v>-0.78821030996983499</v>
      </c>
      <c r="Q227" s="16">
        <v>-0.82017803606532436</v>
      </c>
    </row>
    <row r="228" spans="1:17" x14ac:dyDescent="0.3">
      <c r="A228" s="14" t="s">
        <v>194</v>
      </c>
      <c r="B228" s="15" t="s">
        <v>248</v>
      </c>
      <c r="C228" s="16">
        <v>-0.10094290821287497</v>
      </c>
      <c r="D228" s="16">
        <v>-0.18289675987127577</v>
      </c>
      <c r="E228" s="16">
        <v>-0.26574811225484413</v>
      </c>
      <c r="F228" s="16">
        <v>-0.34016521114313047</v>
      </c>
      <c r="G228" s="16">
        <v>-0.40691059313697292</v>
      </c>
      <c r="H228" s="16">
        <v>-0.46674679483720921</v>
      </c>
      <c r="I228" s="16">
        <v>-0.52043635284467737</v>
      </c>
      <c r="J228" s="16">
        <v>-0.56874180376021533</v>
      </c>
      <c r="K228" s="16">
        <v>-0.61242568418466103</v>
      </c>
      <c r="L228" s="16">
        <v>-0.65225053071885264</v>
      </c>
      <c r="M228" s="16">
        <v>-0.68897887996362783</v>
      </c>
      <c r="N228" s="16">
        <v>-0.72337326851982464</v>
      </c>
      <c r="O228" s="16">
        <v>-0.75619623298828098</v>
      </c>
      <c r="P228" s="16">
        <v>-0.78821030996983499</v>
      </c>
      <c r="Q228" s="16">
        <v>-0.82017803606532436</v>
      </c>
    </row>
    <row r="229" spans="1:17" x14ac:dyDescent="0.3">
      <c r="A229" s="14" t="s">
        <v>194</v>
      </c>
      <c r="B229" s="15" t="s">
        <v>249</v>
      </c>
      <c r="C229" s="16">
        <v>-0.10051187680751388</v>
      </c>
      <c r="D229" s="16">
        <v>-0.18234187392104551</v>
      </c>
      <c r="E229" s="16">
        <v>-0.26526947791466526</v>
      </c>
      <c r="F229" s="16">
        <v>-0.33995025332075002</v>
      </c>
      <c r="G229" s="16">
        <v>-0.40709095235242804</v>
      </c>
      <c r="H229" s="16">
        <v>-0.46739832722282765</v>
      </c>
      <c r="I229" s="16">
        <v>-0.52157913014507717</v>
      </c>
      <c r="J229" s="16">
        <v>-0.57034011333230472</v>
      </c>
      <c r="K229" s="16">
        <v>-0.61438802899763878</v>
      </c>
      <c r="L229" s="16">
        <v>-0.65442962935420779</v>
      </c>
      <c r="M229" s="16">
        <v>-0.69117166661513951</v>
      </c>
      <c r="N229" s="16">
        <v>-0.7253208929935625</v>
      </c>
      <c r="O229" s="16">
        <v>-0.7575840607026052</v>
      </c>
      <c r="P229" s="16">
        <v>-0.78866792195539592</v>
      </c>
      <c r="Q229" s="16">
        <v>-0.81927922896506256</v>
      </c>
    </row>
    <row r="230" spans="1:17" x14ac:dyDescent="0.3">
      <c r="A230" s="14" t="s">
        <v>194</v>
      </c>
      <c r="B230" s="15" t="s">
        <v>250</v>
      </c>
      <c r="C230" s="16">
        <v>-0.10094290821287497</v>
      </c>
      <c r="D230" s="16">
        <v>-0.18289675987127577</v>
      </c>
      <c r="E230" s="16">
        <v>-0.26574811225484413</v>
      </c>
      <c r="F230" s="16">
        <v>-0.34016521114313047</v>
      </c>
      <c r="G230" s="16">
        <v>-0.40691059313697292</v>
      </c>
      <c r="H230" s="16">
        <v>-0.46674679483720921</v>
      </c>
      <c r="I230" s="16">
        <v>-0.52043635284467737</v>
      </c>
      <c r="J230" s="16">
        <v>-0.56874180376021533</v>
      </c>
      <c r="K230" s="16">
        <v>-0.61242568418466103</v>
      </c>
      <c r="L230" s="16">
        <v>-0.65225053071885264</v>
      </c>
      <c r="M230" s="16">
        <v>-0.68897887996362783</v>
      </c>
      <c r="N230" s="16">
        <v>-0.72337326851982464</v>
      </c>
      <c r="O230" s="16">
        <v>-0.75619623298828098</v>
      </c>
      <c r="P230" s="16">
        <v>-0.78821030996983499</v>
      </c>
      <c r="Q230" s="16">
        <v>-0.82017803606532436</v>
      </c>
    </row>
    <row r="231" spans="1:17" x14ac:dyDescent="0.3">
      <c r="A231" s="14" t="s">
        <v>194</v>
      </c>
      <c r="B231" s="15" t="s">
        <v>251</v>
      </c>
      <c r="C231" s="16">
        <v>-0.10094290821287497</v>
      </c>
      <c r="D231" s="16">
        <v>-0.18289675987127577</v>
      </c>
      <c r="E231" s="16">
        <v>-0.26574811225484413</v>
      </c>
      <c r="F231" s="16">
        <v>-0.34016521114313047</v>
      </c>
      <c r="G231" s="16">
        <v>-0.40691059313697292</v>
      </c>
      <c r="H231" s="16">
        <v>-0.46674679483720921</v>
      </c>
      <c r="I231" s="16">
        <v>-0.52043635284467737</v>
      </c>
      <c r="J231" s="16">
        <v>-0.56874180376021533</v>
      </c>
      <c r="K231" s="16">
        <v>-0.61242568418466103</v>
      </c>
      <c r="L231" s="16">
        <v>-0.65225053071885264</v>
      </c>
      <c r="M231" s="16">
        <v>-0.68897887996362783</v>
      </c>
      <c r="N231" s="16">
        <v>-0.72337326851982464</v>
      </c>
      <c r="O231" s="16">
        <v>-0.75619623298828098</v>
      </c>
      <c r="P231" s="16">
        <v>-0.78821030996983499</v>
      </c>
      <c r="Q231" s="16">
        <v>-0.82017803606532436</v>
      </c>
    </row>
    <row r="232" spans="1:17" x14ac:dyDescent="0.3">
      <c r="A232" s="14" t="s">
        <v>194</v>
      </c>
      <c r="B232" s="15" t="s">
        <v>252</v>
      </c>
      <c r="C232" s="16">
        <v>-0.10094290821287497</v>
      </c>
      <c r="D232" s="16">
        <v>-0.18289675987127577</v>
      </c>
      <c r="E232" s="16">
        <v>-0.26574811225484413</v>
      </c>
      <c r="F232" s="16">
        <v>-0.34016521114313047</v>
      </c>
      <c r="G232" s="16">
        <v>-0.40691059313697292</v>
      </c>
      <c r="H232" s="16">
        <v>-0.46674679483720921</v>
      </c>
      <c r="I232" s="16">
        <v>-0.52043635284467737</v>
      </c>
      <c r="J232" s="16">
        <v>-0.56874180376021533</v>
      </c>
      <c r="K232" s="16">
        <v>-0.61242568418466103</v>
      </c>
      <c r="L232" s="16">
        <v>-0.65225053071885264</v>
      </c>
      <c r="M232" s="16">
        <v>-0.68897887996362783</v>
      </c>
      <c r="N232" s="16">
        <v>-0.72337326851982464</v>
      </c>
      <c r="O232" s="16">
        <v>-0.75619623298828098</v>
      </c>
      <c r="P232" s="16">
        <v>-0.78821030996983499</v>
      </c>
      <c r="Q232" s="16">
        <v>-0.82017803606532436</v>
      </c>
    </row>
    <row r="233" spans="1:17" x14ac:dyDescent="0.3">
      <c r="A233" s="14" t="s">
        <v>194</v>
      </c>
      <c r="B233" s="15" t="s">
        <v>253</v>
      </c>
      <c r="C233" s="16">
        <v>-0.10094290821287497</v>
      </c>
      <c r="D233" s="16">
        <v>-0.18289675987127577</v>
      </c>
      <c r="E233" s="16">
        <v>-0.26574811225484413</v>
      </c>
      <c r="F233" s="16">
        <v>-0.34016521114313047</v>
      </c>
      <c r="G233" s="16">
        <v>-0.40691059313697292</v>
      </c>
      <c r="H233" s="16">
        <v>-0.46674679483720921</v>
      </c>
      <c r="I233" s="16">
        <v>-0.52043635284467737</v>
      </c>
      <c r="J233" s="16">
        <v>-0.56874180376021533</v>
      </c>
      <c r="K233" s="16">
        <v>-0.61242568418466103</v>
      </c>
      <c r="L233" s="16">
        <v>-0.65225053071885264</v>
      </c>
      <c r="M233" s="16">
        <v>-0.68897887996362783</v>
      </c>
      <c r="N233" s="16">
        <v>-0.72337326851982464</v>
      </c>
      <c r="O233" s="16">
        <v>-0.75619623298828098</v>
      </c>
      <c r="P233" s="16">
        <v>-0.78821030996983499</v>
      </c>
      <c r="Q233" s="16">
        <v>-0.82017803606532436</v>
      </c>
    </row>
    <row r="234" spans="1:17" x14ac:dyDescent="0.3">
      <c r="A234" s="14" t="s">
        <v>194</v>
      </c>
      <c r="B234" s="15" t="s">
        <v>254</v>
      </c>
      <c r="C234" s="16">
        <v>-0.10055790421616881</v>
      </c>
      <c r="D234" s="16">
        <v>-0.18234948369085888</v>
      </c>
      <c r="E234" s="16">
        <v>-0.26517440669390524</v>
      </c>
      <c r="F234" s="16">
        <v>-0.33970568788508299</v>
      </c>
      <c r="G234" s="16">
        <v>-0.40667213234578364</v>
      </c>
      <c r="H234" s="16">
        <v>-0.46680254515739927</v>
      </c>
      <c r="I234" s="16">
        <v>-0.5208257314013216</v>
      </c>
      <c r="J234" s="16">
        <v>-0.5694704961589423</v>
      </c>
      <c r="K234" s="16">
        <v>-0.61346564451165331</v>
      </c>
      <c r="L234" s="16">
        <v>-0.65353998154084636</v>
      </c>
      <c r="M234" s="16">
        <v>-0.6904223123279134</v>
      </c>
      <c r="N234" s="16">
        <v>-0.72484144195424627</v>
      </c>
      <c r="O234" s="16">
        <v>-0.75752617550123658</v>
      </c>
      <c r="P234" s="16">
        <v>-0.78920531805027594</v>
      </c>
      <c r="Q234" s="16">
        <v>-0.82060767468275653</v>
      </c>
    </row>
    <row r="235" spans="1:17" x14ac:dyDescent="0.3">
      <c r="A235" s="14" t="s">
        <v>194</v>
      </c>
      <c r="B235" s="15" t="s">
        <v>255</v>
      </c>
      <c r="C235" s="16">
        <v>-0.10094290821287497</v>
      </c>
      <c r="D235" s="16">
        <v>-0.18289675987127577</v>
      </c>
      <c r="E235" s="16">
        <v>-0.26574811225484413</v>
      </c>
      <c r="F235" s="16">
        <v>-0.34016521114313047</v>
      </c>
      <c r="G235" s="16">
        <v>-0.40691059313697292</v>
      </c>
      <c r="H235" s="16">
        <v>-0.46674679483720921</v>
      </c>
      <c r="I235" s="16">
        <v>-0.52043635284467737</v>
      </c>
      <c r="J235" s="16">
        <v>-0.56874180376021533</v>
      </c>
      <c r="K235" s="16">
        <v>-0.61242568418466103</v>
      </c>
      <c r="L235" s="16">
        <v>-0.65225053071885264</v>
      </c>
      <c r="M235" s="16">
        <v>-0.68897887996362783</v>
      </c>
      <c r="N235" s="16">
        <v>-0.72337326851982464</v>
      </c>
      <c r="O235" s="16">
        <v>-0.75619623298828098</v>
      </c>
      <c r="P235" s="16">
        <v>-0.78821030996983499</v>
      </c>
      <c r="Q235" s="16">
        <v>-0.82017803606532436</v>
      </c>
    </row>
    <row r="236" spans="1:17" x14ac:dyDescent="0.3">
      <c r="A236" s="14" t="s">
        <v>194</v>
      </c>
      <c r="B236" s="15" t="s">
        <v>256</v>
      </c>
      <c r="C236" s="16">
        <v>-9.9635532259654158E-2</v>
      </c>
      <c r="D236" s="16">
        <v>-0.18096254660208622</v>
      </c>
      <c r="E236" s="16">
        <v>-0.26359395729377016</v>
      </c>
      <c r="F236" s="16">
        <v>-0.33824735123493138</v>
      </c>
      <c r="G236" s="16">
        <v>-0.40560386855176056</v>
      </c>
      <c r="H236" s="16">
        <v>-0.46634464937044845</v>
      </c>
      <c r="I236" s="16">
        <v>-0.52115083381718585</v>
      </c>
      <c r="J236" s="16">
        <v>-0.57070356201816352</v>
      </c>
      <c r="K236" s="16">
        <v>-0.61568397409957221</v>
      </c>
      <c r="L236" s="16">
        <v>-0.65677321018760237</v>
      </c>
      <c r="M236" s="16">
        <v>-0.69465241040844539</v>
      </c>
      <c r="N236" s="16">
        <v>-0.73000271488829149</v>
      </c>
      <c r="O236" s="16">
        <v>-0.7635052637533315</v>
      </c>
      <c r="P236" s="16">
        <v>-0.79584119712975632</v>
      </c>
      <c r="Q236" s="16">
        <v>-0.82769165514375664</v>
      </c>
    </row>
    <row r="237" spans="1:17" x14ac:dyDescent="0.3">
      <c r="A237" s="14" t="s">
        <v>194</v>
      </c>
      <c r="B237" s="15" t="s">
        <v>257</v>
      </c>
      <c r="C237" s="16">
        <v>-0.10094290821287497</v>
      </c>
      <c r="D237" s="16">
        <v>-0.18289675987127577</v>
      </c>
      <c r="E237" s="16">
        <v>-0.26574811225484413</v>
      </c>
      <c r="F237" s="16">
        <v>-0.34016521114313047</v>
      </c>
      <c r="G237" s="16">
        <v>-0.40691059313697292</v>
      </c>
      <c r="H237" s="16">
        <v>-0.46674679483720921</v>
      </c>
      <c r="I237" s="16">
        <v>-0.52043635284467737</v>
      </c>
      <c r="J237" s="16">
        <v>-0.56874180376021533</v>
      </c>
      <c r="K237" s="16">
        <v>-0.61242568418466103</v>
      </c>
      <c r="L237" s="16">
        <v>-0.65225053071885264</v>
      </c>
      <c r="M237" s="16">
        <v>-0.68897887996362783</v>
      </c>
      <c r="N237" s="16">
        <v>-0.72337326851982464</v>
      </c>
      <c r="O237" s="16">
        <v>-0.75619623298828098</v>
      </c>
      <c r="P237" s="16">
        <v>-0.78821030996983499</v>
      </c>
      <c r="Q237" s="16">
        <v>-0.82017803606532436</v>
      </c>
    </row>
    <row r="238" spans="1:17" x14ac:dyDescent="0.3">
      <c r="A238" s="14" t="s">
        <v>194</v>
      </c>
      <c r="B238" s="15" t="s">
        <v>258</v>
      </c>
      <c r="C238" s="16">
        <v>-0.10094290821287497</v>
      </c>
      <c r="D238" s="16">
        <v>-0.18289675987127577</v>
      </c>
      <c r="E238" s="16">
        <v>-0.26574811225484413</v>
      </c>
      <c r="F238" s="16">
        <v>-0.34016521114313047</v>
      </c>
      <c r="G238" s="16">
        <v>-0.40691059313697292</v>
      </c>
      <c r="H238" s="16">
        <v>-0.46674679483720921</v>
      </c>
      <c r="I238" s="16">
        <v>-0.52043635284467737</v>
      </c>
      <c r="J238" s="16">
        <v>-0.56874180376021533</v>
      </c>
      <c r="K238" s="16">
        <v>-0.61242568418466103</v>
      </c>
      <c r="L238" s="16">
        <v>-0.65225053071885264</v>
      </c>
      <c r="M238" s="16">
        <v>-0.68897887996362783</v>
      </c>
      <c r="N238" s="16">
        <v>-0.72337326851982464</v>
      </c>
      <c r="O238" s="16">
        <v>-0.75619623298828098</v>
      </c>
      <c r="P238" s="16">
        <v>-0.78821030996983499</v>
      </c>
      <c r="Q238" s="16">
        <v>-0.82017803606532436</v>
      </c>
    </row>
    <row r="239" spans="1:17" x14ac:dyDescent="0.3">
      <c r="A239" s="14" t="s">
        <v>194</v>
      </c>
      <c r="B239" s="15" t="s">
        <v>259</v>
      </c>
      <c r="C239" s="16">
        <v>-9.5817768774433695E-2</v>
      </c>
      <c r="D239" s="16">
        <v>-0.17597178588393902</v>
      </c>
      <c r="E239" s="16">
        <v>-0.25906355759062916</v>
      </c>
      <c r="F239" s="16">
        <v>-0.33563767088774271</v>
      </c>
      <c r="G239" s="16">
        <v>-0.40582048964596146</v>
      </c>
      <c r="H239" s="16">
        <v>-0.46973837773596722</v>
      </c>
      <c r="I239" s="16">
        <v>-0.52751769902844203</v>
      </c>
      <c r="J239" s="16">
        <v>-0.57928481739406779</v>
      </c>
      <c r="K239" s="16">
        <v>-0.62516609670352619</v>
      </c>
      <c r="L239" s="16">
        <v>-0.66528790082749922</v>
      </c>
      <c r="M239" s="16">
        <v>-0.69977659363666866</v>
      </c>
      <c r="N239" s="16">
        <v>-0.7287585390017165</v>
      </c>
      <c r="O239" s="16">
        <v>-0.75236010079332472</v>
      </c>
      <c r="P239" s="16">
        <v>-0.77070764288217497</v>
      </c>
      <c r="Q239" s="16">
        <v>-0.78392752913894914</v>
      </c>
    </row>
    <row r="240" spans="1:17" x14ac:dyDescent="0.3">
      <c r="A240" s="14" t="s">
        <v>194</v>
      </c>
      <c r="B240" s="15" t="s">
        <v>260</v>
      </c>
      <c r="C240" s="16">
        <v>-0.10094290821287497</v>
      </c>
      <c r="D240" s="16">
        <v>-0.18289675987127577</v>
      </c>
      <c r="E240" s="16">
        <v>-0.26574811225484413</v>
      </c>
      <c r="F240" s="16">
        <v>-0.34016521114313047</v>
      </c>
      <c r="G240" s="16">
        <v>-0.40691059313697292</v>
      </c>
      <c r="H240" s="16">
        <v>-0.46674679483720921</v>
      </c>
      <c r="I240" s="16">
        <v>-0.52043635284467737</v>
      </c>
      <c r="J240" s="16">
        <v>-0.56874180376021533</v>
      </c>
      <c r="K240" s="16">
        <v>-0.61242568418466103</v>
      </c>
      <c r="L240" s="16">
        <v>-0.65225053071885264</v>
      </c>
      <c r="M240" s="16">
        <v>-0.68897887996362783</v>
      </c>
      <c r="N240" s="16">
        <v>-0.72337326851982464</v>
      </c>
      <c r="O240" s="16">
        <v>-0.75619623298828098</v>
      </c>
      <c r="P240" s="16">
        <v>-0.78821030996983499</v>
      </c>
      <c r="Q240" s="16">
        <v>-0.82017803606532436</v>
      </c>
    </row>
    <row r="241" spans="1:17" x14ac:dyDescent="0.3">
      <c r="A241" s="14" t="s">
        <v>194</v>
      </c>
      <c r="B241" s="15" t="s">
        <v>261</v>
      </c>
      <c r="C241" s="16">
        <v>-0.10094290821287497</v>
      </c>
      <c r="D241" s="16">
        <v>-0.18289675987127577</v>
      </c>
      <c r="E241" s="16">
        <v>-0.26574811225484413</v>
      </c>
      <c r="F241" s="16">
        <v>-0.34016521114313047</v>
      </c>
      <c r="G241" s="16">
        <v>-0.40691059313697292</v>
      </c>
      <c r="H241" s="16">
        <v>-0.46674679483720921</v>
      </c>
      <c r="I241" s="16">
        <v>-0.52043635284467737</v>
      </c>
      <c r="J241" s="16">
        <v>-0.56874180376021533</v>
      </c>
      <c r="K241" s="16">
        <v>-0.61242568418466103</v>
      </c>
      <c r="L241" s="16">
        <v>-0.65225053071885264</v>
      </c>
      <c r="M241" s="16">
        <v>-0.68897887996362783</v>
      </c>
      <c r="N241" s="16">
        <v>-0.72337326851982464</v>
      </c>
      <c r="O241" s="16">
        <v>-0.75619623298828098</v>
      </c>
      <c r="P241" s="16">
        <v>-0.78821030996983499</v>
      </c>
      <c r="Q241" s="16">
        <v>-0.82017803606532436</v>
      </c>
    </row>
    <row r="242" spans="1:17" x14ac:dyDescent="0.3">
      <c r="A242" s="14" t="s">
        <v>194</v>
      </c>
      <c r="B242" s="15" t="s">
        <v>262</v>
      </c>
      <c r="C242" s="16">
        <v>-0.10094290821287497</v>
      </c>
      <c r="D242" s="16">
        <v>-0.18289675987127577</v>
      </c>
      <c r="E242" s="16">
        <v>-0.26574811225484413</v>
      </c>
      <c r="F242" s="16">
        <v>-0.34016521114313047</v>
      </c>
      <c r="G242" s="16">
        <v>-0.40691059313697292</v>
      </c>
      <c r="H242" s="16">
        <v>-0.46674679483720921</v>
      </c>
      <c r="I242" s="16">
        <v>-0.52043635284467737</v>
      </c>
      <c r="J242" s="16">
        <v>-0.56874180376021533</v>
      </c>
      <c r="K242" s="16">
        <v>-0.61242568418466103</v>
      </c>
      <c r="L242" s="16">
        <v>-0.65225053071885264</v>
      </c>
      <c r="M242" s="16">
        <v>-0.68897887996362783</v>
      </c>
      <c r="N242" s="16">
        <v>-0.72337326851982464</v>
      </c>
      <c r="O242" s="16">
        <v>-0.75619623298828098</v>
      </c>
      <c r="P242" s="16">
        <v>-0.78821030996983499</v>
      </c>
      <c r="Q242" s="16">
        <v>-0.82017803606532436</v>
      </c>
    </row>
    <row r="243" spans="1:17" x14ac:dyDescent="0.3">
      <c r="A243" s="14" t="s">
        <v>263</v>
      </c>
      <c r="B243" s="15" t="s">
        <v>264</v>
      </c>
      <c r="C243" s="16">
        <v>-0.14134270451528408</v>
      </c>
      <c r="D243" s="16">
        <v>-1.4134270451528402E-2</v>
      </c>
      <c r="E243" s="16">
        <v>-0.29585789419346759</v>
      </c>
      <c r="F243" s="16">
        <v>-0.38010684823404628</v>
      </c>
      <c r="G243" s="16">
        <v>-0.42184843337866884</v>
      </c>
      <c r="H243" s="16">
        <v>-0.4515099907892513</v>
      </c>
      <c r="I243" s="16">
        <v>-0.47461086969901162</v>
      </c>
      <c r="J243" s="16">
        <v>-0.49667041934116812</v>
      </c>
      <c r="K243" s="16">
        <v>-0.52320798894893894</v>
      </c>
      <c r="L243" s="16">
        <v>-5.2591204545860526E-2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</row>
    <row r="244" spans="1:17" x14ac:dyDescent="0.3">
      <c r="A244" s="14" t="s">
        <v>263</v>
      </c>
      <c r="B244" s="15" t="s">
        <v>265</v>
      </c>
      <c r="C244" s="16">
        <v>-0.14134270451528408</v>
      </c>
      <c r="D244" s="16">
        <v>-1.4134270451528402E-2</v>
      </c>
      <c r="E244" s="16">
        <v>-0.29585789419346759</v>
      </c>
      <c r="F244" s="16">
        <v>-0.38010684823404628</v>
      </c>
      <c r="G244" s="16">
        <v>-0.42184843337866884</v>
      </c>
      <c r="H244" s="16">
        <v>-0.4515099907892513</v>
      </c>
      <c r="I244" s="16">
        <v>-0.47461086969901162</v>
      </c>
      <c r="J244" s="16">
        <v>-0.49667041934116812</v>
      </c>
      <c r="K244" s="16">
        <v>-0.52320798894893894</v>
      </c>
      <c r="L244" s="16">
        <v>-5.2591204545860526E-2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</row>
    <row r="245" spans="1:17" x14ac:dyDescent="0.3">
      <c r="A245" s="14" t="s">
        <v>263</v>
      </c>
      <c r="B245" s="15" t="s">
        <v>266</v>
      </c>
      <c r="C245" s="16">
        <v>-0.10513031611915323</v>
      </c>
      <c r="D245" s="16">
        <v>-1.0513031611915316E-2</v>
      </c>
      <c r="E245" s="16">
        <v>-0.25491505457554681</v>
      </c>
      <c r="F245" s="16">
        <v>-0.34768947435172615</v>
      </c>
      <c r="G245" s="16">
        <v>-0.40801562130085334</v>
      </c>
      <c r="H245" s="16">
        <v>-0.45518729088219401</v>
      </c>
      <c r="I245" s="16">
        <v>-0.48852117157478697</v>
      </c>
      <c r="J245" s="16">
        <v>-0.50733395185767094</v>
      </c>
      <c r="K245" s="16">
        <v>-0.51094232020988462</v>
      </c>
      <c r="L245" s="16">
        <v>-5.1115042961427826E-2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</row>
    <row r="246" spans="1:17" x14ac:dyDescent="0.3">
      <c r="A246" s="14" t="s">
        <v>263</v>
      </c>
      <c r="B246" s="15" t="s">
        <v>267</v>
      </c>
      <c r="C246" s="16">
        <v>-0.14134270451528408</v>
      </c>
      <c r="D246" s="16">
        <v>-1.4134270451528402E-2</v>
      </c>
      <c r="E246" s="16">
        <v>-0.29585789419346759</v>
      </c>
      <c r="F246" s="16">
        <v>-0.38010684823404628</v>
      </c>
      <c r="G246" s="16">
        <v>-0.42184843337866884</v>
      </c>
      <c r="H246" s="16">
        <v>-0.4515099907892513</v>
      </c>
      <c r="I246" s="16">
        <v>-0.47461086969901162</v>
      </c>
      <c r="J246" s="16">
        <v>-0.49667041934116812</v>
      </c>
      <c r="K246" s="16">
        <v>-0.52320798894893894</v>
      </c>
      <c r="L246" s="16">
        <v>-5.2591204545860526E-2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</row>
    <row r="247" spans="1:17" x14ac:dyDescent="0.3">
      <c r="A247" s="14" t="s">
        <v>263</v>
      </c>
      <c r="B247" s="15" t="s">
        <v>268</v>
      </c>
      <c r="C247" s="16">
        <v>-0.14134270451528408</v>
      </c>
      <c r="D247" s="16">
        <v>-1.4134270451528402E-2</v>
      </c>
      <c r="E247" s="16">
        <v>-0.29585789419346759</v>
      </c>
      <c r="F247" s="16">
        <v>-0.38010684823404628</v>
      </c>
      <c r="G247" s="16">
        <v>-0.42184843337866884</v>
      </c>
      <c r="H247" s="16">
        <v>-0.4515099907892513</v>
      </c>
      <c r="I247" s="16">
        <v>-0.47461086969901162</v>
      </c>
      <c r="J247" s="16">
        <v>-0.49667041934116812</v>
      </c>
      <c r="K247" s="16">
        <v>-0.52320798894893894</v>
      </c>
      <c r="L247" s="16">
        <v>-5.2591204545860526E-2</v>
      </c>
      <c r="M247" s="16">
        <v>0</v>
      </c>
      <c r="N247" s="16">
        <v>0</v>
      </c>
      <c r="O247" s="16">
        <v>0</v>
      </c>
      <c r="P247" s="16">
        <v>0</v>
      </c>
      <c r="Q247" s="16">
        <v>0</v>
      </c>
    </row>
    <row r="248" spans="1:17" x14ac:dyDescent="0.3">
      <c r="A248" s="14" t="s">
        <v>269</v>
      </c>
      <c r="B248" s="15" t="s">
        <v>270</v>
      </c>
      <c r="C248" s="16">
        <v>-0.10288030654750491</v>
      </c>
      <c r="D248" s="16">
        <v>-1.0288030654750493E-2</v>
      </c>
      <c r="E248" s="16">
        <v>-0.24196074737816362</v>
      </c>
      <c r="F248" s="16">
        <v>-0.32842907895090057</v>
      </c>
      <c r="G248" s="16">
        <v>-0.38643809027155407</v>
      </c>
      <c r="H248" s="16">
        <v>-0.43674511090360224</v>
      </c>
      <c r="I248" s="16">
        <v>-0.48090992334350036</v>
      </c>
      <c r="J248" s="16">
        <v>-0.5204923100877038</v>
      </c>
      <c r="K248" s="16">
        <v>-0.55705205363266808</v>
      </c>
      <c r="L248" s="16">
        <v>-0.59214893647484845</v>
      </c>
      <c r="M248" s="16">
        <v>-0.62734274111070043</v>
      </c>
      <c r="N248" s="16">
        <v>-0.66419325003667917</v>
      </c>
      <c r="O248" s="16">
        <v>-0.70426024574923995</v>
      </c>
      <c r="P248" s="16">
        <v>-0.7491035107448385</v>
      </c>
      <c r="Q248" s="16">
        <v>-0.80028282751992996</v>
      </c>
    </row>
    <row r="249" spans="1:17" x14ac:dyDescent="0.3">
      <c r="A249" s="14" t="s">
        <v>269</v>
      </c>
      <c r="B249" s="15" t="s">
        <v>271</v>
      </c>
      <c r="C249" s="16">
        <v>-0.10370288659540669</v>
      </c>
      <c r="D249" s="16">
        <v>-1.0370288659540663E-2</v>
      </c>
      <c r="E249" s="16">
        <v>-0.24662933627969305</v>
      </c>
      <c r="F249" s="16">
        <v>-0.33621350188224269</v>
      </c>
      <c r="G249" s="16">
        <v>-0.39713626575679029</v>
      </c>
      <c r="H249" s="16">
        <v>-0.45009282165898956</v>
      </c>
      <c r="I249" s="16">
        <v>-0.49631470603770522</v>
      </c>
      <c r="J249" s="16">
        <v>-0.53703345534180147</v>
      </c>
      <c r="K249" s="16">
        <v>-0.57348060602014295</v>
      </c>
      <c r="L249" s="16">
        <v>-0.60688769452159397</v>
      </c>
      <c r="M249" s="16">
        <v>-0.63848625729501918</v>
      </c>
      <c r="N249" s="16">
        <v>-0.66950783078928278</v>
      </c>
      <c r="O249" s="16">
        <v>-0.70118395145324952</v>
      </c>
      <c r="P249" s="16">
        <v>-0.73474615573578372</v>
      </c>
      <c r="Q249" s="16">
        <v>-0.77142598008574992</v>
      </c>
    </row>
    <row r="250" spans="1:17" x14ac:dyDescent="0.3">
      <c r="A250" s="14" t="s">
        <v>269</v>
      </c>
      <c r="B250" s="15" t="s">
        <v>272</v>
      </c>
      <c r="C250" s="16">
        <v>-9.8625536373369765E-2</v>
      </c>
      <c r="D250" s="16">
        <v>-9.862553637336971E-3</v>
      </c>
      <c r="E250" s="16">
        <v>-0.23652638776483856</v>
      </c>
      <c r="F250" s="16">
        <v>-0.32383849204353382</v>
      </c>
      <c r="G250" s="16">
        <v>-0.38443826212708604</v>
      </c>
      <c r="H250" s="16">
        <v>-0.43803919554771376</v>
      </c>
      <c r="I250" s="16">
        <v>-0.48576961021334686</v>
      </c>
      <c r="J250" s="16">
        <v>-0.52875782403191518</v>
      </c>
      <c r="K250" s="16">
        <v>-0.5681321549113485</v>
      </c>
      <c r="L250" s="16">
        <v>-0.60502092075957636</v>
      </c>
      <c r="M250" s="16">
        <v>-0.64055243948452878</v>
      </c>
      <c r="N250" s="16">
        <v>-0.67585502899413552</v>
      </c>
      <c r="O250" s="16">
        <v>-0.71205700719632659</v>
      </c>
      <c r="P250" s="16">
        <v>-0.7502866919990312</v>
      </c>
      <c r="Q250" s="16">
        <v>-0.79167240131017969</v>
      </c>
    </row>
    <row r="251" spans="1:17" x14ac:dyDescent="0.3">
      <c r="A251" s="14" t="s">
        <v>269</v>
      </c>
      <c r="B251" s="15" t="s">
        <v>273</v>
      </c>
      <c r="C251" s="16">
        <v>-0.10020771659610311</v>
      </c>
      <c r="D251" s="16">
        <v>-1.0020771659610309E-2</v>
      </c>
      <c r="E251" s="16">
        <v>-0.2390784934087784</v>
      </c>
      <c r="F251" s="16">
        <v>-0.32655848712299107</v>
      </c>
      <c r="G251" s="16">
        <v>-0.3866966537987499</v>
      </c>
      <c r="H251" s="16">
        <v>-0.43955597375630528</v>
      </c>
      <c r="I251" s="16">
        <v>-0.48636484318065715</v>
      </c>
      <c r="J251" s="16">
        <v>-0.52835165825680563</v>
      </c>
      <c r="K251" s="16">
        <v>-0.56674481516975095</v>
      </c>
      <c r="L251" s="16">
        <v>-0.60277271010449285</v>
      </c>
      <c r="M251" s="16">
        <v>-0.63766373924603148</v>
      </c>
      <c r="N251" s="16">
        <v>-0.67264629877936721</v>
      </c>
      <c r="O251" s="16">
        <v>-0.70894878488949975</v>
      </c>
      <c r="P251" s="16">
        <v>-0.74779959376142913</v>
      </c>
      <c r="Q251" s="16">
        <v>-0.79042712158015582</v>
      </c>
    </row>
    <row r="252" spans="1:17" x14ac:dyDescent="0.3">
      <c r="A252" s="14" t="s">
        <v>269</v>
      </c>
      <c r="B252" s="15" t="s">
        <v>274</v>
      </c>
      <c r="C252" s="16">
        <v>-8.2277636573369867E-2</v>
      </c>
      <c r="D252" s="16">
        <v>-8.2277636573369894E-3</v>
      </c>
      <c r="E252" s="16">
        <v>-0.21548542500399578</v>
      </c>
      <c r="F252" s="16">
        <v>-0.30609170502362709</v>
      </c>
      <c r="G252" s="16">
        <v>-0.37697784714881066</v>
      </c>
      <c r="H252" s="16">
        <v>-0.4439646955846327</v>
      </c>
      <c r="I252" s="16">
        <v>-0.50665101469068052</v>
      </c>
      <c r="J252" s="16">
        <v>-0.56463556882654142</v>
      </c>
      <c r="K252" s="16">
        <v>-0.61751712235180301</v>
      </c>
      <c r="L252" s="16">
        <v>-0.66489443962605255</v>
      </c>
      <c r="M252" s="16">
        <v>-0.70636628500887744</v>
      </c>
      <c r="N252" s="16">
        <v>-0.74153142285986506</v>
      </c>
      <c r="O252" s="16">
        <v>-0.76998861753860282</v>
      </c>
      <c r="P252" s="16">
        <v>-0.79133663340467808</v>
      </c>
      <c r="Q252" s="16">
        <v>-0.80517423481767825</v>
      </c>
    </row>
    <row r="253" spans="1:17" x14ac:dyDescent="0.3">
      <c r="A253" s="14" t="s">
        <v>269</v>
      </c>
      <c r="B253" s="15" t="s">
        <v>275</v>
      </c>
      <c r="C253" s="16">
        <v>-9.4030756569741414E-2</v>
      </c>
      <c r="D253" s="16">
        <v>-9.4030756569741386E-3</v>
      </c>
      <c r="E253" s="16">
        <v>-0.22934416167908006</v>
      </c>
      <c r="F253" s="16">
        <v>-0.31656354482756027</v>
      </c>
      <c r="G253" s="16">
        <v>-0.37917744771246659</v>
      </c>
      <c r="H253" s="16">
        <v>-0.43596815681692147</v>
      </c>
      <c r="I253" s="16">
        <v>-0.48785117139866158</v>
      </c>
      <c r="J253" s="16">
        <v>-0.53574199071542328</v>
      </c>
      <c r="K253" s="16">
        <v>-0.58055611402494323</v>
      </c>
      <c r="L253" s="16">
        <v>-0.62320904058495774</v>
      </c>
      <c r="M253" s="16">
        <v>-0.66461626965320375</v>
      </c>
      <c r="N253" s="16">
        <v>-0.70569330048741741</v>
      </c>
      <c r="O253" s="16">
        <v>-0.74735563234533564</v>
      </c>
      <c r="P253" s="16">
        <v>-0.7905187644846946</v>
      </c>
      <c r="Q253" s="16">
        <v>-0.83609819616323122</v>
      </c>
    </row>
    <row r="254" spans="1:17" x14ac:dyDescent="0.3">
      <c r="A254" s="14" t="s">
        <v>269</v>
      </c>
      <c r="B254" s="15" t="s">
        <v>276</v>
      </c>
      <c r="C254" s="16">
        <v>-8.9095596563646171E-2</v>
      </c>
      <c r="D254" s="16">
        <v>-8.9095596563646129E-3</v>
      </c>
      <c r="E254" s="16">
        <v>-0.21948419869588412</v>
      </c>
      <c r="F254" s="16">
        <v>-0.30416136286034223</v>
      </c>
      <c r="G254" s="16">
        <v>-0.365696190284659</v>
      </c>
      <c r="H254" s="16">
        <v>-0.42175986422035139</v>
      </c>
      <c r="I254" s="16">
        <v>-0.47300677694225585</v>
      </c>
      <c r="J254" s="16">
        <v>-0.52009132072520881</v>
      </c>
      <c r="K254" s="16">
        <v>-0.56366788784404687</v>
      </c>
      <c r="L254" s="16">
        <v>-0.60439087057360619</v>
      </c>
      <c r="M254" s="16">
        <v>-0.64291466118872309</v>
      </c>
      <c r="N254" s="16">
        <v>-0.67989365196423446</v>
      </c>
      <c r="O254" s="16">
        <v>-0.7159822351749765</v>
      </c>
      <c r="P254" s="16">
        <v>-0.75183480309578543</v>
      </c>
      <c r="Q254" s="16">
        <v>-0.78810574800149802</v>
      </c>
    </row>
    <row r="255" spans="1:17" x14ac:dyDescent="0.3">
      <c r="A255" s="14" t="s">
        <v>277</v>
      </c>
      <c r="B255" s="15" t="s">
        <v>278</v>
      </c>
      <c r="C255" s="16">
        <v>-0.12202937258887563</v>
      </c>
      <c r="D255" s="16">
        <v>-0.21400175717889003</v>
      </c>
      <c r="E255" s="16">
        <v>-0.30037889415074548</v>
      </c>
      <c r="F255" s="16">
        <v>-0.37122412322164305</v>
      </c>
      <c r="G255" s="16">
        <v>-0.42880372136767153</v>
      </c>
      <c r="H255" s="16">
        <v>-0.47538396556491963</v>
      </c>
      <c r="I255" s="16">
        <v>-0.51323113278947585</v>
      </c>
      <c r="J255" s="16">
        <v>-0.54461150001742908</v>
      </c>
      <c r="K255" s="16">
        <v>-0.57179134422486777</v>
      </c>
      <c r="L255" s="16">
        <v>-0.59703694238788096</v>
      </c>
      <c r="M255" s="16">
        <v>-0.62261457148255706</v>
      </c>
      <c r="N255" s="16">
        <v>-0.65079050848498476</v>
      </c>
      <c r="O255" s="16">
        <v>-0.6838310303712527</v>
      </c>
      <c r="P255" s="16">
        <v>-0.72400241411744992</v>
      </c>
      <c r="Q255" s="16">
        <v>-0.77357093669966459</v>
      </c>
    </row>
    <row r="256" spans="1:17" x14ac:dyDescent="0.3">
      <c r="A256" s="14" t="s">
        <v>277</v>
      </c>
      <c r="B256" s="15" t="s">
        <v>279</v>
      </c>
      <c r="C256" s="16">
        <v>-0.12202937258887563</v>
      </c>
      <c r="D256" s="16">
        <v>-0.21400175717889003</v>
      </c>
      <c r="E256" s="16">
        <v>-0.30037889415074548</v>
      </c>
      <c r="F256" s="16">
        <v>-0.37122412322164305</v>
      </c>
      <c r="G256" s="16">
        <v>-0.42880372136767153</v>
      </c>
      <c r="H256" s="16">
        <v>-0.47538396556491963</v>
      </c>
      <c r="I256" s="16">
        <v>-0.51323113278947585</v>
      </c>
      <c r="J256" s="16">
        <v>-0.54461150001742908</v>
      </c>
      <c r="K256" s="16">
        <v>-0.57179134422486777</v>
      </c>
      <c r="L256" s="16">
        <v>-0.59703694238788096</v>
      </c>
      <c r="M256" s="16">
        <v>-0.62261457148255706</v>
      </c>
      <c r="N256" s="16">
        <v>-0.65079050848498476</v>
      </c>
      <c r="O256" s="16">
        <v>-0.6838310303712527</v>
      </c>
      <c r="P256" s="16">
        <v>-0.72400241411744992</v>
      </c>
      <c r="Q256" s="16">
        <v>-0.77357093669966459</v>
      </c>
    </row>
    <row r="257" spans="1:17" x14ac:dyDescent="0.3">
      <c r="A257" s="14" t="s">
        <v>277</v>
      </c>
      <c r="B257" s="15" t="s">
        <v>280</v>
      </c>
      <c r="C257" s="16">
        <v>-0.12178537087138205</v>
      </c>
      <c r="D257" s="16">
        <v>-0.21311704555403765</v>
      </c>
      <c r="E257" s="16">
        <v>-0.2984762920709918</v>
      </c>
      <c r="F257" s="16">
        <v>-0.36807875898205999</v>
      </c>
      <c r="G257" s="16">
        <v>-0.42431863193419606</v>
      </c>
      <c r="H257" s="16">
        <v>-0.46959009657435358</v>
      </c>
      <c r="I257" s="16">
        <v>-0.50628733854948638</v>
      </c>
      <c r="J257" s="16">
        <v>-0.53680454350654838</v>
      </c>
      <c r="K257" s="16">
        <v>-0.5635358970924933</v>
      </c>
      <c r="L257" s="16">
        <v>-0.5888755849542745</v>
      </c>
      <c r="M257" s="16">
        <v>-0.61521779273884603</v>
      </c>
      <c r="N257" s="16">
        <v>-0.6449567060931618</v>
      </c>
      <c r="O257" s="16">
        <v>-0.6804865106641752</v>
      </c>
      <c r="P257" s="16">
        <v>-0.72420139209884016</v>
      </c>
      <c r="Q257" s="16">
        <v>-0.77849553604411048</v>
      </c>
    </row>
    <row r="258" spans="1:17" x14ac:dyDescent="0.3">
      <c r="A258" s="14" t="s">
        <v>277</v>
      </c>
      <c r="B258" s="15" t="s">
        <v>281</v>
      </c>
      <c r="C258" s="16">
        <v>-0.12183836422683939</v>
      </c>
      <c r="D258" s="16">
        <v>-0.21293436155736259</v>
      </c>
      <c r="E258" s="16">
        <v>-0.29781760600057006</v>
      </c>
      <c r="F258" s="16">
        <v>-0.36677537236171942</v>
      </c>
      <c r="G258" s="16">
        <v>-0.42227877186875218</v>
      </c>
      <c r="H258" s="16">
        <v>-0.46679891574960941</v>
      </c>
      <c r="I258" s="16">
        <v>-0.50280691523223309</v>
      </c>
      <c r="J258" s="16">
        <v>-0.53277388154456451</v>
      </c>
      <c r="K258" s="16">
        <v>-0.55917092591454498</v>
      </c>
      <c r="L258" s="16">
        <v>-0.58446915957011614</v>
      </c>
      <c r="M258" s="16">
        <v>-0.61113969373921928</v>
      </c>
      <c r="N258" s="16">
        <v>-0.64165363964979572</v>
      </c>
      <c r="O258" s="16">
        <v>-0.67848210852978741</v>
      </c>
      <c r="P258" s="16">
        <v>-0.72409621160713589</v>
      </c>
      <c r="Q258" s="16">
        <v>-0.78096706010978179</v>
      </c>
    </row>
    <row r="259" spans="1:17" x14ac:dyDescent="0.3">
      <c r="A259" s="14" t="s">
        <v>277</v>
      </c>
      <c r="B259" s="15" t="s">
        <v>282</v>
      </c>
      <c r="C259" s="16">
        <v>-0.12202937258887563</v>
      </c>
      <c r="D259" s="16">
        <v>-0.21400175717889003</v>
      </c>
      <c r="E259" s="16">
        <v>-0.30037889415074548</v>
      </c>
      <c r="F259" s="16">
        <v>-0.37122412322164305</v>
      </c>
      <c r="G259" s="16">
        <v>-0.42880372136767153</v>
      </c>
      <c r="H259" s="16">
        <v>-0.47538396556491963</v>
      </c>
      <c r="I259" s="16">
        <v>-0.51323113278947585</v>
      </c>
      <c r="J259" s="16">
        <v>-0.54461150001742908</v>
      </c>
      <c r="K259" s="16">
        <v>-0.57179134422486777</v>
      </c>
      <c r="L259" s="16">
        <v>-0.59703694238788096</v>
      </c>
      <c r="M259" s="16">
        <v>-0.62261457148255706</v>
      </c>
      <c r="N259" s="16">
        <v>-0.65079050848498476</v>
      </c>
      <c r="O259" s="16">
        <v>-0.6838310303712527</v>
      </c>
      <c r="P259" s="16">
        <v>-0.72400241411744992</v>
      </c>
      <c r="Q259" s="16">
        <v>-0.77357093669966459</v>
      </c>
    </row>
    <row r="260" spans="1:17" x14ac:dyDescent="0.3">
      <c r="A260" s="14" t="s">
        <v>277</v>
      </c>
      <c r="B260" s="15" t="s">
        <v>283</v>
      </c>
      <c r="C260" s="16">
        <v>-0.11499994323317102</v>
      </c>
      <c r="D260" s="16">
        <v>-0.20421174710908252</v>
      </c>
      <c r="E260" s="16">
        <v>-0.29039195243209204</v>
      </c>
      <c r="F260" s="16">
        <v>-0.36353403579906168</v>
      </c>
      <c r="G260" s="16">
        <v>-0.42513146813017078</v>
      </c>
      <c r="H260" s="16">
        <v>-0.47667772034559847</v>
      </c>
      <c r="I260" s="16">
        <v>-0.51966626336552413</v>
      </c>
      <c r="J260" s="16">
        <v>-0.55559056811012686</v>
      </c>
      <c r="K260" s="16">
        <v>-0.5859441054995862</v>
      </c>
      <c r="L260" s="16">
        <v>-0.61222034645408097</v>
      </c>
      <c r="M260" s="16">
        <v>-0.63591276189379076</v>
      </c>
      <c r="N260" s="16">
        <v>-0.65851482273889472</v>
      </c>
      <c r="O260" s="16">
        <v>-0.68151999990957202</v>
      </c>
      <c r="P260" s="16">
        <v>-0.70642176432600234</v>
      </c>
      <c r="Q260" s="16">
        <v>-0.73471358690836452</v>
      </c>
    </row>
    <row r="261" spans="1:17" x14ac:dyDescent="0.3">
      <c r="A261" s="14" t="s">
        <v>277</v>
      </c>
      <c r="B261" s="15" t="s">
        <v>284</v>
      </c>
      <c r="C261" s="16">
        <v>-0.13507892224612419</v>
      </c>
      <c r="D261" s="16">
        <v>-0.23622846703568567</v>
      </c>
      <c r="E261" s="16">
        <v>-0.33043962451260567</v>
      </c>
      <c r="F261" s="16">
        <v>-0.40669812424044693</v>
      </c>
      <c r="G261" s="16">
        <v>-0.46749758800738456</v>
      </c>
      <c r="H261" s="16">
        <v>-0.51533163760159362</v>
      </c>
      <c r="I261" s="16">
        <v>-0.55269389481124931</v>
      </c>
      <c r="J261" s="16">
        <v>-0.58207798142452682</v>
      </c>
      <c r="K261" s="16">
        <v>-0.60597751922960108</v>
      </c>
      <c r="L261" s="16">
        <v>-0.62688613001464732</v>
      </c>
      <c r="M261" s="16">
        <v>-0.64729743556784081</v>
      </c>
      <c r="N261" s="16">
        <v>-0.66970505767735622</v>
      </c>
      <c r="O261" s="16">
        <v>-0.69660261813136914</v>
      </c>
      <c r="P261" s="16">
        <v>-0.73048373871805439</v>
      </c>
      <c r="Q261" s="16">
        <v>-0.77384204122558731</v>
      </c>
    </row>
    <row r="262" spans="1:17" x14ac:dyDescent="0.3">
      <c r="A262" s="14" t="s">
        <v>277</v>
      </c>
      <c r="B262" s="15" t="s">
        <v>285</v>
      </c>
      <c r="C262" s="16">
        <v>-0.12202937258887563</v>
      </c>
      <c r="D262" s="16">
        <v>-0.21400175717889003</v>
      </c>
      <c r="E262" s="16">
        <v>-0.30037889415074548</v>
      </c>
      <c r="F262" s="16">
        <v>-0.37122412322164305</v>
      </c>
      <c r="G262" s="16">
        <v>-0.42880372136767153</v>
      </c>
      <c r="H262" s="16">
        <v>-0.47538396556491963</v>
      </c>
      <c r="I262" s="16">
        <v>-0.51323113278947585</v>
      </c>
      <c r="J262" s="16">
        <v>-0.54461150001742908</v>
      </c>
      <c r="K262" s="16">
        <v>-0.57179134422486777</v>
      </c>
      <c r="L262" s="16">
        <v>-0.59703694238788096</v>
      </c>
      <c r="M262" s="16">
        <v>-0.62261457148255706</v>
      </c>
      <c r="N262" s="16">
        <v>-0.65079050848498476</v>
      </c>
      <c r="O262" s="16">
        <v>-0.6838310303712527</v>
      </c>
      <c r="P262" s="16">
        <v>-0.72400241411744992</v>
      </c>
      <c r="Q262" s="16">
        <v>-0.77357093669966459</v>
      </c>
    </row>
    <row r="263" spans="1:17" x14ac:dyDescent="0.3">
      <c r="A263" s="14" t="s">
        <v>277</v>
      </c>
      <c r="B263" s="15" t="s">
        <v>286</v>
      </c>
      <c r="C263" s="16">
        <v>-0.12264784727350528</v>
      </c>
      <c r="D263" s="16">
        <v>-0.21428274717004039</v>
      </c>
      <c r="E263" s="16">
        <v>-0.29959279290169766</v>
      </c>
      <c r="F263" s="16">
        <v>-0.36880392523077365</v>
      </c>
      <c r="G263" s="16">
        <v>-0.42440686964691543</v>
      </c>
      <c r="H263" s="16">
        <v>-0.46889235163977</v>
      </c>
      <c r="I263" s="16">
        <v>-0.50475109669898455</v>
      </c>
      <c r="J263" s="16">
        <v>-0.53447383031420614</v>
      </c>
      <c r="K263" s="16">
        <v>-0.56055127797508186</v>
      </c>
      <c r="L263" s="16">
        <v>-0.58547416517125872</v>
      </c>
      <c r="M263" s="16">
        <v>-0.61173321739238373</v>
      </c>
      <c r="N263" s="16">
        <v>-0.64181916012810403</v>
      </c>
      <c r="O263" s="16">
        <v>-0.67822271886806684</v>
      </c>
      <c r="P263" s="16">
        <v>-0.72343461910191897</v>
      </c>
      <c r="Q263" s="16">
        <v>-0.7799455863193081</v>
      </c>
    </row>
    <row r="264" spans="1:17" x14ac:dyDescent="0.3">
      <c r="A264" s="14" t="s">
        <v>277</v>
      </c>
      <c r="B264" s="15" t="s">
        <v>287</v>
      </c>
      <c r="C264" s="16">
        <v>-0.13382820667707235</v>
      </c>
      <c r="D264" s="16">
        <v>-0.23240544644554895</v>
      </c>
      <c r="E264" s="16">
        <v>-0.32270061318600762</v>
      </c>
      <c r="F264" s="16">
        <v>-0.39425649353288417</v>
      </c>
      <c r="G264" s="16">
        <v>-0.44999869478832177</v>
      </c>
      <c r="H264" s="16">
        <v>-0.49285282425446347</v>
      </c>
      <c r="I264" s="16">
        <v>-0.52574448923345218</v>
      </c>
      <c r="J264" s="16">
        <v>-0.55159929702743127</v>
      </c>
      <c r="K264" s="16">
        <v>-0.57334285493854353</v>
      </c>
      <c r="L264" s="16">
        <v>-0.59390077026893218</v>
      </c>
      <c r="M264" s="16">
        <v>-0.6161986503207405</v>
      </c>
      <c r="N264" s="16">
        <v>-0.64316210239611116</v>
      </c>
      <c r="O264" s="16">
        <v>-0.67771673379718755</v>
      </c>
      <c r="P264" s="16">
        <v>-0.72278815182611245</v>
      </c>
      <c r="Q264" s="16">
        <v>-0.78130196378502914</v>
      </c>
    </row>
    <row r="265" spans="1:17" x14ac:dyDescent="0.3">
      <c r="A265" s="14" t="s">
        <v>277</v>
      </c>
      <c r="B265" s="15" t="s">
        <v>288</v>
      </c>
      <c r="C265" s="16">
        <v>-0.12261021232962292</v>
      </c>
      <c r="D265" s="16">
        <v>-0.21388653319167639</v>
      </c>
      <c r="E265" s="16">
        <v>-0.29853758226640109</v>
      </c>
      <c r="F265" s="16">
        <v>-0.36686432167434729</v>
      </c>
      <c r="G265" s="16">
        <v>-0.42142873476902754</v>
      </c>
      <c r="H265" s="16">
        <v>-0.46479280490395458</v>
      </c>
      <c r="I265" s="16">
        <v>-0.49951851543264092</v>
      </c>
      <c r="J265" s="16">
        <v>-0.52816784970859909</v>
      </c>
      <c r="K265" s="16">
        <v>-0.55330279108534175</v>
      </c>
      <c r="L265" s="16">
        <v>-0.57748532291638133</v>
      </c>
      <c r="M265" s="16">
        <v>-0.6032774285552307</v>
      </c>
      <c r="N265" s="16">
        <v>-0.63324109135540252</v>
      </c>
      <c r="O265" s="16">
        <v>-0.66993829467040944</v>
      </c>
      <c r="P265" s="16">
        <v>-0.71593102185376323</v>
      </c>
      <c r="Q265" s="16">
        <v>-0.77378125625897654</v>
      </c>
    </row>
    <row r="266" spans="1:17" x14ac:dyDescent="0.3">
      <c r="A266" s="14" t="s">
        <v>277</v>
      </c>
      <c r="B266" s="15" t="s">
        <v>289</v>
      </c>
      <c r="C266" s="16">
        <v>-0.11889051766509584</v>
      </c>
      <c r="D266" s="16">
        <v>-0.20969070389056083</v>
      </c>
      <c r="E266" s="16">
        <v>-0.29612455754637484</v>
      </c>
      <c r="F266" s="16">
        <v>-0.3682430685580983</v>
      </c>
      <c r="G266" s="16">
        <v>-0.4279862786178012</v>
      </c>
      <c r="H266" s="16">
        <v>-0.47729422941755367</v>
      </c>
      <c r="I266" s="16">
        <v>-0.5181069626494258</v>
      </c>
      <c r="J266" s="16">
        <v>-0.55236452000548741</v>
      </c>
      <c r="K266" s="16">
        <v>-0.58200694317780866</v>
      </c>
      <c r="L266" s="16">
        <v>-0.60897427385845948</v>
      </c>
      <c r="M266" s="16">
        <v>-0.63520655373951029</v>
      </c>
      <c r="N266" s="16">
        <v>-0.66264382451303061</v>
      </c>
      <c r="O266" s="16">
        <v>-0.69322612787109072</v>
      </c>
      <c r="P266" s="16">
        <v>-0.72889350550576082</v>
      </c>
      <c r="Q266" s="16">
        <v>-0.77158599910911085</v>
      </c>
    </row>
    <row r="267" spans="1:17" x14ac:dyDescent="0.3">
      <c r="A267" s="14" t="s">
        <v>277</v>
      </c>
      <c r="B267" s="15" t="s">
        <v>290</v>
      </c>
      <c r="C267" s="16">
        <v>-0.11333796679169419</v>
      </c>
      <c r="D267" s="16">
        <v>-0.20274565065608702</v>
      </c>
      <c r="E267" s="16">
        <v>-0.2908554846123298</v>
      </c>
      <c r="F267" s="16">
        <v>-0.36784972669673988</v>
      </c>
      <c r="G267" s="16">
        <v>-0.43524443162480431</v>
      </c>
      <c r="H267" s="16">
        <v>-0.49455565411200975</v>
      </c>
      <c r="I267" s="16">
        <v>-0.5472994488738433</v>
      </c>
      <c r="J267" s="16">
        <v>-0.59499187062579173</v>
      </c>
      <c r="K267" s="16">
        <v>-0.63914897408334193</v>
      </c>
      <c r="L267" s="16">
        <v>-0.68128681396198076</v>
      </c>
      <c r="M267" s="16">
        <v>-0.72292144497719502</v>
      </c>
      <c r="N267" s="16">
        <v>-0.76556892184447189</v>
      </c>
      <c r="O267" s="16">
        <v>-0.81074529927929784</v>
      </c>
      <c r="P267" s="16">
        <v>-0.85996663199716017</v>
      </c>
      <c r="Q267" s="16">
        <v>-0.91474897471354533</v>
      </c>
    </row>
    <row r="268" spans="1:17" x14ac:dyDescent="0.3">
      <c r="A268" s="14" t="s">
        <v>291</v>
      </c>
      <c r="B268" s="15" t="s">
        <v>292</v>
      </c>
      <c r="C268" s="16">
        <v>-0.11116893080360229</v>
      </c>
      <c r="D268" s="16">
        <v>-0.19864552389422119</v>
      </c>
      <c r="E268" s="16">
        <v>-0.28448500366574575</v>
      </c>
      <c r="F268" s="16">
        <v>-0.35892459910338859</v>
      </c>
      <c r="G268" s="16">
        <v>-0.42331843227272253</v>
      </c>
      <c r="H268" s="16">
        <v>-0.47902062523932043</v>
      </c>
      <c r="I268" s="16">
        <v>-0.52738530006875539</v>
      </c>
      <c r="J268" s="16">
        <v>-0.56976657882659987</v>
      </c>
      <c r="K268" s="16">
        <v>-0.60751858357842692</v>
      </c>
      <c r="L268" s="16">
        <v>-0.6419954363898096</v>
      </c>
      <c r="M268" s="16">
        <v>-0.67455125932632065</v>
      </c>
      <c r="N268" s="16">
        <v>-0.70654017445353279</v>
      </c>
      <c r="O268" s="16">
        <v>-0.73931630383701907</v>
      </c>
      <c r="P268" s="16">
        <v>-0.77423376954235212</v>
      </c>
      <c r="Q268" s="16">
        <v>-0.81264669363510522</v>
      </c>
    </row>
    <row r="269" spans="1:17" x14ac:dyDescent="0.3">
      <c r="A269" s="14" t="s">
        <v>291</v>
      </c>
      <c r="B269" s="15" t="s">
        <v>293</v>
      </c>
      <c r="C269" s="16">
        <v>-0.13593588906456858</v>
      </c>
      <c r="D269" s="16">
        <v>-0.23799786385762617</v>
      </c>
      <c r="E269" s="16">
        <v>-0.33337983121536097</v>
      </c>
      <c r="F269" s="16">
        <v>-0.41099942279607216</v>
      </c>
      <c r="G269" s="16">
        <v>-0.47336785916451574</v>
      </c>
      <c r="H269" s="16">
        <v>-0.52299636088544799</v>
      </c>
      <c r="I269" s="16">
        <v>-0.56239614852362474</v>
      </c>
      <c r="J269" s="16">
        <v>-0.59407844264380216</v>
      </c>
      <c r="K269" s="16">
        <v>-0.6205544638107362</v>
      </c>
      <c r="L269" s="16">
        <v>-0.64433543258918335</v>
      </c>
      <c r="M269" s="16">
        <v>-0.66793256954389923</v>
      </c>
      <c r="N269" s="16">
        <v>-0.69385709523964001</v>
      </c>
      <c r="O269" s="16">
        <v>-0.72462023024116173</v>
      </c>
      <c r="P269" s="16">
        <v>-0.76273319511322069</v>
      </c>
      <c r="Q269" s="16">
        <v>-0.81070721042057281</v>
      </c>
    </row>
    <row r="270" spans="1:17" x14ac:dyDescent="0.3">
      <c r="A270" s="14" t="s">
        <v>291</v>
      </c>
      <c r="B270" s="15" t="s">
        <v>294</v>
      </c>
      <c r="C270" s="16">
        <v>-0.1299781753495492</v>
      </c>
      <c r="D270" s="16">
        <v>-0.22992441715310336</v>
      </c>
      <c r="E270" s="16">
        <v>-0.32564057961749326</v>
      </c>
      <c r="F270" s="16">
        <v>-0.40601651042298992</v>
      </c>
      <c r="G270" s="16">
        <v>-0.47293987478481914</v>
      </c>
      <c r="H270" s="16">
        <v>-0.52829833791820668</v>
      </c>
      <c r="I270" s="16">
        <v>-0.57397956503837844</v>
      </c>
      <c r="J270" s="16">
        <v>-0.61187122136056016</v>
      </c>
      <c r="K270" s="16">
        <v>-0.64386097209997784</v>
      </c>
      <c r="L270" s="16">
        <v>-0.67183648247185723</v>
      </c>
      <c r="M270" s="16">
        <v>-0.697685417691424</v>
      </c>
      <c r="N270" s="16">
        <v>-0.72329544297390425</v>
      </c>
      <c r="O270" s="16">
        <v>-0.75055422353452361</v>
      </c>
      <c r="P270" s="16">
        <v>-0.78134942458850787</v>
      </c>
      <c r="Q270" s="16">
        <v>-0.81756871135108322</v>
      </c>
    </row>
    <row r="271" spans="1:17" x14ac:dyDescent="0.3">
      <c r="A271" s="14" t="s">
        <v>291</v>
      </c>
      <c r="B271" s="15" t="s">
        <v>295</v>
      </c>
      <c r="C271" s="16">
        <v>-0.13411776365806558</v>
      </c>
      <c r="D271" s="16">
        <v>-0.23598065462048506</v>
      </c>
      <c r="E271" s="16">
        <v>-0.33235809639076735</v>
      </c>
      <c r="F271" s="16">
        <v>-0.4121044772051925</v>
      </c>
      <c r="G271" s="16">
        <v>-0.47748596166584745</v>
      </c>
      <c r="H271" s="16">
        <v>-0.53076871437481854</v>
      </c>
      <c r="I271" s="16">
        <v>-0.57421889993419239</v>
      </c>
      <c r="J271" s="16">
        <v>-0.61010268294605619</v>
      </c>
      <c r="K271" s="16">
        <v>-0.6406862280124962</v>
      </c>
      <c r="L271" s="16">
        <v>-0.66823569973559915</v>
      </c>
      <c r="M271" s="16">
        <v>-0.69501726271745135</v>
      </c>
      <c r="N271" s="16">
        <v>-0.7232970815601405</v>
      </c>
      <c r="O271" s="16">
        <v>-0.75534132086575223</v>
      </c>
      <c r="P271" s="16">
        <v>-0.79341614523637327</v>
      </c>
      <c r="Q271" s="16">
        <v>-0.83978771927409068</v>
      </c>
    </row>
    <row r="272" spans="1:17" x14ac:dyDescent="0.3">
      <c r="A272" s="14" t="s">
        <v>291</v>
      </c>
      <c r="B272" s="15" t="s">
        <v>296</v>
      </c>
      <c r="C272" s="16">
        <v>-0.18691578043472032</v>
      </c>
      <c r="D272" s="16">
        <v>-0.32073069164347223</v>
      </c>
      <c r="E272" s="16">
        <v>-0.43903126009885779</v>
      </c>
      <c r="F272" s="16">
        <v>-0.52759993549239526</v>
      </c>
      <c r="G272" s="16">
        <v>-0.59091074555907452</v>
      </c>
      <c r="H272" s="16">
        <v>-0.63343771803388549</v>
      </c>
      <c r="I272" s="16">
        <v>-0.65965488065181888</v>
      </c>
      <c r="J272" s="16">
        <v>-0.67403626114786375</v>
      </c>
      <c r="K272" s="16">
        <v>-0.68105588725701083</v>
      </c>
      <c r="L272" s="16">
        <v>-0.6851877867142504</v>
      </c>
      <c r="M272" s="16">
        <v>-0.69090598725457197</v>
      </c>
      <c r="N272" s="16">
        <v>-0.70268451661296549</v>
      </c>
      <c r="O272" s="16">
        <v>-0.7249974025244218</v>
      </c>
      <c r="P272" s="16">
        <v>-0.7623186727239305</v>
      </c>
      <c r="Q272" s="16">
        <v>-0.81912235494648122</v>
      </c>
    </row>
    <row r="273" spans="1:17" x14ac:dyDescent="0.3">
      <c r="A273" s="14" t="s">
        <v>291</v>
      </c>
      <c r="B273" s="15" t="s">
        <v>297</v>
      </c>
      <c r="C273" s="16">
        <v>-0.13706335384601714</v>
      </c>
      <c r="D273" s="16">
        <v>-0.24018654333500666</v>
      </c>
      <c r="E273" s="16">
        <v>-0.33672833932044727</v>
      </c>
      <c r="F273" s="16">
        <v>-0.41542052119933032</v>
      </c>
      <c r="G273" s="16">
        <v>-0.47870120375324887</v>
      </c>
      <c r="H273" s="16">
        <v>-0.52900850176379599</v>
      </c>
      <c r="I273" s="16">
        <v>-0.56878053001256479</v>
      </c>
      <c r="J273" s="16">
        <v>-0.60045540328114821</v>
      </c>
      <c r="K273" s="16">
        <v>-0.62647123635113922</v>
      </c>
      <c r="L273" s="16">
        <v>-0.64926614400413096</v>
      </c>
      <c r="M273" s="16">
        <v>-0.67127824102171685</v>
      </c>
      <c r="N273" s="16">
        <v>-0.69494564218548938</v>
      </c>
      <c r="O273" s="16">
        <v>-0.72270646227704172</v>
      </c>
      <c r="P273" s="16">
        <v>-0.75699881607796737</v>
      </c>
      <c r="Q273" s="16">
        <v>-0.80026081836985874</v>
      </c>
    </row>
    <row r="274" spans="1:17" x14ac:dyDescent="0.3">
      <c r="A274" s="14" t="s">
        <v>291</v>
      </c>
      <c r="B274" s="15" t="s">
        <v>298</v>
      </c>
      <c r="C274" s="16">
        <v>-0.13456838981004243</v>
      </c>
      <c r="D274" s="16">
        <v>-0.23641632470701829</v>
      </c>
      <c r="E274" s="16">
        <v>-0.33238434256164506</v>
      </c>
      <c r="F274" s="16">
        <v>-0.41131256181396114</v>
      </c>
      <c r="G274" s="16">
        <v>-0.47549793988500905</v>
      </c>
      <c r="H274" s="16">
        <v>-0.52723743419583113</v>
      </c>
      <c r="I274" s="16">
        <v>-0.56882800216746998</v>
      </c>
      <c r="J274" s="16">
        <v>-0.60256660122096817</v>
      </c>
      <c r="K274" s="16">
        <v>-0.63075018877736799</v>
      </c>
      <c r="L274" s="16">
        <v>-0.6556757222577122</v>
      </c>
      <c r="M274" s="16">
        <v>-0.67964015908304309</v>
      </c>
      <c r="N274" s="16">
        <v>-0.70494045667440353</v>
      </c>
      <c r="O274" s="16">
        <v>-0.73387357245283524</v>
      </c>
      <c r="P274" s="16">
        <v>-0.76873646383938155</v>
      </c>
      <c r="Q274" s="16">
        <v>-0.81182608825508495</v>
      </c>
    </row>
    <row r="275" spans="1:17" x14ac:dyDescent="0.3">
      <c r="A275" s="14" t="s">
        <v>291</v>
      </c>
      <c r="B275" s="15" t="s">
        <v>299</v>
      </c>
      <c r="C275" s="16">
        <v>-0.13428882462829445</v>
      </c>
      <c r="D275" s="16">
        <v>-0.23598718194082041</v>
      </c>
      <c r="E275" s="16">
        <v>-0.3318751606546706</v>
      </c>
      <c r="F275" s="16">
        <v>-0.41080319916823094</v>
      </c>
      <c r="G275" s="16">
        <v>-0.47505061834271661</v>
      </c>
      <c r="H275" s="16">
        <v>-0.52689673903934275</v>
      </c>
      <c r="I275" s="16">
        <v>-0.56862088211932516</v>
      </c>
      <c r="J275" s="16">
        <v>-0.60250236844387828</v>
      </c>
      <c r="K275" s="16">
        <v>-0.63082051887421797</v>
      </c>
      <c r="L275" s="16">
        <v>-0.65585465427155965</v>
      </c>
      <c r="M275" s="16">
        <v>-0.67988409549711792</v>
      </c>
      <c r="N275" s="16">
        <v>-0.70518816341210844</v>
      </c>
      <c r="O275" s="16">
        <v>-0.73404617887774681</v>
      </c>
      <c r="P275" s="16">
        <v>-0.7687374627552479</v>
      </c>
      <c r="Q275" s="16">
        <v>-0.81154133590582678</v>
      </c>
    </row>
    <row r="276" spans="1:17" x14ac:dyDescent="0.3">
      <c r="A276" s="14" t="s">
        <v>291</v>
      </c>
      <c r="B276" s="15" t="s">
        <v>44</v>
      </c>
      <c r="C276" s="16">
        <v>-0.13485899295606624</v>
      </c>
      <c r="D276" s="16">
        <v>-0.23686241106537176</v>
      </c>
      <c r="E276" s="16">
        <v>-0.33291362805641844</v>
      </c>
      <c r="F276" s="16">
        <v>-0.4118420349776431</v>
      </c>
      <c r="G276" s="16">
        <v>-0.47596292217308916</v>
      </c>
      <c r="H276" s="16">
        <v>-0.52759157998680017</v>
      </c>
      <c r="I276" s="16">
        <v>-0.56904329876281945</v>
      </c>
      <c r="J276" s="16">
        <v>-0.60263336884519059</v>
      </c>
      <c r="K276" s="16">
        <v>-0.63067708057795713</v>
      </c>
      <c r="L276" s="16">
        <v>-0.65548972430516184</v>
      </c>
      <c r="M276" s="16">
        <v>-0.67938659037084914</v>
      </c>
      <c r="N276" s="16">
        <v>-0.70468296911906203</v>
      </c>
      <c r="O276" s="16">
        <v>-0.73369415089384371</v>
      </c>
      <c r="P276" s="16">
        <v>-0.76873542603923739</v>
      </c>
      <c r="Q276" s="16">
        <v>-0.81212208489928739</v>
      </c>
    </row>
    <row r="277" spans="1:17" x14ac:dyDescent="0.3">
      <c r="A277" s="14" t="s">
        <v>291</v>
      </c>
      <c r="B277" s="15" t="s">
        <v>300</v>
      </c>
      <c r="C277" s="16">
        <v>-0.13543947207916085</v>
      </c>
      <c r="D277" s="16">
        <v>-0.23739613849192953</v>
      </c>
      <c r="E277" s="16">
        <v>-0.33294589947884701</v>
      </c>
      <c r="F277" s="16">
        <v>-0.41099306843457173</v>
      </c>
      <c r="G277" s="16">
        <v>-0.47398590596167844</v>
      </c>
      <c r="H277" s="16">
        <v>-0.52437267266274212</v>
      </c>
      <c r="I277" s="16">
        <v>-0.56460162914033685</v>
      </c>
      <c r="J277" s="16">
        <v>-0.5971210359970377</v>
      </c>
      <c r="K277" s="16">
        <v>-0.62437915383541931</v>
      </c>
      <c r="L277" s="16">
        <v>-0.6488242432580561</v>
      </c>
      <c r="M277" s="16">
        <v>-0.67290456486752293</v>
      </c>
      <c r="N277" s="16">
        <v>-0.69906837926639487</v>
      </c>
      <c r="O277" s="16">
        <v>-0.7297639470572459</v>
      </c>
      <c r="P277" s="16">
        <v>-0.76743952884265088</v>
      </c>
      <c r="Q277" s="16">
        <v>-0.81454338522518477</v>
      </c>
    </row>
    <row r="278" spans="1:17" x14ac:dyDescent="0.3">
      <c r="A278" s="14" t="s">
        <v>291</v>
      </c>
      <c r="B278" s="15" t="s">
        <v>301</v>
      </c>
      <c r="C278" s="16">
        <v>-0.13327854884337417</v>
      </c>
      <c r="D278" s="16">
        <v>-0.23661744191721854</v>
      </c>
      <c r="E278" s="16">
        <v>-0.3363280001449801</v>
      </c>
      <c r="F278" s="16">
        <v>-0.42075055398530203</v>
      </c>
      <c r="G278" s="16">
        <v>-0.491553288781165</v>
      </c>
      <c r="H278" s="16">
        <v>-0.55040438987554929</v>
      </c>
      <c r="I278" s="16">
        <v>-0.59897204261143566</v>
      </c>
      <c r="J278" s="16">
        <v>-0.63892443233180451</v>
      </c>
      <c r="K278" s="16">
        <v>-0.67192974437963637</v>
      </c>
      <c r="L278" s="16">
        <v>-0.69965616409791209</v>
      </c>
      <c r="M278" s="16">
        <v>-0.72377187682961175</v>
      </c>
      <c r="N278" s="16">
        <v>-0.74594506791771609</v>
      </c>
      <c r="O278" s="16">
        <v>-0.76784392270520585</v>
      </c>
      <c r="P278" s="16">
        <v>-0.79113662653506145</v>
      </c>
      <c r="Q278" s="16">
        <v>-0.81749136475026318</v>
      </c>
    </row>
    <row r="279" spans="1:17" x14ac:dyDescent="0.3">
      <c r="A279" s="14" t="s">
        <v>291</v>
      </c>
      <c r="B279" s="15" t="s">
        <v>302</v>
      </c>
      <c r="C279" s="16">
        <v>-0.11000905648041016</v>
      </c>
      <c r="D279" s="16">
        <v>-0.19755645608419603</v>
      </c>
      <c r="E279" s="16">
        <v>-0.2843451083400137</v>
      </c>
      <c r="F279" s="16">
        <v>-0.36045690208398901</v>
      </c>
      <c r="G279" s="16">
        <v>-0.4269746318002885</v>
      </c>
      <c r="H279" s="16">
        <v>-0.48498109197307904</v>
      </c>
      <c r="I279" s="16">
        <v>-0.53555907708652728</v>
      </c>
      <c r="J279" s="16">
        <v>-0.57979138162479982</v>
      </c>
      <c r="K279" s="16">
        <v>-0.61876080007206358</v>
      </c>
      <c r="L279" s="16">
        <v>-0.65355012691248504</v>
      </c>
      <c r="M279" s="16">
        <v>-0.68524215663023136</v>
      </c>
      <c r="N279" s="16">
        <v>-0.71491968370946868</v>
      </c>
      <c r="O279" s="16">
        <v>-0.74366550263436415</v>
      </c>
      <c r="P279" s="16">
        <v>-0.77256240788908404</v>
      </c>
      <c r="Q279" s="16">
        <v>-0.80269319395779548</v>
      </c>
    </row>
    <row r="280" spans="1:17" x14ac:dyDescent="0.3">
      <c r="A280" s="14" t="s">
        <v>291</v>
      </c>
      <c r="B280" s="15" t="s">
        <v>303</v>
      </c>
      <c r="C280" s="16">
        <v>-0.13016937327865705</v>
      </c>
      <c r="D280" s="16">
        <v>-0.23010282243155289</v>
      </c>
      <c r="E280" s="16">
        <v>-0.32567536429220267</v>
      </c>
      <c r="F280" s="16">
        <v>-0.4058193536806356</v>
      </c>
      <c r="G280" s="16">
        <v>-0.47248408274474663</v>
      </c>
      <c r="H280" s="16">
        <v>-0.52761884363243094</v>
      </c>
      <c r="I280" s="16">
        <v>-0.57317292849158319</v>
      </c>
      <c r="J280" s="16">
        <v>-0.61109562947009843</v>
      </c>
      <c r="K280" s="16">
        <v>-0.64333623871587176</v>
      </c>
      <c r="L280" s="16">
        <v>-0.67184404837679779</v>
      </c>
      <c r="M280" s="16">
        <v>-0.69856835060077183</v>
      </c>
      <c r="N280" s="16">
        <v>-0.72545843753568906</v>
      </c>
      <c r="O280" s="16">
        <v>-0.75446360132944379</v>
      </c>
      <c r="P280" s="16">
        <v>-0.78753313412993153</v>
      </c>
      <c r="Q280" s="16">
        <v>-0.82661632808504681</v>
      </c>
    </row>
    <row r="281" spans="1:17" x14ac:dyDescent="0.3">
      <c r="A281" s="14" t="s">
        <v>291</v>
      </c>
      <c r="B281" s="15" t="s">
        <v>304</v>
      </c>
      <c r="C281" s="16">
        <v>-0.13511654974969156</v>
      </c>
      <c r="D281" s="16">
        <v>-0.23684662635123105</v>
      </c>
      <c r="E281" s="16">
        <v>-0.33235374828931979</v>
      </c>
      <c r="F281" s="16">
        <v>-0.4107357291057851</v>
      </c>
      <c r="G281" s="16">
        <v>-0.4746020373174234</v>
      </c>
      <c r="H281" s="16">
        <v>-0.52656214144103086</v>
      </c>
      <c r="I281" s="16">
        <v>-0.56922550999340404</v>
      </c>
      <c r="J281" s="16">
        <v>-0.60520161149133944</v>
      </c>
      <c r="K281" s="16">
        <v>-0.63709991445163316</v>
      </c>
      <c r="L281" s="16">
        <v>-0.66752988739108221</v>
      </c>
      <c r="M281" s="16">
        <v>-0.69910099882648191</v>
      </c>
      <c r="N281" s="16">
        <v>-0.73442271727462949</v>
      </c>
      <c r="O281" s="16">
        <v>-0.77610451125232094</v>
      </c>
      <c r="P281" s="16">
        <v>-0.82675584927635304</v>
      </c>
      <c r="Q281" s="16">
        <v>-0.88898619986352212</v>
      </c>
    </row>
    <row r="282" spans="1:17" x14ac:dyDescent="0.3">
      <c r="A282" s="14" t="s">
        <v>291</v>
      </c>
      <c r="B282" s="15" t="s">
        <v>305</v>
      </c>
      <c r="C282" s="16">
        <v>-0.12989256538257254</v>
      </c>
      <c r="D282" s="16">
        <v>-0.23177062371459817</v>
      </c>
      <c r="E282" s="16">
        <v>-0.33121419088718529</v>
      </c>
      <c r="F282" s="16">
        <v>-0.41664620491067372</v>
      </c>
      <c r="G282" s="16">
        <v>-0.48947886033366045</v>
      </c>
      <c r="H282" s="16">
        <v>-0.55112435170474217</v>
      </c>
      <c r="I282" s="16">
        <v>-0.60299487357251613</v>
      </c>
      <c r="J282" s="16">
        <v>-0.64650262048557916</v>
      </c>
      <c r="K282" s="16">
        <v>-0.68305978699252823</v>
      </c>
      <c r="L282" s="16">
        <v>-0.71407856764196043</v>
      </c>
      <c r="M282" s="16">
        <v>-0.7409711569824724</v>
      </c>
      <c r="N282" s="16">
        <v>-0.76514974956266135</v>
      </c>
      <c r="O282" s="16">
        <v>-0.78802653993112426</v>
      </c>
      <c r="P282" s="16">
        <v>-0.81101372263645788</v>
      </c>
      <c r="Q282" s="16">
        <v>-0.83552349222725941</v>
      </c>
    </row>
    <row r="283" spans="1:17" x14ac:dyDescent="0.3">
      <c r="A283" s="14" t="s">
        <v>291</v>
      </c>
      <c r="B283" s="15" t="s">
        <v>306</v>
      </c>
      <c r="C283" s="16">
        <v>-0.14879174589831842</v>
      </c>
      <c r="D283" s="16">
        <v>-0.25881449311117943</v>
      </c>
      <c r="E283" s="16">
        <v>-0.35989953005836056</v>
      </c>
      <c r="F283" s="16">
        <v>-0.44019808674961658</v>
      </c>
      <c r="G283" s="16">
        <v>-0.5027405677845338</v>
      </c>
      <c r="H283" s="16">
        <v>-0.55055737776269886</v>
      </c>
      <c r="I283" s="16">
        <v>-0.58667892128369803</v>
      </c>
      <c r="J283" s="16">
        <v>-0.61413560294711811</v>
      </c>
      <c r="K283" s="16">
        <v>-0.63595782735254558</v>
      </c>
      <c r="L283" s="16">
        <v>-0.65517599909956636</v>
      </c>
      <c r="M283" s="16">
        <v>-0.6748205227877675</v>
      </c>
      <c r="N283" s="16">
        <v>-0.69792180301673523</v>
      </c>
      <c r="O283" s="16">
        <v>-0.72751024438605638</v>
      </c>
      <c r="P283" s="16">
        <v>-0.76661625149531687</v>
      </c>
      <c r="Q283" s="16">
        <v>-0.81827022894410351</v>
      </c>
    </row>
    <row r="284" spans="1:17" x14ac:dyDescent="0.3">
      <c r="A284" s="14" t="s">
        <v>307</v>
      </c>
      <c r="B284" s="15">
        <v>107</v>
      </c>
      <c r="C284" s="16">
        <v>-0.15301214406258667</v>
      </c>
      <c r="D284" s="16">
        <v>-0.26129434276718205</v>
      </c>
      <c r="E284" s="16">
        <v>-0.35609100369746483</v>
      </c>
      <c r="F284" s="16">
        <v>-0.42644739885361893</v>
      </c>
      <c r="G284" s="16">
        <v>-0.47671001464208695</v>
      </c>
      <c r="H284" s="16">
        <v>-0.51122533746931176</v>
      </c>
      <c r="I284" s="16">
        <v>-0.53433985374173532</v>
      </c>
      <c r="J284" s="16">
        <v>-0.55040004986580093</v>
      </c>
      <c r="K284" s="16">
        <v>-0.56375241224795081</v>
      </c>
      <c r="L284" s="16">
        <v>-0.57874342729462747</v>
      </c>
      <c r="M284" s="16">
        <v>-0.59971958141227399</v>
      </c>
      <c r="N284" s="16">
        <v>-0.63102736100733292</v>
      </c>
      <c r="O284" s="16">
        <v>-0.677013252486246</v>
      </c>
      <c r="P284" s="16">
        <v>-0.74202374225545653</v>
      </c>
      <c r="Q284" s="16">
        <v>-0.83040531672140749</v>
      </c>
    </row>
    <row r="285" spans="1:17" x14ac:dyDescent="0.3">
      <c r="A285" s="14" t="s">
        <v>307</v>
      </c>
      <c r="B285" s="15">
        <v>108</v>
      </c>
      <c r="C285" s="16">
        <v>-0.1293941375495232</v>
      </c>
      <c r="D285" s="16">
        <v>-0.22738094594833452</v>
      </c>
      <c r="E285" s="16">
        <v>-0.31987374320457634</v>
      </c>
      <c r="F285" s="16">
        <v>-0.39625142789414813</v>
      </c>
      <c r="G285" s="16">
        <v>-0.45883231234790156</v>
      </c>
      <c r="H285" s="16">
        <v>-0.50993470889668879</v>
      </c>
      <c r="I285" s="16">
        <v>-0.55187692987136105</v>
      </c>
      <c r="J285" s="16">
        <v>-0.58697728760277057</v>
      </c>
      <c r="K285" s="16">
        <v>-0.61755409442176878</v>
      </c>
      <c r="L285" s="16">
        <v>-0.6459256626592077</v>
      </c>
      <c r="M285" s="16">
        <v>-0.67441030464593932</v>
      </c>
      <c r="N285" s="16">
        <v>-0.7053263327128152</v>
      </c>
      <c r="O285" s="16">
        <v>-0.74099205919068689</v>
      </c>
      <c r="P285" s="16">
        <v>-0.78372579641040596</v>
      </c>
      <c r="Q285" s="16">
        <v>-0.83584585670282507</v>
      </c>
    </row>
    <row r="286" spans="1:17" x14ac:dyDescent="0.3">
      <c r="A286" s="14" t="s">
        <v>307</v>
      </c>
      <c r="B286" s="15">
        <v>2008</v>
      </c>
      <c r="C286" s="16">
        <v>-0.14103390303978083</v>
      </c>
      <c r="D286" s="16">
        <v>-0.24569918634801216</v>
      </c>
      <c r="E286" s="16">
        <v>-0.34235829384392269</v>
      </c>
      <c r="F286" s="16">
        <v>-0.41982958821477179</v>
      </c>
      <c r="G286" s="16">
        <v>-0.48103482245179707</v>
      </c>
      <c r="H286" s="16">
        <v>-0.52889574954623608</v>
      </c>
      <c r="I286" s="16">
        <v>-0.56633412248932624</v>
      </c>
      <c r="J286" s="16">
        <v>-0.5962716942723052</v>
      </c>
      <c r="K286" s="16">
        <v>-0.62163021788641015</v>
      </c>
      <c r="L286" s="16">
        <v>-0.64533144632287909</v>
      </c>
      <c r="M286" s="16">
        <v>-0.67029713257294932</v>
      </c>
      <c r="N286" s="16">
        <v>-0.69944902962785849</v>
      </c>
      <c r="O286" s="16">
        <v>-0.73570889047884391</v>
      </c>
      <c r="P286" s="16">
        <v>-0.78199846811714335</v>
      </c>
      <c r="Q286" s="16">
        <v>-0.84123951553399401</v>
      </c>
    </row>
    <row r="287" spans="1:17" x14ac:dyDescent="0.3">
      <c r="A287" s="14" t="s">
        <v>307</v>
      </c>
      <c r="B287" s="15">
        <v>206</v>
      </c>
      <c r="C287" s="16">
        <v>-0.14221156981911259</v>
      </c>
      <c r="D287" s="16">
        <v>-0.24814577638084678</v>
      </c>
      <c r="E287" s="16">
        <v>-0.34635813044731489</v>
      </c>
      <c r="F287" s="16">
        <v>-0.42547623768599779</v>
      </c>
      <c r="G287" s="16">
        <v>-0.48834886074628742</v>
      </c>
      <c r="H287" s="16">
        <v>-0.53782476227757592</v>
      </c>
      <c r="I287" s="16">
        <v>-0.57675270492925546</v>
      </c>
      <c r="J287" s="16">
        <v>-0.60798145135071779</v>
      </c>
      <c r="K287" s="16">
        <v>-0.63435976419135498</v>
      </c>
      <c r="L287" s="16">
        <v>-0.65873640610055939</v>
      </c>
      <c r="M287" s="16">
        <v>-0.68396013972772274</v>
      </c>
      <c r="N287" s="16">
        <v>-0.71287972772223762</v>
      </c>
      <c r="O287" s="16">
        <v>-0.74834393273349542</v>
      </c>
      <c r="P287" s="16">
        <v>-0.79320151741088873</v>
      </c>
      <c r="Q287" s="16">
        <v>-0.85030124440380883</v>
      </c>
    </row>
    <row r="288" spans="1:17" x14ac:dyDescent="0.3">
      <c r="A288" s="14" t="s">
        <v>307</v>
      </c>
      <c r="B288" s="15">
        <v>207</v>
      </c>
      <c r="C288" s="16">
        <v>-0.13883267901235452</v>
      </c>
      <c r="D288" s="16">
        <v>-0.24428818685581888</v>
      </c>
      <c r="E288" s="16">
        <v>-0.34401308421747445</v>
      </c>
      <c r="F288" s="16">
        <v>-0.42639745223672165</v>
      </c>
      <c r="G288" s="16">
        <v>-0.49371463995419634</v>
      </c>
      <c r="H288" s="16">
        <v>-0.54823799641053417</v>
      </c>
      <c r="I288" s="16">
        <v>-0.59224087064637121</v>
      </c>
      <c r="J288" s="16">
        <v>-0.627996611702343</v>
      </c>
      <c r="K288" s="16">
        <v>-0.65777856861908535</v>
      </c>
      <c r="L288" s="16">
        <v>-0.68386009043723428</v>
      </c>
      <c r="M288" s="16">
        <v>-0.70851452619742561</v>
      </c>
      <c r="N288" s="16">
        <v>-0.7340152249402947</v>
      </c>
      <c r="O288" s="16">
        <v>-0.76263553570647791</v>
      </c>
      <c r="P288" s="16">
        <v>-0.7966488075366106</v>
      </c>
      <c r="Q288" s="16">
        <v>-0.83832838947132893</v>
      </c>
    </row>
    <row r="289" spans="1:17" x14ac:dyDescent="0.3">
      <c r="A289" s="14" t="s">
        <v>307</v>
      </c>
      <c r="B289" s="15">
        <v>208</v>
      </c>
      <c r="C289" s="16">
        <v>-0.14878327269350047</v>
      </c>
      <c r="D289" s="16">
        <v>-0.25788619352996256</v>
      </c>
      <c r="E289" s="16">
        <v>-0.3573027443627762</v>
      </c>
      <c r="F289" s="16">
        <v>-0.43548027328307276</v>
      </c>
      <c r="G289" s="16">
        <v>-0.49574445565133335</v>
      </c>
      <c r="H289" s="16">
        <v>-0.54142096682803953</v>
      </c>
      <c r="I289" s="16">
        <v>-0.5758354821736722</v>
      </c>
      <c r="J289" s="16">
        <v>-0.60231367704871286</v>
      </c>
      <c r="K289" s="16">
        <v>-0.62418122681364263</v>
      </c>
      <c r="L289" s="16">
        <v>-0.64476380682894274</v>
      </c>
      <c r="M289" s="16">
        <v>-0.66738709245509475</v>
      </c>
      <c r="N289" s="16">
        <v>-0.69537675905257967</v>
      </c>
      <c r="O289" s="16">
        <v>-0.73205848198187884</v>
      </c>
      <c r="P289" s="16">
        <v>-0.78075793660347337</v>
      </c>
      <c r="Q289" s="16">
        <v>-0.84480079827784449</v>
      </c>
    </row>
    <row r="290" spans="1:17" x14ac:dyDescent="0.3">
      <c r="A290" s="14" t="s">
        <v>307</v>
      </c>
      <c r="B290" s="15">
        <v>3008</v>
      </c>
      <c r="C290" s="16">
        <v>-0.13970296537153742</v>
      </c>
      <c r="D290" s="16">
        <v>-0.24454001804060632</v>
      </c>
      <c r="E290" s="16">
        <v>-0.34245628921831112</v>
      </c>
      <c r="F290" s="16">
        <v>-0.42206623044113833</v>
      </c>
      <c r="G290" s="16">
        <v>-0.48595458978272849</v>
      </c>
      <c r="H290" s="16">
        <v>-0.53670611531672208</v>
      </c>
      <c r="I290" s="16">
        <v>-0.57690555511675912</v>
      </c>
      <c r="J290" s="16">
        <v>-0.60913765725648039</v>
      </c>
      <c r="K290" s="16">
        <v>-0.63598716980952619</v>
      </c>
      <c r="L290" s="16">
        <v>-0.66003884084953646</v>
      </c>
      <c r="M290" s="16">
        <v>-0.68387741845015226</v>
      </c>
      <c r="N290" s="16">
        <v>-0.71008765068501367</v>
      </c>
      <c r="O290" s="16">
        <v>-0.74125428562776097</v>
      </c>
      <c r="P290" s="16">
        <v>-0.77996207135203455</v>
      </c>
      <c r="Q290" s="16">
        <v>-0.82879575593147492</v>
      </c>
    </row>
    <row r="291" spans="1:17" x14ac:dyDescent="0.3">
      <c r="A291" s="14" t="s">
        <v>307</v>
      </c>
      <c r="B291" s="15">
        <v>301</v>
      </c>
      <c r="C291" s="16">
        <v>-0.14565250986142986</v>
      </c>
      <c r="D291" s="16">
        <v>-0.25310879912662593</v>
      </c>
      <c r="E291" s="16">
        <v>-0.35168228476683061</v>
      </c>
      <c r="F291" s="16">
        <v>-0.42992835833919713</v>
      </c>
      <c r="G291" s="16">
        <v>-0.4909676623870215</v>
      </c>
      <c r="H291" s="16">
        <v>-0.53792083945359981</v>
      </c>
      <c r="I291" s="16">
        <v>-0.57390853208222814</v>
      </c>
      <c r="J291" s="16">
        <v>-0.60205138281620307</v>
      </c>
      <c r="K291" s="16">
        <v>-0.62547003419882019</v>
      </c>
      <c r="L291" s="16">
        <v>-0.64728512877337585</v>
      </c>
      <c r="M291" s="16">
        <v>-0.67061730908316608</v>
      </c>
      <c r="N291" s="16">
        <v>-0.69858721767148702</v>
      </c>
      <c r="O291" s="16">
        <v>-0.73431549708163502</v>
      </c>
      <c r="P291" s="16">
        <v>-0.78092278985690555</v>
      </c>
      <c r="Q291" s="16">
        <v>-0.84152973854059554</v>
      </c>
    </row>
    <row r="292" spans="1:17" x14ac:dyDescent="0.3">
      <c r="A292" s="14" t="s">
        <v>307</v>
      </c>
      <c r="B292" s="15">
        <v>307</v>
      </c>
      <c r="C292" s="16">
        <v>-0.13939341121209375</v>
      </c>
      <c r="D292" s="16">
        <v>-0.24406514843094554</v>
      </c>
      <c r="E292" s="16">
        <v>-0.341964139118627</v>
      </c>
      <c r="F292" s="16">
        <v>-0.42179481250564577</v>
      </c>
      <c r="G292" s="16">
        <v>-0.48620093894371907</v>
      </c>
      <c r="H292" s="16">
        <v>-0.53782628878456418</v>
      </c>
      <c r="I292" s="16">
        <v>-0.57931463237989766</v>
      </c>
      <c r="J292" s="16">
        <v>-0.61330974008143702</v>
      </c>
      <c r="K292" s="16">
        <v>-0.64245538224089938</v>
      </c>
      <c r="L292" s="16">
        <v>-0.66939532921000144</v>
      </c>
      <c r="M292" s="16">
        <v>-0.69677335134046081</v>
      </c>
      <c r="N292" s="16">
        <v>-0.72723321898399473</v>
      </c>
      <c r="O292" s="16">
        <v>-0.76341870249231947</v>
      </c>
      <c r="P292" s="16">
        <v>-0.80797357221715249</v>
      </c>
      <c r="Q292" s="16">
        <v>-0.86354159851021117</v>
      </c>
    </row>
    <row r="293" spans="1:17" x14ac:dyDescent="0.3">
      <c r="A293" s="14" t="s">
        <v>307</v>
      </c>
      <c r="B293" s="15">
        <v>308</v>
      </c>
      <c r="C293" s="16">
        <v>-0.13956656797970246</v>
      </c>
      <c r="D293" s="16">
        <v>-0.24527771506403517</v>
      </c>
      <c r="E293" s="16">
        <v>-0.34493822103298033</v>
      </c>
      <c r="F293" s="16">
        <v>-0.42692747350261401</v>
      </c>
      <c r="G293" s="16">
        <v>-0.4935815168869826</v>
      </c>
      <c r="H293" s="16">
        <v>-0.54723639560013226</v>
      </c>
      <c r="I293" s="16">
        <v>-0.59022815405610951</v>
      </c>
      <c r="J293" s="16">
        <v>-0.62489283666896056</v>
      </c>
      <c r="K293" s="16">
        <v>-0.65356648785273175</v>
      </c>
      <c r="L293" s="16">
        <v>-0.6785851520214693</v>
      </c>
      <c r="M293" s="16">
        <v>-0.70228487358921976</v>
      </c>
      <c r="N293" s="16">
        <v>-0.72700169697002948</v>
      </c>
      <c r="O293" s="16">
        <v>-0.75507166657794433</v>
      </c>
      <c r="P293" s="16">
        <v>-0.78883082682701111</v>
      </c>
      <c r="Q293" s="16">
        <v>-0.83061522213127614</v>
      </c>
    </row>
    <row r="294" spans="1:17" x14ac:dyDescent="0.3">
      <c r="A294" s="14" t="s">
        <v>307</v>
      </c>
      <c r="B294" s="15">
        <v>4007</v>
      </c>
      <c r="C294" s="16">
        <v>-0.14154604959522335</v>
      </c>
      <c r="D294" s="16">
        <v>-0.24781643030599679</v>
      </c>
      <c r="E294" s="16">
        <v>-0.34710529267644979</v>
      </c>
      <c r="F294" s="16">
        <v>-0.4278488378644294</v>
      </c>
      <c r="G294" s="16">
        <v>-0.49263787198730474</v>
      </c>
      <c r="H294" s="16">
        <v>-0.54406320116244544</v>
      </c>
      <c r="I294" s="16">
        <v>-0.58471563150722039</v>
      </c>
      <c r="J294" s="16">
        <v>-0.61718596913899904</v>
      </c>
      <c r="K294" s="16">
        <v>-0.64406502017515088</v>
      </c>
      <c r="L294" s="16">
        <v>-0.66794359073304477</v>
      </c>
      <c r="M294" s="16">
        <v>-0.69141248693005075</v>
      </c>
      <c r="N294" s="16">
        <v>-0.71706251488353712</v>
      </c>
      <c r="O294" s="16">
        <v>-0.74748448071087403</v>
      </c>
      <c r="P294" s="16">
        <v>-0.78526919052943045</v>
      </c>
      <c r="Q294" s="16">
        <v>-0.83300745045657509</v>
      </c>
    </row>
    <row r="295" spans="1:17" x14ac:dyDescent="0.3">
      <c r="A295" s="14" t="s">
        <v>307</v>
      </c>
      <c r="B295" s="15">
        <v>407</v>
      </c>
      <c r="C295" s="16">
        <v>-0.14105096032023987</v>
      </c>
      <c r="D295" s="16">
        <v>-0.24618084941594276</v>
      </c>
      <c r="E295" s="16">
        <v>-0.34378281269829686</v>
      </c>
      <c r="F295" s="16">
        <v>-0.42264836590278132</v>
      </c>
      <c r="G295" s="16">
        <v>-0.48567412079689903</v>
      </c>
      <c r="H295" s="16">
        <v>-0.53575668914815311</v>
      </c>
      <c r="I295" s="16">
        <v>-0.57579268272404671</v>
      </c>
      <c r="J295" s="16">
        <v>-0.6086787132920829</v>
      </c>
      <c r="K295" s="16">
        <v>-0.63731139261976466</v>
      </c>
      <c r="L295" s="16">
        <v>-0.66458733247459512</v>
      </c>
      <c r="M295" s="16">
        <v>-0.69340314462407715</v>
      </c>
      <c r="N295" s="16">
        <v>-0.72665544083571365</v>
      </c>
      <c r="O295" s="16">
        <v>-0.76724083287700862</v>
      </c>
      <c r="P295" s="16">
        <v>-0.81805593251546438</v>
      </c>
      <c r="Q295" s="16">
        <v>-0.88199735151858372</v>
      </c>
    </row>
    <row r="296" spans="1:17" x14ac:dyDescent="0.3">
      <c r="A296" s="14" t="s">
        <v>307</v>
      </c>
      <c r="B296" s="15">
        <v>5008</v>
      </c>
      <c r="C296" s="16">
        <v>-0.14886235006260098</v>
      </c>
      <c r="D296" s="16">
        <v>-0.25871784779149293</v>
      </c>
      <c r="E296" s="16">
        <v>-0.35947503557193039</v>
      </c>
      <c r="F296" s="16">
        <v>-0.43937672391395688</v>
      </c>
      <c r="G296" s="16">
        <v>-0.50155195833387589</v>
      </c>
      <c r="H296" s="16">
        <v>-0.54912978434799076</v>
      </c>
      <c r="I296" s="16">
        <v>-0.58523924747260514</v>
      </c>
      <c r="J296" s="16">
        <v>-0.61300939322402248</v>
      </c>
      <c r="K296" s="16">
        <v>-0.63556926711854644</v>
      </c>
      <c r="L296" s="16">
        <v>-0.65604791467248036</v>
      </c>
      <c r="M296" s="16">
        <v>-0.67757438140212745</v>
      </c>
      <c r="N296" s="16">
        <v>-0.70327771282379159</v>
      </c>
      <c r="O296" s="16">
        <v>-0.73628695445377634</v>
      </c>
      <c r="P296" s="16">
        <v>-0.77973115180838548</v>
      </c>
      <c r="Q296" s="16">
        <v>-0.83673935040392189</v>
      </c>
    </row>
    <row r="297" spans="1:17" x14ac:dyDescent="0.3">
      <c r="A297" s="14" t="s">
        <v>307</v>
      </c>
      <c r="B297" s="15">
        <v>508</v>
      </c>
      <c r="C297" s="16">
        <v>-0.16647091743423689</v>
      </c>
      <c r="D297" s="16">
        <v>-0.28728675258778014</v>
      </c>
      <c r="E297" s="16">
        <v>-0.39593836200236721</v>
      </c>
      <c r="F297" s="16">
        <v>-0.47957841295078191</v>
      </c>
      <c r="G297" s="16">
        <v>-0.54200666444923151</v>
      </c>
      <c r="H297" s="16">
        <v>-0.58702287551392329</v>
      </c>
      <c r="I297" s="16">
        <v>-0.61842680516106507</v>
      </c>
      <c r="J297" s="16">
        <v>-0.64001821240686396</v>
      </c>
      <c r="K297" s="16">
        <v>-0.65559685626752773</v>
      </c>
      <c r="L297" s="16">
        <v>-0.66896249575926336</v>
      </c>
      <c r="M297" s="16">
        <v>-0.68391488989827864</v>
      </c>
      <c r="N297" s="16">
        <v>-0.70425379770078067</v>
      </c>
      <c r="O297" s="16">
        <v>-0.7337789781829771</v>
      </c>
      <c r="P297" s="16">
        <v>-0.77629019036107494</v>
      </c>
      <c r="Q297" s="16">
        <v>-0.83558719325128239</v>
      </c>
    </row>
    <row r="298" spans="1:17" x14ac:dyDescent="0.3">
      <c r="A298" s="14" t="s">
        <v>307</v>
      </c>
      <c r="B298" s="15">
        <v>807</v>
      </c>
      <c r="C298" s="16">
        <v>-0.137555174834363</v>
      </c>
      <c r="D298" s="16">
        <v>-0.24198304975304905</v>
      </c>
      <c r="E298" s="16">
        <v>-0.34069445869272275</v>
      </c>
      <c r="F298" s="16">
        <v>-0.4222141277699934</v>
      </c>
      <c r="G298" s="16">
        <v>-0.48882230058490655</v>
      </c>
      <c r="H298" s="16">
        <v>-0.54279922073750786</v>
      </c>
      <c r="I298" s="16">
        <v>-0.58642513182784284</v>
      </c>
      <c r="J298" s="16">
        <v>-0.62198027745595685</v>
      </c>
      <c r="K298" s="16">
        <v>-0.65174490122189577</v>
      </c>
      <c r="L298" s="16">
        <v>-0.67799924672570522</v>
      </c>
      <c r="M298" s="16">
        <v>-0.70302355756743051</v>
      </c>
      <c r="N298" s="16">
        <v>-0.72909807734711729</v>
      </c>
      <c r="O298" s="16">
        <v>-0.75850304966481119</v>
      </c>
      <c r="P298" s="16">
        <v>-0.79351871812055774</v>
      </c>
      <c r="Q298" s="16">
        <v>-0.83642532631440225</v>
      </c>
    </row>
    <row r="299" spans="1:17" x14ac:dyDescent="0.3">
      <c r="A299" s="14" t="s">
        <v>307</v>
      </c>
      <c r="B299" s="15" t="s">
        <v>308</v>
      </c>
      <c r="C299" s="16">
        <v>-0.16181349240149898</v>
      </c>
      <c r="D299" s="16">
        <v>-0.27867160688906278</v>
      </c>
      <c r="E299" s="16">
        <v>-0.38326921097181532</v>
      </c>
      <c r="F299" s="16">
        <v>-0.46334638132728589</v>
      </c>
      <c r="G299" s="16">
        <v>-0.52282454387315391</v>
      </c>
      <c r="H299" s="16">
        <v>-0.56562512452709846</v>
      </c>
      <c r="I299" s="16">
        <v>-0.59566954920679893</v>
      </c>
      <c r="J299" s="16">
        <v>-0.61687924382993475</v>
      </c>
      <c r="K299" s="16">
        <v>-0.63317563431418489</v>
      </c>
      <c r="L299" s="16">
        <v>-0.64848014657722863</v>
      </c>
      <c r="M299" s="16">
        <v>-0.66671420653674596</v>
      </c>
      <c r="N299" s="16">
        <v>-0.69179924011041494</v>
      </c>
      <c r="O299" s="16">
        <v>-0.72765667321591565</v>
      </c>
      <c r="P299" s="16">
        <v>-0.77820793177092717</v>
      </c>
      <c r="Q299" s="16">
        <v>-0.84737444169312959</v>
      </c>
    </row>
    <row r="300" spans="1:17" x14ac:dyDescent="0.3">
      <c r="A300" s="14" t="s">
        <v>307</v>
      </c>
      <c r="B300" s="15" t="s">
        <v>309</v>
      </c>
      <c r="C300" s="16">
        <v>-0.14563560943173462</v>
      </c>
      <c r="D300" s="16">
        <v>-0.25308110435768394</v>
      </c>
      <c r="E300" s="16">
        <v>-0.3516465056019627</v>
      </c>
      <c r="F300" s="16">
        <v>-0.42988833172788199</v>
      </c>
      <c r="G300" s="16">
        <v>-0.49092666224192605</v>
      </c>
      <c r="H300" s="16">
        <v>-0.53788157665057923</v>
      </c>
      <c r="I300" s="16">
        <v>-0.57387315446032594</v>
      </c>
      <c r="J300" s="16">
        <v>-0.60202147517765048</v>
      </c>
      <c r="K300" s="16">
        <v>-0.62544661830903725</v>
      </c>
      <c r="L300" s="16">
        <v>-0.64726866336097055</v>
      </c>
      <c r="M300" s="16">
        <v>-0.67060768983993491</v>
      </c>
      <c r="N300" s="16">
        <v>-0.69858377725241438</v>
      </c>
      <c r="O300" s="16">
        <v>-0.73431700510489351</v>
      </c>
      <c r="P300" s="16">
        <v>-0.78092745290385679</v>
      </c>
      <c r="Q300" s="16">
        <v>-0.84153520015578831</v>
      </c>
    </row>
    <row r="301" spans="1:17" x14ac:dyDescent="0.3">
      <c r="A301" s="14" t="s">
        <v>307</v>
      </c>
      <c r="B301" s="15" t="s">
        <v>310</v>
      </c>
      <c r="C301" s="16">
        <v>-0.14563560943173462</v>
      </c>
      <c r="D301" s="16">
        <v>-0.25308110435768394</v>
      </c>
      <c r="E301" s="16">
        <v>-0.3516465056019627</v>
      </c>
      <c r="F301" s="16">
        <v>-0.42988833172788199</v>
      </c>
      <c r="G301" s="16">
        <v>-0.49092666224192605</v>
      </c>
      <c r="H301" s="16">
        <v>-0.53788157665057923</v>
      </c>
      <c r="I301" s="16">
        <v>-0.57387315446032594</v>
      </c>
      <c r="J301" s="16">
        <v>-0.60202147517765048</v>
      </c>
      <c r="K301" s="16">
        <v>-0.62544661830903725</v>
      </c>
      <c r="L301" s="16">
        <v>-0.64726866336097055</v>
      </c>
      <c r="M301" s="16">
        <v>-0.67060768983993491</v>
      </c>
      <c r="N301" s="16">
        <v>-0.69858377725241438</v>
      </c>
      <c r="O301" s="16">
        <v>-0.73431700510489351</v>
      </c>
      <c r="P301" s="16">
        <v>-0.78092745290385679</v>
      </c>
      <c r="Q301" s="16">
        <v>-0.84153520015578831</v>
      </c>
    </row>
    <row r="302" spans="1:17" x14ac:dyDescent="0.3">
      <c r="A302" s="14" t="s">
        <v>307</v>
      </c>
      <c r="B302" s="15" t="s">
        <v>311</v>
      </c>
      <c r="C302" s="16">
        <v>-0.14563560943173462</v>
      </c>
      <c r="D302" s="16">
        <v>-0.25308110435768394</v>
      </c>
      <c r="E302" s="16">
        <v>-0.3516465056019627</v>
      </c>
      <c r="F302" s="16">
        <v>-0.42988833172788199</v>
      </c>
      <c r="G302" s="16">
        <v>-0.49092666224192605</v>
      </c>
      <c r="H302" s="16">
        <v>-0.53788157665057923</v>
      </c>
      <c r="I302" s="16">
        <v>-0.57387315446032594</v>
      </c>
      <c r="J302" s="16">
        <v>-0.60202147517765048</v>
      </c>
      <c r="K302" s="16">
        <v>-0.62544661830903725</v>
      </c>
      <c r="L302" s="16">
        <v>-0.64726866336097055</v>
      </c>
      <c r="M302" s="16">
        <v>-0.67060768983993491</v>
      </c>
      <c r="N302" s="16">
        <v>-0.69858377725241438</v>
      </c>
      <c r="O302" s="16">
        <v>-0.73431700510489351</v>
      </c>
      <c r="P302" s="16">
        <v>-0.78092745290385679</v>
      </c>
      <c r="Q302" s="16">
        <v>-0.84153520015578831</v>
      </c>
    </row>
    <row r="303" spans="1:17" x14ac:dyDescent="0.3">
      <c r="A303" s="14" t="s">
        <v>312</v>
      </c>
      <c r="B303" s="15">
        <v>911</v>
      </c>
      <c r="C303" s="16" t="s">
        <v>85</v>
      </c>
      <c r="D303" s="16">
        <v>0</v>
      </c>
      <c r="E303" s="16">
        <v>0</v>
      </c>
      <c r="F303" s="16">
        <v>-0.35576612808128677</v>
      </c>
      <c r="G303" s="16">
        <v>-3.9529569786809604E-2</v>
      </c>
      <c r="H303" s="16">
        <v>-0.46035910557049908</v>
      </c>
      <c r="I303" s="16">
        <v>-5.1151011730055429E-2</v>
      </c>
      <c r="J303" s="16">
        <v>-0.53353491717267654</v>
      </c>
      <c r="K303" s="16">
        <v>-0.62171122099864495</v>
      </c>
      <c r="L303" s="16">
        <v>-0.65086790547437068</v>
      </c>
      <c r="M303" s="16">
        <v>-0.67838377422532437</v>
      </c>
      <c r="N303" s="16">
        <v>-0.70607579514878938</v>
      </c>
      <c r="O303" s="16">
        <v>-0.7357609361420494</v>
      </c>
      <c r="P303" s="16">
        <v>-0.76925616510238715</v>
      </c>
      <c r="Q303" s="16">
        <v>-0.80837844992708585</v>
      </c>
    </row>
    <row r="304" spans="1:17" x14ac:dyDescent="0.3">
      <c r="A304" s="14" t="s">
        <v>312</v>
      </c>
      <c r="B304" s="15" t="s">
        <v>313</v>
      </c>
      <c r="C304" s="16" t="s">
        <v>85</v>
      </c>
      <c r="D304" s="16">
        <v>0</v>
      </c>
      <c r="E304" s="16">
        <v>0</v>
      </c>
      <c r="F304" s="16">
        <v>-0.35677311648462134</v>
      </c>
      <c r="G304" s="16">
        <v>-3.9641457387180112E-2</v>
      </c>
      <c r="H304" s="16">
        <v>-0.46170034564707529</v>
      </c>
      <c r="I304" s="16">
        <v>-5.1300038405230564E-2</v>
      </c>
      <c r="J304" s="16">
        <v>-0.53430855959540868</v>
      </c>
      <c r="K304" s="16">
        <v>-0.62176390457502162</v>
      </c>
      <c r="L304" s="16">
        <v>-0.64957663777475938</v>
      </c>
      <c r="M304" s="16">
        <v>-0.67517750177674429</v>
      </c>
      <c r="N304" s="16">
        <v>-0.70030127479338389</v>
      </c>
      <c r="O304" s="16">
        <v>-0.72668273503708669</v>
      </c>
      <c r="P304" s="16">
        <v>-0.75605666072026012</v>
      </c>
      <c r="Q304" s="16">
        <v>-0.7901578300553127</v>
      </c>
    </row>
    <row r="305" spans="1:17" x14ac:dyDescent="0.3">
      <c r="A305" s="14" t="s">
        <v>312</v>
      </c>
      <c r="B305" s="15" t="s">
        <v>314</v>
      </c>
      <c r="C305" s="16" t="s">
        <v>85</v>
      </c>
      <c r="D305" s="16">
        <v>0</v>
      </c>
      <c r="E305" s="16">
        <v>0</v>
      </c>
      <c r="F305" s="16">
        <v>-0.34492596589737906</v>
      </c>
      <c r="G305" s="16">
        <v>-3.8325107321931007E-2</v>
      </c>
      <c r="H305" s="16">
        <v>-0.45686106238911817</v>
      </c>
      <c r="I305" s="16">
        <v>-5.0762340265457562E-2</v>
      </c>
      <c r="J305" s="16">
        <v>-0.54194156158442464</v>
      </c>
      <c r="K305" s="16">
        <v>-0.63779050227839873</v>
      </c>
      <c r="L305" s="16">
        <v>-0.67446543354094479</v>
      </c>
      <c r="M305" s="16">
        <v>-0.70916404354045259</v>
      </c>
      <c r="N305" s="16">
        <v>-0.74329230384027567</v>
      </c>
      <c r="O305" s="16">
        <v>-0.77825618600376911</v>
      </c>
      <c r="P305" s="16">
        <v>-0.81546166159428668</v>
      </c>
      <c r="Q305" s="16">
        <v>-0.85631470217518257</v>
      </c>
    </row>
    <row r="306" spans="1:17" x14ac:dyDescent="0.3">
      <c r="A306" s="14" t="s">
        <v>312</v>
      </c>
      <c r="B306" s="15" t="s">
        <v>315</v>
      </c>
      <c r="C306" s="16" t="s">
        <v>85</v>
      </c>
      <c r="D306" s="16">
        <v>0</v>
      </c>
      <c r="E306" s="16">
        <v>0</v>
      </c>
      <c r="F306" s="16">
        <v>-0.36015280299537233</v>
      </c>
      <c r="G306" s="16">
        <v>-4.0016978110596901E-2</v>
      </c>
      <c r="H306" s="16">
        <v>-0.46176209474749047</v>
      </c>
      <c r="I306" s="16">
        <v>-5.130689941638783E-2</v>
      </c>
      <c r="J306" s="16">
        <v>-0.53083985289680047</v>
      </c>
      <c r="K306" s="16">
        <v>-0.61679752045741143</v>
      </c>
      <c r="L306" s="16">
        <v>-0.64420046151175681</v>
      </c>
      <c r="M306" s="16">
        <v>-0.67060243881749504</v>
      </c>
      <c r="N306" s="16">
        <v>-0.69806385580110863</v>
      </c>
      <c r="O306" s="16">
        <v>-0.7286451158890811</v>
      </c>
      <c r="P306" s="16">
        <v>-0.76440662250789548</v>
      </c>
      <c r="Q306" s="16">
        <v>-0.80740877908403497</v>
      </c>
    </row>
    <row r="307" spans="1:17" x14ac:dyDescent="0.3">
      <c r="A307" s="14" t="s">
        <v>312</v>
      </c>
      <c r="B307" s="15" t="s">
        <v>316</v>
      </c>
      <c r="C307" s="16" t="s">
        <v>85</v>
      </c>
      <c r="D307" s="16">
        <v>0</v>
      </c>
      <c r="E307" s="16">
        <v>0</v>
      </c>
      <c r="F307" s="16">
        <v>-0.35576612808128677</v>
      </c>
      <c r="G307" s="16">
        <v>-3.9529569786809604E-2</v>
      </c>
      <c r="H307" s="16">
        <v>-0.46035910557049908</v>
      </c>
      <c r="I307" s="16">
        <v>-5.1151011730055429E-2</v>
      </c>
      <c r="J307" s="16">
        <v>-0.53353491717267654</v>
      </c>
      <c r="K307" s="16">
        <v>-0.62171122099864495</v>
      </c>
      <c r="L307" s="16">
        <v>-0.65086790547437068</v>
      </c>
      <c r="M307" s="16">
        <v>-0.67838377422532437</v>
      </c>
      <c r="N307" s="16">
        <v>-0.70607579514878938</v>
      </c>
      <c r="O307" s="16">
        <v>-0.7357609361420494</v>
      </c>
      <c r="P307" s="16">
        <v>-0.76925616510238715</v>
      </c>
      <c r="Q307" s="16">
        <v>-0.80837844992708585</v>
      </c>
    </row>
    <row r="308" spans="1:17" x14ac:dyDescent="0.3">
      <c r="A308" s="14" t="s">
        <v>317</v>
      </c>
      <c r="B308" s="15" t="s">
        <v>318</v>
      </c>
      <c r="C308" s="16">
        <v>-0.1104664696509797</v>
      </c>
      <c r="D308" s="16">
        <v>-0.19964806161537621</v>
      </c>
      <c r="E308" s="16">
        <v>-0.28924008930210537</v>
      </c>
      <c r="F308" s="16">
        <v>-0.36901768426828707</v>
      </c>
      <c r="G308" s="16">
        <v>-0.43980262503613915</v>
      </c>
      <c r="H308" s="16">
        <v>-0.50241669012787937</v>
      </c>
      <c r="I308" s="16">
        <v>-0.55768165806572556</v>
      </c>
      <c r="J308" s="16">
        <v>-0.60641930737189587</v>
      </c>
      <c r="K308" s="16">
        <v>-0.64945141656860783</v>
      </c>
      <c r="L308" s="16">
        <v>-0.687599764178079</v>
      </c>
      <c r="M308" s="16">
        <v>-0.7216861287225278</v>
      </c>
      <c r="N308" s="16">
        <v>-0.75253228872417188</v>
      </c>
      <c r="O308" s="16">
        <v>-0.7809600227052288</v>
      </c>
      <c r="P308" s="16">
        <v>-0.80779110918791674</v>
      </c>
      <c r="Q308" s="16">
        <v>-0.83384732669445349</v>
      </c>
    </row>
    <row r="309" spans="1:17" x14ac:dyDescent="0.3">
      <c r="A309" s="14" t="s">
        <v>317</v>
      </c>
      <c r="B309" s="15" t="s">
        <v>319</v>
      </c>
      <c r="C309" s="16">
        <v>-0.16948987006964847</v>
      </c>
      <c r="D309" s="16">
        <v>-0.29208586039495288</v>
      </c>
      <c r="E309" s="16">
        <v>-0.40187653494808218</v>
      </c>
      <c r="F309" s="16">
        <v>-0.48582157368028556</v>
      </c>
      <c r="G309" s="16">
        <v>-0.54782964354977692</v>
      </c>
      <c r="H309" s="16">
        <v>-0.59180941151477018</v>
      </c>
      <c r="I309" s="16">
        <v>-0.62166954453347922</v>
      </c>
      <c r="J309" s="16">
        <v>-0.64131870956411829</v>
      </c>
      <c r="K309" s="16">
        <v>-0.65466557356490096</v>
      </c>
      <c r="L309" s="16">
        <v>-0.66561880349404123</v>
      </c>
      <c r="M309" s="16">
        <v>-0.67808706630975302</v>
      </c>
      <c r="N309" s="16">
        <v>-0.69597902897025088</v>
      </c>
      <c r="O309" s="16">
        <v>-0.72320335843374783</v>
      </c>
      <c r="P309" s="16">
        <v>-0.76366872165845823</v>
      </c>
      <c r="Q309" s="16">
        <v>-0.82128378560259596</v>
      </c>
    </row>
    <row r="310" spans="1:17" x14ac:dyDescent="0.3">
      <c r="A310" s="14" t="s">
        <v>317</v>
      </c>
      <c r="B310" s="15" t="s">
        <v>320</v>
      </c>
      <c r="C310" s="16">
        <v>-0.1459619700767818</v>
      </c>
      <c r="D310" s="16">
        <v>-0.25669414638370908</v>
      </c>
      <c r="E310" s="16">
        <v>-0.361202664824532</v>
      </c>
      <c r="F310" s="16">
        <v>-0.44723173255919246</v>
      </c>
      <c r="G310" s="16">
        <v>-0.51712175375531033</v>
      </c>
      <c r="H310" s="16">
        <v>-0.57321313258050566</v>
      </c>
      <c r="I310" s="16">
        <v>-0.61784627320239849</v>
      </c>
      <c r="J310" s="16">
        <v>-0.65336157978860843</v>
      </c>
      <c r="K310" s="16">
        <v>-0.68209945650675574</v>
      </c>
      <c r="L310" s="16">
        <v>-0.70640030752446037</v>
      </c>
      <c r="M310" s="16">
        <v>-0.72860453700934258</v>
      </c>
      <c r="N310" s="16">
        <v>-0.75105254912902164</v>
      </c>
      <c r="O310" s="16">
        <v>-0.77608474805111771</v>
      </c>
      <c r="P310" s="16">
        <v>-0.80604153794325129</v>
      </c>
      <c r="Q310" s="16">
        <v>-0.84326332297304196</v>
      </c>
    </row>
    <row r="311" spans="1:17" x14ac:dyDescent="0.3">
      <c r="A311" s="14" t="s">
        <v>317</v>
      </c>
      <c r="B311" s="15" t="s">
        <v>321</v>
      </c>
      <c r="C311" s="16">
        <v>-0.15086500468237238</v>
      </c>
      <c r="D311" s="16">
        <v>-0.26355769950606378</v>
      </c>
      <c r="E311" s="16">
        <v>-0.36822629229241477</v>
      </c>
      <c r="F311" s="16">
        <v>-0.45260683459223011</v>
      </c>
      <c r="G311" s="16">
        <v>-0.51952187842455166</v>
      </c>
      <c r="H311" s="16">
        <v>-0.57179397580842128</v>
      </c>
      <c r="I311" s="16">
        <v>-0.61224567876288083</v>
      </c>
      <c r="J311" s="16">
        <v>-0.64369953930697243</v>
      </c>
      <c r="K311" s="16">
        <v>-0.66897810945973768</v>
      </c>
      <c r="L311" s="16">
        <v>-0.69090394124021881</v>
      </c>
      <c r="M311" s="16">
        <v>-0.71229958666745741</v>
      </c>
      <c r="N311" s="16">
        <v>-0.73598759776049538</v>
      </c>
      <c r="O311" s="16">
        <v>-0.76479052653837487</v>
      </c>
      <c r="P311" s="16">
        <v>-0.80153092502013745</v>
      </c>
      <c r="Q311" s="16">
        <v>-0.84903134522482582</v>
      </c>
    </row>
    <row r="312" spans="1:17" x14ac:dyDescent="0.3">
      <c r="A312" s="14" t="s">
        <v>317</v>
      </c>
      <c r="B312" s="15" t="s">
        <v>322</v>
      </c>
      <c r="C312" s="16">
        <v>-0.15670537631866438</v>
      </c>
      <c r="D312" s="16">
        <v>-0.27379087331696167</v>
      </c>
      <c r="E312" s="16">
        <v>-0.38248914526257743</v>
      </c>
      <c r="F312" s="16">
        <v>-0.46996589560069163</v>
      </c>
      <c r="G312" s="16">
        <v>-0.53905736540835048</v>
      </c>
      <c r="H312" s="16">
        <v>-0.59259979576260069</v>
      </c>
      <c r="I312" s="16">
        <v>-0.63342942774048805</v>
      </c>
      <c r="J312" s="16">
        <v>-0.66438250241905961</v>
      </c>
      <c r="K312" s="16">
        <v>-0.68829526087536141</v>
      </c>
      <c r="L312" s="16">
        <v>-0.7080039441864393</v>
      </c>
      <c r="M312" s="16">
        <v>-0.72634479342934033</v>
      </c>
      <c r="N312" s="16">
        <v>-0.74615404968111065</v>
      </c>
      <c r="O312" s="16">
        <v>-0.77026795401879655</v>
      </c>
      <c r="P312" s="16">
        <v>-0.80152274751944386</v>
      </c>
      <c r="Q312" s="16">
        <v>-0.84275467126010017</v>
      </c>
    </row>
    <row r="313" spans="1:17" x14ac:dyDescent="0.3">
      <c r="A313" s="14" t="s">
        <v>317</v>
      </c>
      <c r="B313" s="15" t="s">
        <v>323</v>
      </c>
      <c r="C313" s="16">
        <v>-0.14347896549853753</v>
      </c>
      <c r="D313" s="16">
        <v>-0.25211743328813108</v>
      </c>
      <c r="E313" s="16">
        <v>-0.35448208894686944</v>
      </c>
      <c r="F313" s="16">
        <v>-0.43861153388348184</v>
      </c>
      <c r="G313" s="16">
        <v>-0.50689226605655124</v>
      </c>
      <c r="H313" s="16">
        <v>-0.56171078342466085</v>
      </c>
      <c r="I313" s="16">
        <v>-0.60545358394639326</v>
      </c>
      <c r="J313" s="16">
        <v>-0.64050716558033183</v>
      </c>
      <c r="K313" s="16">
        <v>-0.66925802628505948</v>
      </c>
      <c r="L313" s="16">
        <v>-0.6940926640191587</v>
      </c>
      <c r="M313" s="16">
        <v>-0.71739757674121318</v>
      </c>
      <c r="N313" s="16">
        <v>-0.74155926240980563</v>
      </c>
      <c r="O313" s="16">
        <v>-0.76896421898351919</v>
      </c>
      <c r="P313" s="16">
        <v>-0.801998944420936</v>
      </c>
      <c r="Q313" s="16">
        <v>-0.8430499366806401</v>
      </c>
    </row>
    <row r="314" spans="1:17" x14ac:dyDescent="0.3">
      <c r="A314" s="14" t="s">
        <v>317</v>
      </c>
      <c r="B314" s="15" t="s">
        <v>324</v>
      </c>
      <c r="C314" s="16">
        <v>-0.14486394096290775</v>
      </c>
      <c r="D314" s="16">
        <v>-0.2544413915917596</v>
      </c>
      <c r="E314" s="16">
        <v>-0.35762200986327597</v>
      </c>
      <c r="F314" s="16">
        <v>-0.44239494789042694</v>
      </c>
      <c r="G314" s="16">
        <v>-0.51123575188247361</v>
      </c>
      <c r="H314" s="16">
        <v>-0.56661996804867709</v>
      </c>
      <c r="I314" s="16">
        <v>-0.61102314259829793</v>
      </c>
      <c r="J314" s="16">
        <v>-0.64692082174059762</v>
      </c>
      <c r="K314" s="16">
        <v>-0.67678855168483687</v>
      </c>
      <c r="L314" s="16">
        <v>-0.70310187864027662</v>
      </c>
      <c r="M314" s="16">
        <v>-0.72833634881617848</v>
      </c>
      <c r="N314" s="16">
        <v>-0.75496750842180271</v>
      </c>
      <c r="O314" s="16">
        <v>-0.78547090366641015</v>
      </c>
      <c r="P314" s="16">
        <v>-0.82232208075926227</v>
      </c>
      <c r="Q314" s="16">
        <v>-0.86799658590962048</v>
      </c>
    </row>
    <row r="315" spans="1:17" x14ac:dyDescent="0.3">
      <c r="A315" s="14" t="s">
        <v>317</v>
      </c>
      <c r="B315" s="15" t="s">
        <v>325</v>
      </c>
      <c r="C315" s="16">
        <v>-0.14128019236034897</v>
      </c>
      <c r="D315" s="16">
        <v>-0.24987390511388732</v>
      </c>
      <c r="E315" s="16">
        <v>-0.35379145001129197</v>
      </c>
      <c r="F315" s="16">
        <v>-0.44092294607310073</v>
      </c>
      <c r="G315" s="16">
        <v>-0.51328653155588655</v>
      </c>
      <c r="H315" s="16">
        <v>-0.5729003447162222</v>
      </c>
      <c r="I315" s="16">
        <v>-0.62178252381068044</v>
      </c>
      <c r="J315" s="16">
        <v>-0.66195120709583433</v>
      </c>
      <c r="K315" s="16">
        <v>-0.69542453282825667</v>
      </c>
      <c r="L315" s="16">
        <v>-0.72422063926451985</v>
      </c>
      <c r="M315" s="16">
        <v>-0.75035766466119702</v>
      </c>
      <c r="N315" s="16">
        <v>-0.77585374727486134</v>
      </c>
      <c r="O315" s="16">
        <v>-0.80272702536208507</v>
      </c>
      <c r="P315" s="16">
        <v>-0.83299563717944092</v>
      </c>
      <c r="Q315" s="16">
        <v>-0.8686777209835026</v>
      </c>
    </row>
    <row r="316" spans="1:17" x14ac:dyDescent="0.3">
      <c r="A316" s="14" t="s">
        <v>317</v>
      </c>
      <c r="B316" s="15" t="s">
        <v>326</v>
      </c>
      <c r="C316" s="16">
        <v>-0.13961764951498906</v>
      </c>
      <c r="D316" s="16">
        <v>-0.24430432551561138</v>
      </c>
      <c r="E316" s="16">
        <v>-0.34203331872282761</v>
      </c>
      <c r="F316" s="16">
        <v>-0.42148694516347651</v>
      </c>
      <c r="G316" s="16">
        <v>-0.48530928581589566</v>
      </c>
      <c r="H316" s="16">
        <v>-0.5361444216584228</v>
      </c>
      <c r="I316" s="16">
        <v>-0.57663643366939554</v>
      </c>
      <c r="J316" s="16">
        <v>-0.60942940282715119</v>
      </c>
      <c r="K316" s="16">
        <v>-0.63716741011002775</v>
      </c>
      <c r="L316" s="16">
        <v>-0.6624945364963627</v>
      </c>
      <c r="M316" s="16">
        <v>-0.6880548629644937</v>
      </c>
      <c r="N316" s="16">
        <v>-0.71649247049275799</v>
      </c>
      <c r="O316" s="16">
        <v>-0.75045144005949349</v>
      </c>
      <c r="P316" s="16">
        <v>-0.79257585264303831</v>
      </c>
      <c r="Q316" s="16">
        <v>-0.84550978922172926</v>
      </c>
    </row>
    <row r="317" spans="1:17" x14ac:dyDescent="0.3">
      <c r="A317" s="14" t="s">
        <v>327</v>
      </c>
      <c r="B317" s="15" t="s">
        <v>328</v>
      </c>
      <c r="C317" s="16">
        <v>-0.11919666073455537</v>
      </c>
      <c r="D317" s="16">
        <v>-0.21094568249287088</v>
      </c>
      <c r="E317" s="16">
        <v>-0.29903535964333949</v>
      </c>
      <c r="F317" s="16">
        <v>-0.37340635116140963</v>
      </c>
      <c r="G317" s="16">
        <v>-0.43591898209598534</v>
      </c>
      <c r="H317" s="16">
        <v>-0.48843357749597049</v>
      </c>
      <c r="I317" s="16">
        <v>-0.53281046241026897</v>
      </c>
      <c r="J317" s="16">
        <v>-0.57090996188778487</v>
      </c>
      <c r="K317" s="16">
        <v>-0.60459240097742195</v>
      </c>
      <c r="L317" s="16">
        <v>-0.63571810472808454</v>
      </c>
      <c r="M317" s="16">
        <v>-0.6661473981886763</v>
      </c>
      <c r="N317" s="16">
        <v>-0.69774060640810109</v>
      </c>
      <c r="O317" s="16">
        <v>-0.7323580544352627</v>
      </c>
      <c r="P317" s="16">
        <v>-0.77186006731906598</v>
      </c>
      <c r="Q317" s="16">
        <v>-0.81810697010841416</v>
      </c>
    </row>
    <row r="318" spans="1:17" x14ac:dyDescent="0.3">
      <c r="A318" s="14" t="s">
        <v>327</v>
      </c>
      <c r="B318" s="15" t="s">
        <v>329</v>
      </c>
      <c r="C318" s="16">
        <v>-0.12154726689211702</v>
      </c>
      <c r="D318" s="16">
        <v>-0.21443640516651435</v>
      </c>
      <c r="E318" s="16">
        <v>-0.30297758595334812</v>
      </c>
      <c r="F318" s="16">
        <v>-0.37705433709354302</v>
      </c>
      <c r="G318" s="16">
        <v>-0.4387049131172352</v>
      </c>
      <c r="H318" s="16">
        <v>-0.4899675685545607</v>
      </c>
      <c r="I318" s="16">
        <v>-0.53288055793565592</v>
      </c>
      <c r="J318" s="16">
        <v>-0.56948213579065698</v>
      </c>
      <c r="K318" s="16">
        <v>-0.60181055664970018</v>
      </c>
      <c r="L318" s="16">
        <v>-0.63190407504292201</v>
      </c>
      <c r="M318" s="16">
        <v>-0.66180094550045787</v>
      </c>
      <c r="N318" s="16">
        <v>-0.69353942255244472</v>
      </c>
      <c r="O318" s="16">
        <v>-0.72915776072901861</v>
      </c>
      <c r="P318" s="16">
        <v>-0.77069421456031573</v>
      </c>
      <c r="Q318" s="16">
        <v>-0.82018703857647235</v>
      </c>
    </row>
    <row r="319" spans="1:17" x14ac:dyDescent="0.3">
      <c r="A319" s="14" t="s">
        <v>327</v>
      </c>
      <c r="B319" s="15" t="s">
        <v>330</v>
      </c>
      <c r="C319" s="16">
        <v>-0.12107421473518444</v>
      </c>
      <c r="D319" s="16">
        <v>-0.21371025281140757</v>
      </c>
      <c r="E319" s="16">
        <v>-0.30211599936724026</v>
      </c>
      <c r="F319" s="16">
        <v>-0.37619244464635526</v>
      </c>
      <c r="G319" s="16">
        <v>-0.43794800036594383</v>
      </c>
      <c r="H319" s="16">
        <v>-0.48939107824319728</v>
      </c>
      <c r="I319" s="16">
        <v>-0.53253008999530671</v>
      </c>
      <c r="J319" s="16">
        <v>-0.56937344733946327</v>
      </c>
      <c r="K319" s="16">
        <v>-0.6019295619928583</v>
      </c>
      <c r="L319" s="16">
        <v>-0.63220684567268293</v>
      </c>
      <c r="M319" s="16">
        <v>-0.66221371009612873</v>
      </c>
      <c r="N319" s="16">
        <v>-0.69395856698038649</v>
      </c>
      <c r="O319" s="16">
        <v>-0.72944982804264769</v>
      </c>
      <c r="P319" s="16">
        <v>-0.77069590500010343</v>
      </c>
      <c r="Q319" s="16">
        <v>-0.81970520956994442</v>
      </c>
    </row>
    <row r="320" spans="1:17" x14ac:dyDescent="0.3">
      <c r="A320" s="14" t="s">
        <v>327</v>
      </c>
      <c r="B320" s="15" t="s">
        <v>331</v>
      </c>
      <c r="C320" s="16">
        <v>-0.11759674147848803</v>
      </c>
      <c r="D320" s="16">
        <v>-0.20876579181284416</v>
      </c>
      <c r="E320" s="16">
        <v>-0.29691837963350814</v>
      </c>
      <c r="F320" s="16">
        <v>-0.37198556412707101</v>
      </c>
      <c r="G320" s="16">
        <v>-0.43565807862797257</v>
      </c>
      <c r="H320" s="16">
        <v>-0.48962665647065245</v>
      </c>
      <c r="I320" s="16">
        <v>-0.53558203098955071</v>
      </c>
      <c r="J320" s="16">
        <v>-0.57521493551910707</v>
      </c>
      <c r="K320" s="16">
        <v>-0.6102161033937612</v>
      </c>
      <c r="L320" s="16">
        <v>-0.64227626794795323</v>
      </c>
      <c r="M320" s="16">
        <v>-0.6730861625161223</v>
      </c>
      <c r="N320" s="16">
        <v>-0.70433652043270867</v>
      </c>
      <c r="O320" s="16">
        <v>-0.73771807503215237</v>
      </c>
      <c r="P320" s="16">
        <v>-0.77492155964889298</v>
      </c>
      <c r="Q320" s="16">
        <v>-0.81763770761736987</v>
      </c>
    </row>
    <row r="321" spans="1:17" x14ac:dyDescent="0.3">
      <c r="A321" s="14" t="s">
        <v>327</v>
      </c>
      <c r="B321" s="15" t="s">
        <v>332</v>
      </c>
      <c r="C321" s="16">
        <v>-0.12953283590016546</v>
      </c>
      <c r="D321" s="16">
        <v>-0.22638218178634928</v>
      </c>
      <c r="E321" s="16">
        <v>-0.31661996428431088</v>
      </c>
      <c r="F321" s="16">
        <v>-0.38991246047508327</v>
      </c>
      <c r="G321" s="16">
        <v>-0.44887923102971611</v>
      </c>
      <c r="H321" s="16">
        <v>-0.49613983661925903</v>
      </c>
      <c r="I321" s="16">
        <v>-0.53431383791476139</v>
      </c>
      <c r="J321" s="16">
        <v>-0.56602079558727303</v>
      </c>
      <c r="K321" s="16">
        <v>-0.59388027030784352</v>
      </c>
      <c r="L321" s="16">
        <v>-0.62051182274752215</v>
      </c>
      <c r="M321" s="16">
        <v>-0.64853501357735899</v>
      </c>
      <c r="N321" s="16">
        <v>-0.68056940346840322</v>
      </c>
      <c r="O321" s="16">
        <v>-0.7192345530917047</v>
      </c>
      <c r="P321" s="16">
        <v>-0.76715002311831271</v>
      </c>
      <c r="Q321" s="16">
        <v>-0.82693537421927732</v>
      </c>
    </row>
    <row r="322" spans="1:17" x14ac:dyDescent="0.3">
      <c r="A322" s="14" t="s">
        <v>327</v>
      </c>
      <c r="B322" s="15" t="s">
        <v>333</v>
      </c>
      <c r="C322" s="16">
        <v>-0.12215671731019949</v>
      </c>
      <c r="D322" s="16">
        <v>-0.21593450855785301</v>
      </c>
      <c r="E322" s="16">
        <v>-0.30570811360405642</v>
      </c>
      <c r="F322" s="16">
        <v>-0.38119443132557113</v>
      </c>
      <c r="G322" s="16">
        <v>-0.44432603233017864</v>
      </c>
      <c r="H322" s="16">
        <v>-0.49703548722566043</v>
      </c>
      <c r="I322" s="16">
        <v>-0.5412553666197979</v>
      </c>
      <c r="J322" s="16">
        <v>-0.57891824112037249</v>
      </c>
      <c r="K322" s="16">
        <v>-0.61195668133516568</v>
      </c>
      <c r="L322" s="16">
        <v>-0.64230325787195885</v>
      </c>
      <c r="M322" s="16">
        <v>-0.67189054133853365</v>
      </c>
      <c r="N322" s="16">
        <v>-0.70265110234267125</v>
      </c>
      <c r="O322" s="16">
        <v>-0.73651751149215294</v>
      </c>
      <c r="P322" s="16">
        <v>-0.7754223393947608</v>
      </c>
      <c r="Q322" s="16">
        <v>-0.82129815665827577</v>
      </c>
    </row>
    <row r="323" spans="1:17" x14ac:dyDescent="0.3">
      <c r="A323" s="14" t="s">
        <v>327</v>
      </c>
      <c r="B323" s="15" t="s">
        <v>334</v>
      </c>
      <c r="C323" s="16">
        <v>-9.6861626334010603E-2</v>
      </c>
      <c r="D323" s="16">
        <v>-0.17542302674376861</v>
      </c>
      <c r="E323" s="16">
        <v>-0.25482416684734699</v>
      </c>
      <c r="F323" s="16">
        <v>-0.32618417122767646</v>
      </c>
      <c r="G323" s="16">
        <v>-0.39030832710108926</v>
      </c>
      <c r="H323" s="16">
        <v>-0.44800192168391706</v>
      </c>
      <c r="I323" s="16">
        <v>-0.50007024219249185</v>
      </c>
      <c r="J323" s="16">
        <v>-0.5473185758431458</v>
      </c>
      <c r="K323" s="16">
        <v>-0.59055220985221057</v>
      </c>
      <c r="L323" s="16">
        <v>-0.63057643143601849</v>
      </c>
      <c r="M323" s="16">
        <v>-0.66819652781090111</v>
      </c>
      <c r="N323" s="16">
        <v>-0.70421778619319064</v>
      </c>
      <c r="O323" s="16">
        <v>-0.73944549379921876</v>
      </c>
      <c r="P323" s="16">
        <v>-0.77468493784531778</v>
      </c>
      <c r="Q323" s="16">
        <v>-0.81074140554781926</v>
      </c>
    </row>
    <row r="324" spans="1:17" x14ac:dyDescent="0.3">
      <c r="A324" s="14" t="s">
        <v>327</v>
      </c>
      <c r="B324" s="15" t="s">
        <v>335</v>
      </c>
      <c r="C324" s="16">
        <v>-0.13551813816834496</v>
      </c>
      <c r="D324" s="16">
        <v>-0.23630101729899794</v>
      </c>
      <c r="E324" s="16">
        <v>-0.32963172013867253</v>
      </c>
      <c r="F324" s="16">
        <v>-0.4047730675913071</v>
      </c>
      <c r="G324" s="16">
        <v>-0.46453969437767423</v>
      </c>
      <c r="H324" s="16">
        <v>-0.51174623521854656</v>
      </c>
      <c r="I324" s="16">
        <v>-0.54920732483469692</v>
      </c>
      <c r="J324" s="16">
        <v>-0.57973759794689794</v>
      </c>
      <c r="K324" s="16">
        <v>-0.60615168927592245</v>
      </c>
      <c r="L324" s="16">
        <v>-0.63126423354254313</v>
      </c>
      <c r="M324" s="16">
        <v>-0.65788986546753259</v>
      </c>
      <c r="N324" s="16">
        <v>-0.68884321977166352</v>
      </c>
      <c r="O324" s="16">
        <v>-0.72693893117570907</v>
      </c>
      <c r="P324" s="16">
        <v>-0.77499163440044139</v>
      </c>
      <c r="Q324" s="16">
        <v>-0.8358159641666334</v>
      </c>
    </row>
    <row r="325" spans="1:17" x14ac:dyDescent="0.3">
      <c r="A325" s="14" t="s">
        <v>336</v>
      </c>
      <c r="B325" s="15" t="s">
        <v>337</v>
      </c>
      <c r="C325" s="16">
        <v>-9.8914206975881769E-2</v>
      </c>
      <c r="D325" s="16">
        <v>-0.17857554999952702</v>
      </c>
      <c r="E325" s="16">
        <v>-0.25865319307854129</v>
      </c>
      <c r="F325" s="16">
        <v>-0.33028514104206624</v>
      </c>
      <c r="G325" s="16">
        <v>-0.39450081941683168</v>
      </c>
      <c r="H325" s="16">
        <v>-0.45232965372956735</v>
      </c>
      <c r="I325" s="16">
        <v>-0.50480106950700321</v>
      </c>
      <c r="J325" s="16">
        <v>-0.55294449227586873</v>
      </c>
      <c r="K325" s="16">
        <v>-0.59778934756289404</v>
      </c>
      <c r="L325" s="16">
        <v>-0.64036506089480894</v>
      </c>
      <c r="M325" s="16">
        <v>-0.681701057798343</v>
      </c>
      <c r="N325" s="16">
        <v>-0.72282676380022592</v>
      </c>
      <c r="O325" s="16">
        <v>-7.2693826091692393E-2</v>
      </c>
      <c r="P325" s="16">
        <v>0</v>
      </c>
      <c r="Q325" s="16">
        <v>0</v>
      </c>
    </row>
    <row r="326" spans="1:17" x14ac:dyDescent="0.3">
      <c r="A326" s="14" t="s">
        <v>336</v>
      </c>
      <c r="B326" s="15" t="s">
        <v>338</v>
      </c>
      <c r="C326" s="16">
        <v>-0.12212076083796189</v>
      </c>
      <c r="D326" s="16">
        <v>-0.21605853646834372</v>
      </c>
      <c r="E326" s="16">
        <v>-0.30616413133475362</v>
      </c>
      <c r="F326" s="16">
        <v>-0.38211568905807769</v>
      </c>
      <c r="G326" s="16">
        <v>-0.4458034293429981</v>
      </c>
      <c r="H326" s="16">
        <v>-0.49911757189419714</v>
      </c>
      <c r="I326" s="16">
        <v>-0.54394833641635687</v>
      </c>
      <c r="J326" s="16">
        <v>-0.5821859426141599</v>
      </c>
      <c r="K326" s="16">
        <v>-0.61572061019228808</v>
      </c>
      <c r="L326" s="16">
        <v>-0.64644255885542379</v>
      </c>
      <c r="M326" s="16">
        <v>-0.67624200830824932</v>
      </c>
      <c r="N326" s="16">
        <v>-0.70700917825544651</v>
      </c>
      <c r="O326" s="16">
        <v>-7.1009746267481466E-2</v>
      </c>
      <c r="P326" s="16">
        <v>0</v>
      </c>
      <c r="Q326" s="16">
        <v>0</v>
      </c>
    </row>
    <row r="327" spans="1:17" x14ac:dyDescent="0.3">
      <c r="A327" s="14" t="s">
        <v>336</v>
      </c>
      <c r="B327" s="15" t="s">
        <v>339</v>
      </c>
      <c r="C327" s="16">
        <v>-0.11751393246195352</v>
      </c>
      <c r="D327" s="16">
        <v>-0.20980784387681384</v>
      </c>
      <c r="E327" s="16">
        <v>-0.30005297866037683</v>
      </c>
      <c r="F327" s="16">
        <v>-0.37779235703700831</v>
      </c>
      <c r="G327" s="16">
        <v>-0.44432039247726929</v>
      </c>
      <c r="H327" s="16">
        <v>-0.50093149845172069</v>
      </c>
      <c r="I327" s="16">
        <v>-0.54892008843092366</v>
      </c>
      <c r="J327" s="16">
        <v>-0.58958057588543922</v>
      </c>
      <c r="K327" s="16">
        <v>-0.62420737428582851</v>
      </c>
      <c r="L327" s="16">
        <v>-0.65409489710265256</v>
      </c>
      <c r="M327" s="16">
        <v>-0.6805375578064724</v>
      </c>
      <c r="N327" s="16">
        <v>-0.70482976986784895</v>
      </c>
      <c r="O327" s="16">
        <v>-7.0723878100103277E-2</v>
      </c>
      <c r="P327" s="16">
        <v>0</v>
      </c>
      <c r="Q327" s="16">
        <v>0</v>
      </c>
    </row>
    <row r="328" spans="1:17" x14ac:dyDescent="0.3">
      <c r="A328" s="14" t="s">
        <v>336</v>
      </c>
      <c r="B328" s="15" t="s">
        <v>340</v>
      </c>
      <c r="C328" s="16">
        <v>-0.12112105697449736</v>
      </c>
      <c r="D328" s="16">
        <v>-0.21501027443987047</v>
      </c>
      <c r="E328" s="16">
        <v>-0.30570737284860316</v>
      </c>
      <c r="F328" s="16">
        <v>-0.38276189037113878</v>
      </c>
      <c r="G328" s="16">
        <v>-0.4478354708753704</v>
      </c>
      <c r="H328" s="16">
        <v>-0.50258975822919083</v>
      </c>
      <c r="I328" s="16">
        <v>-0.54868639630049332</v>
      </c>
      <c r="J328" s="16">
        <v>-0.58778702895717105</v>
      </c>
      <c r="K328" s="16">
        <v>-0.62155330006711673</v>
      </c>
      <c r="L328" s="16">
        <v>-0.65164685349822382</v>
      </c>
      <c r="M328" s="16">
        <v>-0.6797293331183849</v>
      </c>
      <c r="N328" s="16">
        <v>-0.70746238279549312</v>
      </c>
      <c r="O328" s="16">
        <v>-7.1023385510764148E-2</v>
      </c>
      <c r="P328" s="16">
        <v>0</v>
      </c>
      <c r="Q328" s="16">
        <v>0</v>
      </c>
    </row>
    <row r="329" spans="1:17" x14ac:dyDescent="0.3">
      <c r="A329" s="14" t="s">
        <v>336</v>
      </c>
      <c r="B329" s="15" t="s">
        <v>341</v>
      </c>
      <c r="C329" s="16">
        <v>-0.12019638522229177</v>
      </c>
      <c r="D329" s="16">
        <v>-0.21367665237468889</v>
      </c>
      <c r="E329" s="16">
        <v>-0.3042578916143539</v>
      </c>
      <c r="F329" s="16">
        <v>-0.38148797029090992</v>
      </c>
      <c r="G329" s="16">
        <v>-0.44693439427620923</v>
      </c>
      <c r="H329" s="16">
        <v>-0.50216466944210403</v>
      </c>
      <c r="I329" s="16">
        <v>-0.54874630166044658</v>
      </c>
      <c r="J329" s="16">
        <v>-0.58824679680308911</v>
      </c>
      <c r="K329" s="16">
        <v>-0.62223366074188402</v>
      </c>
      <c r="L329" s="16">
        <v>-0.65227439934868336</v>
      </c>
      <c r="M329" s="16">
        <v>-0.67993651849533954</v>
      </c>
      <c r="N329" s="16">
        <v>-0.70678752405370471</v>
      </c>
      <c r="O329" s="16">
        <v>-7.0946608097952946E-2</v>
      </c>
      <c r="P329" s="16">
        <v>0</v>
      </c>
      <c r="Q329" s="16">
        <v>0</v>
      </c>
    </row>
    <row r="330" spans="1:17" x14ac:dyDescent="0.3">
      <c r="A330" s="14" t="s">
        <v>336</v>
      </c>
      <c r="B330" s="15" t="s">
        <v>342</v>
      </c>
      <c r="C330" s="16">
        <v>-0.13177991386643534</v>
      </c>
      <c r="D330" s="16">
        <v>-0.23133905378298109</v>
      </c>
      <c r="E330" s="16">
        <v>-0.32506913690249389</v>
      </c>
      <c r="F330" s="16">
        <v>-0.40218283751479572</v>
      </c>
      <c r="G330" s="16">
        <v>-0.46507082129635224</v>
      </c>
      <c r="H330" s="16">
        <v>-0.51612375392362919</v>
      </c>
      <c r="I330" s="16">
        <v>-0.55773230107309191</v>
      </c>
      <c r="J330" s="16">
        <v>-0.59228712842120634</v>
      </c>
      <c r="K330" s="16">
        <v>-0.62217890164443801</v>
      </c>
      <c r="L330" s="16">
        <v>-0.64979828641925219</v>
      </c>
      <c r="M330" s="16">
        <v>-0.67753594842211495</v>
      </c>
      <c r="N330" s="16">
        <v>-0.70778255332949169</v>
      </c>
      <c r="O330" s="16">
        <v>-7.1083469391495124E-2</v>
      </c>
      <c r="P330" s="16">
        <v>0</v>
      </c>
      <c r="Q330" s="16">
        <v>0</v>
      </c>
    </row>
    <row r="331" spans="1:17" x14ac:dyDescent="0.3">
      <c r="A331" s="14" t="s">
        <v>336</v>
      </c>
      <c r="B331" s="15" t="s">
        <v>343</v>
      </c>
      <c r="C331" s="16">
        <v>-0.12079419923409976</v>
      </c>
      <c r="D331" s="16">
        <v>-0.21882851263802858</v>
      </c>
      <c r="E331" s="16">
        <v>-0.31712062979479577</v>
      </c>
      <c r="F331" s="16">
        <v>-0.40364176208129565</v>
      </c>
      <c r="G331" s="16">
        <v>-0.47844254079783261</v>
      </c>
      <c r="H331" s="16">
        <v>-0.54157359724471121</v>
      </c>
      <c r="I331" s="16">
        <v>-0.59308556272223545</v>
      </c>
      <c r="J331" s="16">
        <v>-0.63302906853070984</v>
      </c>
      <c r="K331" s="16">
        <v>-0.66145474597043896</v>
      </c>
      <c r="L331" s="16">
        <v>-0.67841322634172685</v>
      </c>
      <c r="M331" s="16">
        <v>-0.68395514094487808</v>
      </c>
      <c r="N331" s="16">
        <v>-0.67813112108019702</v>
      </c>
      <c r="O331" s="16">
        <v>-6.7743511038035109E-2</v>
      </c>
      <c r="P331" s="16">
        <v>0</v>
      </c>
      <c r="Q331" s="16">
        <v>0</v>
      </c>
    </row>
    <row r="332" spans="1:17" x14ac:dyDescent="0.3">
      <c r="A332" s="14" t="s">
        <v>336</v>
      </c>
      <c r="B332" s="15" t="s">
        <v>344</v>
      </c>
      <c r="C332" s="16">
        <v>-0.12019638522229177</v>
      </c>
      <c r="D332" s="16">
        <v>-0.21367665237468889</v>
      </c>
      <c r="E332" s="16">
        <v>-0.3042578916143539</v>
      </c>
      <c r="F332" s="16">
        <v>-0.38148797029090992</v>
      </c>
      <c r="G332" s="16">
        <v>-0.44693439427620923</v>
      </c>
      <c r="H332" s="16">
        <v>-0.50216466944210403</v>
      </c>
      <c r="I332" s="16">
        <v>-0.54874630166044658</v>
      </c>
      <c r="J332" s="16">
        <v>-0.58824679680308911</v>
      </c>
      <c r="K332" s="16">
        <v>-0.62223366074188402</v>
      </c>
      <c r="L332" s="16">
        <v>-0.65227439934868336</v>
      </c>
      <c r="M332" s="16">
        <v>-0.67993651849533954</v>
      </c>
      <c r="N332" s="16">
        <v>-0.70678752405370471</v>
      </c>
      <c r="O332" s="16">
        <v>-7.0946608097952946E-2</v>
      </c>
      <c r="P332" s="16">
        <v>0</v>
      </c>
      <c r="Q332" s="16">
        <v>0</v>
      </c>
    </row>
    <row r="333" spans="1:17" x14ac:dyDescent="0.3">
      <c r="A333" s="14" t="s">
        <v>336</v>
      </c>
      <c r="B333" s="15" t="s">
        <v>345</v>
      </c>
      <c r="C333" s="16">
        <v>-0.12394433864021709</v>
      </c>
      <c r="D333" s="16">
        <v>-0.21823029645341813</v>
      </c>
      <c r="E333" s="16">
        <v>-0.30786619209156474</v>
      </c>
      <c r="F333" s="16">
        <v>-0.38283277752745692</v>
      </c>
      <c r="G333" s="16">
        <v>-0.44550523859791669</v>
      </c>
      <c r="H333" s="16">
        <v>-0.49825876113976592</v>
      </c>
      <c r="I333" s="16">
        <v>-0.54346853098982639</v>
      </c>
      <c r="J333" s="16">
        <v>-0.58350973398492023</v>
      </c>
      <c r="K333" s="16">
        <v>-0.6207575559618691</v>
      </c>
      <c r="L333" s="16">
        <v>-0.65758718275749484</v>
      </c>
      <c r="M333" s="16">
        <v>-0.69637380020861961</v>
      </c>
      <c r="N333" s="16">
        <v>-0.73949259415206503</v>
      </c>
      <c r="O333" s="16">
        <v>-7.4385017049716895E-2</v>
      </c>
      <c r="P333" s="16">
        <v>0</v>
      </c>
      <c r="Q333" s="16">
        <v>0</v>
      </c>
    </row>
    <row r="334" spans="1:17" x14ac:dyDescent="0.3">
      <c r="A334" s="14" t="s">
        <v>336</v>
      </c>
      <c r="B334" s="15" t="s">
        <v>346</v>
      </c>
      <c r="C334" s="16">
        <v>-0.13288561705823099</v>
      </c>
      <c r="D334" s="16">
        <v>-0.23259461687202254</v>
      </c>
      <c r="E334" s="16">
        <v>-0.32582865928720028</v>
      </c>
      <c r="F334" s="16">
        <v>-0.40189287191229089</v>
      </c>
      <c r="G334" s="16">
        <v>-0.46338094406164393</v>
      </c>
      <c r="H334" s="16">
        <v>-0.51288656504960928</v>
      </c>
      <c r="I334" s="16">
        <v>-0.5530034241905365</v>
      </c>
      <c r="J334" s="16">
        <v>-0.58632521079877509</v>
      </c>
      <c r="K334" s="16">
        <v>-0.61544561418867483</v>
      </c>
      <c r="L334" s="16">
        <v>-0.64295832367458527</v>
      </c>
      <c r="M334" s="16">
        <v>-0.67145702857085654</v>
      </c>
      <c r="N334" s="16">
        <v>-0.70353541819183774</v>
      </c>
      <c r="O334" s="16">
        <v>-7.0678164769049756E-2</v>
      </c>
      <c r="P334" s="16">
        <v>0</v>
      </c>
      <c r="Q334" s="16">
        <v>0</v>
      </c>
    </row>
    <row r="335" spans="1:17" x14ac:dyDescent="0.3">
      <c r="A335" s="14" t="s">
        <v>347</v>
      </c>
      <c r="B335" s="15" t="s">
        <v>348</v>
      </c>
      <c r="C335" s="16" t="s">
        <v>85</v>
      </c>
      <c r="D335" s="16">
        <v>-0.22196584422566329</v>
      </c>
      <c r="E335" s="16">
        <v>-0.32775246961471638</v>
      </c>
      <c r="F335" s="16">
        <v>-0.40148714335949115</v>
      </c>
      <c r="G335" s="16">
        <v>-4.0867835706189293E-2</v>
      </c>
      <c r="H335" s="16">
        <v>0</v>
      </c>
      <c r="I335" s="16">
        <v>0</v>
      </c>
      <c r="J335" s="16">
        <v>0</v>
      </c>
      <c r="K335" s="16">
        <v>0</v>
      </c>
      <c r="L335" s="16">
        <v>-0.55881445313995659</v>
      </c>
      <c r="M335" s="16">
        <v>-0.64437497388600429</v>
      </c>
      <c r="N335" s="16">
        <v>-0.67506964031011596</v>
      </c>
      <c r="O335" s="16">
        <v>-0.71352161225463673</v>
      </c>
      <c r="P335" s="16">
        <v>-0.76265029114967597</v>
      </c>
      <c r="Q335" s="16">
        <v>-0.82537507842534275</v>
      </c>
    </row>
    <row r="336" spans="1:17" x14ac:dyDescent="0.3">
      <c r="A336" s="14" t="s">
        <v>347</v>
      </c>
      <c r="B336" s="15" t="s">
        <v>349</v>
      </c>
      <c r="C336" s="16" t="s">
        <v>85</v>
      </c>
      <c r="D336" s="16">
        <v>-0.20263051720350722</v>
      </c>
      <c r="E336" s="16">
        <v>-0.29961799430332503</v>
      </c>
      <c r="F336" s="16">
        <v>-0.36777420282357598</v>
      </c>
      <c r="G336" s="16">
        <v>-3.7442769543461207E-2</v>
      </c>
      <c r="H336" s="16">
        <v>0</v>
      </c>
      <c r="I336" s="16">
        <v>0</v>
      </c>
      <c r="J336" s="16">
        <v>0</v>
      </c>
      <c r="K336" s="16">
        <v>0</v>
      </c>
      <c r="L336" s="16">
        <v>-0.52859033605696137</v>
      </c>
      <c r="M336" s="16">
        <v>-0.61443282961456258</v>
      </c>
      <c r="N336" s="16">
        <v>-0.64978365366284119</v>
      </c>
      <c r="O336" s="16">
        <v>-0.69342123185200222</v>
      </c>
      <c r="P336" s="16">
        <v>-0.74809832578201807</v>
      </c>
      <c r="Q336" s="16">
        <v>-0.81656769705286258</v>
      </c>
    </row>
    <row r="337" spans="1:17" x14ac:dyDescent="0.3">
      <c r="A337" s="14" t="s">
        <v>350</v>
      </c>
      <c r="B337" s="15" t="s">
        <v>351</v>
      </c>
      <c r="C337" s="16" t="s">
        <v>85</v>
      </c>
      <c r="D337" s="16">
        <v>0</v>
      </c>
      <c r="E337" s="16">
        <v>0</v>
      </c>
      <c r="F337" s="16">
        <v>0</v>
      </c>
      <c r="G337" s="16">
        <v>0</v>
      </c>
      <c r="H337" s="16">
        <v>-0.43164076563363796</v>
      </c>
      <c r="I337" s="16">
        <v>-4.7960085070404224E-2</v>
      </c>
      <c r="J337" s="16">
        <v>-0.52641164620656788</v>
      </c>
      <c r="K337" s="16">
        <v>-0.62730566424176193</v>
      </c>
      <c r="L337" s="16">
        <v>-0.67235223392387744</v>
      </c>
      <c r="M337" s="16">
        <v>-0.71603933453837909</v>
      </c>
      <c r="N337" s="16">
        <v>-0.75941052227824579</v>
      </c>
      <c r="O337" s="16">
        <v>-0.80350935333645723</v>
      </c>
      <c r="P337" s="16">
        <v>-0.84937938390599299</v>
      </c>
      <c r="Q337" s="16">
        <v>-0.89806417017983198</v>
      </c>
    </row>
    <row r="338" spans="1:17" x14ac:dyDescent="0.3">
      <c r="A338" s="14" t="s">
        <v>350</v>
      </c>
      <c r="B338" s="15" t="s">
        <v>352</v>
      </c>
      <c r="C338" s="16" t="s">
        <v>85</v>
      </c>
      <c r="D338" s="16">
        <v>0</v>
      </c>
      <c r="E338" s="16">
        <v>0</v>
      </c>
      <c r="F338" s="16">
        <v>0</v>
      </c>
      <c r="G338" s="16">
        <v>0</v>
      </c>
      <c r="H338" s="16">
        <v>-0.43973536751707604</v>
      </c>
      <c r="I338" s="16">
        <v>-4.8859485279675097E-2</v>
      </c>
      <c r="J338" s="16">
        <v>-0.51071438625408661</v>
      </c>
      <c r="K338" s="16">
        <v>-0.59722485123258473</v>
      </c>
      <c r="L338" s="16">
        <v>-0.62898335299217822</v>
      </c>
      <c r="M338" s="16">
        <v>-0.66116061377543411</v>
      </c>
      <c r="N338" s="16">
        <v>-0.69584300571803126</v>
      </c>
      <c r="O338" s="16">
        <v>-0.73511690095564919</v>
      </c>
      <c r="P338" s="16">
        <v>-0.78106867162396676</v>
      </c>
      <c r="Q338" s="16">
        <v>-0.83578468985866228</v>
      </c>
    </row>
    <row r="339" spans="1:17" x14ac:dyDescent="0.3">
      <c r="A339" s="14" t="s">
        <v>350</v>
      </c>
      <c r="B339" s="15" t="s">
        <v>353</v>
      </c>
      <c r="C339" s="16" t="s">
        <v>85</v>
      </c>
      <c r="D339" s="16">
        <v>0</v>
      </c>
      <c r="E339" s="16">
        <v>0</v>
      </c>
      <c r="F339" s="16">
        <v>0</v>
      </c>
      <c r="G339" s="16">
        <v>0</v>
      </c>
      <c r="H339" s="16">
        <v>-0.43315266459306023</v>
      </c>
      <c r="I339" s="16">
        <v>-4.8128073843673347E-2</v>
      </c>
      <c r="J339" s="16">
        <v>-0.50726417268429858</v>
      </c>
      <c r="K339" s="16">
        <v>-0.59624056367974076</v>
      </c>
      <c r="L339" s="16">
        <v>-0.63210452489844204</v>
      </c>
      <c r="M339" s="16">
        <v>-0.66949440615550715</v>
      </c>
      <c r="N339" s="16">
        <v>-0.71056677161537296</v>
      </c>
      <c r="O339" s="16">
        <v>-0.75747818544247725</v>
      </c>
      <c r="P339" s="16">
        <v>-0.81238521180125733</v>
      </c>
      <c r="Q339" s="16">
        <v>-0.87744441485615099</v>
      </c>
    </row>
    <row r="340" spans="1:17" x14ac:dyDescent="0.3">
      <c r="A340" s="14" t="s">
        <v>350</v>
      </c>
      <c r="B340" s="15" t="s">
        <v>354</v>
      </c>
      <c r="C340" s="16" t="s">
        <v>85</v>
      </c>
      <c r="D340" s="16">
        <v>0</v>
      </c>
      <c r="E340" s="16">
        <v>0</v>
      </c>
      <c r="F340" s="16">
        <v>0</v>
      </c>
      <c r="G340" s="16">
        <v>0</v>
      </c>
      <c r="H340" s="16">
        <v>-0.43611214448433422</v>
      </c>
      <c r="I340" s="16">
        <v>-4.8456904942703771E-2</v>
      </c>
      <c r="J340" s="16">
        <v>-0.5176802691953114</v>
      </c>
      <c r="K340" s="16">
        <v>-0.61080747764932608</v>
      </c>
      <c r="L340" s="16">
        <v>-0.64893045032950258</v>
      </c>
      <c r="M340" s="16">
        <v>-0.686960824489946</v>
      </c>
      <c r="N340" s="16">
        <v>-0.72657418083063119</v>
      </c>
      <c r="O340" s="16">
        <v>-0.76944610005153291</v>
      </c>
      <c r="P340" s="16">
        <v>-0.81725216285262636</v>
      </c>
      <c r="Q340" s="16">
        <v>-0.87166794993388652</v>
      </c>
    </row>
    <row r="341" spans="1:17" x14ac:dyDescent="0.3">
      <c r="A341" s="14" t="s">
        <v>350</v>
      </c>
      <c r="B341" s="15" t="s">
        <v>355</v>
      </c>
      <c r="C341" s="16" t="s">
        <v>85</v>
      </c>
      <c r="D341" s="16">
        <v>0</v>
      </c>
      <c r="E341" s="16">
        <v>0</v>
      </c>
      <c r="F341" s="16">
        <v>0</v>
      </c>
      <c r="G341" s="16">
        <v>0</v>
      </c>
      <c r="H341" s="16">
        <v>-0.43611214448433422</v>
      </c>
      <c r="I341" s="16">
        <v>-4.8456904942703771E-2</v>
      </c>
      <c r="J341" s="16">
        <v>-0.5176802691953114</v>
      </c>
      <c r="K341" s="16">
        <v>-0.61080747764932608</v>
      </c>
      <c r="L341" s="16">
        <v>-0.64893045032950258</v>
      </c>
      <c r="M341" s="16">
        <v>-0.686960824489946</v>
      </c>
      <c r="N341" s="16">
        <v>-0.72657418083063119</v>
      </c>
      <c r="O341" s="16">
        <v>-0.76944610005153291</v>
      </c>
      <c r="P341" s="16">
        <v>-0.81725216285262636</v>
      </c>
      <c r="Q341" s="16">
        <v>-0.87166794993388652</v>
      </c>
    </row>
    <row r="342" spans="1:17" x14ac:dyDescent="0.3">
      <c r="A342" s="14" t="s">
        <v>350</v>
      </c>
      <c r="B342" s="15" t="s">
        <v>356</v>
      </c>
      <c r="C342" s="16" t="s">
        <v>85</v>
      </c>
      <c r="D342" s="16">
        <v>0</v>
      </c>
      <c r="E342" s="16">
        <v>0</v>
      </c>
      <c r="F342" s="16">
        <v>0</v>
      </c>
      <c r="G342" s="16">
        <v>0</v>
      </c>
      <c r="H342" s="16">
        <v>-0.43611214448433422</v>
      </c>
      <c r="I342" s="16">
        <v>-4.8456904942703771E-2</v>
      </c>
      <c r="J342" s="16">
        <v>-0.5176802691953114</v>
      </c>
      <c r="K342" s="16">
        <v>-0.61080747764932608</v>
      </c>
      <c r="L342" s="16">
        <v>-0.64893045032950258</v>
      </c>
      <c r="M342" s="16">
        <v>-0.686960824489946</v>
      </c>
      <c r="N342" s="16">
        <v>-0.72657418083063119</v>
      </c>
      <c r="O342" s="16">
        <v>-0.76944610005153291</v>
      </c>
      <c r="P342" s="16">
        <v>-0.81725216285262636</v>
      </c>
      <c r="Q342" s="16">
        <v>-0.87166794993388652</v>
      </c>
    </row>
    <row r="343" spans="1:17" x14ac:dyDescent="0.3">
      <c r="A343" s="14" t="s">
        <v>350</v>
      </c>
      <c r="B343" s="15" t="s">
        <v>357</v>
      </c>
      <c r="C343" s="16" t="s">
        <v>85</v>
      </c>
      <c r="D343" s="16">
        <v>0</v>
      </c>
      <c r="E343" s="16">
        <v>0</v>
      </c>
      <c r="F343" s="16">
        <v>0</v>
      </c>
      <c r="G343" s="16">
        <v>0</v>
      </c>
      <c r="H343" s="16">
        <v>-0.43611214448433422</v>
      </c>
      <c r="I343" s="16">
        <v>-4.8456904942703771E-2</v>
      </c>
      <c r="J343" s="16">
        <v>-0.5176802691953114</v>
      </c>
      <c r="K343" s="16">
        <v>-0.61080747764932608</v>
      </c>
      <c r="L343" s="16">
        <v>-0.64893045032950258</v>
      </c>
      <c r="M343" s="16">
        <v>-0.686960824489946</v>
      </c>
      <c r="N343" s="16">
        <v>-0.72657418083063119</v>
      </c>
      <c r="O343" s="16">
        <v>-0.76944610005153291</v>
      </c>
      <c r="P343" s="16">
        <v>-0.81725216285262636</v>
      </c>
      <c r="Q343" s="16">
        <v>-0.87166794993388652</v>
      </c>
    </row>
    <row r="344" spans="1:17" x14ac:dyDescent="0.3">
      <c r="A344" s="14" t="s">
        <v>350</v>
      </c>
      <c r="B344" s="15" t="s">
        <v>358</v>
      </c>
      <c r="C344" s="16" t="s">
        <v>85</v>
      </c>
      <c r="D344" s="16">
        <v>0</v>
      </c>
      <c r="E344" s="16">
        <v>0</v>
      </c>
      <c r="F344" s="16">
        <v>0</v>
      </c>
      <c r="G344" s="16">
        <v>0</v>
      </c>
      <c r="H344" s="16">
        <v>-0.43611214448433422</v>
      </c>
      <c r="I344" s="16">
        <v>-4.8456904942703771E-2</v>
      </c>
      <c r="J344" s="16">
        <v>-0.5176802691953114</v>
      </c>
      <c r="K344" s="16">
        <v>-0.61080747764932608</v>
      </c>
      <c r="L344" s="16">
        <v>-0.64893045032950258</v>
      </c>
      <c r="M344" s="16">
        <v>-0.686960824489946</v>
      </c>
      <c r="N344" s="16">
        <v>-0.72657418083063119</v>
      </c>
      <c r="O344" s="16">
        <v>-0.76944610005153291</v>
      </c>
      <c r="P344" s="16">
        <v>-0.81725216285262636</v>
      </c>
      <c r="Q344" s="16">
        <v>-0.87166794993388652</v>
      </c>
    </row>
    <row r="345" spans="1:17" x14ac:dyDescent="0.3">
      <c r="A345" s="14" t="s">
        <v>359</v>
      </c>
      <c r="B345" s="15" t="s">
        <v>360</v>
      </c>
      <c r="C345" s="16">
        <v>-0.11372576706232786</v>
      </c>
      <c r="D345" s="16">
        <v>-0.20057318493770016</v>
      </c>
      <c r="E345" s="16">
        <v>-0.28319132335310082</v>
      </c>
      <c r="F345" s="16">
        <v>-0.35201513885061658</v>
      </c>
      <c r="G345" s="16">
        <v>-0.40885216467856694</v>
      </c>
      <c r="H345" s="16">
        <v>-0.4555099340852713</v>
      </c>
      <c r="I345" s="16">
        <v>-0.49379598031904937</v>
      </c>
      <c r="J345" s="16">
        <v>-0.52551783662822038</v>
      </c>
      <c r="K345" s="16">
        <v>-0.55248303626110407</v>
      </c>
      <c r="L345" s="16">
        <v>-0.5764991124660197</v>
      </c>
      <c r="M345" s="16">
        <v>-0.59937359849128702</v>
      </c>
      <c r="N345" s="16">
        <v>-0.62291402758522529</v>
      </c>
      <c r="O345" s="16">
        <v>-0.64892793299615426</v>
      </c>
      <c r="P345" s="16">
        <v>-0.67922284797239341</v>
      </c>
      <c r="Q345" s="16">
        <v>-0.71560630576226181</v>
      </c>
    </row>
    <row r="346" spans="1:17" x14ac:dyDescent="0.3">
      <c r="A346" s="14" t="s">
        <v>359</v>
      </c>
      <c r="B346" s="15" t="s">
        <v>361</v>
      </c>
      <c r="C346" s="16">
        <v>-0.11677706276494101</v>
      </c>
      <c r="D346" s="16">
        <v>-0.20517094333007702</v>
      </c>
      <c r="E346" s="16">
        <v>-0.28852240330938417</v>
      </c>
      <c r="F346" s="16">
        <v>-0.35719986204022042</v>
      </c>
      <c r="G346" s="16">
        <v>-0.41324944513643797</v>
      </c>
      <c r="H346" s="16">
        <v>-0.45871727821188879</v>
      </c>
      <c r="I346" s="16">
        <v>-0.49564948688042509</v>
      </c>
      <c r="J346" s="16">
        <v>-0.52609219675589902</v>
      </c>
      <c r="K346" s="16">
        <v>-0.55209153345216277</v>
      </c>
      <c r="L346" s="16">
        <v>-0.57569362258306822</v>
      </c>
      <c r="M346" s="16">
        <v>-0.59894458976246745</v>
      </c>
      <c r="N346" s="16">
        <v>-0.623890560604213</v>
      </c>
      <c r="O346" s="16">
        <v>-0.65257766072215673</v>
      </c>
      <c r="P346" s="16">
        <v>-0.68705201573015029</v>
      </c>
      <c r="Q346" s="16">
        <v>-0.72935975124204666</v>
      </c>
    </row>
    <row r="347" spans="1:17" x14ac:dyDescent="0.3">
      <c r="A347" s="14" t="s">
        <v>359</v>
      </c>
      <c r="B347" s="15" t="s">
        <v>362</v>
      </c>
      <c r="C347" s="16">
        <v>-0.11710582133690467</v>
      </c>
      <c r="D347" s="16">
        <v>-0.20567582516471195</v>
      </c>
      <c r="E347" s="16">
        <v>-0.28912180833118217</v>
      </c>
      <c r="F347" s="16">
        <v>-0.35779997001112118</v>
      </c>
      <c r="G347" s="16">
        <v>-0.41377709151302555</v>
      </c>
      <c r="H347" s="16">
        <v>-0.45911995414539181</v>
      </c>
      <c r="I347" s="16">
        <v>-0.49589533921671625</v>
      </c>
      <c r="J347" s="16">
        <v>-0.52617002803549529</v>
      </c>
      <c r="K347" s="16">
        <v>-0.55201080191022545</v>
      </c>
      <c r="L347" s="16">
        <v>-0.5754844421494032</v>
      </c>
      <c r="M347" s="16">
        <v>-0.59865773006152478</v>
      </c>
      <c r="N347" s="16">
        <v>-0.62359744695508701</v>
      </c>
      <c r="O347" s="16">
        <v>-0.65237037413858601</v>
      </c>
      <c r="P347" s="16">
        <v>-0.68704329292051869</v>
      </c>
      <c r="Q347" s="16">
        <v>-0.7296829846093803</v>
      </c>
    </row>
    <row r="348" spans="1:17" x14ac:dyDescent="0.3">
      <c r="A348" s="14" t="s">
        <v>359</v>
      </c>
      <c r="B348" s="15" t="s">
        <v>363</v>
      </c>
      <c r="C348" s="16">
        <v>-0.10750367509148041</v>
      </c>
      <c r="D348" s="16">
        <v>-0.19124369378897701</v>
      </c>
      <c r="E348" s="16">
        <v>-0.27275038149131964</v>
      </c>
      <c r="F348" s="16">
        <v>-0.34291282776462439</v>
      </c>
      <c r="G348" s="16">
        <v>-0.40337048968415551</v>
      </c>
      <c r="H348" s="16">
        <v>-0.4557628243251769</v>
      </c>
      <c r="I348" s="16">
        <v>-0.50172928876295286</v>
      </c>
      <c r="J348" s="16">
        <v>-0.54290934007274771</v>
      </c>
      <c r="K348" s="16">
        <v>-0.58094243532982537</v>
      </c>
      <c r="L348" s="16">
        <v>-0.61746803160944985</v>
      </c>
      <c r="M348" s="16">
        <v>-0.65412558598688553</v>
      </c>
      <c r="N348" s="16">
        <v>-0.69255455553739631</v>
      </c>
      <c r="O348" s="16">
        <v>-0.73439439733624678</v>
      </c>
      <c r="P348" s="16">
        <v>-0.78128456845870065</v>
      </c>
      <c r="Q348" s="16">
        <v>-0.83486452598002248</v>
      </c>
    </row>
    <row r="349" spans="1:17" x14ac:dyDescent="0.3">
      <c r="A349" s="14" t="s">
        <v>359</v>
      </c>
      <c r="B349" s="15" t="s">
        <v>364</v>
      </c>
      <c r="C349" s="16">
        <v>-0.11158012016683377</v>
      </c>
      <c r="D349" s="16">
        <v>-0.19767667781524026</v>
      </c>
      <c r="E349" s="16">
        <v>-0.28043805599044375</v>
      </c>
      <c r="F349" s="16">
        <v>-0.35028856139285502</v>
      </c>
      <c r="G349" s="16">
        <v>-0.40881051273956814</v>
      </c>
      <c r="H349" s="16">
        <v>-0.45758622874767729</v>
      </c>
      <c r="I349" s="16">
        <v>-0.49819802813427649</v>
      </c>
      <c r="J349" s="16">
        <v>-0.53222822961645988</v>
      </c>
      <c r="K349" s="16">
        <v>-0.56125915191132159</v>
      </c>
      <c r="L349" s="16">
        <v>-0.58687311373595563</v>
      </c>
      <c r="M349" s="16">
        <v>-0.61065243380745637</v>
      </c>
      <c r="N349" s="16">
        <v>-0.6341794308429175</v>
      </c>
      <c r="O349" s="16">
        <v>-0.6590364235594337</v>
      </c>
      <c r="P349" s="16">
        <v>-0.68680573067409834</v>
      </c>
      <c r="Q349" s="16">
        <v>-0.71906967090400631</v>
      </c>
    </row>
    <row r="350" spans="1:17" x14ac:dyDescent="0.3">
      <c r="A350" s="14" t="s">
        <v>359</v>
      </c>
      <c r="B350" s="15" t="s">
        <v>365</v>
      </c>
      <c r="C350" s="16">
        <v>-0.11792208082477383</v>
      </c>
      <c r="D350" s="16">
        <v>-0.20594022017944716</v>
      </c>
      <c r="E350" s="16">
        <v>-0.28769726728692302</v>
      </c>
      <c r="F350" s="16">
        <v>-0.35370195615227423</v>
      </c>
      <c r="G350" s="16">
        <v>-0.40625522886305104</v>
      </c>
      <c r="H350" s="16">
        <v>-0.44765802750680384</v>
      </c>
      <c r="I350" s="16">
        <v>-0.48021129417108283</v>
      </c>
      <c r="J350" s="16">
        <v>-0.50621597094343829</v>
      </c>
      <c r="K350" s="16">
        <v>-0.52797299991142055</v>
      </c>
      <c r="L350" s="16">
        <v>-0.54778332316257961</v>
      </c>
      <c r="M350" s="16">
        <v>-0.56794788278446595</v>
      </c>
      <c r="N350" s="16">
        <v>-0.59076762086463008</v>
      </c>
      <c r="O350" s="16">
        <v>-0.61854347949062194</v>
      </c>
      <c r="P350" s="16">
        <v>-0.65357640074999179</v>
      </c>
      <c r="Q350" s="16">
        <v>-0.69816732673029003</v>
      </c>
    </row>
    <row r="351" spans="1:17" x14ac:dyDescent="0.3">
      <c r="A351" s="14" t="s">
        <v>359</v>
      </c>
      <c r="B351" s="15" t="s">
        <v>366</v>
      </c>
      <c r="C351" s="16">
        <v>-0.11525374639706246</v>
      </c>
      <c r="D351" s="16">
        <v>-0.20214832880828609</v>
      </c>
      <c r="E351" s="16">
        <v>-0.28377765363252583</v>
      </c>
      <c r="F351" s="16">
        <v>-0.35074254418329953</v>
      </c>
      <c r="G351" s="16">
        <v>-0.4051691984138312</v>
      </c>
      <c r="H351" s="16">
        <v>-0.44918381427734494</v>
      </c>
      <c r="I351" s="16">
        <v>-0.48491258972706464</v>
      </c>
      <c r="J351" s="16">
        <v>-0.51448172271621462</v>
      </c>
      <c r="K351" s="16">
        <v>-0.5400174111980186</v>
      </c>
      <c r="L351" s="16">
        <v>-0.56364585312570092</v>
      </c>
      <c r="M351" s="16">
        <v>-0.58749324645248524</v>
      </c>
      <c r="N351" s="16">
        <v>-0.61368578913159622</v>
      </c>
      <c r="O351" s="16">
        <v>-0.64434967911625729</v>
      </c>
      <c r="P351" s="16">
        <v>-0.6816111143596929</v>
      </c>
      <c r="Q351" s="16">
        <v>-0.7275962928151265</v>
      </c>
    </row>
    <row r="352" spans="1:17" x14ac:dyDescent="0.3">
      <c r="A352" s="14" t="s">
        <v>359</v>
      </c>
      <c r="B352" s="15" t="s">
        <v>367</v>
      </c>
      <c r="C352" s="16">
        <v>-0.12696762004252091</v>
      </c>
      <c r="D352" s="16">
        <v>-0.22064735292697035</v>
      </c>
      <c r="E352" s="16">
        <v>-0.30655472539629075</v>
      </c>
      <c r="F352" s="16">
        <v>-0.37467064825657087</v>
      </c>
      <c r="G352" s="16">
        <v>-0.42767279431815181</v>
      </c>
      <c r="H352" s="16">
        <v>-0.46823883639137476</v>
      </c>
      <c r="I352" s="16">
        <v>-0.49904644728658054</v>
      </c>
      <c r="J352" s="16">
        <v>-0.52277329981411014</v>
      </c>
      <c r="K352" s="16">
        <v>-0.54209706678430492</v>
      </c>
      <c r="L352" s="16">
        <v>-0.55969542100750547</v>
      </c>
      <c r="M352" s="16">
        <v>-0.57824603529405316</v>
      </c>
      <c r="N352" s="16">
        <v>-0.60042658245428948</v>
      </c>
      <c r="O352" s="16">
        <v>-0.62891473529855424</v>
      </c>
      <c r="P352" s="16">
        <v>-0.66638816663718958</v>
      </c>
      <c r="Q352" s="16">
        <v>-0.71552454928053599</v>
      </c>
    </row>
    <row r="353" spans="1:17" x14ac:dyDescent="0.3">
      <c r="A353" s="14" t="s">
        <v>359</v>
      </c>
      <c r="B353" s="15" t="s">
        <v>368</v>
      </c>
      <c r="C353" s="16">
        <v>-0.11056061053219751</v>
      </c>
      <c r="D353" s="16">
        <v>-0.19661626199005769</v>
      </c>
      <c r="E353" s="16">
        <v>-0.28003550041936776</v>
      </c>
      <c r="F353" s="16">
        <v>-0.35115198247990131</v>
      </c>
      <c r="G353" s="16">
        <v>-0.4113554258846519</v>
      </c>
      <c r="H353" s="16">
        <v>-0.46203554834661298</v>
      </c>
      <c r="I353" s="16">
        <v>-0.50458206757877777</v>
      </c>
      <c r="J353" s="16">
        <v>-0.54038470129414018</v>
      </c>
      <c r="K353" s="16">
        <v>-0.57083316720569321</v>
      </c>
      <c r="L353" s="16">
        <v>-0.59731718302643044</v>
      </c>
      <c r="M353" s="16">
        <v>-0.62122646646934532</v>
      </c>
      <c r="N353" s="16">
        <v>-0.64395073524743152</v>
      </c>
      <c r="O353" s="16">
        <v>-0.66687970707368216</v>
      </c>
      <c r="P353" s="16">
        <v>-0.6914030996610907</v>
      </c>
      <c r="Q353" s="16">
        <v>-0.71891063072265093</v>
      </c>
    </row>
    <row r="354" spans="1:17" x14ac:dyDescent="0.3">
      <c r="A354" s="14" t="s">
        <v>359</v>
      </c>
      <c r="B354" s="15" t="s">
        <v>369</v>
      </c>
      <c r="C354" s="16">
        <v>-0.10323442599366892</v>
      </c>
      <c r="D354" s="16">
        <v>-0.18426943426743247</v>
      </c>
      <c r="E354" s="16">
        <v>-0.26353482495059122</v>
      </c>
      <c r="F354" s="16">
        <v>-0.3319321195790424</v>
      </c>
      <c r="G354" s="16">
        <v>-0.39068628228805019</v>
      </c>
      <c r="H354" s="16">
        <v>-0.44102227721287868</v>
      </c>
      <c r="I354" s="16">
        <v>-0.48416506848879204</v>
      </c>
      <c r="J354" s="16">
        <v>-0.5213396202510544</v>
      </c>
      <c r="K354" s="16">
        <v>-0.55377089663492984</v>
      </c>
      <c r="L354" s="16">
        <v>-0.58268386177568277</v>
      </c>
      <c r="M354" s="16">
        <v>-0.60930347980857702</v>
      </c>
      <c r="N354" s="16">
        <v>-0.63485471486887668</v>
      </c>
      <c r="O354" s="16">
        <v>-0.66056253109184637</v>
      </c>
      <c r="P354" s="16">
        <v>-0.68765189261274962</v>
      </c>
      <c r="Q354" s="16">
        <v>-0.71734776356685093</v>
      </c>
    </row>
    <row r="355" spans="1:17" x14ac:dyDescent="0.3">
      <c r="A355" s="14" t="s">
        <v>359</v>
      </c>
      <c r="B355" s="15" t="s">
        <v>370</v>
      </c>
      <c r="C355" s="16">
        <v>-9.5941962031522846E-2</v>
      </c>
      <c r="D355" s="16">
        <v>-0.17234588510434309</v>
      </c>
      <c r="E355" s="16">
        <v>-0.24820748456147268</v>
      </c>
      <c r="F355" s="16">
        <v>-0.31494611348197121</v>
      </c>
      <c r="G355" s="16">
        <v>-0.37357532114805081</v>
      </c>
      <c r="H355" s="16">
        <v>-0.42510865684192328</v>
      </c>
      <c r="I355" s="16">
        <v>-0.4705596698458005</v>
      </c>
      <c r="J355" s="16">
        <v>-0.51094190944189466</v>
      </c>
      <c r="K355" s="16">
        <v>-0.54726892491241752</v>
      </c>
      <c r="L355" s="16">
        <v>-0.58055426553958112</v>
      </c>
      <c r="M355" s="16">
        <v>-0.6118114806055972</v>
      </c>
      <c r="N355" s="16">
        <v>-0.64205411939267809</v>
      </c>
      <c r="O355" s="16">
        <v>-0.67229573118303554</v>
      </c>
      <c r="P355" s="16">
        <v>-0.70354986525888119</v>
      </c>
      <c r="Q355" s="16">
        <v>-0.73683007090242747</v>
      </c>
    </row>
    <row r="356" spans="1:17" x14ac:dyDescent="0.3">
      <c r="A356" s="14" t="s">
        <v>371</v>
      </c>
      <c r="B356" s="15" t="s">
        <v>372</v>
      </c>
      <c r="C356" s="16">
        <v>-0.12381391417116813</v>
      </c>
      <c r="D356" s="16">
        <v>-0.21731476649723391</v>
      </c>
      <c r="E356" s="16">
        <v>-0.30522035656933555</v>
      </c>
      <c r="F356" s="16">
        <v>-0.37731309806172997</v>
      </c>
      <c r="G356" s="16">
        <v>-0.43575679606579104</v>
      </c>
      <c r="H356" s="16">
        <v>-0.4827152556728922</v>
      </c>
      <c r="I356" s="16">
        <v>-0.52035228197440753</v>
      </c>
      <c r="J356" s="16">
        <v>-0.55083168006171046</v>
      </c>
      <c r="K356" s="16">
        <v>-0.57631725502617492</v>
      </c>
      <c r="L356" s="16">
        <v>-0.59897281195917429</v>
      </c>
      <c r="M356" s="16">
        <v>-0.62096215595208293</v>
      </c>
      <c r="N356" s="16">
        <v>-0.64444909209627377</v>
      </c>
      <c r="O356" s="16">
        <v>-0.67159742548312107</v>
      </c>
      <c r="P356" s="16">
        <v>-0.70457096120399865</v>
      </c>
      <c r="Q356" s="16">
        <v>-0.7455335043502801</v>
      </c>
    </row>
    <row r="357" spans="1:17" x14ac:dyDescent="0.3">
      <c r="A357" s="14" t="s">
        <v>371</v>
      </c>
      <c r="B357" s="15" t="s">
        <v>373</v>
      </c>
      <c r="C357" s="16">
        <v>-0.12022065809621801</v>
      </c>
      <c r="D357" s="16">
        <v>-0.21064708715283387</v>
      </c>
      <c r="E357" s="16">
        <v>-0.29554239961106843</v>
      </c>
      <c r="F357" s="16">
        <v>-0.36532193591164247</v>
      </c>
      <c r="G357" s="16">
        <v>-0.42242310230489871</v>
      </c>
      <c r="H357" s="16">
        <v>-0.4692833050411801</v>
      </c>
      <c r="I357" s="16">
        <v>-0.50833995037082891</v>
      </c>
      <c r="J357" s="16">
        <v>-0.54203044454418803</v>
      </c>
      <c r="K357" s="16">
        <v>-0.57279219381160018</v>
      </c>
      <c r="L357" s="16">
        <v>-0.60306260442340776</v>
      </c>
      <c r="M357" s="16">
        <v>-0.63527908262995392</v>
      </c>
      <c r="N357" s="16">
        <v>-0.67187903468158106</v>
      </c>
      <c r="O357" s="16">
        <v>-0.71529986682863156</v>
      </c>
      <c r="P357" s="16">
        <v>-0.76797898532144881</v>
      </c>
      <c r="Q357" s="16">
        <v>-0.83235379641037466</v>
      </c>
    </row>
    <row r="358" spans="1:17" x14ac:dyDescent="0.3">
      <c r="A358" s="14" t="s">
        <v>371</v>
      </c>
      <c r="B358" s="15" t="s">
        <v>374</v>
      </c>
      <c r="C358" s="16">
        <v>-0.11230308559037519</v>
      </c>
      <c r="D358" s="16">
        <v>-0.19575250649695902</v>
      </c>
      <c r="E358" s="16">
        <v>-0.27300328397880191</v>
      </c>
      <c r="F358" s="16">
        <v>-0.33521683705631455</v>
      </c>
      <c r="G358" s="16">
        <v>-0.3847848933089455</v>
      </c>
      <c r="H358" s="16">
        <v>-0.42409918031614297</v>
      </c>
      <c r="I358" s="16">
        <v>-0.4555514256573554</v>
      </c>
      <c r="J358" s="16">
        <v>-0.4815333569120312</v>
      </c>
      <c r="K358" s="16">
        <v>-0.50443670165961851</v>
      </c>
      <c r="L358" s="16">
        <v>-0.52665318747956613</v>
      </c>
      <c r="M358" s="16">
        <v>-0.55057454195132194</v>
      </c>
      <c r="N358" s="16">
        <v>-0.57859249265433466</v>
      </c>
      <c r="O358" s="16">
        <v>-0.61309876716805245</v>
      </c>
      <c r="P358" s="16">
        <v>-0.6564850930719236</v>
      </c>
      <c r="Q358" s="16">
        <v>-0.71114319794539671</v>
      </c>
    </row>
    <row r="359" spans="1:17" x14ac:dyDescent="0.3">
      <c r="A359" s="14" t="s">
        <v>371</v>
      </c>
      <c r="B359" s="15" t="s">
        <v>375</v>
      </c>
      <c r="C359" s="16">
        <v>-0.1192115146700847</v>
      </c>
      <c r="D359" s="16">
        <v>-0.20879351764544987</v>
      </c>
      <c r="E359" s="16">
        <v>-0.29266470538045286</v>
      </c>
      <c r="F359" s="16">
        <v>-0.36117502540941532</v>
      </c>
      <c r="G359" s="16">
        <v>-0.41659557673366732</v>
      </c>
      <c r="H359" s="16">
        <v>-0.46119745835453929</v>
      </c>
      <c r="I359" s="16">
        <v>-0.49725176927336112</v>
      </c>
      <c r="J359" s="16">
        <v>-0.52702960849146308</v>
      </c>
      <c r="K359" s="16">
        <v>-0.55280207501017542</v>
      </c>
      <c r="L359" s="16">
        <v>-0.57684026783082798</v>
      </c>
      <c r="M359" s="16">
        <v>-0.60141528595475136</v>
      </c>
      <c r="N359" s="16">
        <v>-0.6287982283832757</v>
      </c>
      <c r="O359" s="16">
        <v>-0.66126019411773085</v>
      </c>
      <c r="P359" s="16">
        <v>-0.70107228215944695</v>
      </c>
      <c r="Q359" s="16">
        <v>-0.75050559150975449</v>
      </c>
    </row>
    <row r="360" spans="1:17" x14ac:dyDescent="0.3">
      <c r="A360" s="14" t="s">
        <v>371</v>
      </c>
      <c r="B360" s="15" t="s">
        <v>376</v>
      </c>
      <c r="C360" s="16">
        <v>-0.12812148986736868</v>
      </c>
      <c r="D360" s="16">
        <v>-0.22306400686280578</v>
      </c>
      <c r="E360" s="16">
        <v>-0.31069516007202214</v>
      </c>
      <c r="F360" s="16">
        <v>-0.38098756889042024</v>
      </c>
      <c r="G360" s="16">
        <v>-0.43672600170013942</v>
      </c>
      <c r="H360" s="16">
        <v>-0.48069522688331923</v>
      </c>
      <c r="I360" s="16">
        <v>-0.51568001282209874</v>
      </c>
      <c r="J360" s="16">
        <v>-0.54446512789861745</v>
      </c>
      <c r="K360" s="16">
        <v>-0.56983534049501472</v>
      </c>
      <c r="L360" s="16">
        <v>-0.59457541899342992</v>
      </c>
      <c r="M360" s="16">
        <v>-0.62147013177600274</v>
      </c>
      <c r="N360" s="16">
        <v>-0.6533042472248719</v>
      </c>
      <c r="O360" s="16">
        <v>-0.69286253372217721</v>
      </c>
      <c r="P360" s="16">
        <v>-0.74292975965005814</v>
      </c>
      <c r="Q360" s="16">
        <v>-0.8062906933906534</v>
      </c>
    </row>
    <row r="361" spans="1:17" x14ac:dyDescent="0.3">
      <c r="A361" s="14" t="s">
        <v>371</v>
      </c>
      <c r="B361" s="15" t="s">
        <v>377</v>
      </c>
      <c r="C361" s="16">
        <v>-0.12629061745677461</v>
      </c>
      <c r="D361" s="16">
        <v>-0.21914637953407143</v>
      </c>
      <c r="E361" s="16">
        <v>-0.3041428286392977</v>
      </c>
      <c r="F361" s="16">
        <v>-0.37157220720927864</v>
      </c>
      <c r="G361" s="16">
        <v>-0.42435581942651684</v>
      </c>
      <c r="H361" s="16">
        <v>-0.46541496947351479</v>
      </c>
      <c r="I361" s="16">
        <v>-0.4976709615327754</v>
      </c>
      <c r="J361" s="16">
        <v>-0.52404509978680114</v>
      </c>
      <c r="K361" s="16">
        <v>-0.54745868841809453</v>
      </c>
      <c r="L361" s="16">
        <v>-0.57083303160915855</v>
      </c>
      <c r="M361" s="16">
        <v>-0.59708943354249544</v>
      </c>
      <c r="N361" s="16">
        <v>-0.62914919840060812</v>
      </c>
      <c r="O361" s="16">
        <v>-0.66993363036599896</v>
      </c>
      <c r="P361" s="16">
        <v>-0.72236403362117085</v>
      </c>
      <c r="Q361" s="16">
        <v>-0.7893617123486264</v>
      </c>
    </row>
    <row r="362" spans="1:17" x14ac:dyDescent="0.3">
      <c r="A362" s="14" t="s">
        <v>371</v>
      </c>
      <c r="B362" s="15" t="s">
        <v>378</v>
      </c>
      <c r="C362" s="16">
        <v>-0.12339072442082241</v>
      </c>
      <c r="D362" s="16">
        <v>-0.21523129167051663</v>
      </c>
      <c r="E362" s="16">
        <v>-0.30034061328177597</v>
      </c>
      <c r="F362" s="16">
        <v>-0.36890776305520995</v>
      </c>
      <c r="G362" s="16">
        <v>-0.4234608872335105</v>
      </c>
      <c r="H362" s="16">
        <v>-0.4665281320593696</v>
      </c>
      <c r="I362" s="16">
        <v>-0.50063764377547915</v>
      </c>
      <c r="J362" s="16">
        <v>-0.52831756862453083</v>
      </c>
      <c r="K362" s="16">
        <v>-0.5520960528492167</v>
      </c>
      <c r="L362" s="16">
        <v>-0.57450124269222869</v>
      </c>
      <c r="M362" s="16">
        <v>-0.59806128439625872</v>
      </c>
      <c r="N362" s="16">
        <v>-0.62530432420399851</v>
      </c>
      <c r="O362" s="16">
        <v>-0.6587585083581402</v>
      </c>
      <c r="P362" s="16">
        <v>-0.70095198310137574</v>
      </c>
      <c r="Q362" s="16">
        <v>-0.75441289467639616</v>
      </c>
    </row>
    <row r="363" spans="1:17" x14ac:dyDescent="0.3">
      <c r="A363" s="14" t="s">
        <v>371</v>
      </c>
      <c r="B363" s="15" t="s">
        <v>379</v>
      </c>
      <c r="C363" s="16">
        <v>-0.12448180636072369</v>
      </c>
      <c r="D363" s="16">
        <v>-0.21638985968925833</v>
      </c>
      <c r="E363" s="16">
        <v>-0.30084871762425708</v>
      </c>
      <c r="F363" s="16">
        <v>-0.36814838961541202</v>
      </c>
      <c r="G363" s="16">
        <v>-0.42102706574848758</v>
      </c>
      <c r="H363" s="16">
        <v>-0.46222293610924847</v>
      </c>
      <c r="I363" s="16">
        <v>-0.49447419078345883</v>
      </c>
      <c r="J363" s="16">
        <v>-0.52051901985688342</v>
      </c>
      <c r="K363" s="16">
        <v>-0.54309561341528689</v>
      </c>
      <c r="L363" s="16">
        <v>-0.56494216154443311</v>
      </c>
      <c r="M363" s="16">
        <v>-0.5887968543300871</v>
      </c>
      <c r="N363" s="16">
        <v>-0.61739788185801325</v>
      </c>
      <c r="O363" s="16">
        <v>-0.65348343421397614</v>
      </c>
      <c r="P363" s="16">
        <v>-0.69979170148373959</v>
      </c>
      <c r="Q363" s="16">
        <v>-0.75906087375306863</v>
      </c>
    </row>
    <row r="364" spans="1:17" x14ac:dyDescent="0.3">
      <c r="A364" s="14" t="s">
        <v>371</v>
      </c>
      <c r="B364" s="15" t="s">
        <v>380</v>
      </c>
      <c r="C364" s="16">
        <v>-0.12339072442082241</v>
      </c>
      <c r="D364" s="16">
        <v>-0.21523129167051663</v>
      </c>
      <c r="E364" s="16">
        <v>-0.30034061328177597</v>
      </c>
      <c r="F364" s="16">
        <v>-0.36890776305520995</v>
      </c>
      <c r="G364" s="16">
        <v>-0.4234608872335105</v>
      </c>
      <c r="H364" s="16">
        <v>-0.4665281320593696</v>
      </c>
      <c r="I364" s="16">
        <v>-0.50063764377547915</v>
      </c>
      <c r="J364" s="16">
        <v>-0.52831756862453083</v>
      </c>
      <c r="K364" s="16">
        <v>-0.5520960528492167</v>
      </c>
      <c r="L364" s="16">
        <v>-0.57450124269222869</v>
      </c>
      <c r="M364" s="16">
        <v>-0.59806128439625872</v>
      </c>
      <c r="N364" s="16">
        <v>-0.62530432420399851</v>
      </c>
      <c r="O364" s="16">
        <v>-0.6587585083581402</v>
      </c>
      <c r="P364" s="16">
        <v>-0.70095198310137574</v>
      </c>
      <c r="Q364" s="16">
        <v>-0.75441289467639616</v>
      </c>
    </row>
    <row r="365" spans="1:17" x14ac:dyDescent="0.3">
      <c r="A365" s="14" t="s">
        <v>371</v>
      </c>
      <c r="B365" s="15" t="s">
        <v>381</v>
      </c>
      <c r="C365" s="16">
        <v>-0.11466778034663724</v>
      </c>
      <c r="D365" s="16">
        <v>-0.2045599259257577</v>
      </c>
      <c r="E365" s="16">
        <v>-0.29224887522550486</v>
      </c>
      <c r="F365" s="16">
        <v>-0.36750967718679473</v>
      </c>
      <c r="G365" s="16">
        <v>-0.43158415878520734</v>
      </c>
      <c r="H365" s="16">
        <v>-0.48571414699632243</v>
      </c>
      <c r="I365" s="16">
        <v>-0.53114146879571977</v>
      </c>
      <c r="J365" s="16">
        <v>-0.56910795115897939</v>
      </c>
      <c r="K365" s="16">
        <v>-0.60085542106168111</v>
      </c>
      <c r="L365" s="16">
        <v>-0.62762570547940477</v>
      </c>
      <c r="M365" s="16">
        <v>-0.65066063138773023</v>
      </c>
      <c r="N365" s="16">
        <v>-0.67120202576223753</v>
      </c>
      <c r="O365" s="16">
        <v>-0.69049171557850597</v>
      </c>
      <c r="P365" s="16">
        <v>-0.70977152781211605</v>
      </c>
      <c r="Q365" s="16">
        <v>-0.73028328943864718</v>
      </c>
    </row>
    <row r="366" spans="1:17" x14ac:dyDescent="0.3">
      <c r="A366" s="14" t="s">
        <v>371</v>
      </c>
      <c r="B366" s="15" t="s">
        <v>382</v>
      </c>
      <c r="C366" s="16">
        <v>-0.12339072442082241</v>
      </c>
      <c r="D366" s="16">
        <v>-0.21523129167051663</v>
      </c>
      <c r="E366" s="16">
        <v>-0.30034061328177597</v>
      </c>
      <c r="F366" s="16">
        <v>-0.36890776305520995</v>
      </c>
      <c r="G366" s="16">
        <v>-0.4234608872335105</v>
      </c>
      <c r="H366" s="16">
        <v>-0.4665281320593696</v>
      </c>
      <c r="I366" s="16">
        <v>-0.50063764377547915</v>
      </c>
      <c r="J366" s="16">
        <v>-0.52831756862453083</v>
      </c>
      <c r="K366" s="16">
        <v>-0.5520960528492167</v>
      </c>
      <c r="L366" s="16">
        <v>-0.57450124269222869</v>
      </c>
      <c r="M366" s="16">
        <v>-0.59806128439625872</v>
      </c>
      <c r="N366" s="16">
        <v>-0.62530432420399851</v>
      </c>
      <c r="O366" s="16">
        <v>-0.6587585083581402</v>
      </c>
      <c r="P366" s="16">
        <v>-0.70095198310137574</v>
      </c>
      <c r="Q366" s="16">
        <v>-0.75441289467639616</v>
      </c>
    </row>
    <row r="367" spans="1:17" x14ac:dyDescent="0.3">
      <c r="A367" s="14" t="s">
        <v>371</v>
      </c>
      <c r="B367" s="15" t="s">
        <v>383</v>
      </c>
      <c r="C367" s="16">
        <v>-0.11009851542135882</v>
      </c>
      <c r="D367" s="16">
        <v>-0.19726857371827983</v>
      </c>
      <c r="E367" s="16">
        <v>-0.28344423324400547</v>
      </c>
      <c r="F367" s="16">
        <v>-0.35899191443208356</v>
      </c>
      <c r="G367" s="16">
        <v>-0.42528788925819777</v>
      </c>
      <c r="H367" s="16">
        <v>-0.48370842969803174</v>
      </c>
      <c r="I367" s="16">
        <v>-0.53562980772726931</v>
      </c>
      <c r="J367" s="16">
        <v>-0.58242829532159401</v>
      </c>
      <c r="K367" s="16">
        <v>-0.62548016445668964</v>
      </c>
      <c r="L367" s="16">
        <v>-0.66616168710823975</v>
      </c>
      <c r="M367" s="16">
        <v>-0.70584913525192816</v>
      </c>
      <c r="N367" s="16">
        <v>-0.74591878086343844</v>
      </c>
      <c r="O367" s="16">
        <v>-0.78774689591845437</v>
      </c>
      <c r="P367" s="16">
        <v>-0.83270975239265954</v>
      </c>
      <c r="Q367" s="16">
        <v>-0.88218362226173785</v>
      </c>
    </row>
    <row r="368" spans="1:17" x14ac:dyDescent="0.3">
      <c r="A368" s="14" t="s">
        <v>371</v>
      </c>
      <c r="B368" s="15" t="s">
        <v>384</v>
      </c>
      <c r="C368" s="16">
        <v>-0.12393733260655861</v>
      </c>
      <c r="D368" s="16">
        <v>-0.21575248452687715</v>
      </c>
      <c r="E368" s="16">
        <v>-0.30042619000495396</v>
      </c>
      <c r="F368" s="16">
        <v>-0.36821506848751129</v>
      </c>
      <c r="G368" s="16">
        <v>-0.42176947268192744</v>
      </c>
      <c r="H368" s="16">
        <v>-0.46373975529558054</v>
      </c>
      <c r="I368" s="16">
        <v>-0.49677626903584887</v>
      </c>
      <c r="J368" s="16">
        <v>-0.52352936661011062</v>
      </c>
      <c r="K368" s="16">
        <v>-0.54664940072574375</v>
      </c>
      <c r="L368" s="16">
        <v>-0.56878672409012687</v>
      </c>
      <c r="M368" s="16">
        <v>-0.59259168941063811</v>
      </c>
      <c r="N368" s="16">
        <v>-0.62071464939465504</v>
      </c>
      <c r="O368" s="16">
        <v>-0.65580595674955644</v>
      </c>
      <c r="P368" s="16">
        <v>-0.70051596418272077</v>
      </c>
      <c r="Q368" s="16">
        <v>-0.75749502440152605</v>
      </c>
    </row>
    <row r="369" spans="1:17" x14ac:dyDescent="0.3">
      <c r="A369" s="14" t="s">
        <v>371</v>
      </c>
      <c r="B369" s="15" t="s">
        <v>385</v>
      </c>
      <c r="C369" s="16">
        <v>-0.12423960888946617</v>
      </c>
      <c r="D369" s="16">
        <v>-0.21658420533375058</v>
      </c>
      <c r="E369" s="16">
        <v>-0.30202881909762697</v>
      </c>
      <c r="F369" s="16">
        <v>-0.370716776136366</v>
      </c>
      <c r="G369" s="16">
        <v>-0.42521536329418486</v>
      </c>
      <c r="H369" s="16">
        <v>-0.46809186741530096</v>
      </c>
      <c r="I369" s="16">
        <v>-0.50191357534393133</v>
      </c>
      <c r="J369" s="16">
        <v>-0.52924777392429345</v>
      </c>
      <c r="K369" s="16">
        <v>-0.55266175000060425</v>
      </c>
      <c r="L369" s="16">
        <v>-0.57472279041708119</v>
      </c>
      <c r="M369" s="16">
        <v>-0.59799818201794153</v>
      </c>
      <c r="N369" s="16">
        <v>-0.62505521164740263</v>
      </c>
      <c r="O369" s="16">
        <v>-0.65846116614968175</v>
      </c>
      <c r="P369" s="16">
        <v>-0.70078333236899548</v>
      </c>
      <c r="Q369" s="16">
        <v>-0.75458899714956196</v>
      </c>
    </row>
    <row r="370" spans="1:17" x14ac:dyDescent="0.3">
      <c r="A370" s="14" t="s">
        <v>371</v>
      </c>
      <c r="B370" s="15" t="s">
        <v>386</v>
      </c>
      <c r="C370" s="16">
        <v>-0.12313809494603106</v>
      </c>
      <c r="D370" s="16">
        <v>-0.21460795557660245</v>
      </c>
      <c r="E370" s="16">
        <v>-0.29920728611378911</v>
      </c>
      <c r="F370" s="16">
        <v>-0.36720069581813314</v>
      </c>
      <c r="G370" s="16">
        <v>-0.42116660344477957</v>
      </c>
      <c r="H370" s="16">
        <v>-0.46368342774887372</v>
      </c>
      <c r="I370" s="16">
        <v>-0.49732958748556078</v>
      </c>
      <c r="J370" s="16">
        <v>-0.52468350140998565</v>
      </c>
      <c r="K370" s="16">
        <v>-0.54832358827729366</v>
      </c>
      <c r="L370" s="16">
        <v>-0.57082826684262988</v>
      </c>
      <c r="M370" s="16">
        <v>-0.59477595586113974</v>
      </c>
      <c r="N370" s="16">
        <v>-0.62274507408796809</v>
      </c>
      <c r="O370" s="16">
        <v>-0.65731404027826013</v>
      </c>
      <c r="P370" s="16">
        <v>-0.70106127318716105</v>
      </c>
      <c r="Q370" s="16">
        <v>-0.75656519156981605</v>
      </c>
    </row>
    <row r="371" spans="1:17" x14ac:dyDescent="0.3">
      <c r="A371" s="14" t="s">
        <v>371</v>
      </c>
      <c r="B371" s="15" t="s">
        <v>387</v>
      </c>
      <c r="C371" s="16">
        <v>-0.12549619315454091</v>
      </c>
      <c r="D371" s="16">
        <v>-0.21881176210291448</v>
      </c>
      <c r="E371" s="16">
        <v>-0.30515572702705013</v>
      </c>
      <c r="F371" s="16">
        <v>-0.37452402896333392</v>
      </c>
      <c r="G371" s="16">
        <v>-0.42946222826360592</v>
      </c>
      <c r="H371" s="16">
        <v>-0.47251588527970612</v>
      </c>
      <c r="I371" s="16">
        <v>-0.50623056036347502</v>
      </c>
      <c r="J371" s="16">
        <v>-0.53315181386675226</v>
      </c>
      <c r="K371" s="16">
        <v>-0.55582520614137831</v>
      </c>
      <c r="L371" s="16">
        <v>-0.57679629753919304</v>
      </c>
      <c r="M371" s="16">
        <v>-0.59861064841203671</v>
      </c>
      <c r="N371" s="16">
        <v>-0.62381381911174905</v>
      </c>
      <c r="O371" s="16">
        <v>-0.65495136999017056</v>
      </c>
      <c r="P371" s="16">
        <v>-0.69456886139914176</v>
      </c>
      <c r="Q371" s="16">
        <v>-0.7452118536905018</v>
      </c>
    </row>
    <row r="372" spans="1:17" x14ac:dyDescent="0.3">
      <c r="A372" s="14" t="s">
        <v>388</v>
      </c>
      <c r="B372" s="15" t="s">
        <v>389</v>
      </c>
      <c r="C372" s="16">
        <v>-0.11703438073185667</v>
      </c>
      <c r="D372" s="16">
        <v>-0.20663682902756983</v>
      </c>
      <c r="E372" s="16">
        <v>-0.29221997810130262</v>
      </c>
      <c r="F372" s="16">
        <v>-0.3640285760493861</v>
      </c>
      <c r="G372" s="16">
        <v>-0.4240108090413367</v>
      </c>
      <c r="H372" s="16">
        <v>-0.47411486324667118</v>
      </c>
      <c r="I372" s="16">
        <v>-0.51628892483490618</v>
      </c>
      <c r="J372" s="16">
        <v>-0.55248117997555801</v>
      </c>
      <c r="K372" s="16">
        <v>-0.58463981483814353</v>
      </c>
      <c r="L372" s="16">
        <v>-0.61471301559217939</v>
      </c>
      <c r="M372" s="16">
        <v>-0.644648968407182</v>
      </c>
      <c r="N372" s="16">
        <v>-0.676395859452668</v>
      </c>
      <c r="O372" s="16">
        <v>-0.71190187489815415</v>
      </c>
      <c r="P372" s="16">
        <v>-0.75311520091315709</v>
      </c>
      <c r="Q372" s="16">
        <v>-0.80198402366719324</v>
      </c>
    </row>
    <row r="373" spans="1:17" x14ac:dyDescent="0.3">
      <c r="A373" s="14" t="s">
        <v>388</v>
      </c>
      <c r="B373" s="15" t="s">
        <v>390</v>
      </c>
      <c r="C373" s="16">
        <v>-0.11660705068618787</v>
      </c>
      <c r="D373" s="16">
        <v>-0.20580911898793608</v>
      </c>
      <c r="E373" s="16">
        <v>-0.29100182439633915</v>
      </c>
      <c r="F373" s="16">
        <v>-0.36255065462062191</v>
      </c>
      <c r="G373" s="16">
        <v>-0.42248180243862798</v>
      </c>
      <c r="H373" s="16">
        <v>-0.47282146062820102</v>
      </c>
      <c r="I373" s="16">
        <v>-0.51559582196718456</v>
      </c>
      <c r="J373" s="16">
        <v>-0.55283107923342234</v>
      </c>
      <c r="K373" s="16">
        <v>-0.58655342520475795</v>
      </c>
      <c r="L373" s="16">
        <v>-0.61878905265903517</v>
      </c>
      <c r="M373" s="16">
        <v>-0.6515641543740972</v>
      </c>
      <c r="N373" s="16">
        <v>-0.68690492312778806</v>
      </c>
      <c r="O373" s="16">
        <v>-0.72683755169795128</v>
      </c>
      <c r="P373" s="16">
        <v>-0.77338823286243041</v>
      </c>
      <c r="Q373" s="16">
        <v>-0.82858315939906924</v>
      </c>
    </row>
    <row r="374" spans="1:17" x14ac:dyDescent="0.3">
      <c r="A374" s="14" t="s">
        <v>388</v>
      </c>
      <c r="B374" s="15" t="s">
        <v>391</v>
      </c>
      <c r="C374" s="16">
        <v>-0.11703438073185667</v>
      </c>
      <c r="D374" s="16">
        <v>-0.20663682902756983</v>
      </c>
      <c r="E374" s="16">
        <v>-0.29221997810130262</v>
      </c>
      <c r="F374" s="16">
        <v>-0.3640285760493861</v>
      </c>
      <c r="G374" s="16">
        <v>-0.4240108090413367</v>
      </c>
      <c r="H374" s="16">
        <v>-0.47411486324667118</v>
      </c>
      <c r="I374" s="16">
        <v>-0.51628892483490618</v>
      </c>
      <c r="J374" s="16">
        <v>-0.55248117997555801</v>
      </c>
      <c r="K374" s="16">
        <v>-0.58463981483814353</v>
      </c>
      <c r="L374" s="16">
        <v>-0.61471301559217939</v>
      </c>
      <c r="M374" s="16">
        <v>-0.644648968407182</v>
      </c>
      <c r="N374" s="16">
        <v>-0.676395859452668</v>
      </c>
      <c r="O374" s="16">
        <v>-0.71190187489815415</v>
      </c>
      <c r="P374" s="16">
        <v>-0.75311520091315709</v>
      </c>
      <c r="Q374" s="16">
        <v>-0.80198402366719324</v>
      </c>
    </row>
    <row r="375" spans="1:17" x14ac:dyDescent="0.3">
      <c r="A375" s="14" t="s">
        <v>388</v>
      </c>
      <c r="B375" s="15" t="s">
        <v>392</v>
      </c>
      <c r="C375" s="16">
        <v>-0.10777246443869562</v>
      </c>
      <c r="D375" s="16">
        <v>-0.19385343748872361</v>
      </c>
      <c r="E375" s="16">
        <v>-0.27950950359479976</v>
      </c>
      <c r="F375" s="16">
        <v>-0.35499095569053463</v>
      </c>
      <c r="G375" s="16">
        <v>-0.42132533315340814</v>
      </c>
      <c r="H375" s="16">
        <v>-0.47954017536090038</v>
      </c>
      <c r="I375" s="16">
        <v>-0.5306630216904914</v>
      </c>
      <c r="J375" s="16">
        <v>-0.57572141151966116</v>
      </c>
      <c r="K375" s="16">
        <v>-0.61574288422588985</v>
      </c>
      <c r="L375" s="16">
        <v>-0.65175497918665737</v>
      </c>
      <c r="M375" s="16">
        <v>-0.68478523577944361</v>
      </c>
      <c r="N375" s="16">
        <v>-0.71586119338172904</v>
      </c>
      <c r="O375" s="16">
        <v>-0.74601039137099323</v>
      </c>
      <c r="P375" s="16">
        <v>-0.77626036912471641</v>
      </c>
      <c r="Q375" s="16">
        <v>-0.80763866602037904</v>
      </c>
    </row>
    <row r="376" spans="1:17" x14ac:dyDescent="0.3">
      <c r="A376" s="14" t="s">
        <v>388</v>
      </c>
      <c r="B376" s="15" t="s">
        <v>393</v>
      </c>
      <c r="C376" s="16">
        <v>-0.1209449656400053</v>
      </c>
      <c r="D376" s="16">
        <v>-0.21249310572812929</v>
      </c>
      <c r="E376" s="16">
        <v>-0.29882711234890319</v>
      </c>
      <c r="F376" s="16">
        <v>-0.36998157777741913</v>
      </c>
      <c r="G376" s="16">
        <v>-0.42808559085277009</v>
      </c>
      <c r="H376" s="16">
        <v>-0.47526824041404897</v>
      </c>
      <c r="I376" s="16">
        <v>-0.51365861530034829</v>
      </c>
      <c r="J376" s="16">
        <v>-0.54538580435076101</v>
      </c>
      <c r="K376" s="16">
        <v>-0.57257889640438009</v>
      </c>
      <c r="L376" s="16">
        <v>-0.59736698030029778</v>
      </c>
      <c r="M376" s="16">
        <v>-0.62187914487760787</v>
      </c>
      <c r="N376" s="16">
        <v>-0.64824447897540249</v>
      </c>
      <c r="O376" s="16">
        <v>-0.67859207143277411</v>
      </c>
      <c r="P376" s="16">
        <v>-0.7150510110888163</v>
      </c>
      <c r="Q376" s="16">
        <v>-0.75975038678262174</v>
      </c>
    </row>
    <row r="377" spans="1:17" x14ac:dyDescent="0.3">
      <c r="A377" s="14" t="s">
        <v>388</v>
      </c>
      <c r="B377" s="15" t="s">
        <v>394</v>
      </c>
      <c r="C377" s="16">
        <v>-0.11522121376839117</v>
      </c>
      <c r="D377" s="16">
        <v>-0.20535186796860977</v>
      </c>
      <c r="E377" s="16">
        <v>-0.29321872211698363</v>
      </c>
      <c r="F377" s="16">
        <v>-0.36873312262126373</v>
      </c>
      <c r="G377" s="16">
        <v>-0.43332853726604026</v>
      </c>
      <c r="H377" s="16">
        <v>-0.48843843383590302</v>
      </c>
      <c r="I377" s="16">
        <v>-0.53549628011544226</v>
      </c>
      <c r="J377" s="16">
        <v>-0.57593554388924817</v>
      </c>
      <c r="K377" s="16">
        <v>-0.61118969294191083</v>
      </c>
      <c r="L377" s="16">
        <v>-0.64269219505802011</v>
      </c>
      <c r="M377" s="16">
        <v>-0.67187651802216619</v>
      </c>
      <c r="N377" s="16">
        <v>-0.70017612961893905</v>
      </c>
      <c r="O377" s="16">
        <v>-0.7290244976329292</v>
      </c>
      <c r="P377" s="16">
        <v>-0.75985508984872618</v>
      </c>
      <c r="Q377" s="16">
        <v>-0.79410137405092063</v>
      </c>
    </row>
    <row r="378" spans="1:17" x14ac:dyDescent="0.3">
      <c r="A378" s="14" t="s">
        <v>388</v>
      </c>
      <c r="B378" s="15" t="s">
        <v>395</v>
      </c>
      <c r="C378" s="16">
        <v>-0.11715911360311886</v>
      </c>
      <c r="D378" s="16">
        <v>-0.20871720060878685</v>
      </c>
      <c r="E378" s="16">
        <v>-0.29785423429462804</v>
      </c>
      <c r="F378" s="16">
        <v>-0.37428868234355794</v>
      </c>
      <c r="G378" s="16">
        <v>-0.43945492379880396</v>
      </c>
      <c r="H378" s="16">
        <v>-0.49478733770359351</v>
      </c>
      <c r="I378" s="16">
        <v>-0.54172030310115382</v>
      </c>
      <c r="J378" s="16">
        <v>-0.58168819903471258</v>
      </c>
      <c r="K378" s="16">
        <v>-0.61612540454749687</v>
      </c>
      <c r="L378" s="16">
        <v>-0.64646629868273442</v>
      </c>
      <c r="M378" s="16">
        <v>-0.6741452604836522</v>
      </c>
      <c r="N378" s="16">
        <v>-0.70059666899347817</v>
      </c>
      <c r="O378" s="16">
        <v>-0.72725490325543918</v>
      </c>
      <c r="P378" s="16">
        <v>-0.75555434231276286</v>
      </c>
      <c r="Q378" s="16">
        <v>-0.78692936520867651</v>
      </c>
    </row>
    <row r="379" spans="1:17" x14ac:dyDescent="0.3">
      <c r="A379" s="14" t="s">
        <v>388</v>
      </c>
      <c r="B379" s="15" t="s">
        <v>396</v>
      </c>
      <c r="C379" s="16">
        <v>-0.12218723693344648</v>
      </c>
      <c r="D379" s="16">
        <v>-0.21483052280913564</v>
      </c>
      <c r="E379" s="16">
        <v>-0.30241430665063018</v>
      </c>
      <c r="F379" s="16">
        <v>-0.37491100576412528</v>
      </c>
      <c r="G379" s="16">
        <v>-0.43451176114916079</v>
      </c>
      <c r="H379" s="16">
        <v>-0.48340771380527636</v>
      </c>
      <c r="I379" s="16">
        <v>-0.5237900047320122</v>
      </c>
      <c r="J379" s="16">
        <v>-0.55784977492890797</v>
      </c>
      <c r="K379" s="16">
        <v>-0.58777816539550332</v>
      </c>
      <c r="L379" s="16">
        <v>-0.61576631713133856</v>
      </c>
      <c r="M379" s="16">
        <v>-0.64400537113595302</v>
      </c>
      <c r="N379" s="16">
        <v>-0.6746864684088868</v>
      </c>
      <c r="O379" s="16">
        <v>-0.71000074994967988</v>
      </c>
      <c r="P379" s="16">
        <v>-0.75213935675787169</v>
      </c>
      <c r="Q379" s="16">
        <v>-0.80329342983300278</v>
      </c>
    </row>
    <row r="380" spans="1:17" x14ac:dyDescent="0.3">
      <c r="A380" s="14" t="s">
        <v>388</v>
      </c>
      <c r="B380" s="15" t="s">
        <v>397</v>
      </c>
      <c r="C380" s="16">
        <v>-0.13012191769683876</v>
      </c>
      <c r="D380" s="16">
        <v>-0.22784925079457818</v>
      </c>
      <c r="E380" s="16">
        <v>-0.31925926355904599</v>
      </c>
      <c r="F380" s="16">
        <v>-0.39379140858692324</v>
      </c>
      <c r="G380" s="16">
        <v>-0.45389733024457485</v>
      </c>
      <c r="H380" s="16">
        <v>-0.50202867289836584</v>
      </c>
      <c r="I380" s="16">
        <v>-0.54063708091466101</v>
      </c>
      <c r="J380" s="16">
        <v>-0.57217419865982533</v>
      </c>
      <c r="K380" s="16">
        <v>-0.59909167050022372</v>
      </c>
      <c r="L380" s="16">
        <v>-0.62384114080222108</v>
      </c>
      <c r="M380" s="16">
        <v>-0.64887425393218223</v>
      </c>
      <c r="N380" s="16">
        <v>-0.6766426542564723</v>
      </c>
      <c r="O380" s="16">
        <v>-0.70959798614145597</v>
      </c>
      <c r="P380" s="16">
        <v>-0.75019189395349839</v>
      </c>
      <c r="Q380" s="16">
        <v>-0.80087602205896424</v>
      </c>
    </row>
    <row r="381" spans="1:17" x14ac:dyDescent="0.3">
      <c r="A381" s="14" t="s">
        <v>388</v>
      </c>
      <c r="B381" s="15" t="s">
        <v>398</v>
      </c>
      <c r="C381" s="16">
        <v>-0.13520465070001192</v>
      </c>
      <c r="D381" s="16">
        <v>-0.23641552164761984</v>
      </c>
      <c r="E381" s="16">
        <v>-0.33080005173362942</v>
      </c>
      <c r="F381" s="16">
        <v>-0.40750591088058652</v>
      </c>
      <c r="G381" s="16">
        <v>-0.46920123408103842</v>
      </c>
      <c r="H381" s="16">
        <v>-0.51855415632753232</v>
      </c>
      <c r="I381" s="16">
        <v>-0.55823281261261537</v>
      </c>
      <c r="J381" s="16">
        <v>-0.5909053379288346</v>
      </c>
      <c r="K381" s="16">
        <v>-0.61923986726873725</v>
      </c>
      <c r="L381" s="16">
        <v>-0.64590453562487082</v>
      </c>
      <c r="M381" s="16">
        <v>-0.673567477989782</v>
      </c>
      <c r="N381" s="16">
        <v>-0.70489682935601827</v>
      </c>
      <c r="O381" s="16">
        <v>-0.74256072471612689</v>
      </c>
      <c r="P381" s="16">
        <v>-0.78922729906265454</v>
      </c>
      <c r="Q381" s="16">
        <v>-0.8475646873881485</v>
      </c>
    </row>
    <row r="382" spans="1:17" x14ac:dyDescent="0.3">
      <c r="A382" s="14" t="s">
        <v>388</v>
      </c>
      <c r="B382" s="15" t="s">
        <v>399</v>
      </c>
      <c r="C382" s="16">
        <v>-0.1204595393462824</v>
      </c>
      <c r="D382" s="16">
        <v>-0.21163620839209024</v>
      </c>
      <c r="E382" s="16">
        <v>-0.29770560882425484</v>
      </c>
      <c r="F382" s="16">
        <v>-0.36884279420494059</v>
      </c>
      <c r="G382" s="16">
        <v>-0.42726877203094016</v>
      </c>
      <c r="H382" s="16">
        <v>-0.47520454979904592</v>
      </c>
      <c r="I382" s="16">
        <v>-0.51487113500605075</v>
      </c>
      <c r="J382" s="16">
        <v>-0.5484895351487471</v>
      </c>
      <c r="K382" s="16">
        <v>-0.5782807577239274</v>
      </c>
      <c r="L382" s="16">
        <v>-0.60646581022838475</v>
      </c>
      <c r="M382" s="16">
        <v>-0.63526570015891115</v>
      </c>
      <c r="N382" s="16">
        <v>-0.66690143501229959</v>
      </c>
      <c r="O382" s="16">
        <v>-0.70359402228534262</v>
      </c>
      <c r="P382" s="16">
        <v>-0.7475644694748329</v>
      </c>
      <c r="Q382" s="16">
        <v>-0.80103378407756276</v>
      </c>
    </row>
    <row r="383" spans="1:17" x14ac:dyDescent="0.3">
      <c r="A383" s="14" t="s">
        <v>388</v>
      </c>
      <c r="B383" s="15" t="s">
        <v>400</v>
      </c>
      <c r="C383" s="16">
        <v>-0.11746749781650097</v>
      </c>
      <c r="D383" s="16">
        <v>-0.20689542880443862</v>
      </c>
      <c r="E383" s="16">
        <v>-0.29180922108741192</v>
      </c>
      <c r="F383" s="16">
        <v>-0.36250905995656113</v>
      </c>
      <c r="G383" s="16">
        <v>-0.42104188048467678</v>
      </c>
      <c r="H383" s="16">
        <v>-0.46945461774454911</v>
      </c>
      <c r="I383" s="16">
        <v>-0.50979420680896859</v>
      </c>
      <c r="J383" s="16">
        <v>-0.54410758275072546</v>
      </c>
      <c r="K383" s="16">
        <v>-0.57444168064261036</v>
      </c>
      <c r="L383" s="16">
        <v>-0.60284343555741382</v>
      </c>
      <c r="M383" s="16">
        <v>-0.63135978256792569</v>
      </c>
      <c r="N383" s="16">
        <v>-0.66203765674693671</v>
      </c>
      <c r="O383" s="16">
        <v>-0.69692399316723741</v>
      </c>
      <c r="P383" s="16">
        <v>-0.73806572690161798</v>
      </c>
      <c r="Q383" s="16">
        <v>-0.78750979302286894</v>
      </c>
    </row>
    <row r="384" spans="1:17" x14ac:dyDescent="0.3">
      <c r="A384" s="14" t="s">
        <v>388</v>
      </c>
      <c r="B384" s="15" t="s">
        <v>401</v>
      </c>
      <c r="C384" s="16">
        <v>-0.11973499616613237</v>
      </c>
      <c r="D384" s="16">
        <v>-0.20955854883968072</v>
      </c>
      <c r="E384" s="16">
        <v>-0.29363071579117506</v>
      </c>
      <c r="F384" s="16">
        <v>-0.36242929008445907</v>
      </c>
      <c r="G384" s="16">
        <v>-0.41840556439998972</v>
      </c>
      <c r="H384" s="16">
        <v>-0.46401083141822408</v>
      </c>
      <c r="I384" s="16">
        <v>-0.50169638381961923</v>
      </c>
      <c r="J384" s="16">
        <v>-0.53391351428463185</v>
      </c>
      <c r="K384" s="16">
        <v>-0.56311351549371924</v>
      </c>
      <c r="L384" s="16">
        <v>-0.59174768012733825</v>
      </c>
      <c r="M384" s="16">
        <v>-0.62226730086594606</v>
      </c>
      <c r="N384" s="16">
        <v>-0.6571236703899993</v>
      </c>
      <c r="O384" s="16">
        <v>-0.69876808137995539</v>
      </c>
      <c r="P384" s="16">
        <v>-0.74965182651627127</v>
      </c>
      <c r="Q384" s="16">
        <v>-0.81222619847940358</v>
      </c>
    </row>
    <row r="385" spans="1:17" x14ac:dyDescent="0.3">
      <c r="A385" s="14" t="s">
        <v>388</v>
      </c>
      <c r="B385" s="15" t="s">
        <v>402</v>
      </c>
      <c r="C385" s="16">
        <v>-0.11703438073185667</v>
      </c>
      <c r="D385" s="16">
        <v>-0.20663682902756983</v>
      </c>
      <c r="E385" s="16">
        <v>-0.29221997810130262</v>
      </c>
      <c r="F385" s="16">
        <v>-0.3640285760493861</v>
      </c>
      <c r="G385" s="16">
        <v>-0.4240108090413367</v>
      </c>
      <c r="H385" s="16">
        <v>-0.47411486324667118</v>
      </c>
      <c r="I385" s="16">
        <v>-0.51628892483490618</v>
      </c>
      <c r="J385" s="16">
        <v>-0.55248117997555801</v>
      </c>
      <c r="K385" s="16">
        <v>-0.58463981483814353</v>
      </c>
      <c r="L385" s="16">
        <v>-0.61471301559217939</v>
      </c>
      <c r="M385" s="16">
        <v>-0.644648968407182</v>
      </c>
      <c r="N385" s="16">
        <v>-0.676395859452668</v>
      </c>
      <c r="O385" s="16">
        <v>-0.71190187489815415</v>
      </c>
      <c r="P385" s="16">
        <v>-0.75311520091315709</v>
      </c>
      <c r="Q385" s="16">
        <v>-0.80198402366719324</v>
      </c>
    </row>
    <row r="386" spans="1:17" x14ac:dyDescent="0.3">
      <c r="A386" s="14" t="s">
        <v>388</v>
      </c>
      <c r="B386" s="15" t="s">
        <v>403</v>
      </c>
      <c r="C386" s="16">
        <v>-0.11700000000000001</v>
      </c>
      <c r="D386" s="16">
        <v>-0.20660000000000001</v>
      </c>
      <c r="E386" s="16">
        <v>-0.29220000000000002</v>
      </c>
      <c r="F386" s="16">
        <v>-0.36399999999999999</v>
      </c>
      <c r="G386" s="16">
        <v>-0.42399999999999999</v>
      </c>
      <c r="H386" s="16">
        <v>-0.47410000000000002</v>
      </c>
      <c r="I386" s="16">
        <v>-0.51629999999999998</v>
      </c>
      <c r="J386" s="16">
        <v>-0.55249999999999999</v>
      </c>
      <c r="K386" s="16">
        <v>-0.58460000000000001</v>
      </c>
      <c r="L386" s="16">
        <v>-0.61470000000000002</v>
      </c>
      <c r="M386" s="16">
        <v>-0.64459999999999995</v>
      </c>
      <c r="N386" s="16">
        <v>-0.6764</v>
      </c>
      <c r="O386" s="16">
        <v>-0.71189999999999998</v>
      </c>
      <c r="P386" s="16">
        <v>-0.75309999999999999</v>
      </c>
      <c r="Q386" s="16">
        <v>-0.80200000000000005</v>
      </c>
    </row>
    <row r="387" spans="1:17" x14ac:dyDescent="0.3">
      <c r="A387" s="14" t="s">
        <v>388</v>
      </c>
      <c r="B387" s="15" t="s">
        <v>404</v>
      </c>
      <c r="C387" s="16">
        <v>-0.1031</v>
      </c>
      <c r="D387" s="16">
        <v>-0.1852</v>
      </c>
      <c r="E387" s="16">
        <v>-0.26669999999999999</v>
      </c>
      <c r="F387" s="16">
        <v>-0.3382</v>
      </c>
      <c r="G387" s="16">
        <v>-0.40110000000000001</v>
      </c>
      <c r="H387" s="16">
        <v>-0.45619999999999999</v>
      </c>
      <c r="I387" s="16">
        <v>-0.50480000000000003</v>
      </c>
      <c r="J387" s="16">
        <v>-0.54790000000000005</v>
      </c>
      <c r="K387" s="16">
        <v>-0.5867</v>
      </c>
      <c r="L387" s="16">
        <v>-0.62219999999999998</v>
      </c>
      <c r="M387" s="16">
        <v>-0.65559999999999996</v>
      </c>
      <c r="N387" s="16">
        <v>-0.68779999999999997</v>
      </c>
      <c r="O387" s="16">
        <v>-0.72019999999999995</v>
      </c>
      <c r="P387" s="16">
        <v>-0.75360000000000005</v>
      </c>
      <c r="Q387" s="16">
        <v>-0.7893</v>
      </c>
    </row>
    <row r="388" spans="1:17" x14ac:dyDescent="0.3">
      <c r="A388" s="14" t="s">
        <v>388</v>
      </c>
      <c r="B388" s="15" t="s">
        <v>405</v>
      </c>
      <c r="C388" s="16">
        <v>-0.1052</v>
      </c>
      <c r="D388" s="16">
        <v>-0.188</v>
      </c>
      <c r="E388" s="16">
        <v>-0.26929999999999998</v>
      </c>
      <c r="F388" s="16">
        <v>-0.33989999999999998</v>
      </c>
      <c r="G388" s="16">
        <v>-0.4012</v>
      </c>
      <c r="H388" s="16">
        <v>-0.45450000000000002</v>
      </c>
      <c r="I388" s="16">
        <v>-0.50109999999999999</v>
      </c>
      <c r="J388" s="16">
        <v>-0.5423</v>
      </c>
      <c r="K388" s="16">
        <v>-0.57950000000000002</v>
      </c>
      <c r="L388" s="16">
        <v>-0.61399999999999999</v>
      </c>
      <c r="M388" s="16">
        <v>-0.6472</v>
      </c>
      <c r="N388" s="16">
        <v>-0.68030000000000002</v>
      </c>
      <c r="O388" s="16">
        <v>-0.71479999999999999</v>
      </c>
      <c r="P388" s="16">
        <v>-0.75190000000000001</v>
      </c>
      <c r="Q388" s="16">
        <v>-0.79300000000000004</v>
      </c>
    </row>
    <row r="389" spans="1:17" x14ac:dyDescent="0.3">
      <c r="A389" s="14" t="s">
        <v>388</v>
      </c>
      <c r="B389" s="15" t="s">
        <v>406</v>
      </c>
      <c r="C389" s="16">
        <v>-0.1187</v>
      </c>
      <c r="D389" s="16">
        <v>-0.2084</v>
      </c>
      <c r="E389" s="16">
        <v>-0.29320000000000002</v>
      </c>
      <c r="F389" s="16">
        <v>-0.36349999999999999</v>
      </c>
      <c r="G389" s="16">
        <v>-0.42209999999999998</v>
      </c>
      <c r="H389" s="16">
        <v>-0.4713</v>
      </c>
      <c r="I389" s="16">
        <v>-0.51370000000000005</v>
      </c>
      <c r="J389" s="16">
        <v>-0.55169999999999997</v>
      </c>
      <c r="K389" s="16">
        <v>-0.58789999999999998</v>
      </c>
      <c r="L389" s="16">
        <v>-0.62470000000000003</v>
      </c>
      <c r="M389" s="16">
        <v>-0.66469999999999996</v>
      </c>
      <c r="N389" s="16">
        <v>-0.71040000000000003</v>
      </c>
      <c r="O389" s="16">
        <v>-0.76419999999999999</v>
      </c>
      <c r="P389" s="16">
        <v>-0.8286</v>
      </c>
      <c r="Q389" s="16">
        <v>-0.90620000000000001</v>
      </c>
    </row>
    <row r="390" spans="1:17" x14ac:dyDescent="0.3">
      <c r="A390" s="14" t="s">
        <v>388</v>
      </c>
      <c r="B390" s="15" t="s">
        <v>407</v>
      </c>
      <c r="C390" s="16">
        <v>-0.1196</v>
      </c>
      <c r="D390" s="16">
        <v>-0.21079999999999999</v>
      </c>
      <c r="E390" s="16">
        <v>-0.29759999999999998</v>
      </c>
      <c r="F390" s="16">
        <v>-0.37009999999999998</v>
      </c>
      <c r="G390" s="16">
        <v>-0.43030000000000002</v>
      </c>
      <c r="H390" s="16">
        <v>-0.48020000000000002</v>
      </c>
      <c r="I390" s="16">
        <v>-0.52190000000000003</v>
      </c>
      <c r="J390" s="16">
        <v>-0.55740000000000001</v>
      </c>
      <c r="K390" s="16">
        <v>-0.5887</v>
      </c>
      <c r="L390" s="16">
        <v>-0.61780000000000002</v>
      </c>
      <c r="M390" s="16">
        <v>-0.64690000000000003</v>
      </c>
      <c r="N390" s="16">
        <v>-0.67779999999999996</v>
      </c>
      <c r="O390" s="16">
        <v>-0.7127</v>
      </c>
      <c r="P390" s="16">
        <v>-0.75370000000000004</v>
      </c>
      <c r="Q390" s="16">
        <v>-0.80259999999999998</v>
      </c>
    </row>
    <row r="391" spans="1:17" x14ac:dyDescent="0.3">
      <c r="A391" s="14" t="s">
        <v>388</v>
      </c>
      <c r="B391" s="15" t="s">
        <v>408</v>
      </c>
      <c r="C391" s="16">
        <v>-9.5699999999999993E-2</v>
      </c>
      <c r="D391" s="16">
        <v>-0.1721</v>
      </c>
      <c r="E391" s="16">
        <v>-0.24840000000000001</v>
      </c>
      <c r="F391" s="16">
        <v>-0.316</v>
      </c>
      <c r="G391" s="16">
        <v>-0.37609999999999999</v>
      </c>
      <c r="H391" s="16">
        <v>-0.42970000000000003</v>
      </c>
      <c r="I391" s="16">
        <v>-0.47799999999999998</v>
      </c>
      <c r="J391" s="16">
        <v>-0.52200000000000002</v>
      </c>
      <c r="K391" s="16">
        <v>-0.56279999999999997</v>
      </c>
      <c r="L391" s="16">
        <v>-0.60160000000000002</v>
      </c>
      <c r="M391" s="16">
        <v>-0.63929999999999998</v>
      </c>
      <c r="N391" s="16">
        <v>-0.67730000000000001</v>
      </c>
      <c r="O391" s="16">
        <v>-0.71640000000000004</v>
      </c>
      <c r="P391" s="16">
        <v>-0.75790000000000002</v>
      </c>
      <c r="Q391" s="16">
        <v>-0.80269999999999997</v>
      </c>
    </row>
    <row r="392" spans="1:17" x14ac:dyDescent="0.3">
      <c r="A392" s="14" t="s">
        <v>409</v>
      </c>
      <c r="B392" s="15" t="s">
        <v>410</v>
      </c>
      <c r="C392" s="16">
        <v>-0.13339999999999999</v>
      </c>
      <c r="D392" s="16">
        <v>-0.23669999999999999</v>
      </c>
      <c r="E392" s="16">
        <v>-0.33610000000000001</v>
      </c>
      <c r="F392" s="16">
        <v>-0.42030000000000001</v>
      </c>
      <c r="G392" s="16">
        <v>-0.49099999999999999</v>
      </c>
      <c r="H392" s="16">
        <v>-0.55010000000000003</v>
      </c>
      <c r="I392" s="16">
        <v>-0.59919999999999995</v>
      </c>
      <c r="J392" s="16">
        <v>-0.64029999999999998</v>
      </c>
      <c r="K392" s="16">
        <v>-0.67510000000000003</v>
      </c>
      <c r="L392" s="16">
        <v>-0.70550000000000002</v>
      </c>
      <c r="M392" s="16">
        <v>-0.73329999999999995</v>
      </c>
      <c r="N392" s="16">
        <v>-0.76019999999999999</v>
      </c>
      <c r="O392" s="16">
        <v>-0.78800000000000003</v>
      </c>
      <c r="P392" s="16">
        <v>-0.81859999999999999</v>
      </c>
      <c r="Q392" s="16">
        <v>-0.8538</v>
      </c>
    </row>
    <row r="393" spans="1:17" x14ac:dyDescent="0.3">
      <c r="A393" s="14" t="s">
        <v>409</v>
      </c>
      <c r="B393" s="15" t="s">
        <v>411</v>
      </c>
      <c r="C393" s="16">
        <v>-0.1303</v>
      </c>
      <c r="D393" s="16">
        <v>-0.23150000000000001</v>
      </c>
      <c r="E393" s="16">
        <v>-0.32950000000000002</v>
      </c>
      <c r="F393" s="16">
        <v>-0.41289999999999999</v>
      </c>
      <c r="G393" s="16">
        <v>-0.48330000000000001</v>
      </c>
      <c r="H393" s="16">
        <v>-0.54239999999999999</v>
      </c>
      <c r="I393" s="16">
        <v>-0.59179999999999999</v>
      </c>
      <c r="J393" s="16">
        <v>-0.63319999999999999</v>
      </c>
      <c r="K393" s="16">
        <v>-0.66830000000000001</v>
      </c>
      <c r="L393" s="16">
        <v>-0.6986</v>
      </c>
      <c r="M393" s="16">
        <v>-0.72589999999999999</v>
      </c>
      <c r="N393" s="16">
        <v>-0.75180000000000002</v>
      </c>
      <c r="O393" s="16">
        <v>-0.77790000000000004</v>
      </c>
      <c r="P393" s="16">
        <v>-0.80600000000000005</v>
      </c>
      <c r="Q393" s="16">
        <v>-0.83760000000000001</v>
      </c>
    </row>
    <row r="394" spans="1:17" x14ac:dyDescent="0.3">
      <c r="A394" s="14" t="s">
        <v>409</v>
      </c>
      <c r="B394" s="15" t="s">
        <v>412</v>
      </c>
      <c r="C394" s="16">
        <v>-0.1401</v>
      </c>
      <c r="D394" s="16">
        <v>-0.24779999999999999</v>
      </c>
      <c r="E394" s="16">
        <v>-0.35099999999999998</v>
      </c>
      <c r="F394" s="16">
        <v>-0.43759999999999999</v>
      </c>
      <c r="G394" s="16">
        <v>-0.50980000000000003</v>
      </c>
      <c r="H394" s="16">
        <v>-0.56940000000000002</v>
      </c>
      <c r="I394" s="16">
        <v>-0.61850000000000005</v>
      </c>
      <c r="J394" s="16">
        <v>-0.65920000000000001</v>
      </c>
      <c r="K394" s="16">
        <v>-0.69340000000000002</v>
      </c>
      <c r="L394" s="16">
        <v>-0.72319999999999995</v>
      </c>
      <c r="M394" s="16">
        <v>-0.75049999999999994</v>
      </c>
      <c r="N394" s="16">
        <v>-0.77749999999999997</v>
      </c>
      <c r="O394" s="16">
        <v>-0.80600000000000005</v>
      </c>
      <c r="P394" s="16">
        <v>-0.83809999999999996</v>
      </c>
      <c r="Q394" s="16">
        <v>-0.87590000000000001</v>
      </c>
    </row>
    <row r="395" spans="1:17" x14ac:dyDescent="0.3">
      <c r="A395" s="14" t="s">
        <v>409</v>
      </c>
      <c r="B395" s="15" t="s">
        <v>413</v>
      </c>
      <c r="C395" s="16">
        <v>-0.13009999999999999</v>
      </c>
      <c r="D395" s="16">
        <v>-0.2319</v>
      </c>
      <c r="E395" s="16">
        <v>-0.33129999999999998</v>
      </c>
      <c r="F395" s="16">
        <v>-0.41649999999999998</v>
      </c>
      <c r="G395" s="16">
        <v>-0.48920000000000002</v>
      </c>
      <c r="H395" s="16">
        <v>-0.55089999999999995</v>
      </c>
      <c r="I395" s="16">
        <v>-0.60299999999999998</v>
      </c>
      <c r="J395" s="16">
        <v>-0.64710000000000001</v>
      </c>
      <c r="K395" s="16">
        <v>-0.68459999999999999</v>
      </c>
      <c r="L395" s="16">
        <v>-0.71709999999999996</v>
      </c>
      <c r="M395" s="16">
        <v>-0.746</v>
      </c>
      <c r="N395" s="16">
        <v>-0.77290000000000003</v>
      </c>
      <c r="O395" s="16">
        <v>-0.79920000000000002</v>
      </c>
      <c r="P395" s="16">
        <v>-0.82650000000000001</v>
      </c>
      <c r="Q395" s="16">
        <v>-0.85619999999999996</v>
      </c>
    </row>
    <row r="396" spans="1:17" x14ac:dyDescent="0.3">
      <c r="A396" s="14" t="s">
        <v>409</v>
      </c>
      <c r="B396" s="15" t="s">
        <v>414</v>
      </c>
      <c r="C396" s="16">
        <v>-0.13109999999999999</v>
      </c>
      <c r="D396" s="16">
        <v>-0.23350000000000001</v>
      </c>
      <c r="E396" s="16">
        <v>-0.3332</v>
      </c>
      <c r="F396" s="16">
        <v>-0.41839999999999999</v>
      </c>
      <c r="G396" s="16">
        <v>-0.4909</v>
      </c>
      <c r="H396" s="16">
        <v>-0.55220000000000002</v>
      </c>
      <c r="I396" s="16">
        <v>-0.6038</v>
      </c>
      <c r="J396" s="16">
        <v>-0.64729999999999999</v>
      </c>
      <c r="K396" s="16">
        <v>-0.68440000000000001</v>
      </c>
      <c r="L396" s="16">
        <v>-0.71640000000000004</v>
      </c>
      <c r="M396" s="16">
        <v>-0.74509999999999998</v>
      </c>
      <c r="N396" s="16">
        <v>-0.77200000000000002</v>
      </c>
      <c r="O396" s="16">
        <v>-0.79859999999999998</v>
      </c>
      <c r="P396" s="16">
        <v>-0.82650000000000001</v>
      </c>
      <c r="Q396" s="16">
        <v>-0.85729999999999995</v>
      </c>
    </row>
    <row r="397" spans="1:17" x14ac:dyDescent="0.3">
      <c r="A397" s="14" t="s">
        <v>409</v>
      </c>
      <c r="B397" s="15" t="s">
        <v>415</v>
      </c>
      <c r="C397" s="16">
        <v>-0.13070000000000001</v>
      </c>
      <c r="D397" s="16">
        <v>-0.23200000000000001</v>
      </c>
      <c r="E397" s="16">
        <v>-0.32990000000000003</v>
      </c>
      <c r="F397" s="16">
        <v>-0.41320000000000001</v>
      </c>
      <c r="G397" s="16">
        <v>-0.4834</v>
      </c>
      <c r="H397" s="16">
        <v>-0.54259999999999997</v>
      </c>
      <c r="I397" s="16">
        <v>-0.59230000000000005</v>
      </c>
      <c r="J397" s="16">
        <v>-0.63449999999999995</v>
      </c>
      <c r="K397" s="16">
        <v>-0.67090000000000005</v>
      </c>
      <c r="L397" s="16">
        <v>-0.70320000000000005</v>
      </c>
      <c r="M397" s="16">
        <v>-0.73329999999999995</v>
      </c>
      <c r="N397" s="16">
        <v>-0.76290000000000002</v>
      </c>
      <c r="O397" s="16">
        <v>-0.79379999999999995</v>
      </c>
      <c r="P397" s="16">
        <v>-0.82789999999999997</v>
      </c>
      <c r="Q397" s="16">
        <v>-0.86680000000000001</v>
      </c>
    </row>
    <row r="398" spans="1:17" x14ac:dyDescent="0.3">
      <c r="A398" s="14" t="s">
        <v>409</v>
      </c>
      <c r="B398" s="15" t="s">
        <v>416</v>
      </c>
      <c r="C398" s="16">
        <v>-0.12920000000000001</v>
      </c>
      <c r="D398" s="16">
        <v>-0.2301</v>
      </c>
      <c r="E398" s="16">
        <v>-0.32850000000000001</v>
      </c>
      <c r="F398" s="16">
        <v>-0.4128</v>
      </c>
      <c r="G398" s="16">
        <v>-0.48459999999999998</v>
      </c>
      <c r="H398" s="16">
        <v>-0.54559999999999997</v>
      </c>
      <c r="I398" s="16">
        <v>-0.59719999999999995</v>
      </c>
      <c r="J398" s="16">
        <v>-0.64100000000000001</v>
      </c>
      <c r="K398" s="16">
        <v>-0.67859999999999998</v>
      </c>
      <c r="L398" s="16">
        <v>-0.71150000000000002</v>
      </c>
      <c r="M398" s="16">
        <v>-0.74129999999999996</v>
      </c>
      <c r="N398" s="16">
        <v>-0.76949999999999996</v>
      </c>
      <c r="O398" s="16">
        <v>-0.79769999999999996</v>
      </c>
      <c r="P398" s="16">
        <v>-0.82750000000000001</v>
      </c>
      <c r="Q398" s="16">
        <v>-0.86029999999999995</v>
      </c>
    </row>
    <row r="399" spans="1:17" x14ac:dyDescent="0.3">
      <c r="A399" s="14" t="s">
        <v>409</v>
      </c>
      <c r="B399" s="15" t="s">
        <v>417</v>
      </c>
      <c r="C399" s="16">
        <v>-0.12870000000000001</v>
      </c>
      <c r="D399" s="16">
        <v>-0.23</v>
      </c>
      <c r="E399" s="16">
        <v>-0.32919999999999999</v>
      </c>
      <c r="F399" s="16">
        <v>-0.41489999999999999</v>
      </c>
      <c r="G399" s="16">
        <v>-0.4884</v>
      </c>
      <c r="H399" s="16">
        <v>-0.55110000000000003</v>
      </c>
      <c r="I399" s="16">
        <v>-0.60440000000000005</v>
      </c>
      <c r="J399" s="16">
        <v>-0.64970000000000006</v>
      </c>
      <c r="K399" s="16">
        <v>-0.68840000000000001</v>
      </c>
      <c r="L399" s="16">
        <v>-0.7218</v>
      </c>
      <c r="M399" s="16">
        <v>-0.75129999999999997</v>
      </c>
      <c r="N399" s="16">
        <v>-0.7782</v>
      </c>
      <c r="O399" s="16">
        <v>-0.80400000000000005</v>
      </c>
      <c r="P399" s="16">
        <v>-0.83009999999999995</v>
      </c>
      <c r="Q399" s="16">
        <v>-0.85780000000000001</v>
      </c>
    </row>
    <row r="400" spans="1:17" x14ac:dyDescent="0.3">
      <c r="A400" s="14" t="s">
        <v>409</v>
      </c>
      <c r="B400" s="15" t="s">
        <v>418</v>
      </c>
      <c r="C400" s="16">
        <v>-0.14849999999999999</v>
      </c>
      <c r="D400" s="16">
        <v>-0.26150000000000001</v>
      </c>
      <c r="E400" s="16">
        <v>-0.36859999999999998</v>
      </c>
      <c r="F400" s="16">
        <v>-0.45710000000000001</v>
      </c>
      <c r="G400" s="16">
        <v>-0.52939999999999998</v>
      </c>
      <c r="H400" s="16">
        <v>-0.58760000000000001</v>
      </c>
      <c r="I400" s="16">
        <v>-0.63419999999999999</v>
      </c>
      <c r="J400" s="16">
        <v>-0.67130000000000001</v>
      </c>
      <c r="K400" s="16">
        <v>-0.70120000000000005</v>
      </c>
      <c r="L400" s="16">
        <v>-0.72619999999999996</v>
      </c>
      <c r="M400" s="16">
        <v>-0.74860000000000004</v>
      </c>
      <c r="N400" s="16">
        <v>-0.77059999999999995</v>
      </c>
      <c r="O400" s="16">
        <v>-0.79449999999999998</v>
      </c>
      <c r="P400" s="16">
        <v>-0.82269999999999999</v>
      </c>
      <c r="Q400" s="16">
        <v>-0.85729999999999995</v>
      </c>
    </row>
    <row r="401" spans="1:17" x14ac:dyDescent="0.3">
      <c r="A401" s="14" t="s">
        <v>409</v>
      </c>
      <c r="B401" s="15" t="s">
        <v>419</v>
      </c>
      <c r="C401" s="16">
        <v>-0.13009999999999999</v>
      </c>
      <c r="D401" s="16">
        <v>-0.2319</v>
      </c>
      <c r="E401" s="16">
        <v>-0.33129999999999998</v>
      </c>
      <c r="F401" s="16">
        <v>-0.41649999999999998</v>
      </c>
      <c r="G401" s="16">
        <v>-0.48920000000000002</v>
      </c>
      <c r="H401" s="16">
        <v>-0.55089999999999995</v>
      </c>
      <c r="I401" s="16">
        <v>-0.60299999999999998</v>
      </c>
      <c r="J401" s="16">
        <v>-0.64710000000000001</v>
      </c>
      <c r="K401" s="16">
        <v>-0.68459999999999999</v>
      </c>
      <c r="L401" s="16">
        <v>-0.71709999999999996</v>
      </c>
      <c r="M401" s="16">
        <v>-0.746</v>
      </c>
      <c r="N401" s="16">
        <v>-0.77290000000000003</v>
      </c>
      <c r="O401" s="16">
        <v>-0.79920000000000002</v>
      </c>
      <c r="P401" s="16">
        <v>-0.82650000000000001</v>
      </c>
      <c r="Q401" s="16">
        <v>-0.85619999999999996</v>
      </c>
    </row>
    <row r="402" spans="1:17" x14ac:dyDescent="0.3">
      <c r="A402" s="14" t="s">
        <v>409</v>
      </c>
      <c r="B402" s="15" t="s">
        <v>420</v>
      </c>
      <c r="C402" s="16">
        <v>-0.13009999999999999</v>
      </c>
      <c r="D402" s="16">
        <v>-0.2319</v>
      </c>
      <c r="E402" s="16">
        <v>-0.33129999999999998</v>
      </c>
      <c r="F402" s="16">
        <v>-0.41649999999999998</v>
      </c>
      <c r="G402" s="16">
        <v>-0.48920000000000002</v>
      </c>
      <c r="H402" s="16">
        <v>-0.55089999999999995</v>
      </c>
      <c r="I402" s="16">
        <v>-0.60299999999999998</v>
      </c>
      <c r="J402" s="16">
        <v>-0.64710000000000001</v>
      </c>
      <c r="K402" s="16">
        <v>-0.68459999999999999</v>
      </c>
      <c r="L402" s="16">
        <v>-0.71709999999999996</v>
      </c>
      <c r="M402" s="16">
        <v>-0.746</v>
      </c>
      <c r="N402" s="16">
        <v>-0.77290000000000003</v>
      </c>
      <c r="O402" s="16">
        <v>-0.79920000000000002</v>
      </c>
      <c r="P402" s="16">
        <v>-0.82650000000000001</v>
      </c>
      <c r="Q402" s="16">
        <v>-0.85619999999999996</v>
      </c>
    </row>
    <row r="403" spans="1:17" x14ac:dyDescent="0.3">
      <c r="A403" s="14" t="s">
        <v>409</v>
      </c>
      <c r="B403" s="15" t="s">
        <v>421</v>
      </c>
      <c r="C403" s="16">
        <v>-0.13009999999999999</v>
      </c>
      <c r="D403" s="16">
        <v>-0.2319</v>
      </c>
      <c r="E403" s="16">
        <v>-0.33129999999999998</v>
      </c>
      <c r="F403" s="16">
        <v>-0.41649999999999998</v>
      </c>
      <c r="G403" s="16">
        <v>-0.48920000000000002</v>
      </c>
      <c r="H403" s="16">
        <v>-0.55089999999999995</v>
      </c>
      <c r="I403" s="16">
        <v>-0.60299999999999998</v>
      </c>
      <c r="J403" s="16">
        <v>-0.64710000000000001</v>
      </c>
      <c r="K403" s="16">
        <v>-0.68459999999999999</v>
      </c>
      <c r="L403" s="16">
        <v>-0.71709999999999996</v>
      </c>
      <c r="M403" s="16">
        <v>-0.746</v>
      </c>
      <c r="N403" s="16">
        <v>-0.77290000000000003</v>
      </c>
      <c r="O403" s="16">
        <v>-0.79920000000000002</v>
      </c>
      <c r="P403" s="16">
        <v>-0.82650000000000001</v>
      </c>
      <c r="Q403" s="16">
        <v>-0.85619999999999996</v>
      </c>
    </row>
    <row r="404" spans="1:17" x14ac:dyDescent="0.3">
      <c r="A404" s="14" t="s">
        <v>409</v>
      </c>
      <c r="B404" s="15" t="s">
        <v>422</v>
      </c>
      <c r="C404" s="16">
        <v>-0.1207</v>
      </c>
      <c r="D404" s="16">
        <v>-0.2175</v>
      </c>
      <c r="E404" s="16">
        <v>-0.31419999999999998</v>
      </c>
      <c r="F404" s="16">
        <v>-0.39950000000000002</v>
      </c>
      <c r="G404" s="16">
        <v>-0.47439999999999999</v>
      </c>
      <c r="H404" s="16">
        <v>-0.53979999999999995</v>
      </c>
      <c r="I404" s="16">
        <v>-0.59650000000000003</v>
      </c>
      <c r="J404" s="16">
        <v>-0.64549999999999996</v>
      </c>
      <c r="K404" s="16">
        <v>-0.68779999999999997</v>
      </c>
      <c r="L404" s="16">
        <v>-0.72409999999999997</v>
      </c>
      <c r="M404" s="16">
        <v>-0.75549999999999995</v>
      </c>
      <c r="N404" s="16">
        <v>-0.78269999999999995</v>
      </c>
      <c r="O404" s="16">
        <v>-0.80679999999999996</v>
      </c>
      <c r="P404" s="16">
        <v>-0.8286</v>
      </c>
      <c r="Q404" s="16">
        <v>-0.84909999999999997</v>
      </c>
    </row>
    <row r="405" spans="1:17" x14ac:dyDescent="0.3">
      <c r="A405" s="14" t="s">
        <v>409</v>
      </c>
      <c r="B405" s="15" t="s">
        <v>423</v>
      </c>
      <c r="C405" s="16">
        <v>-0.13009999999999999</v>
      </c>
      <c r="D405" s="16">
        <v>-0.2319</v>
      </c>
      <c r="E405" s="16">
        <v>-0.33129999999999998</v>
      </c>
      <c r="F405" s="16">
        <v>-0.41649999999999998</v>
      </c>
      <c r="G405" s="16">
        <v>-0.48920000000000002</v>
      </c>
      <c r="H405" s="16">
        <v>-0.55089999999999995</v>
      </c>
      <c r="I405" s="16">
        <v>-0.60299999999999998</v>
      </c>
      <c r="J405" s="16">
        <v>-0.64710000000000001</v>
      </c>
      <c r="K405" s="16">
        <v>-0.68459999999999999</v>
      </c>
      <c r="L405" s="16">
        <v>-0.71709999999999996</v>
      </c>
      <c r="M405" s="16">
        <v>-0.746</v>
      </c>
      <c r="N405" s="16">
        <v>-0.77290000000000003</v>
      </c>
      <c r="O405" s="16">
        <v>-0.79920000000000002</v>
      </c>
      <c r="P405" s="16">
        <v>-0.82650000000000001</v>
      </c>
      <c r="Q405" s="16">
        <v>-0.85619999999999996</v>
      </c>
    </row>
    <row r="406" spans="1:17" x14ac:dyDescent="0.3">
      <c r="A406" s="14" t="s">
        <v>409</v>
      </c>
      <c r="B406" s="15" t="s">
        <v>424</v>
      </c>
      <c r="C406" s="16">
        <v>-9.5399999999999999E-2</v>
      </c>
      <c r="D406" s="16">
        <v>-0.1777</v>
      </c>
      <c r="E406" s="16">
        <v>-0.26529999999999998</v>
      </c>
      <c r="F406" s="16">
        <v>-0.3483</v>
      </c>
      <c r="G406" s="16">
        <v>-0.42620000000000002</v>
      </c>
      <c r="H406" s="16">
        <v>-0.49859999999999999</v>
      </c>
      <c r="I406" s="16">
        <v>-0.56510000000000005</v>
      </c>
      <c r="J406" s="16">
        <v>-0.62529999999999997</v>
      </c>
      <c r="K406" s="16">
        <v>-0.67869999999999997</v>
      </c>
      <c r="L406" s="16">
        <v>-0.72499999999999998</v>
      </c>
      <c r="M406" s="16">
        <v>-0.76370000000000005</v>
      </c>
      <c r="N406" s="16">
        <v>-0.79449999999999998</v>
      </c>
      <c r="O406" s="16">
        <v>-0.81689999999999996</v>
      </c>
      <c r="P406" s="16">
        <v>-0.83040000000000003</v>
      </c>
      <c r="Q406" s="16">
        <v>-0.8347</v>
      </c>
    </row>
    <row r="407" spans="1:17" x14ac:dyDescent="0.3">
      <c r="A407" s="14" t="s">
        <v>409</v>
      </c>
      <c r="B407" s="15" t="s">
        <v>425</v>
      </c>
      <c r="C407" s="16">
        <v>-0.1273</v>
      </c>
      <c r="D407" s="16">
        <v>-0.22770000000000001</v>
      </c>
      <c r="E407" s="16">
        <v>-0.32619999999999999</v>
      </c>
      <c r="F407" s="16">
        <v>-0.41149999999999998</v>
      </c>
      <c r="G407" s="16">
        <v>-0.48480000000000001</v>
      </c>
      <c r="H407" s="16">
        <v>-0.54759999999999998</v>
      </c>
      <c r="I407" s="16">
        <v>-0.60099999999999998</v>
      </c>
      <c r="J407" s="16">
        <v>-0.64649999999999996</v>
      </c>
      <c r="K407" s="16">
        <v>-0.68530000000000002</v>
      </c>
      <c r="L407" s="16">
        <v>-0.71889999999999998</v>
      </c>
      <c r="M407" s="16">
        <v>-0.74839999999999995</v>
      </c>
      <c r="N407" s="16">
        <v>-0.77529999999999999</v>
      </c>
      <c r="O407" s="16">
        <v>-0.80089999999999995</v>
      </c>
      <c r="P407" s="16">
        <v>-0.82650000000000001</v>
      </c>
      <c r="Q407" s="16">
        <v>-0.85340000000000005</v>
      </c>
    </row>
    <row r="408" spans="1:17" x14ac:dyDescent="0.3">
      <c r="B408" s="12"/>
    </row>
    <row r="409" spans="1:17" x14ac:dyDescent="0.3">
      <c r="B409" s="12"/>
    </row>
    <row r="410" spans="1:17" x14ac:dyDescent="0.3">
      <c r="B410" s="12"/>
    </row>
    <row r="411" spans="1:17" x14ac:dyDescent="0.3">
      <c r="B411" s="12"/>
    </row>
    <row r="412" spans="1:17" x14ac:dyDescent="0.3">
      <c r="B412" s="12"/>
    </row>
    <row r="413" spans="1:17" x14ac:dyDescent="0.3">
      <c r="B413" s="12"/>
    </row>
    <row r="414" spans="1:17" x14ac:dyDescent="0.3">
      <c r="B414" s="12"/>
    </row>
    <row r="415" spans="1:17" x14ac:dyDescent="0.3">
      <c r="B415" s="12"/>
    </row>
    <row r="416" spans="1:17" x14ac:dyDescent="0.3">
      <c r="B416" s="12"/>
    </row>
    <row r="417" spans="2:2" x14ac:dyDescent="0.3">
      <c r="B417" s="12"/>
    </row>
    <row r="418" spans="2:2" x14ac:dyDescent="0.3">
      <c r="B418" s="12"/>
    </row>
    <row r="419" spans="2:2" x14ac:dyDescent="0.3">
      <c r="B419" s="12"/>
    </row>
    <row r="420" spans="2:2" x14ac:dyDescent="0.3">
      <c r="B420" s="12"/>
    </row>
    <row r="421" spans="2:2" x14ac:dyDescent="0.3">
      <c r="B421" s="12"/>
    </row>
    <row r="422" spans="2:2" x14ac:dyDescent="0.3">
      <c r="B422" s="12"/>
    </row>
    <row r="423" spans="2:2" x14ac:dyDescent="0.3">
      <c r="B423" s="12"/>
    </row>
    <row r="424" spans="2:2" x14ac:dyDescent="0.3">
      <c r="B424" s="12"/>
    </row>
    <row r="425" spans="2:2" x14ac:dyDescent="0.3">
      <c r="B425" s="12"/>
    </row>
    <row r="426" spans="2:2" x14ac:dyDescent="0.3">
      <c r="B426" s="12"/>
    </row>
    <row r="427" spans="2:2" x14ac:dyDescent="0.3">
      <c r="B427" s="12"/>
    </row>
    <row r="428" spans="2:2" x14ac:dyDescent="0.3">
      <c r="B428" s="12"/>
    </row>
    <row r="429" spans="2:2" x14ac:dyDescent="0.3">
      <c r="B429" s="12"/>
    </row>
    <row r="430" spans="2:2" x14ac:dyDescent="0.3">
      <c r="B430" s="12"/>
    </row>
    <row r="431" spans="2:2" x14ac:dyDescent="0.3">
      <c r="B431" s="12"/>
    </row>
    <row r="432" spans="2:2" x14ac:dyDescent="0.3">
      <c r="B432" s="12"/>
    </row>
    <row r="433" spans="2:2" x14ac:dyDescent="0.3">
      <c r="B433" s="12"/>
    </row>
    <row r="434" spans="2:2" x14ac:dyDescent="0.3">
      <c r="B434" s="12"/>
    </row>
    <row r="435" spans="2:2" x14ac:dyDescent="0.3">
      <c r="B435" s="12"/>
    </row>
    <row r="436" spans="2:2" x14ac:dyDescent="0.3">
      <c r="B436" s="12"/>
    </row>
    <row r="437" spans="2:2" x14ac:dyDescent="0.3">
      <c r="B437" s="12"/>
    </row>
    <row r="438" spans="2:2" x14ac:dyDescent="0.3">
      <c r="B438" s="12"/>
    </row>
    <row r="439" spans="2:2" x14ac:dyDescent="0.3">
      <c r="B439" s="12"/>
    </row>
    <row r="440" spans="2:2" x14ac:dyDescent="0.3">
      <c r="B440" s="12"/>
    </row>
    <row r="441" spans="2:2" x14ac:dyDescent="0.3">
      <c r="B441" s="12"/>
    </row>
    <row r="442" spans="2:2" x14ac:dyDescent="0.3">
      <c r="B442" s="12"/>
    </row>
    <row r="443" spans="2:2" x14ac:dyDescent="0.3">
      <c r="B443" s="12"/>
    </row>
    <row r="444" spans="2:2" x14ac:dyDescent="0.3">
      <c r="B444" s="12"/>
    </row>
    <row r="445" spans="2:2" x14ac:dyDescent="0.3">
      <c r="B445" s="12"/>
    </row>
    <row r="446" spans="2:2" x14ac:dyDescent="0.3">
      <c r="B446" s="12"/>
    </row>
    <row r="447" spans="2:2" x14ac:dyDescent="0.3">
      <c r="B447" s="12"/>
    </row>
    <row r="448" spans="2:2" x14ac:dyDescent="0.3">
      <c r="B448" s="12"/>
    </row>
    <row r="449" spans="2:2" x14ac:dyDescent="0.3">
      <c r="B449" s="12"/>
    </row>
    <row r="450" spans="2:2" x14ac:dyDescent="0.3">
      <c r="B450" s="12"/>
    </row>
    <row r="451" spans="2:2" x14ac:dyDescent="0.3">
      <c r="B451" s="12"/>
    </row>
    <row r="452" spans="2:2" x14ac:dyDescent="0.3">
      <c r="B452" s="12"/>
    </row>
    <row r="453" spans="2:2" x14ac:dyDescent="0.3">
      <c r="B453" s="12"/>
    </row>
    <row r="454" spans="2:2" x14ac:dyDescent="0.3">
      <c r="B454" s="12"/>
    </row>
    <row r="455" spans="2:2" x14ac:dyDescent="0.3">
      <c r="B455" s="12"/>
    </row>
    <row r="456" spans="2:2" x14ac:dyDescent="0.3">
      <c r="B456" s="12"/>
    </row>
    <row r="457" spans="2:2" x14ac:dyDescent="0.3">
      <c r="B457" s="12"/>
    </row>
    <row r="458" spans="2:2" x14ac:dyDescent="0.3">
      <c r="B458" s="12"/>
    </row>
    <row r="459" spans="2:2" x14ac:dyDescent="0.3">
      <c r="B459" s="12"/>
    </row>
    <row r="460" spans="2:2" x14ac:dyDescent="0.3">
      <c r="B460" s="12"/>
    </row>
    <row r="461" spans="2:2" x14ac:dyDescent="0.3">
      <c r="B461" s="12"/>
    </row>
    <row r="462" spans="2:2" x14ac:dyDescent="0.3">
      <c r="B462" s="12"/>
    </row>
    <row r="463" spans="2:2" x14ac:dyDescent="0.3">
      <c r="B463" s="12"/>
    </row>
    <row r="464" spans="2:2" x14ac:dyDescent="0.3">
      <c r="B464" s="12"/>
    </row>
    <row r="465" spans="2:2" x14ac:dyDescent="0.3">
      <c r="B465" s="12"/>
    </row>
    <row r="466" spans="2:2" x14ac:dyDescent="0.3">
      <c r="B466" s="12"/>
    </row>
    <row r="467" spans="2:2" x14ac:dyDescent="0.3">
      <c r="B467" s="12"/>
    </row>
    <row r="468" spans="2:2" x14ac:dyDescent="0.3">
      <c r="B468" s="12"/>
    </row>
    <row r="469" spans="2:2" x14ac:dyDescent="0.3">
      <c r="B469" s="12"/>
    </row>
    <row r="470" spans="2:2" x14ac:dyDescent="0.3">
      <c r="B470" s="12"/>
    </row>
    <row r="471" spans="2:2" x14ac:dyDescent="0.3">
      <c r="B471" s="12"/>
    </row>
    <row r="472" spans="2:2" x14ac:dyDescent="0.3">
      <c r="B472" s="12"/>
    </row>
    <row r="473" spans="2:2" x14ac:dyDescent="0.3">
      <c r="B473" s="12"/>
    </row>
    <row r="474" spans="2:2" x14ac:dyDescent="0.3">
      <c r="B474" s="12"/>
    </row>
    <row r="475" spans="2:2" x14ac:dyDescent="0.3">
      <c r="B475" s="12"/>
    </row>
    <row r="476" spans="2:2" x14ac:dyDescent="0.3">
      <c r="B476" s="12"/>
    </row>
    <row r="477" spans="2:2" x14ac:dyDescent="0.3">
      <c r="B477" s="12"/>
    </row>
    <row r="478" spans="2:2" x14ac:dyDescent="0.3">
      <c r="B478" s="12"/>
    </row>
    <row r="479" spans="2:2" x14ac:dyDescent="0.3">
      <c r="B479" s="12"/>
    </row>
    <row r="480" spans="2:2" x14ac:dyDescent="0.3">
      <c r="B480" s="12"/>
    </row>
    <row r="481" spans="2:2" x14ac:dyDescent="0.3">
      <c r="B481" s="12"/>
    </row>
    <row r="482" spans="2:2" x14ac:dyDescent="0.3">
      <c r="B482" s="12"/>
    </row>
    <row r="483" spans="2:2" x14ac:dyDescent="0.3">
      <c r="B483" s="12"/>
    </row>
    <row r="484" spans="2:2" x14ac:dyDescent="0.3">
      <c r="B484" s="12"/>
    </row>
    <row r="485" spans="2:2" x14ac:dyDescent="0.3">
      <c r="B485" s="12"/>
    </row>
    <row r="486" spans="2:2" x14ac:dyDescent="0.3">
      <c r="B486" s="12"/>
    </row>
    <row r="487" spans="2:2" x14ac:dyDescent="0.3">
      <c r="B487" s="12"/>
    </row>
    <row r="488" spans="2:2" x14ac:dyDescent="0.3">
      <c r="B488" s="12"/>
    </row>
    <row r="489" spans="2:2" x14ac:dyDescent="0.3">
      <c r="B489" s="12"/>
    </row>
    <row r="490" spans="2:2" x14ac:dyDescent="0.3">
      <c r="B490" s="12"/>
    </row>
    <row r="491" spans="2:2" x14ac:dyDescent="0.3">
      <c r="B491" s="12"/>
    </row>
    <row r="492" spans="2:2" x14ac:dyDescent="0.3">
      <c r="B492" s="12"/>
    </row>
    <row r="493" spans="2:2" x14ac:dyDescent="0.3">
      <c r="B493" s="12"/>
    </row>
    <row r="494" spans="2:2" x14ac:dyDescent="0.3">
      <c r="B494" s="12"/>
    </row>
    <row r="495" spans="2:2" x14ac:dyDescent="0.3">
      <c r="B495" s="12"/>
    </row>
    <row r="496" spans="2:2" x14ac:dyDescent="0.3">
      <c r="B496" s="12"/>
    </row>
    <row r="497" spans="2:2" x14ac:dyDescent="0.3">
      <c r="B497" s="12"/>
    </row>
    <row r="498" spans="2:2" x14ac:dyDescent="0.3">
      <c r="B498" s="12"/>
    </row>
    <row r="499" spans="2:2" x14ac:dyDescent="0.3">
      <c r="B499" s="12"/>
    </row>
    <row r="500" spans="2:2" x14ac:dyDescent="0.3">
      <c r="B500" s="12"/>
    </row>
    <row r="501" spans="2:2" x14ac:dyDescent="0.3">
      <c r="B501" s="12"/>
    </row>
    <row r="502" spans="2:2" x14ac:dyDescent="0.3">
      <c r="B502" s="12"/>
    </row>
    <row r="503" spans="2:2" x14ac:dyDescent="0.3">
      <c r="B503" s="12"/>
    </row>
    <row r="504" spans="2:2" x14ac:dyDescent="0.3">
      <c r="B504" s="12"/>
    </row>
    <row r="505" spans="2:2" x14ac:dyDescent="0.3">
      <c r="B505" s="12"/>
    </row>
    <row r="506" spans="2:2" x14ac:dyDescent="0.3">
      <c r="B506" s="12"/>
    </row>
    <row r="507" spans="2:2" x14ac:dyDescent="0.3">
      <c r="B507" s="12"/>
    </row>
    <row r="508" spans="2:2" x14ac:dyDescent="0.3">
      <c r="B508" s="12"/>
    </row>
    <row r="509" spans="2:2" x14ac:dyDescent="0.3">
      <c r="B509" s="12"/>
    </row>
    <row r="510" spans="2:2" x14ac:dyDescent="0.3">
      <c r="B510" s="12"/>
    </row>
    <row r="511" spans="2:2" x14ac:dyDescent="0.3">
      <c r="B511" s="12"/>
    </row>
    <row r="512" spans="2:2" x14ac:dyDescent="0.3">
      <c r="B512" s="12"/>
    </row>
    <row r="513" spans="2:2" x14ac:dyDescent="0.3">
      <c r="B513" s="12"/>
    </row>
    <row r="514" spans="2:2" x14ac:dyDescent="0.3">
      <c r="B514" s="12"/>
    </row>
    <row r="515" spans="2:2" x14ac:dyDescent="0.3">
      <c r="B515" s="12"/>
    </row>
    <row r="516" spans="2:2" x14ac:dyDescent="0.3">
      <c r="B516" s="12"/>
    </row>
    <row r="517" spans="2:2" x14ac:dyDescent="0.3">
      <c r="B517" s="12"/>
    </row>
    <row r="518" spans="2:2" x14ac:dyDescent="0.3">
      <c r="B518" s="12"/>
    </row>
    <row r="519" spans="2:2" x14ac:dyDescent="0.3">
      <c r="B519" s="12"/>
    </row>
    <row r="520" spans="2:2" x14ac:dyDescent="0.3">
      <c r="B520" s="12"/>
    </row>
    <row r="521" spans="2:2" x14ac:dyDescent="0.3">
      <c r="B521" s="12"/>
    </row>
    <row r="522" spans="2:2" x14ac:dyDescent="0.3">
      <c r="B522" s="12"/>
    </row>
    <row r="523" spans="2:2" x14ac:dyDescent="0.3">
      <c r="B523" s="12"/>
    </row>
    <row r="524" spans="2:2" x14ac:dyDescent="0.3">
      <c r="B524" s="12"/>
    </row>
    <row r="525" spans="2:2" x14ac:dyDescent="0.3">
      <c r="B525" s="12"/>
    </row>
    <row r="526" spans="2:2" x14ac:dyDescent="0.3">
      <c r="B526" s="12"/>
    </row>
    <row r="527" spans="2:2" x14ac:dyDescent="0.3">
      <c r="B527" s="12"/>
    </row>
    <row r="528" spans="2:2" x14ac:dyDescent="0.3">
      <c r="B528" s="12"/>
    </row>
    <row r="529" spans="2:2" x14ac:dyDescent="0.3">
      <c r="B529" s="12"/>
    </row>
    <row r="530" spans="2:2" x14ac:dyDescent="0.3">
      <c r="B530" s="12"/>
    </row>
    <row r="531" spans="2:2" x14ac:dyDescent="0.3">
      <c r="B531" s="12"/>
    </row>
    <row r="532" spans="2:2" x14ac:dyDescent="0.3">
      <c r="B532" s="12"/>
    </row>
    <row r="533" spans="2:2" x14ac:dyDescent="0.3">
      <c r="B533" s="12"/>
    </row>
    <row r="534" spans="2:2" x14ac:dyDescent="0.3">
      <c r="B534" s="12"/>
    </row>
    <row r="535" spans="2:2" x14ac:dyDescent="0.3">
      <c r="B535" s="12"/>
    </row>
    <row r="536" spans="2:2" x14ac:dyDescent="0.3">
      <c r="B536" s="12"/>
    </row>
    <row r="537" spans="2:2" x14ac:dyDescent="0.3">
      <c r="B537" s="12"/>
    </row>
    <row r="538" spans="2:2" x14ac:dyDescent="0.3">
      <c r="B538" s="12"/>
    </row>
    <row r="539" spans="2:2" x14ac:dyDescent="0.3">
      <c r="B539" s="12"/>
    </row>
    <row r="540" spans="2:2" x14ac:dyDescent="0.3">
      <c r="B540" s="12"/>
    </row>
    <row r="541" spans="2:2" x14ac:dyDescent="0.3">
      <c r="B541" s="12"/>
    </row>
    <row r="542" spans="2:2" x14ac:dyDescent="0.3">
      <c r="B542" s="12"/>
    </row>
    <row r="543" spans="2:2" x14ac:dyDescent="0.3">
      <c r="B543" s="12"/>
    </row>
    <row r="544" spans="2:2" x14ac:dyDescent="0.3">
      <c r="B544" s="12"/>
    </row>
    <row r="545" spans="2:2" x14ac:dyDescent="0.3">
      <c r="B545" s="12"/>
    </row>
    <row r="546" spans="2:2" x14ac:dyDescent="0.3">
      <c r="B546" s="12"/>
    </row>
    <row r="547" spans="2:2" x14ac:dyDescent="0.3">
      <c r="B547" s="12"/>
    </row>
    <row r="548" spans="2:2" x14ac:dyDescent="0.3">
      <c r="B548" s="12"/>
    </row>
    <row r="549" spans="2:2" x14ac:dyDescent="0.3">
      <c r="B549" s="12"/>
    </row>
    <row r="550" spans="2:2" x14ac:dyDescent="0.3">
      <c r="B550" s="12"/>
    </row>
    <row r="551" spans="2:2" x14ac:dyDescent="0.3">
      <c r="B551" s="12"/>
    </row>
    <row r="552" spans="2:2" x14ac:dyDescent="0.3">
      <c r="B552" s="12"/>
    </row>
    <row r="553" spans="2:2" x14ac:dyDescent="0.3">
      <c r="B553" s="12"/>
    </row>
    <row r="554" spans="2:2" x14ac:dyDescent="0.3">
      <c r="B554" s="12"/>
    </row>
    <row r="555" spans="2:2" x14ac:dyDescent="0.3">
      <c r="B555" s="12"/>
    </row>
    <row r="556" spans="2:2" x14ac:dyDescent="0.3">
      <c r="B556" s="12"/>
    </row>
    <row r="557" spans="2:2" x14ac:dyDescent="0.3">
      <c r="B557" s="12"/>
    </row>
    <row r="558" spans="2:2" x14ac:dyDescent="0.3">
      <c r="B558" s="12"/>
    </row>
    <row r="559" spans="2:2" x14ac:dyDescent="0.3">
      <c r="B559" s="12"/>
    </row>
    <row r="560" spans="2:2" x14ac:dyDescent="0.3">
      <c r="B560" s="12"/>
    </row>
    <row r="561" spans="2:2" x14ac:dyDescent="0.3">
      <c r="B561" s="12"/>
    </row>
    <row r="562" spans="2:2" x14ac:dyDescent="0.3">
      <c r="B562" s="12"/>
    </row>
    <row r="563" spans="2:2" x14ac:dyDescent="0.3">
      <c r="B563" s="12"/>
    </row>
    <row r="564" spans="2:2" x14ac:dyDescent="0.3">
      <c r="B564" s="12"/>
    </row>
    <row r="565" spans="2:2" x14ac:dyDescent="0.3">
      <c r="B565" s="12"/>
    </row>
    <row r="566" spans="2:2" x14ac:dyDescent="0.3">
      <c r="B566" s="12"/>
    </row>
    <row r="567" spans="2:2" x14ac:dyDescent="0.3">
      <c r="B567" s="12"/>
    </row>
    <row r="568" spans="2:2" x14ac:dyDescent="0.3">
      <c r="B568" s="12"/>
    </row>
    <row r="569" spans="2:2" x14ac:dyDescent="0.3">
      <c r="B569" s="12"/>
    </row>
    <row r="570" spans="2:2" x14ac:dyDescent="0.3">
      <c r="B570" s="12"/>
    </row>
    <row r="571" spans="2:2" x14ac:dyDescent="0.3">
      <c r="B571" s="12"/>
    </row>
    <row r="572" spans="2:2" x14ac:dyDescent="0.3">
      <c r="B572" s="12"/>
    </row>
    <row r="573" spans="2:2" x14ac:dyDescent="0.3">
      <c r="B573" s="12"/>
    </row>
    <row r="574" spans="2:2" x14ac:dyDescent="0.3">
      <c r="B574" s="12"/>
    </row>
    <row r="575" spans="2:2" x14ac:dyDescent="0.3">
      <c r="B575" s="12"/>
    </row>
    <row r="576" spans="2:2" x14ac:dyDescent="0.3">
      <c r="B576" s="12"/>
    </row>
    <row r="577" spans="2:2" x14ac:dyDescent="0.3">
      <c r="B577" s="12"/>
    </row>
    <row r="578" spans="2:2" x14ac:dyDescent="0.3">
      <c r="B578" s="12"/>
    </row>
    <row r="579" spans="2:2" x14ac:dyDescent="0.3">
      <c r="B579" s="12"/>
    </row>
    <row r="580" spans="2:2" x14ac:dyDescent="0.3">
      <c r="B580" s="12"/>
    </row>
    <row r="581" spans="2:2" x14ac:dyDescent="0.3">
      <c r="B581" s="12"/>
    </row>
    <row r="582" spans="2:2" x14ac:dyDescent="0.3">
      <c r="B582" s="12"/>
    </row>
    <row r="583" spans="2:2" x14ac:dyDescent="0.3">
      <c r="B583" s="12"/>
    </row>
    <row r="584" spans="2:2" x14ac:dyDescent="0.3">
      <c r="B584" s="12"/>
    </row>
    <row r="585" spans="2:2" x14ac:dyDescent="0.3">
      <c r="B585" s="12"/>
    </row>
    <row r="586" spans="2:2" x14ac:dyDescent="0.3">
      <c r="B586" s="12"/>
    </row>
    <row r="587" spans="2:2" x14ac:dyDescent="0.3">
      <c r="B587" s="12"/>
    </row>
    <row r="588" spans="2:2" x14ac:dyDescent="0.3">
      <c r="B588" s="12"/>
    </row>
    <row r="589" spans="2:2" x14ac:dyDescent="0.3">
      <c r="B589" s="12"/>
    </row>
    <row r="590" spans="2:2" x14ac:dyDescent="0.3">
      <c r="B590" s="12"/>
    </row>
    <row r="591" spans="2:2" x14ac:dyDescent="0.3">
      <c r="B591" s="12"/>
    </row>
    <row r="592" spans="2:2" x14ac:dyDescent="0.3">
      <c r="B592" s="12"/>
    </row>
    <row r="593" spans="2:2" x14ac:dyDescent="0.3">
      <c r="B593" s="12"/>
    </row>
    <row r="594" spans="2:2" x14ac:dyDescent="0.3">
      <c r="B594" s="12"/>
    </row>
    <row r="595" spans="2:2" x14ac:dyDescent="0.3">
      <c r="B595" s="12"/>
    </row>
    <row r="596" spans="2:2" x14ac:dyDescent="0.3">
      <c r="B596" s="12"/>
    </row>
    <row r="597" spans="2:2" x14ac:dyDescent="0.3">
      <c r="B597" s="12"/>
    </row>
    <row r="598" spans="2:2" x14ac:dyDescent="0.3">
      <c r="B598" s="12"/>
    </row>
    <row r="599" spans="2:2" x14ac:dyDescent="0.3">
      <c r="B599" s="12"/>
    </row>
    <row r="600" spans="2:2" x14ac:dyDescent="0.3">
      <c r="B600" s="12"/>
    </row>
    <row r="601" spans="2:2" x14ac:dyDescent="0.3">
      <c r="B601" s="12"/>
    </row>
    <row r="602" spans="2:2" x14ac:dyDescent="0.3">
      <c r="B602" s="12"/>
    </row>
    <row r="603" spans="2:2" x14ac:dyDescent="0.3">
      <c r="B603" s="12"/>
    </row>
    <row r="604" spans="2:2" x14ac:dyDescent="0.3">
      <c r="B604" s="12"/>
    </row>
    <row r="605" spans="2:2" x14ac:dyDescent="0.3">
      <c r="B605" s="12"/>
    </row>
    <row r="606" spans="2:2" x14ac:dyDescent="0.3">
      <c r="B606" s="12"/>
    </row>
    <row r="607" spans="2:2" x14ac:dyDescent="0.3">
      <c r="B607" s="12"/>
    </row>
    <row r="608" spans="2:2" x14ac:dyDescent="0.3">
      <c r="B608" s="12"/>
    </row>
    <row r="609" spans="2:2" x14ac:dyDescent="0.3">
      <c r="B609" s="12"/>
    </row>
    <row r="610" spans="2:2" x14ac:dyDescent="0.3">
      <c r="B610" s="12"/>
    </row>
    <row r="611" spans="2:2" x14ac:dyDescent="0.3">
      <c r="B611" s="12"/>
    </row>
    <row r="612" spans="2:2" x14ac:dyDescent="0.3">
      <c r="B612" s="12"/>
    </row>
    <row r="613" spans="2:2" x14ac:dyDescent="0.3">
      <c r="B613" s="12"/>
    </row>
    <row r="614" spans="2:2" x14ac:dyDescent="0.3">
      <c r="B614" s="12"/>
    </row>
    <row r="615" spans="2:2" x14ac:dyDescent="0.3">
      <c r="B615" s="12"/>
    </row>
    <row r="616" spans="2:2" x14ac:dyDescent="0.3">
      <c r="B616" s="12"/>
    </row>
    <row r="617" spans="2:2" x14ac:dyDescent="0.3">
      <c r="B617" s="12"/>
    </row>
    <row r="618" spans="2:2" x14ac:dyDescent="0.3">
      <c r="B618" s="12"/>
    </row>
    <row r="619" spans="2:2" x14ac:dyDescent="0.3">
      <c r="B619" s="12"/>
    </row>
    <row r="620" spans="2:2" x14ac:dyDescent="0.3">
      <c r="B620" s="12"/>
    </row>
    <row r="621" spans="2:2" x14ac:dyDescent="0.3">
      <c r="B621" s="12"/>
    </row>
    <row r="622" spans="2:2" x14ac:dyDescent="0.3">
      <c r="B622" s="12"/>
    </row>
    <row r="623" spans="2:2" x14ac:dyDescent="0.3">
      <c r="B623" s="12"/>
    </row>
    <row r="624" spans="2:2" x14ac:dyDescent="0.3">
      <c r="B624" s="12"/>
    </row>
    <row r="625" spans="2:2" x14ac:dyDescent="0.3">
      <c r="B625" s="12"/>
    </row>
    <row r="626" spans="2:2" x14ac:dyDescent="0.3">
      <c r="B626" s="12"/>
    </row>
    <row r="627" spans="2:2" x14ac:dyDescent="0.3">
      <c r="B627" s="12"/>
    </row>
    <row r="628" spans="2:2" x14ac:dyDescent="0.3">
      <c r="B628" s="12"/>
    </row>
    <row r="629" spans="2:2" x14ac:dyDescent="0.3">
      <c r="B629" s="12"/>
    </row>
    <row r="630" spans="2:2" x14ac:dyDescent="0.3">
      <c r="B630" s="12"/>
    </row>
    <row r="631" spans="2:2" x14ac:dyDescent="0.3">
      <c r="B631" s="12"/>
    </row>
    <row r="632" spans="2:2" x14ac:dyDescent="0.3">
      <c r="B632" s="12"/>
    </row>
    <row r="633" spans="2:2" x14ac:dyDescent="0.3">
      <c r="B633" s="12"/>
    </row>
    <row r="634" spans="2:2" x14ac:dyDescent="0.3">
      <c r="B634" s="12"/>
    </row>
    <row r="635" spans="2:2" x14ac:dyDescent="0.3">
      <c r="B635" s="12"/>
    </row>
    <row r="636" spans="2:2" x14ac:dyDescent="0.3">
      <c r="B636" s="12"/>
    </row>
    <row r="637" spans="2:2" x14ac:dyDescent="0.3">
      <c r="B637" s="12"/>
    </row>
    <row r="638" spans="2:2" x14ac:dyDescent="0.3">
      <c r="B638" s="12"/>
    </row>
    <row r="639" spans="2:2" x14ac:dyDescent="0.3">
      <c r="B639" s="12"/>
    </row>
    <row r="640" spans="2:2" x14ac:dyDescent="0.3">
      <c r="B640" s="12"/>
    </row>
    <row r="641" spans="2:2" x14ac:dyDescent="0.3">
      <c r="B641" s="12"/>
    </row>
    <row r="642" spans="2:2" x14ac:dyDescent="0.3">
      <c r="B642" s="12"/>
    </row>
    <row r="643" spans="2:2" x14ac:dyDescent="0.3">
      <c r="B643" s="12"/>
    </row>
    <row r="644" spans="2:2" x14ac:dyDescent="0.3">
      <c r="B644" s="12"/>
    </row>
    <row r="645" spans="2:2" x14ac:dyDescent="0.3">
      <c r="B645" s="12"/>
    </row>
    <row r="646" spans="2:2" x14ac:dyDescent="0.3">
      <c r="B646" s="12"/>
    </row>
    <row r="647" spans="2:2" x14ac:dyDescent="0.3">
      <c r="B647" s="12"/>
    </row>
    <row r="648" spans="2:2" x14ac:dyDescent="0.3">
      <c r="B648" s="12"/>
    </row>
    <row r="649" spans="2:2" x14ac:dyDescent="0.3">
      <c r="B649" s="12"/>
    </row>
    <row r="650" spans="2:2" x14ac:dyDescent="0.3">
      <c r="B650" s="12"/>
    </row>
    <row r="651" spans="2:2" x14ac:dyDescent="0.3">
      <c r="B651" s="12"/>
    </row>
    <row r="652" spans="2:2" x14ac:dyDescent="0.3">
      <c r="B652" s="12"/>
    </row>
    <row r="653" spans="2:2" x14ac:dyDescent="0.3">
      <c r="B653" s="12"/>
    </row>
    <row r="654" spans="2:2" x14ac:dyDescent="0.3">
      <c r="B654" s="12"/>
    </row>
    <row r="655" spans="2:2" x14ac:dyDescent="0.3">
      <c r="B655" s="12"/>
    </row>
    <row r="656" spans="2:2" x14ac:dyDescent="0.3">
      <c r="B656" s="12"/>
    </row>
    <row r="657" spans="2:2" x14ac:dyDescent="0.3">
      <c r="B657" s="12"/>
    </row>
    <row r="658" spans="2:2" x14ac:dyDescent="0.3">
      <c r="B658" s="12"/>
    </row>
    <row r="659" spans="2:2" x14ac:dyDescent="0.3">
      <c r="B659" s="12"/>
    </row>
    <row r="660" spans="2:2" x14ac:dyDescent="0.3">
      <c r="B660" s="12"/>
    </row>
    <row r="661" spans="2:2" x14ac:dyDescent="0.3">
      <c r="B661" s="12"/>
    </row>
    <row r="662" spans="2:2" x14ac:dyDescent="0.3">
      <c r="B662" s="12"/>
    </row>
    <row r="663" spans="2:2" x14ac:dyDescent="0.3">
      <c r="B663" s="12"/>
    </row>
    <row r="664" spans="2:2" x14ac:dyDescent="0.3">
      <c r="B664" s="12"/>
    </row>
    <row r="665" spans="2:2" x14ac:dyDescent="0.3">
      <c r="B665" s="12"/>
    </row>
    <row r="666" spans="2:2" x14ac:dyDescent="0.3">
      <c r="B666" s="12"/>
    </row>
    <row r="667" spans="2:2" x14ac:dyDescent="0.3">
      <c r="B667" s="12"/>
    </row>
    <row r="668" spans="2:2" x14ac:dyDescent="0.3">
      <c r="B668" s="12"/>
    </row>
    <row r="669" spans="2:2" x14ac:dyDescent="0.3">
      <c r="B669" s="12"/>
    </row>
    <row r="670" spans="2:2" x14ac:dyDescent="0.3">
      <c r="B670" s="12"/>
    </row>
    <row r="671" spans="2:2" x14ac:dyDescent="0.3">
      <c r="B671" s="12"/>
    </row>
    <row r="672" spans="2:2" x14ac:dyDescent="0.3">
      <c r="B672" s="12"/>
    </row>
    <row r="673" spans="2:2" x14ac:dyDescent="0.3">
      <c r="B673" s="12"/>
    </row>
    <row r="674" spans="2:2" x14ac:dyDescent="0.3">
      <c r="B674" s="12"/>
    </row>
    <row r="675" spans="2:2" x14ac:dyDescent="0.3">
      <c r="B675" s="12"/>
    </row>
    <row r="676" spans="2:2" x14ac:dyDescent="0.3">
      <c r="B676" s="12"/>
    </row>
    <row r="677" spans="2:2" x14ac:dyDescent="0.3">
      <c r="B677" s="12"/>
    </row>
    <row r="678" spans="2:2" x14ac:dyDescent="0.3">
      <c r="B678" s="12"/>
    </row>
    <row r="679" spans="2:2" x14ac:dyDescent="0.3">
      <c r="B679" s="12"/>
    </row>
    <row r="680" spans="2:2" x14ac:dyDescent="0.3">
      <c r="B680" s="12"/>
    </row>
    <row r="681" spans="2:2" x14ac:dyDescent="0.3">
      <c r="B681" s="12"/>
    </row>
    <row r="682" spans="2:2" x14ac:dyDescent="0.3">
      <c r="B682" s="12"/>
    </row>
    <row r="683" spans="2:2" x14ac:dyDescent="0.3">
      <c r="B683" s="12"/>
    </row>
    <row r="684" spans="2:2" x14ac:dyDescent="0.3">
      <c r="B684" s="12"/>
    </row>
    <row r="685" spans="2:2" x14ac:dyDescent="0.3">
      <c r="B685" s="12"/>
    </row>
    <row r="686" spans="2:2" x14ac:dyDescent="0.3">
      <c r="B686" s="12"/>
    </row>
    <row r="687" spans="2:2" x14ac:dyDescent="0.3">
      <c r="B687" s="12"/>
    </row>
    <row r="688" spans="2:2" x14ac:dyDescent="0.3">
      <c r="B688" s="12"/>
    </row>
    <row r="689" spans="2:2" x14ac:dyDescent="0.3">
      <c r="B689" s="12"/>
    </row>
    <row r="690" spans="2:2" x14ac:dyDescent="0.3">
      <c r="B690" s="12"/>
    </row>
    <row r="691" spans="2:2" x14ac:dyDescent="0.3">
      <c r="B691" s="12"/>
    </row>
    <row r="692" spans="2:2" x14ac:dyDescent="0.3">
      <c r="B692" s="12"/>
    </row>
    <row r="693" spans="2:2" x14ac:dyDescent="0.3">
      <c r="B693" s="12"/>
    </row>
    <row r="694" spans="2:2" x14ac:dyDescent="0.3">
      <c r="B694" s="12"/>
    </row>
    <row r="695" spans="2:2" x14ac:dyDescent="0.3">
      <c r="B695" s="12"/>
    </row>
    <row r="696" spans="2:2" x14ac:dyDescent="0.3">
      <c r="B696" s="12"/>
    </row>
    <row r="697" spans="2:2" x14ac:dyDescent="0.3">
      <c r="B697" s="12"/>
    </row>
    <row r="698" spans="2:2" x14ac:dyDescent="0.3">
      <c r="B698" s="12"/>
    </row>
    <row r="699" spans="2:2" x14ac:dyDescent="0.3">
      <c r="B699" s="12"/>
    </row>
    <row r="700" spans="2:2" x14ac:dyDescent="0.3">
      <c r="B700" s="12"/>
    </row>
    <row r="701" spans="2:2" x14ac:dyDescent="0.3">
      <c r="B701" s="12"/>
    </row>
    <row r="702" spans="2:2" x14ac:dyDescent="0.3">
      <c r="B702" s="12"/>
    </row>
    <row r="703" spans="2:2" x14ac:dyDescent="0.3">
      <c r="B703" s="12"/>
    </row>
    <row r="704" spans="2:2" x14ac:dyDescent="0.3">
      <c r="B704" s="12"/>
    </row>
    <row r="705" spans="2:2" x14ac:dyDescent="0.3">
      <c r="B705" s="12"/>
    </row>
    <row r="706" spans="2:2" x14ac:dyDescent="0.3">
      <c r="B706" s="12"/>
    </row>
    <row r="707" spans="2:2" x14ac:dyDescent="0.3">
      <c r="B707" s="12"/>
    </row>
    <row r="708" spans="2:2" x14ac:dyDescent="0.3">
      <c r="B708" s="12"/>
    </row>
    <row r="709" spans="2:2" x14ac:dyDescent="0.3">
      <c r="B709" s="12"/>
    </row>
    <row r="710" spans="2:2" x14ac:dyDescent="0.3">
      <c r="B710" s="12"/>
    </row>
    <row r="711" spans="2:2" x14ac:dyDescent="0.3">
      <c r="B711" s="12"/>
    </row>
    <row r="712" spans="2:2" x14ac:dyDescent="0.3">
      <c r="B712" s="12"/>
    </row>
    <row r="713" spans="2:2" x14ac:dyDescent="0.3">
      <c r="B713" s="12"/>
    </row>
    <row r="714" spans="2:2" x14ac:dyDescent="0.3">
      <c r="B714" s="12"/>
    </row>
    <row r="715" spans="2:2" x14ac:dyDescent="0.3">
      <c r="B715" s="12"/>
    </row>
    <row r="716" spans="2:2" x14ac:dyDescent="0.3">
      <c r="B716" s="12"/>
    </row>
    <row r="717" spans="2:2" x14ac:dyDescent="0.3">
      <c r="B717" s="12"/>
    </row>
    <row r="718" spans="2:2" x14ac:dyDescent="0.3">
      <c r="B718" s="12"/>
    </row>
    <row r="719" spans="2:2" x14ac:dyDescent="0.3">
      <c r="B719" s="12"/>
    </row>
    <row r="720" spans="2:2" x14ac:dyDescent="0.3">
      <c r="B720" s="12"/>
    </row>
    <row r="721" spans="2:2" x14ac:dyDescent="0.3">
      <c r="B721" s="12"/>
    </row>
    <row r="722" spans="2:2" x14ac:dyDescent="0.3">
      <c r="B722" s="12"/>
    </row>
    <row r="723" spans="2:2" x14ac:dyDescent="0.3">
      <c r="B723" s="12"/>
    </row>
    <row r="724" spans="2:2" x14ac:dyDescent="0.3">
      <c r="B724" s="12"/>
    </row>
    <row r="725" spans="2:2" x14ac:dyDescent="0.3">
      <c r="B725" s="12"/>
    </row>
    <row r="726" spans="2:2" x14ac:dyDescent="0.3">
      <c r="B726" s="12"/>
    </row>
    <row r="727" spans="2:2" x14ac:dyDescent="0.3">
      <c r="B727" s="12"/>
    </row>
    <row r="728" spans="2:2" x14ac:dyDescent="0.3">
      <c r="B728" s="12"/>
    </row>
    <row r="729" spans="2:2" x14ac:dyDescent="0.3">
      <c r="B729" s="12"/>
    </row>
    <row r="730" spans="2:2" x14ac:dyDescent="0.3">
      <c r="B730" s="12"/>
    </row>
    <row r="731" spans="2:2" x14ac:dyDescent="0.3">
      <c r="B731" s="12"/>
    </row>
    <row r="732" spans="2:2" x14ac:dyDescent="0.3">
      <c r="B732" s="12"/>
    </row>
    <row r="733" spans="2:2" x14ac:dyDescent="0.3">
      <c r="B733" s="12"/>
    </row>
    <row r="734" spans="2:2" x14ac:dyDescent="0.3">
      <c r="B734" s="12"/>
    </row>
    <row r="735" spans="2:2" x14ac:dyDescent="0.3">
      <c r="B735" s="12"/>
    </row>
    <row r="736" spans="2:2" x14ac:dyDescent="0.3">
      <c r="B736" s="12"/>
    </row>
    <row r="737" spans="2:2" x14ac:dyDescent="0.3">
      <c r="B737" s="12"/>
    </row>
    <row r="738" spans="2:2" x14ac:dyDescent="0.3">
      <c r="B738" s="12"/>
    </row>
    <row r="739" spans="2:2" x14ac:dyDescent="0.3">
      <c r="B739" s="12"/>
    </row>
    <row r="740" spans="2:2" x14ac:dyDescent="0.3">
      <c r="B740" s="12"/>
    </row>
    <row r="741" spans="2:2" x14ac:dyDescent="0.3">
      <c r="B741" s="12"/>
    </row>
    <row r="742" spans="2:2" x14ac:dyDescent="0.3">
      <c r="B742" s="12"/>
    </row>
    <row r="743" spans="2:2" x14ac:dyDescent="0.3">
      <c r="B743" s="12"/>
    </row>
    <row r="744" spans="2:2" x14ac:dyDescent="0.3">
      <c r="B744" s="12"/>
    </row>
    <row r="745" spans="2:2" x14ac:dyDescent="0.3">
      <c r="B745" s="12"/>
    </row>
    <row r="746" spans="2:2" x14ac:dyDescent="0.3">
      <c r="B746" s="12"/>
    </row>
    <row r="747" spans="2:2" x14ac:dyDescent="0.3">
      <c r="B747" s="12"/>
    </row>
    <row r="748" spans="2:2" x14ac:dyDescent="0.3">
      <c r="B748" s="12"/>
    </row>
    <row r="749" spans="2:2" x14ac:dyDescent="0.3">
      <c r="B749" s="12"/>
    </row>
    <row r="750" spans="2:2" x14ac:dyDescent="0.3">
      <c r="B750" s="12"/>
    </row>
    <row r="751" spans="2:2" x14ac:dyDescent="0.3">
      <c r="B751" s="12"/>
    </row>
    <row r="752" spans="2:2" x14ac:dyDescent="0.3">
      <c r="B752" s="12"/>
    </row>
    <row r="753" spans="2:2" x14ac:dyDescent="0.3">
      <c r="B753" s="12"/>
    </row>
    <row r="754" spans="2:2" x14ac:dyDescent="0.3">
      <c r="B754" s="12"/>
    </row>
    <row r="755" spans="2:2" x14ac:dyDescent="0.3">
      <c r="B755" s="12"/>
    </row>
    <row r="756" spans="2:2" x14ac:dyDescent="0.3">
      <c r="B756" s="12"/>
    </row>
    <row r="757" spans="2:2" x14ac:dyDescent="0.3">
      <c r="B757" s="12"/>
    </row>
    <row r="758" spans="2:2" x14ac:dyDescent="0.3">
      <c r="B758" s="12"/>
    </row>
    <row r="759" spans="2:2" x14ac:dyDescent="0.3">
      <c r="B759" s="12"/>
    </row>
    <row r="760" spans="2:2" x14ac:dyDescent="0.3">
      <c r="B760" s="12"/>
    </row>
    <row r="761" spans="2:2" x14ac:dyDescent="0.3">
      <c r="B761" s="12"/>
    </row>
    <row r="762" spans="2:2" x14ac:dyDescent="0.3">
      <c r="B762" s="12"/>
    </row>
    <row r="763" spans="2:2" x14ac:dyDescent="0.3">
      <c r="B763" s="12"/>
    </row>
    <row r="764" spans="2:2" x14ac:dyDescent="0.3">
      <c r="B764" s="12"/>
    </row>
    <row r="765" spans="2:2" x14ac:dyDescent="0.3">
      <c r="B765" s="12"/>
    </row>
    <row r="766" spans="2:2" x14ac:dyDescent="0.3">
      <c r="B766" s="12"/>
    </row>
    <row r="767" spans="2:2" x14ac:dyDescent="0.3">
      <c r="B767" s="12"/>
    </row>
    <row r="768" spans="2:2" x14ac:dyDescent="0.3">
      <c r="B768" s="12"/>
    </row>
    <row r="769" spans="2:2" x14ac:dyDescent="0.3">
      <c r="B769" s="12"/>
    </row>
    <row r="770" spans="2:2" x14ac:dyDescent="0.3">
      <c r="B770" s="12"/>
    </row>
    <row r="771" spans="2:2" x14ac:dyDescent="0.3">
      <c r="B771" s="12"/>
    </row>
    <row r="772" spans="2:2" x14ac:dyDescent="0.3">
      <c r="B772" s="12"/>
    </row>
    <row r="773" spans="2:2" x14ac:dyDescent="0.3">
      <c r="B773" s="12"/>
    </row>
    <row r="774" spans="2:2" x14ac:dyDescent="0.3">
      <c r="B774" s="12"/>
    </row>
    <row r="775" spans="2:2" x14ac:dyDescent="0.3">
      <c r="B775" s="12"/>
    </row>
    <row r="776" spans="2:2" x14ac:dyDescent="0.3">
      <c r="B776" s="12"/>
    </row>
    <row r="777" spans="2:2" x14ac:dyDescent="0.3">
      <c r="B777" s="12"/>
    </row>
    <row r="778" spans="2:2" x14ac:dyDescent="0.3">
      <c r="B778" s="12"/>
    </row>
    <row r="779" spans="2:2" x14ac:dyDescent="0.3">
      <c r="B779" s="12"/>
    </row>
    <row r="780" spans="2:2" x14ac:dyDescent="0.3">
      <c r="B780" s="12"/>
    </row>
    <row r="781" spans="2:2" x14ac:dyDescent="0.3">
      <c r="B781" s="12"/>
    </row>
    <row r="782" spans="2:2" x14ac:dyDescent="0.3">
      <c r="B782" s="12"/>
    </row>
    <row r="783" spans="2:2" x14ac:dyDescent="0.3">
      <c r="B783" s="12"/>
    </row>
    <row r="784" spans="2:2" x14ac:dyDescent="0.3">
      <c r="B784" s="12"/>
    </row>
    <row r="785" spans="2:2" x14ac:dyDescent="0.3">
      <c r="B785" s="12"/>
    </row>
    <row r="786" spans="2:2" x14ac:dyDescent="0.3">
      <c r="B786" s="12"/>
    </row>
    <row r="787" spans="2:2" x14ac:dyDescent="0.3">
      <c r="B787" s="12"/>
    </row>
    <row r="788" spans="2:2" x14ac:dyDescent="0.3">
      <c r="B788" s="12"/>
    </row>
    <row r="789" spans="2:2" x14ac:dyDescent="0.3">
      <c r="B789" s="12"/>
    </row>
    <row r="790" spans="2:2" x14ac:dyDescent="0.3">
      <c r="B790" s="12"/>
    </row>
    <row r="791" spans="2:2" x14ac:dyDescent="0.3">
      <c r="B791" s="12"/>
    </row>
    <row r="792" spans="2:2" x14ac:dyDescent="0.3">
      <c r="B792" s="12"/>
    </row>
    <row r="793" spans="2:2" x14ac:dyDescent="0.3">
      <c r="B793" s="12"/>
    </row>
    <row r="794" spans="2:2" x14ac:dyDescent="0.3">
      <c r="B794" s="12"/>
    </row>
    <row r="795" spans="2:2" x14ac:dyDescent="0.3">
      <c r="B795" s="12"/>
    </row>
    <row r="796" spans="2:2" x14ac:dyDescent="0.3">
      <c r="B796" s="12"/>
    </row>
    <row r="797" spans="2:2" x14ac:dyDescent="0.3">
      <c r="B797" s="12"/>
    </row>
    <row r="798" spans="2:2" x14ac:dyDescent="0.3">
      <c r="B798" s="12"/>
    </row>
    <row r="799" spans="2:2" x14ac:dyDescent="0.3">
      <c r="B799" s="12"/>
    </row>
    <row r="800" spans="2:2" x14ac:dyDescent="0.3">
      <c r="B800" s="12"/>
    </row>
    <row r="801" spans="2:2" x14ac:dyDescent="0.3">
      <c r="B801" s="12"/>
    </row>
    <row r="802" spans="2:2" x14ac:dyDescent="0.3">
      <c r="B802" s="12"/>
    </row>
    <row r="803" spans="2:2" x14ac:dyDescent="0.3">
      <c r="B803" s="12"/>
    </row>
    <row r="804" spans="2:2" x14ac:dyDescent="0.3">
      <c r="B804" s="12"/>
    </row>
    <row r="805" spans="2:2" x14ac:dyDescent="0.3">
      <c r="B805" s="12"/>
    </row>
    <row r="806" spans="2:2" x14ac:dyDescent="0.3">
      <c r="B806" s="12"/>
    </row>
    <row r="807" spans="2:2" x14ac:dyDescent="0.3">
      <c r="B807" s="12"/>
    </row>
    <row r="808" spans="2:2" x14ac:dyDescent="0.3">
      <c r="B808" s="12"/>
    </row>
    <row r="809" spans="2:2" x14ac:dyDescent="0.3">
      <c r="B809" s="12"/>
    </row>
    <row r="810" spans="2:2" x14ac:dyDescent="0.3">
      <c r="B810" s="12"/>
    </row>
    <row r="811" spans="2:2" x14ac:dyDescent="0.3">
      <c r="B811" s="12"/>
    </row>
    <row r="812" spans="2:2" x14ac:dyDescent="0.3">
      <c r="B812" s="12"/>
    </row>
    <row r="813" spans="2:2" x14ac:dyDescent="0.3">
      <c r="B813" s="12"/>
    </row>
    <row r="814" spans="2:2" x14ac:dyDescent="0.3">
      <c r="B814" s="12"/>
    </row>
    <row r="815" spans="2:2" x14ac:dyDescent="0.3">
      <c r="B815" s="12"/>
    </row>
    <row r="816" spans="2:2" x14ac:dyDescent="0.3">
      <c r="B816" s="12"/>
    </row>
    <row r="817" spans="2:2" x14ac:dyDescent="0.3">
      <c r="B817" s="12"/>
    </row>
    <row r="818" spans="2:2" x14ac:dyDescent="0.3">
      <c r="B818" s="12"/>
    </row>
    <row r="819" spans="2:2" x14ac:dyDescent="0.3">
      <c r="B819" s="12"/>
    </row>
    <row r="820" spans="2:2" x14ac:dyDescent="0.3">
      <c r="B820" s="12"/>
    </row>
    <row r="821" spans="2:2" x14ac:dyDescent="0.3">
      <c r="B821" s="12"/>
    </row>
    <row r="822" spans="2:2" x14ac:dyDescent="0.3">
      <c r="B822" s="12"/>
    </row>
    <row r="823" spans="2:2" x14ac:dyDescent="0.3">
      <c r="B823" s="12"/>
    </row>
    <row r="824" spans="2:2" x14ac:dyDescent="0.3">
      <c r="B824" s="12"/>
    </row>
    <row r="825" spans="2:2" x14ac:dyDescent="0.3">
      <c r="B825" s="12"/>
    </row>
    <row r="826" spans="2:2" x14ac:dyDescent="0.3">
      <c r="B826" s="12"/>
    </row>
    <row r="827" spans="2:2" x14ac:dyDescent="0.3">
      <c r="B827" s="12"/>
    </row>
    <row r="828" spans="2:2" x14ac:dyDescent="0.3">
      <c r="B828" s="12"/>
    </row>
    <row r="829" spans="2:2" x14ac:dyDescent="0.3">
      <c r="B829" s="12"/>
    </row>
    <row r="830" spans="2:2" x14ac:dyDescent="0.3">
      <c r="B830" s="12"/>
    </row>
    <row r="831" spans="2:2" x14ac:dyDescent="0.3">
      <c r="B831" s="12"/>
    </row>
    <row r="832" spans="2:2" x14ac:dyDescent="0.3">
      <c r="B832" s="12"/>
    </row>
    <row r="833" spans="2:2" x14ac:dyDescent="0.3">
      <c r="B833" s="12"/>
    </row>
    <row r="834" spans="2:2" x14ac:dyDescent="0.3">
      <c r="B834" s="12"/>
    </row>
    <row r="835" spans="2:2" x14ac:dyDescent="0.3">
      <c r="B835" s="12"/>
    </row>
    <row r="836" spans="2:2" x14ac:dyDescent="0.3">
      <c r="B836" s="12"/>
    </row>
    <row r="837" spans="2:2" x14ac:dyDescent="0.3">
      <c r="B837" s="12"/>
    </row>
    <row r="838" spans="2:2" x14ac:dyDescent="0.3">
      <c r="B838" s="12"/>
    </row>
    <row r="839" spans="2:2" x14ac:dyDescent="0.3">
      <c r="B839" s="12"/>
    </row>
    <row r="840" spans="2:2" x14ac:dyDescent="0.3">
      <c r="B840" s="12"/>
    </row>
    <row r="841" spans="2:2" x14ac:dyDescent="0.3">
      <c r="B841" s="12"/>
    </row>
    <row r="842" spans="2:2" x14ac:dyDescent="0.3">
      <c r="B842" s="12"/>
    </row>
    <row r="843" spans="2:2" x14ac:dyDescent="0.3">
      <c r="B843" s="12"/>
    </row>
    <row r="844" spans="2:2" x14ac:dyDescent="0.3">
      <c r="B844" s="12"/>
    </row>
    <row r="845" spans="2:2" x14ac:dyDescent="0.3">
      <c r="B845" s="12"/>
    </row>
    <row r="846" spans="2:2" x14ac:dyDescent="0.3">
      <c r="B846" s="12"/>
    </row>
    <row r="847" spans="2:2" x14ac:dyDescent="0.3">
      <c r="B847" s="12"/>
    </row>
    <row r="848" spans="2:2" x14ac:dyDescent="0.3">
      <c r="B848" s="12"/>
    </row>
    <row r="849" spans="2:2" x14ac:dyDescent="0.3">
      <c r="B849" s="12"/>
    </row>
    <row r="850" spans="2:2" x14ac:dyDescent="0.3">
      <c r="B850" s="12"/>
    </row>
    <row r="851" spans="2:2" x14ac:dyDescent="0.3">
      <c r="B851" s="12"/>
    </row>
    <row r="852" spans="2:2" x14ac:dyDescent="0.3">
      <c r="B852" s="12"/>
    </row>
    <row r="853" spans="2:2" x14ac:dyDescent="0.3">
      <c r="B853" s="12"/>
    </row>
    <row r="854" spans="2:2" x14ac:dyDescent="0.3">
      <c r="B854" s="12"/>
    </row>
    <row r="855" spans="2:2" x14ac:dyDescent="0.3">
      <c r="B855" s="12"/>
    </row>
    <row r="856" spans="2:2" x14ac:dyDescent="0.3">
      <c r="B856" s="12"/>
    </row>
    <row r="857" spans="2:2" x14ac:dyDescent="0.3">
      <c r="B857" s="12"/>
    </row>
    <row r="858" spans="2:2" x14ac:dyDescent="0.3">
      <c r="B858" s="12"/>
    </row>
    <row r="859" spans="2:2" x14ac:dyDescent="0.3">
      <c r="B859" s="12"/>
    </row>
    <row r="860" spans="2:2" x14ac:dyDescent="0.3">
      <c r="B860" s="12"/>
    </row>
    <row r="861" spans="2:2" x14ac:dyDescent="0.3">
      <c r="B861" s="12"/>
    </row>
    <row r="862" spans="2:2" x14ac:dyDescent="0.3">
      <c r="B862" s="12"/>
    </row>
    <row r="863" spans="2:2" x14ac:dyDescent="0.3">
      <c r="B863" s="12"/>
    </row>
    <row r="864" spans="2:2" x14ac:dyDescent="0.3">
      <c r="B864" s="12"/>
    </row>
    <row r="865" spans="2:2" x14ac:dyDescent="0.3">
      <c r="B865" s="12"/>
    </row>
    <row r="866" spans="2:2" x14ac:dyDescent="0.3">
      <c r="B866" s="12"/>
    </row>
    <row r="867" spans="2:2" x14ac:dyDescent="0.3">
      <c r="B867" s="12"/>
    </row>
    <row r="868" spans="2:2" x14ac:dyDescent="0.3">
      <c r="B868" s="12"/>
    </row>
    <row r="869" spans="2:2" x14ac:dyDescent="0.3">
      <c r="B869" s="12"/>
    </row>
    <row r="870" spans="2:2" x14ac:dyDescent="0.3">
      <c r="B870" s="12"/>
    </row>
    <row r="871" spans="2:2" x14ac:dyDescent="0.3">
      <c r="B871" s="12"/>
    </row>
    <row r="872" spans="2:2" x14ac:dyDescent="0.3">
      <c r="B872" s="12"/>
    </row>
    <row r="873" spans="2:2" x14ac:dyDescent="0.3">
      <c r="B873" s="12"/>
    </row>
    <row r="874" spans="2:2" x14ac:dyDescent="0.3">
      <c r="B874" s="12"/>
    </row>
    <row r="875" spans="2:2" x14ac:dyDescent="0.3">
      <c r="B875" s="12"/>
    </row>
    <row r="876" spans="2:2" x14ac:dyDescent="0.3">
      <c r="B876" s="12"/>
    </row>
    <row r="877" spans="2:2" x14ac:dyDescent="0.3">
      <c r="B877" s="12"/>
    </row>
    <row r="878" spans="2:2" x14ac:dyDescent="0.3">
      <c r="B878" s="12"/>
    </row>
    <row r="879" spans="2:2" x14ac:dyDescent="0.3">
      <c r="B879" s="12"/>
    </row>
    <row r="880" spans="2:2" x14ac:dyDescent="0.3">
      <c r="B880" s="12"/>
    </row>
    <row r="881" spans="2:2" x14ac:dyDescent="0.3">
      <c r="B881" s="12"/>
    </row>
    <row r="882" spans="2:2" x14ac:dyDescent="0.3">
      <c r="B882" s="12"/>
    </row>
    <row r="883" spans="2:2" x14ac:dyDescent="0.3">
      <c r="B883" s="12"/>
    </row>
    <row r="884" spans="2:2" x14ac:dyDescent="0.3">
      <c r="B884" s="12"/>
    </row>
    <row r="885" spans="2:2" x14ac:dyDescent="0.3">
      <c r="B885" s="12"/>
    </row>
    <row r="886" spans="2:2" x14ac:dyDescent="0.3">
      <c r="B886" s="12"/>
    </row>
    <row r="887" spans="2:2" x14ac:dyDescent="0.3">
      <c r="B887" s="12"/>
    </row>
    <row r="888" spans="2:2" x14ac:dyDescent="0.3">
      <c r="B888" s="12"/>
    </row>
    <row r="889" spans="2:2" x14ac:dyDescent="0.3">
      <c r="B889" s="12"/>
    </row>
    <row r="890" spans="2:2" x14ac:dyDescent="0.3">
      <c r="B890" s="12"/>
    </row>
    <row r="891" spans="2:2" x14ac:dyDescent="0.3">
      <c r="B891" s="12"/>
    </row>
    <row r="892" spans="2:2" x14ac:dyDescent="0.3">
      <c r="B892" s="12"/>
    </row>
    <row r="893" spans="2:2" x14ac:dyDescent="0.3">
      <c r="B893" s="12"/>
    </row>
    <row r="894" spans="2:2" x14ac:dyDescent="0.3">
      <c r="B894" s="12"/>
    </row>
    <row r="895" spans="2:2" x14ac:dyDescent="0.3">
      <c r="B895" s="12"/>
    </row>
    <row r="896" spans="2:2" x14ac:dyDescent="0.3">
      <c r="B896" s="12"/>
    </row>
    <row r="897" spans="2:2" x14ac:dyDescent="0.3">
      <c r="B897" s="12"/>
    </row>
    <row r="898" spans="2:2" x14ac:dyDescent="0.3">
      <c r="B898" s="12"/>
    </row>
    <row r="899" spans="2:2" x14ac:dyDescent="0.3">
      <c r="B899" s="12"/>
    </row>
    <row r="900" spans="2:2" x14ac:dyDescent="0.3">
      <c r="B900" s="12"/>
    </row>
    <row r="901" spans="2:2" x14ac:dyDescent="0.3">
      <c r="B901" s="12"/>
    </row>
    <row r="902" spans="2:2" x14ac:dyDescent="0.3">
      <c r="B902" s="12"/>
    </row>
    <row r="903" spans="2:2" x14ac:dyDescent="0.3">
      <c r="B903" s="12"/>
    </row>
    <row r="904" spans="2:2" x14ac:dyDescent="0.3">
      <c r="B904" s="12"/>
    </row>
    <row r="905" spans="2:2" x14ac:dyDescent="0.3">
      <c r="B905" s="12"/>
    </row>
    <row r="906" spans="2:2" x14ac:dyDescent="0.3">
      <c r="B906" s="12"/>
    </row>
    <row r="907" spans="2:2" x14ac:dyDescent="0.3">
      <c r="B907" s="12"/>
    </row>
  </sheetData>
  <mergeCells count="2">
    <mergeCell ref="C1:Q1"/>
    <mergeCell ref="C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C778-3CDD-408B-9439-BC28C709F6D5}">
  <dimension ref="B2:L26"/>
  <sheetViews>
    <sheetView workbookViewId="0">
      <selection activeCell="D19" sqref="D19"/>
    </sheetView>
  </sheetViews>
  <sheetFormatPr defaultRowHeight="14.4" x14ac:dyDescent="0.3"/>
  <cols>
    <col min="2" max="2" width="15.6640625" bestFit="1" customWidth="1"/>
    <col min="3" max="3" width="40.33203125" bestFit="1" customWidth="1"/>
    <col min="4" max="4" width="9.5546875" style="2" bestFit="1" customWidth="1"/>
    <col min="6" max="6" width="11.21875" bestFit="1" customWidth="1"/>
    <col min="14" max="14" width="12.44140625" bestFit="1" customWidth="1"/>
  </cols>
  <sheetData>
    <row r="2" spans="3:11" x14ac:dyDescent="0.3">
      <c r="C2" t="s">
        <v>24</v>
      </c>
      <c r="D2" s="2">
        <v>15000</v>
      </c>
      <c r="E2" s="3"/>
    </row>
    <row r="5" spans="3:11" x14ac:dyDescent="0.3">
      <c r="C5" s="5" t="s">
        <v>0</v>
      </c>
      <c r="D5" s="6">
        <f>+D2*1.4%</f>
        <v>209.99999999999997</v>
      </c>
      <c r="E5" s="2"/>
    </row>
    <row r="6" spans="3:11" x14ac:dyDescent="0.3">
      <c r="C6" t="s">
        <v>2</v>
      </c>
      <c r="D6" s="4">
        <v>4.0000000000000001E-3</v>
      </c>
    </row>
    <row r="7" spans="3:11" x14ac:dyDescent="0.3">
      <c r="C7" t="s">
        <v>1</v>
      </c>
      <c r="D7" s="2">
        <f>+D6*D5</f>
        <v>0.83999999999999986</v>
      </c>
    </row>
    <row r="8" spans="3:11" x14ac:dyDescent="0.3">
      <c r="C8" s="5" t="s">
        <v>3</v>
      </c>
      <c r="D8" s="6">
        <f>+D5-D7</f>
        <v>209.15999999999997</v>
      </c>
    </row>
    <row r="9" spans="3:11" x14ac:dyDescent="0.3">
      <c r="C9" t="s">
        <v>5</v>
      </c>
      <c r="D9" s="4">
        <v>0.38</v>
      </c>
    </row>
    <row r="10" spans="3:11" x14ac:dyDescent="0.3">
      <c r="C10" t="s">
        <v>4</v>
      </c>
      <c r="D10" s="2">
        <f>+((D2*D9)/48*1)/1.24</f>
        <v>95.766129032258064</v>
      </c>
    </row>
    <row r="11" spans="3:11" x14ac:dyDescent="0.3">
      <c r="C11" s="5" t="s">
        <v>6</v>
      </c>
      <c r="D11" s="6">
        <f>+D8-D10</f>
        <v>113.3938709677419</v>
      </c>
    </row>
    <row r="12" spans="3:11" x14ac:dyDescent="0.3">
      <c r="C12" t="s">
        <v>7</v>
      </c>
      <c r="D12" s="4">
        <v>2.8299999999999999E-2</v>
      </c>
    </row>
    <row r="13" spans="3:11" x14ac:dyDescent="0.3">
      <c r="C13" t="s">
        <v>8</v>
      </c>
      <c r="D13" s="2">
        <f>+((D12*D2)/48*1)/1.24</f>
        <v>7.132056451612903</v>
      </c>
      <c r="K13" s="1"/>
    </row>
    <row r="14" spans="3:11" x14ac:dyDescent="0.3">
      <c r="C14" s="5" t="s">
        <v>9</v>
      </c>
      <c r="D14" s="6">
        <f>+D11-D13</f>
        <v>106.26181451612901</v>
      </c>
      <c r="K14" s="1"/>
    </row>
    <row r="15" spans="3:11" x14ac:dyDescent="0.3">
      <c r="C15" t="s">
        <v>11</v>
      </c>
      <c r="D15" s="4">
        <f>+D16/D5</f>
        <v>0.44246946090264072</v>
      </c>
    </row>
    <row r="16" spans="3:11" x14ac:dyDescent="0.3">
      <c r="C16" t="s">
        <v>12</v>
      </c>
      <c r="D16" s="2">
        <f>+H25</f>
        <v>92.918586789554539</v>
      </c>
      <c r="E16" s="7" t="s">
        <v>23</v>
      </c>
      <c r="F16" t="s">
        <v>13</v>
      </c>
      <c r="G16">
        <v>600</v>
      </c>
      <c r="H16" s="1">
        <f>+G16/12</f>
        <v>50</v>
      </c>
    </row>
    <row r="17" spans="2:12" x14ac:dyDescent="0.3">
      <c r="B17" t="s">
        <v>17</v>
      </c>
      <c r="C17" s="5" t="s">
        <v>10</v>
      </c>
      <c r="D17" s="6">
        <f>+D14-D16</f>
        <v>13.343227726574469</v>
      </c>
      <c r="F17" t="s">
        <v>14</v>
      </c>
      <c r="G17">
        <v>200</v>
      </c>
      <c r="H17" s="1">
        <f>+G17/12</f>
        <v>16.666666666666668</v>
      </c>
    </row>
    <row r="18" spans="2:12" x14ac:dyDescent="0.3">
      <c r="F18" t="s">
        <v>15</v>
      </c>
      <c r="G18">
        <f>(6*30)</f>
        <v>180</v>
      </c>
      <c r="H18" s="1">
        <f t="shared" ref="H18:H23" si="0">+G18/42</f>
        <v>4.2857142857142856</v>
      </c>
    </row>
    <row r="19" spans="2:12" x14ac:dyDescent="0.3">
      <c r="B19" t="s">
        <v>16</v>
      </c>
      <c r="C19" s="5" t="s">
        <v>10</v>
      </c>
      <c r="D19" s="6">
        <f>+D17*42</f>
        <v>560.41556451612769</v>
      </c>
      <c r="F19" t="s">
        <v>18</v>
      </c>
      <c r="G19" s="1">
        <v>50</v>
      </c>
      <c r="H19" s="1">
        <f t="shared" si="0"/>
        <v>1.1904761904761905</v>
      </c>
    </row>
    <row r="20" spans="2:12" x14ac:dyDescent="0.3">
      <c r="F20" t="s">
        <v>20</v>
      </c>
      <c r="G20" s="1">
        <v>100</v>
      </c>
      <c r="H20" s="1">
        <f t="shared" si="0"/>
        <v>2.3809523809523809</v>
      </c>
    </row>
    <row r="21" spans="2:12" x14ac:dyDescent="0.3">
      <c r="C21" t="s">
        <v>25</v>
      </c>
      <c r="D21" s="2">
        <f>+D2-(D2*D9)</f>
        <v>9300</v>
      </c>
      <c r="F21" t="s">
        <v>21</v>
      </c>
      <c r="G21" s="1">
        <f>400/1.24</f>
        <v>322.58064516129031</v>
      </c>
      <c r="H21" s="1">
        <f t="shared" si="0"/>
        <v>7.6804915514592933</v>
      </c>
    </row>
    <row r="22" spans="2:12" x14ac:dyDescent="0.3">
      <c r="F22" t="s">
        <v>22</v>
      </c>
      <c r="G22" s="1">
        <v>150</v>
      </c>
      <c r="H22" s="1">
        <f t="shared" si="0"/>
        <v>3.5714285714285716</v>
      </c>
      <c r="K22" s="3"/>
      <c r="L22" s="3"/>
    </row>
    <row r="23" spans="2:12" x14ac:dyDescent="0.3">
      <c r="C23" t="s">
        <v>37</v>
      </c>
      <c r="D23" s="2">
        <f>+D21*3%</f>
        <v>279</v>
      </c>
      <c r="F23" t="s">
        <v>19</v>
      </c>
      <c r="G23" s="1">
        <v>300</v>
      </c>
      <c r="H23" s="1">
        <f t="shared" si="0"/>
        <v>7.1428571428571432</v>
      </c>
    </row>
    <row r="25" spans="2:12" x14ac:dyDescent="0.3">
      <c r="C25" s="5" t="s">
        <v>27</v>
      </c>
      <c r="D25" s="6">
        <f>+D23+D19</f>
        <v>839.41556451612769</v>
      </c>
      <c r="G25" s="1"/>
      <c r="H25" s="1">
        <f>SUM(H16:H24)</f>
        <v>92.918586789554539</v>
      </c>
    </row>
    <row r="26" spans="2:12" x14ac:dyDescent="0.3">
      <c r="G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5258C-0251-47C3-8503-4A21F5E991AA}">
  <dimension ref="B2:L26"/>
  <sheetViews>
    <sheetView workbookViewId="0">
      <selection activeCell="G12" sqref="G12"/>
    </sheetView>
  </sheetViews>
  <sheetFormatPr defaultRowHeight="14.4" x14ac:dyDescent="0.3"/>
  <cols>
    <col min="2" max="2" width="15.6640625" bestFit="1" customWidth="1"/>
    <col min="3" max="3" width="40.33203125" bestFit="1" customWidth="1"/>
    <col min="4" max="4" width="9.5546875" style="2" bestFit="1" customWidth="1"/>
    <col min="6" max="6" width="11.21875" bestFit="1" customWidth="1"/>
  </cols>
  <sheetData>
    <row r="2" spans="3:11" x14ac:dyDescent="0.3">
      <c r="C2" t="s">
        <v>24</v>
      </c>
      <c r="D2" s="2">
        <v>25000</v>
      </c>
      <c r="E2" s="3"/>
    </row>
    <row r="5" spans="3:11" x14ac:dyDescent="0.3">
      <c r="C5" s="5" t="s">
        <v>0</v>
      </c>
      <c r="D5" s="6">
        <f>+D2*1.4%</f>
        <v>349.99999999999994</v>
      </c>
      <c r="E5" s="2"/>
    </row>
    <row r="6" spans="3:11" x14ac:dyDescent="0.3">
      <c r="C6" t="s">
        <v>2</v>
      </c>
      <c r="D6" s="4">
        <v>4.0000000000000001E-3</v>
      </c>
    </row>
    <row r="7" spans="3:11" x14ac:dyDescent="0.3">
      <c r="C7" t="s">
        <v>1</v>
      </c>
      <c r="D7" s="2">
        <f>+D6*D5</f>
        <v>1.4</v>
      </c>
    </row>
    <row r="8" spans="3:11" x14ac:dyDescent="0.3">
      <c r="C8" s="5" t="s">
        <v>3</v>
      </c>
      <c r="D8" s="6">
        <f>+D5-D7</f>
        <v>348.59999999999997</v>
      </c>
    </row>
    <row r="9" spans="3:11" x14ac:dyDescent="0.3">
      <c r="C9" t="s">
        <v>5</v>
      </c>
      <c r="D9" s="4">
        <v>0.48</v>
      </c>
    </row>
    <row r="10" spans="3:11" x14ac:dyDescent="0.3">
      <c r="C10" t="s">
        <v>4</v>
      </c>
      <c r="D10" s="2">
        <f>+((D2*D9)/48*1)/1.24</f>
        <v>201.61290322580646</v>
      </c>
    </row>
    <row r="11" spans="3:11" x14ac:dyDescent="0.3">
      <c r="C11" s="5" t="s">
        <v>6</v>
      </c>
      <c r="D11" s="6">
        <f>+D8-D10</f>
        <v>146.9870967741935</v>
      </c>
    </row>
    <row r="12" spans="3:11" x14ac:dyDescent="0.3">
      <c r="C12" t="s">
        <v>7</v>
      </c>
      <c r="D12" s="4">
        <v>2.8299999999999999E-2</v>
      </c>
    </row>
    <row r="13" spans="3:11" x14ac:dyDescent="0.3">
      <c r="C13" t="s">
        <v>8</v>
      </c>
      <c r="D13" s="2">
        <f>+((D12*D2)/48*1)/1.24</f>
        <v>11.886760752688172</v>
      </c>
      <c r="K13" s="1"/>
    </row>
    <row r="14" spans="3:11" x14ac:dyDescent="0.3">
      <c r="C14" s="5" t="s">
        <v>9</v>
      </c>
      <c r="D14" s="6">
        <f>+D11-D13</f>
        <v>135.10033602150534</v>
      </c>
      <c r="K14" s="1"/>
    </row>
    <row r="15" spans="3:11" x14ac:dyDescent="0.3">
      <c r="C15" t="s">
        <v>11</v>
      </c>
      <c r="D15" s="4">
        <f>+D16/D5</f>
        <v>0.31310072416063206</v>
      </c>
    </row>
    <row r="16" spans="3:11" x14ac:dyDescent="0.3">
      <c r="C16" t="s">
        <v>12</v>
      </c>
      <c r="D16" s="2">
        <f>+H25</f>
        <v>109.58525345622121</v>
      </c>
      <c r="E16" s="7" t="s">
        <v>23</v>
      </c>
      <c r="F16" t="s">
        <v>13</v>
      </c>
      <c r="G16">
        <v>800</v>
      </c>
      <c r="H16" s="1">
        <f>+G16/12</f>
        <v>66.666666666666671</v>
      </c>
    </row>
    <row r="17" spans="2:12" x14ac:dyDescent="0.3">
      <c r="B17" t="s">
        <v>17</v>
      </c>
      <c r="C17" s="5" t="s">
        <v>10</v>
      </c>
      <c r="D17" s="6">
        <f>+D14-D16</f>
        <v>25.515082565284132</v>
      </c>
      <c r="F17" t="s">
        <v>14</v>
      </c>
      <c r="G17">
        <v>200</v>
      </c>
      <c r="H17" s="1">
        <f>+G17/12</f>
        <v>16.666666666666668</v>
      </c>
    </row>
    <row r="18" spans="2:12" x14ac:dyDescent="0.3">
      <c r="F18" t="s">
        <v>15</v>
      </c>
      <c r="G18">
        <f>(6*30)</f>
        <v>180</v>
      </c>
      <c r="H18" s="1">
        <f t="shared" ref="H18:H23" si="0">+G18/42</f>
        <v>4.2857142857142856</v>
      </c>
    </row>
    <row r="19" spans="2:12" x14ac:dyDescent="0.3">
      <c r="B19" t="s">
        <v>16</v>
      </c>
      <c r="C19" s="5" t="s">
        <v>10</v>
      </c>
      <c r="D19" s="6">
        <f>+D17*42</f>
        <v>1071.6334677419336</v>
      </c>
      <c r="F19" t="s">
        <v>18</v>
      </c>
      <c r="G19" s="1">
        <v>50</v>
      </c>
      <c r="H19" s="1">
        <f t="shared" si="0"/>
        <v>1.1904761904761905</v>
      </c>
    </row>
    <row r="20" spans="2:12" x14ac:dyDescent="0.3">
      <c r="F20" t="s">
        <v>20</v>
      </c>
      <c r="G20" s="1">
        <v>100</v>
      </c>
      <c r="H20" s="1">
        <f t="shared" si="0"/>
        <v>2.3809523809523809</v>
      </c>
    </row>
    <row r="21" spans="2:12" x14ac:dyDescent="0.3">
      <c r="C21" t="s">
        <v>25</v>
      </c>
      <c r="D21" s="2">
        <f>+D2-(D2*D9)</f>
        <v>13000</v>
      </c>
      <c r="F21" t="s">
        <v>21</v>
      </c>
      <c r="G21" s="1">
        <f>400/1.24</f>
        <v>322.58064516129031</v>
      </c>
      <c r="H21" s="1">
        <f t="shared" si="0"/>
        <v>7.6804915514592933</v>
      </c>
    </row>
    <row r="22" spans="2:12" x14ac:dyDescent="0.3">
      <c r="F22" t="s">
        <v>22</v>
      </c>
      <c r="G22" s="1">
        <v>150</v>
      </c>
      <c r="H22" s="1">
        <f t="shared" si="0"/>
        <v>3.5714285714285716</v>
      </c>
      <c r="K22" s="3"/>
      <c r="L22" s="3"/>
    </row>
    <row r="23" spans="2:12" x14ac:dyDescent="0.3">
      <c r="C23" t="s">
        <v>26</v>
      </c>
      <c r="D23" s="2">
        <f>+D21*4%</f>
        <v>520</v>
      </c>
      <c r="F23" t="s">
        <v>19</v>
      </c>
      <c r="G23" s="1">
        <v>300</v>
      </c>
      <c r="H23" s="1">
        <f t="shared" si="0"/>
        <v>7.1428571428571432</v>
      </c>
    </row>
    <row r="25" spans="2:12" x14ac:dyDescent="0.3">
      <c r="C25" s="5" t="s">
        <v>27</v>
      </c>
      <c r="D25" s="6">
        <f>+D23+D19</f>
        <v>1591.6334677419336</v>
      </c>
      <c r="G25" s="1"/>
      <c r="H25" s="1">
        <f>SUM(H16:H24)</f>
        <v>109.58525345622121</v>
      </c>
    </row>
    <row r="26" spans="2:12" x14ac:dyDescent="0.3">
      <c r="G2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55B9C-CAA2-459F-BC31-250E25A14200}">
  <dimension ref="B2:N26"/>
  <sheetViews>
    <sheetView tabSelected="1" workbookViewId="0">
      <selection activeCell="D19" sqref="D19"/>
    </sheetView>
  </sheetViews>
  <sheetFormatPr defaultRowHeight="14.4" x14ac:dyDescent="0.3"/>
  <cols>
    <col min="2" max="2" width="15.6640625" bestFit="1" customWidth="1"/>
    <col min="3" max="3" width="40.33203125" bestFit="1" customWidth="1"/>
    <col min="4" max="4" width="9.5546875" style="2" bestFit="1" customWidth="1"/>
    <col min="6" max="6" width="11.21875" bestFit="1" customWidth="1"/>
    <col min="14" max="14" width="13.77734375" bestFit="1" customWidth="1"/>
  </cols>
  <sheetData>
    <row r="2" spans="3:14" x14ac:dyDescent="0.3">
      <c r="C2" t="s">
        <v>24</v>
      </c>
      <c r="D2" s="2">
        <v>40000</v>
      </c>
      <c r="E2" s="3"/>
    </row>
    <row r="5" spans="3:14" x14ac:dyDescent="0.3">
      <c r="C5" s="5" t="s">
        <v>0</v>
      </c>
      <c r="D5" s="6">
        <f>+D2*1.4%</f>
        <v>559.99999999999989</v>
      </c>
      <c r="E5" s="2"/>
    </row>
    <row r="6" spans="3:14" x14ac:dyDescent="0.3">
      <c r="C6" t="s">
        <v>2</v>
      </c>
      <c r="D6" s="4">
        <v>4.0000000000000001E-3</v>
      </c>
    </row>
    <row r="7" spans="3:14" x14ac:dyDescent="0.3">
      <c r="C7" t="s">
        <v>1</v>
      </c>
      <c r="D7" s="2">
        <f>+D6*D5</f>
        <v>2.2399999999999998</v>
      </c>
    </row>
    <row r="8" spans="3:14" x14ac:dyDescent="0.3">
      <c r="C8" s="5" t="s">
        <v>3</v>
      </c>
      <c r="D8" s="6">
        <f>+D5-D7</f>
        <v>557.75999999999988</v>
      </c>
    </row>
    <row r="9" spans="3:14" x14ac:dyDescent="0.3">
      <c r="C9" t="s">
        <v>5</v>
      </c>
      <c r="D9" s="4">
        <v>0.52</v>
      </c>
    </row>
    <row r="10" spans="3:14" x14ac:dyDescent="0.3">
      <c r="C10" t="s">
        <v>4</v>
      </c>
      <c r="D10" s="2">
        <f>+((D2*D9)/48*1)/1.24</f>
        <v>349.46236559139783</v>
      </c>
    </row>
    <row r="11" spans="3:14" x14ac:dyDescent="0.3">
      <c r="C11" s="5" t="s">
        <v>6</v>
      </c>
      <c r="D11" s="6">
        <f>+D8-D10</f>
        <v>208.29763440860205</v>
      </c>
    </row>
    <row r="12" spans="3:14" x14ac:dyDescent="0.3">
      <c r="C12" t="s">
        <v>7</v>
      </c>
      <c r="D12" s="4">
        <v>2.8299999999999999E-2</v>
      </c>
    </row>
    <row r="13" spans="3:14" x14ac:dyDescent="0.3">
      <c r="C13" t="s">
        <v>8</v>
      </c>
      <c r="D13" s="2">
        <f>+((D12*D2)/48*1)/1.24</f>
        <v>19.018817204301076</v>
      </c>
      <c r="K13" s="1"/>
    </row>
    <row r="14" spans="3:14" x14ac:dyDescent="0.3">
      <c r="C14" s="5" t="s">
        <v>9</v>
      </c>
      <c r="D14" s="6">
        <f>+D11-D13</f>
        <v>189.27881720430096</v>
      </c>
      <c r="K14" s="1"/>
    </row>
    <row r="15" spans="3:14" x14ac:dyDescent="0.3">
      <c r="C15" t="s">
        <v>11</v>
      </c>
      <c r="D15" s="4">
        <f>+D16/D5</f>
        <v>0.26636904761904767</v>
      </c>
    </row>
    <row r="16" spans="3:14" x14ac:dyDescent="0.3">
      <c r="C16" t="s">
        <v>12</v>
      </c>
      <c r="D16" s="2">
        <f>+H25</f>
        <v>149.16666666666666</v>
      </c>
      <c r="E16" s="7" t="s">
        <v>23</v>
      </c>
      <c r="F16" t="s">
        <v>13</v>
      </c>
      <c r="G16">
        <v>1000</v>
      </c>
      <c r="H16" s="1">
        <f>+G16/12</f>
        <v>83.333333333333329</v>
      </c>
      <c r="N16" s="2"/>
    </row>
    <row r="17" spans="2:14" x14ac:dyDescent="0.3">
      <c r="B17" t="s">
        <v>17</v>
      </c>
      <c r="C17" s="5" t="s">
        <v>10</v>
      </c>
      <c r="D17" s="6">
        <f>+D14-D16</f>
        <v>40.112150537634307</v>
      </c>
      <c r="F17" t="s">
        <v>14</v>
      </c>
      <c r="G17">
        <v>350</v>
      </c>
      <c r="H17" s="1">
        <f>+G17/12</f>
        <v>29.166666666666668</v>
      </c>
      <c r="N17" s="2"/>
    </row>
    <row r="18" spans="2:14" x14ac:dyDescent="0.3">
      <c r="F18" t="s">
        <v>15</v>
      </c>
      <c r="G18">
        <f>(6*40)</f>
        <v>240</v>
      </c>
      <c r="H18" s="1">
        <f t="shared" ref="H18:H23" si="0">+G18/42</f>
        <v>5.7142857142857144</v>
      </c>
      <c r="N18" s="4"/>
    </row>
    <row r="19" spans="2:14" x14ac:dyDescent="0.3">
      <c r="B19" t="s">
        <v>16</v>
      </c>
      <c r="C19" s="5" t="s">
        <v>10</v>
      </c>
      <c r="D19" s="6">
        <f>+D17*42</f>
        <v>1684.7103225806409</v>
      </c>
      <c r="F19" t="s">
        <v>18</v>
      </c>
      <c r="G19" s="1">
        <v>50</v>
      </c>
      <c r="H19" s="1">
        <f t="shared" si="0"/>
        <v>1.1904761904761905</v>
      </c>
    </row>
    <row r="20" spans="2:14" x14ac:dyDescent="0.3">
      <c r="F20" t="s">
        <v>20</v>
      </c>
      <c r="G20" s="1">
        <v>200</v>
      </c>
      <c r="H20" s="1">
        <f t="shared" si="0"/>
        <v>4.7619047619047619</v>
      </c>
    </row>
    <row r="21" spans="2:14" x14ac:dyDescent="0.3">
      <c r="C21" t="s">
        <v>25</v>
      </c>
      <c r="D21" s="2">
        <f>+D2-(D2*D9)</f>
        <v>19200</v>
      </c>
      <c r="F21" t="s">
        <v>21</v>
      </c>
      <c r="G21" s="1">
        <v>400</v>
      </c>
      <c r="H21" s="1">
        <f t="shared" si="0"/>
        <v>9.5238095238095237</v>
      </c>
    </row>
    <row r="22" spans="2:14" x14ac:dyDescent="0.3">
      <c r="F22" t="s">
        <v>22</v>
      </c>
      <c r="G22" s="1">
        <v>150</v>
      </c>
      <c r="H22" s="1">
        <f t="shared" si="0"/>
        <v>3.5714285714285716</v>
      </c>
      <c r="K22" s="3"/>
      <c r="L22" s="3"/>
    </row>
    <row r="23" spans="2:14" x14ac:dyDescent="0.3">
      <c r="C23" t="s">
        <v>26</v>
      </c>
      <c r="D23" s="2">
        <f>+D21*4%</f>
        <v>768</v>
      </c>
      <c r="F23" t="s">
        <v>19</v>
      </c>
      <c r="G23" s="1">
        <v>500</v>
      </c>
      <c r="H23" s="1">
        <f t="shared" si="0"/>
        <v>11.904761904761905</v>
      </c>
    </row>
    <row r="25" spans="2:14" x14ac:dyDescent="0.3">
      <c r="C25" t="s">
        <v>27</v>
      </c>
      <c r="D25" s="2">
        <f>+D23+D19</f>
        <v>2452.7103225806409</v>
      </c>
      <c r="G25" s="1"/>
      <c r="H25" s="1">
        <f>SUM(H16:H24)</f>
        <v>149.16666666666666</v>
      </c>
    </row>
    <row r="26" spans="2:14" x14ac:dyDescent="0.3">
      <c r="G2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5BC2-B695-4AC1-ADAD-3CAF42B09900}">
  <dimension ref="A1:G13"/>
  <sheetViews>
    <sheetView workbookViewId="0">
      <selection activeCell="I14" sqref="I14"/>
    </sheetView>
  </sheetViews>
  <sheetFormatPr defaultRowHeight="14.4" x14ac:dyDescent="0.3"/>
  <cols>
    <col min="2" max="2" width="13.33203125" bestFit="1" customWidth="1"/>
    <col min="3" max="3" width="13.33203125" style="8" bestFit="1" customWidth="1"/>
    <col min="4" max="4" width="8.88671875" style="8"/>
    <col min="5" max="5" width="12.21875" customWidth="1"/>
  </cols>
  <sheetData>
    <row r="1" spans="1:7" x14ac:dyDescent="0.3">
      <c r="A1" s="9" t="s">
        <v>30</v>
      </c>
      <c r="C1" s="8">
        <v>2024</v>
      </c>
      <c r="D1" s="8">
        <v>2030</v>
      </c>
    </row>
    <row r="2" spans="1:7" x14ac:dyDescent="0.3">
      <c r="C2" s="8" t="s">
        <v>29</v>
      </c>
      <c r="D2" s="8" t="s">
        <v>29</v>
      </c>
    </row>
    <row r="3" spans="1:7" x14ac:dyDescent="0.3">
      <c r="B3" t="s">
        <v>28</v>
      </c>
      <c r="C3" s="8">
        <v>170</v>
      </c>
      <c r="D3" s="8">
        <v>240</v>
      </c>
      <c r="F3" s="8">
        <v>190</v>
      </c>
      <c r="G3" t="s">
        <v>31</v>
      </c>
    </row>
    <row r="4" spans="1:7" x14ac:dyDescent="0.3">
      <c r="E4" s="8" t="s">
        <v>32</v>
      </c>
    </row>
    <row r="5" spans="1:7" x14ac:dyDescent="0.3">
      <c r="C5" s="8" t="s">
        <v>33</v>
      </c>
    </row>
    <row r="6" spans="1:7" x14ac:dyDescent="0.3">
      <c r="D6" s="8">
        <f>+D3-F3</f>
        <v>50</v>
      </c>
    </row>
    <row r="8" spans="1:7" x14ac:dyDescent="0.3">
      <c r="C8"/>
      <c r="D8" s="8" t="s">
        <v>36</v>
      </c>
    </row>
    <row r="9" spans="1:7" x14ac:dyDescent="0.3">
      <c r="D9" s="10">
        <v>0.3</v>
      </c>
    </row>
    <row r="10" spans="1:7" x14ac:dyDescent="0.3">
      <c r="C10"/>
      <c r="D10" s="8">
        <f>+D6*30%</f>
        <v>15</v>
      </c>
    </row>
    <row r="11" spans="1:7" x14ac:dyDescent="0.3">
      <c r="C11" t="s">
        <v>34</v>
      </c>
      <c r="E11" t="s">
        <v>35</v>
      </c>
    </row>
    <row r="12" spans="1:7" x14ac:dyDescent="0.3">
      <c r="C12" s="8">
        <v>12</v>
      </c>
      <c r="E12">
        <v>3</v>
      </c>
    </row>
    <row r="13" spans="1:7" x14ac:dyDescent="0.3">
      <c r="C13" s="11">
        <f>+(C12)*1465</f>
        <v>17580</v>
      </c>
      <c r="D13" s="11"/>
      <c r="E13" s="11">
        <f>+(E12)*1465</f>
        <v>4395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12k value car (used)</vt:lpstr>
      <vt:lpstr>25k value car</vt:lpstr>
      <vt:lpstr>40k value car</vt:lpstr>
      <vt:lpstr>market sizing assumption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Pouloupatis Vassileios</dc:creator>
  <cp:lastModifiedBy>Pouloupatis Vassileios</cp:lastModifiedBy>
  <dcterms:created xsi:type="dcterms:W3CDTF">2025-07-01T07:34:02Z</dcterms:created>
  <dcterms:modified xsi:type="dcterms:W3CDTF">2026-05-13T11:26:45Z</dcterms:modified>
</cp:coreProperties>
</file>