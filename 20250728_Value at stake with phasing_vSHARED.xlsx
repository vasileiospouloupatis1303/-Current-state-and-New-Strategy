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urobank-my.sharepoint.com/personal/vpouloupatis_eurobank_gr/Documents/Backup 2025/Desktop/McKinsey/"/>
    </mc:Choice>
  </mc:AlternateContent>
  <xr:revisionPtr revIDLastSave="7" documentId="13_ncr:1_{B6C2FDF4-7C24-4963-9C2F-258CBB4C29A6}" xr6:coauthVersionLast="47" xr6:coauthVersionMax="47" xr10:uidLastSave="{13ED5497-3040-4151-9B68-9A241EFC89EF}"/>
  <bookViews>
    <workbookView xWindow="-108" yWindow="-108" windowWidth="23256" windowHeight="12456" tabRatio="780" firstSheet="1" activeTab="1" xr2:uid="{F2C40280-E52C-44B6-8420-E4AEF253D391}"/>
  </bookViews>
  <sheets>
    <sheet name="Sheet3" sheetId="15" state="hidden" r:id="rId1"/>
    <sheet name="Business case on loan" sheetId="16" r:id="rId2"/>
    <sheet name="McKinsey" sheetId="17" r:id="rId3"/>
    <sheet name="sales analysis (MRKT)" sheetId="18" r:id="rId4"/>
    <sheet name="Disb. analysis (MRKT)" sheetId="19" r:id="rId5"/>
    <sheet name="Disb. analysis (S.Βanks)" sheetId="20" r:id="rId6"/>
    <sheet name="Disb. analysis (EUROBANK)" sheetId="21" r:id="rId7"/>
    <sheet name="B2B financing market" sheetId="8" state="hidden" r:id="rId8"/>
    <sheet name="B2B financing opportunity" sheetId="10" state="hidden" r:id="rId9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5" i="16" l="1"/>
  <c r="T105" i="16"/>
  <c r="S105" i="16"/>
  <c r="S106" i="16" s="1"/>
  <c r="S113" i="16"/>
  <c r="S44" i="16" l="1"/>
  <c r="W73" i="16"/>
  <c r="S47" i="16"/>
  <c r="S72" i="16"/>
  <c r="S73" i="16" s="1"/>
  <c r="S74" i="16" s="1"/>
  <c r="T182" i="16"/>
  <c r="U182" i="16" s="1"/>
  <c r="U183" i="16" s="1"/>
  <c r="S183" i="16"/>
  <c r="S182" i="16"/>
  <c r="O94" i="16"/>
  <c r="O93" i="16"/>
  <c r="O92" i="16"/>
  <c r="N94" i="16"/>
  <c r="N93" i="16"/>
  <c r="N92" i="16"/>
  <c r="M94" i="16"/>
  <c r="M93" i="16"/>
  <c r="M92" i="16"/>
  <c r="L90" i="16"/>
  <c r="L93" i="16" s="1"/>
  <c r="L96" i="16" s="1"/>
  <c r="L91" i="16"/>
  <c r="L94" i="16" s="1"/>
  <c r="L97" i="16" s="1"/>
  <c r="L89" i="16"/>
  <c r="L92" i="16" s="1"/>
  <c r="L95" i="16" s="1"/>
  <c r="M90" i="16"/>
  <c r="N90" i="16"/>
  <c r="O90" i="16"/>
  <c r="M91" i="16"/>
  <c r="N91" i="16"/>
  <c r="O91" i="16"/>
  <c r="N89" i="16"/>
  <c r="O89" i="16"/>
  <c r="M89" i="16"/>
  <c r="O95" i="16" l="1"/>
  <c r="N97" i="16"/>
  <c r="N96" i="16"/>
  <c r="M97" i="16"/>
  <c r="O97" i="16"/>
  <c r="O96" i="16"/>
  <c r="M95" i="16"/>
  <c r="N95" i="16"/>
  <c r="T183" i="16"/>
  <c r="M96" i="16"/>
  <c r="O13" i="17"/>
  <c r="P13" i="17"/>
  <c r="Q13" i="17"/>
  <c r="O12" i="17"/>
  <c r="P12" i="17"/>
  <c r="Q12" i="17"/>
  <c r="N12" i="17"/>
  <c r="P25" i="17" l="1"/>
  <c r="Q17" i="17"/>
  <c r="P17" i="17"/>
  <c r="Q25" i="17"/>
  <c r="Q24" i="17"/>
  <c r="P24" i="17"/>
  <c r="O24" i="17"/>
  <c r="N18" i="17"/>
  <c r="H2" i="20"/>
  <c r="H2" i="21" s="1"/>
  <c r="G2" i="20"/>
  <c r="G2" i="21" s="1"/>
  <c r="E2" i="20"/>
  <c r="E3" i="20" s="1"/>
  <c r="I2" i="20" l="1"/>
  <c r="I2" i="21" s="1"/>
  <c r="F3" i="20"/>
  <c r="E4" i="20"/>
  <c r="H3" i="20" l="1"/>
  <c r="G3" i="20"/>
  <c r="G3" i="21" s="1"/>
  <c r="F4" i="20"/>
  <c r="E5" i="20"/>
  <c r="H4" i="20" l="1"/>
  <c r="G4" i="20"/>
  <c r="G4" i="21" s="1"/>
  <c r="I3" i="20"/>
  <c r="H3" i="21"/>
  <c r="F5" i="20"/>
  <c r="E6" i="20"/>
  <c r="F6" i="20" s="1"/>
  <c r="H6" i="20" l="1"/>
  <c r="G6" i="20"/>
  <c r="G6" i="21" s="1"/>
  <c r="H5" i="20"/>
  <c r="G5" i="20"/>
  <c r="G5" i="21" s="1"/>
  <c r="I3" i="21"/>
  <c r="I4" i="20"/>
  <c r="H4" i="21"/>
  <c r="G2" i="19"/>
  <c r="H2" i="19" s="1"/>
  <c r="H3" i="19" s="1"/>
  <c r="K2" i="19"/>
  <c r="E2" i="21" s="1"/>
  <c r="G3" i="19"/>
  <c r="G4" i="19"/>
  <c r="G5" i="19"/>
  <c r="G6" i="19"/>
  <c r="E3" i="19"/>
  <c r="E4" i="19" s="1"/>
  <c r="F4" i="19" s="1"/>
  <c r="D4" i="21" s="1"/>
  <c r="F2" i="19"/>
  <c r="D2" i="21" s="1"/>
  <c r="B3" i="19"/>
  <c r="B4" i="19"/>
  <c r="B5" i="19"/>
  <c r="B6" i="19"/>
  <c r="B2" i="19"/>
  <c r="C2" i="19" s="1"/>
  <c r="C3" i="19" s="1"/>
  <c r="P2" i="18"/>
  <c r="N2" i="18"/>
  <c r="L2" i="18"/>
  <c r="J2" i="18"/>
  <c r="B3" i="18"/>
  <c r="B4" i="18" s="1"/>
  <c r="F2" i="18"/>
  <c r="D2" i="18"/>
  <c r="L2" i="19" l="1"/>
  <c r="F2" i="21" s="1"/>
  <c r="I4" i="21"/>
  <c r="H5" i="21"/>
  <c r="I5" i="20"/>
  <c r="H6" i="21"/>
  <c r="I6" i="20"/>
  <c r="I3" i="19"/>
  <c r="K3" i="19" s="1"/>
  <c r="H4" i="19"/>
  <c r="E5" i="19"/>
  <c r="D3" i="19"/>
  <c r="F3" i="19" s="1"/>
  <c r="D3" i="21" s="1"/>
  <c r="C4" i="19"/>
  <c r="C5" i="19" s="1"/>
  <c r="C6" i="19" s="1"/>
  <c r="E4" i="18"/>
  <c r="B5" i="18"/>
  <c r="E3" i="18"/>
  <c r="J2" i="20" l="1"/>
  <c r="I6" i="21"/>
  <c r="E3" i="21"/>
  <c r="L3" i="19"/>
  <c r="I5" i="21"/>
  <c r="H5" i="19"/>
  <c r="I4" i="19"/>
  <c r="K4" i="19" s="1"/>
  <c r="F5" i="19"/>
  <c r="D5" i="21" s="1"/>
  <c r="E6" i="19"/>
  <c r="F6" i="19" s="1"/>
  <c r="D6" i="21" s="1"/>
  <c r="G3" i="18"/>
  <c r="L3" i="18" s="1"/>
  <c r="B6" i="18"/>
  <c r="E6" i="18" s="1"/>
  <c r="E5" i="18"/>
  <c r="G4" i="18"/>
  <c r="L4" i="18" s="1"/>
  <c r="G4" i="17"/>
  <c r="F3" i="21" l="1"/>
  <c r="J3" i="20"/>
  <c r="E4" i="21"/>
  <c r="L4" i="19"/>
  <c r="H6" i="19"/>
  <c r="I6" i="19" s="1"/>
  <c r="K6" i="19" s="1"/>
  <c r="I5" i="19"/>
  <c r="K5" i="19" s="1"/>
  <c r="H4" i="18"/>
  <c r="J4" i="18"/>
  <c r="H3" i="18"/>
  <c r="J3" i="18"/>
  <c r="G5" i="18"/>
  <c r="L5" i="18" s="1"/>
  <c r="G6" i="18"/>
  <c r="L6" i="18" s="1"/>
  <c r="N3" i="18" l="1"/>
  <c r="P3" i="18"/>
  <c r="P4" i="18"/>
  <c r="N4" i="18"/>
  <c r="E5" i="21"/>
  <c r="L5" i="19"/>
  <c r="E6" i="21"/>
  <c r="L6" i="19"/>
  <c r="F4" i="21"/>
  <c r="J4" i="20"/>
  <c r="H6" i="18"/>
  <c r="J6" i="18"/>
  <c r="H5" i="18"/>
  <c r="J5" i="18"/>
  <c r="P5" i="18" l="1"/>
  <c r="N5" i="18"/>
  <c r="P6" i="18"/>
  <c r="N6" i="18"/>
  <c r="F6" i="21"/>
  <c r="J6" i="20"/>
  <c r="F5" i="21"/>
  <c r="J5" i="20"/>
  <c r="M7" i="17"/>
  <c r="M6" i="17"/>
  <c r="O15" i="17" l="1"/>
  <c r="P15" i="17"/>
  <c r="Q15" i="17"/>
  <c r="P16" i="17"/>
  <c r="Q16" i="17"/>
  <c r="J16" i="17"/>
  <c r="J19" i="17" s="1"/>
  <c r="J15" i="17"/>
  <c r="J18" i="17" s="1"/>
  <c r="I15" i="17"/>
  <c r="K7" i="17"/>
  <c r="K4" i="17"/>
  <c r="I16" i="17" l="1"/>
  <c r="Q19" i="17"/>
  <c r="P19" i="17"/>
  <c r="O19" i="17"/>
  <c r="Q18" i="17"/>
  <c r="P18" i="17"/>
  <c r="O18" i="17"/>
  <c r="K13" i="17"/>
  <c r="K10" i="17"/>
  <c r="V4" i="17"/>
  <c r="M10" i="17" s="1"/>
  <c r="N10" i="17" s="1"/>
  <c r="U5" i="17"/>
  <c r="T5" i="17"/>
  <c r="V3" i="17"/>
  <c r="M9" i="17" s="1"/>
  <c r="M12" i="17" s="1"/>
  <c r="N28" i="17" l="1"/>
  <c r="N29" i="17" s="1"/>
  <c r="N13" i="17"/>
  <c r="I17" i="17"/>
  <c r="I18" i="17"/>
  <c r="I19" i="17" s="1"/>
  <c r="N24" i="17"/>
  <c r="M18" i="17"/>
  <c r="N15" i="17"/>
  <c r="M13" i="17"/>
  <c r="M19" i="17" s="1"/>
  <c r="V5" i="17"/>
  <c r="Q52" i="16"/>
  <c r="L48" i="16"/>
  <c r="M48" i="16" s="1"/>
  <c r="N48" i="16" s="1"/>
  <c r="O48" i="16" s="1"/>
  <c r="P48" i="16" s="1"/>
  <c r="Q48" i="16" s="1"/>
  <c r="R48" i="16" s="1"/>
  <c r="K12" i="16"/>
  <c r="L4" i="16"/>
  <c r="M4" i="16" s="1"/>
  <c r="N4" i="16" s="1"/>
  <c r="O4" i="16" s="1"/>
  <c r="P4" i="16" s="1"/>
  <c r="Q4" i="16" s="1"/>
  <c r="L41" i="16"/>
  <c r="M41" i="16" s="1"/>
  <c r="N41" i="16" s="1"/>
  <c r="O41" i="16" s="1"/>
  <c r="P41" i="16" s="1"/>
  <c r="Q41" i="16" s="1"/>
  <c r="L13" i="16" s="1"/>
  <c r="K6" i="16"/>
  <c r="K1" i="16" s="1"/>
  <c r="Q53" i="16"/>
  <c r="R45" i="16"/>
  <c r="Q43" i="16"/>
  <c r="R43" i="16" s="1"/>
  <c r="S43" i="16" s="1"/>
  <c r="T43" i="16" s="1"/>
  <c r="K8" i="16"/>
  <c r="K7" i="16"/>
  <c r="K2" i="16" s="1"/>
  <c r="R88" i="16"/>
  <c r="Q88" i="16"/>
  <c r="P88" i="16"/>
  <c r="O88" i="16"/>
  <c r="N88" i="16"/>
  <c r="M88" i="16"/>
  <c r="L88" i="16"/>
  <c r="K88" i="16"/>
  <c r="N17" i="17" l="1"/>
  <c r="O25" i="17"/>
  <c r="N25" i="17"/>
  <c r="O17" i="17"/>
  <c r="N16" i="17"/>
  <c r="O16" i="17"/>
  <c r="N19" i="17"/>
  <c r="M13" i="16"/>
  <c r="L38" i="16"/>
  <c r="Q51" i="16"/>
  <c r="L15" i="16"/>
  <c r="M15" i="16" s="1"/>
  <c r="N15" i="16" s="1"/>
  <c r="O15" i="16" s="1"/>
  <c r="P15" i="16" s="1"/>
  <c r="Q15" i="16" s="1"/>
  <c r="L14" i="16"/>
  <c r="M14" i="16" l="1"/>
  <c r="L39" i="16"/>
  <c r="N13" i="16"/>
  <c r="M38" i="16"/>
  <c r="Q56" i="16"/>
  <c r="Q60" i="16" s="1"/>
  <c r="L66" i="16"/>
  <c r="M66" i="16" s="1"/>
  <c r="N66" i="16" s="1"/>
  <c r="O66" i="16" s="1"/>
  <c r="P66" i="16" s="1"/>
  <c r="Q66" i="16" s="1"/>
  <c r="O13" i="16" l="1"/>
  <c r="N38" i="16"/>
  <c r="N14" i="16"/>
  <c r="M39" i="16"/>
  <c r="K55" i="16"/>
  <c r="K56" i="16"/>
  <c r="K57" i="16"/>
  <c r="Q57" i="16"/>
  <c r="Q55" i="16"/>
  <c r="K68" i="16"/>
  <c r="O14" i="16" l="1"/>
  <c r="N39" i="16"/>
  <c r="P13" i="16"/>
  <c r="Q13" i="16" s="1"/>
  <c r="O38" i="16"/>
  <c r="Q61" i="16"/>
  <c r="K61" i="16"/>
  <c r="K60" i="16"/>
  <c r="Q59" i="16"/>
  <c r="K59" i="16"/>
  <c r="P14" i="16" l="1"/>
  <c r="Q14" i="16" s="1"/>
  <c r="Q7" i="16" s="1"/>
  <c r="O39" i="16"/>
  <c r="K76" i="16"/>
  <c r="K24" i="16" s="1"/>
  <c r="K72" i="16"/>
  <c r="K16" i="16" s="1"/>
  <c r="K20" i="16" s="1"/>
  <c r="Q6" i="16" l="1"/>
  <c r="K80" i="16"/>
  <c r="K28" i="16" s="1"/>
  <c r="Q8" i="16" l="1"/>
  <c r="K84" i="16"/>
  <c r="K32" i="16" s="1"/>
  <c r="R53" i="16" l="1"/>
  <c r="R51" i="16"/>
  <c r="R8" i="16"/>
  <c r="R6" i="16"/>
  <c r="R52" i="16" l="1"/>
  <c r="R57" i="16"/>
  <c r="R7" i="16"/>
  <c r="R56" i="16" l="1"/>
  <c r="R60" i="16" s="1"/>
  <c r="R61" i="16"/>
  <c r="R55" i="16"/>
  <c r="K77" i="16"/>
  <c r="K25" i="16" s="1"/>
  <c r="R59" i="16" l="1"/>
  <c r="K73" i="16"/>
  <c r="K17" i="16" s="1"/>
  <c r="K21" i="16" s="1"/>
  <c r="R76" i="16"/>
  <c r="R24" i="16" s="1"/>
  <c r="Q76" i="16"/>
  <c r="Q24" i="16" s="1"/>
  <c r="K69" i="16"/>
  <c r="K70" i="16"/>
  <c r="K71" i="16" l="1"/>
  <c r="K74" i="16"/>
  <c r="K50" i="16"/>
  <c r="K46" i="16"/>
  <c r="Q70" i="16"/>
  <c r="Q11" i="16" s="1"/>
  <c r="R80" i="16"/>
  <c r="R28" i="16" s="1"/>
  <c r="K78" i="16"/>
  <c r="K54" i="16"/>
  <c r="R69" i="16"/>
  <c r="R10" i="16" s="1"/>
  <c r="Q80" i="16"/>
  <c r="Q28" i="16" s="1"/>
  <c r="R68" i="16"/>
  <c r="R9" i="16" s="1"/>
  <c r="K85" i="16"/>
  <c r="K33" i="16" s="1"/>
  <c r="K81" i="16"/>
  <c r="K29" i="16" s="1"/>
  <c r="K75" i="16" l="1"/>
  <c r="K18" i="16"/>
  <c r="K79" i="16"/>
  <c r="K26" i="16"/>
  <c r="K27" i="16" s="1"/>
  <c r="R74" i="16"/>
  <c r="R18" i="16" s="1"/>
  <c r="R22" i="16" s="1"/>
  <c r="R73" i="16"/>
  <c r="R17" i="16" s="1"/>
  <c r="R21" i="16" s="1"/>
  <c r="Q84" i="16"/>
  <c r="Q32" i="16" s="1"/>
  <c r="R84" i="16"/>
  <c r="R32" i="16" s="1"/>
  <c r="R78" i="16"/>
  <c r="R26" i="16" s="1"/>
  <c r="Q74" i="16"/>
  <c r="Q18" i="16" s="1"/>
  <c r="Q22" i="16" s="1"/>
  <c r="R70" i="16"/>
  <c r="R46" i="16"/>
  <c r="R72" i="16"/>
  <c r="R16" i="16" s="1"/>
  <c r="R20" i="16" s="1"/>
  <c r="K58" i="16"/>
  <c r="K82" i="16"/>
  <c r="K62" i="16"/>
  <c r="K19" i="16" l="1"/>
  <c r="K22" i="16"/>
  <c r="R19" i="16"/>
  <c r="R71" i="16"/>
  <c r="R11" i="16"/>
  <c r="R12" i="16" s="1"/>
  <c r="K83" i="16"/>
  <c r="K30" i="16"/>
  <c r="K31" i="16" s="1"/>
  <c r="R77" i="16"/>
  <c r="R54" i="16"/>
  <c r="Q77" i="16"/>
  <c r="Q25" i="16" s="1"/>
  <c r="R50" i="16"/>
  <c r="K86" i="16"/>
  <c r="R75" i="16"/>
  <c r="K87" i="16" l="1"/>
  <c r="K34" i="16"/>
  <c r="K35" i="16" s="1"/>
  <c r="R79" i="16"/>
  <c r="R25" i="16"/>
  <c r="R27" i="16" s="1"/>
  <c r="Q81" i="16"/>
  <c r="Q29" i="16" s="1"/>
  <c r="R82" i="16"/>
  <c r="R30" i="16" s="1"/>
  <c r="R81" i="16"/>
  <c r="R29" i="16" s="1"/>
  <c r="R58" i="16"/>
  <c r="R86" i="16"/>
  <c r="R34" i="16" s="1"/>
  <c r="Q78" i="16"/>
  <c r="Q26" i="16" s="1"/>
  <c r="Q54" i="16"/>
  <c r="K9" i="15"/>
  <c r="K10" i="15" s="1"/>
  <c r="J9" i="15"/>
  <c r="J10" i="15" s="1"/>
  <c r="K17" i="15"/>
  <c r="K19" i="15" s="1"/>
  <c r="K20" i="15" s="1"/>
  <c r="J17" i="15"/>
  <c r="K18" i="15" s="1"/>
  <c r="K13" i="15"/>
  <c r="K14" i="15" s="1"/>
  <c r="J13" i="15"/>
  <c r="J14" i="15" s="1"/>
  <c r="K7" i="15"/>
  <c r="K8" i="15" s="1"/>
  <c r="J7" i="15"/>
  <c r="J8" i="15" s="1"/>
  <c r="J5" i="15"/>
  <c r="J6" i="15" s="1"/>
  <c r="R31" i="16" l="1"/>
  <c r="S33" i="16" s="1"/>
  <c r="R83" i="16"/>
  <c r="Q82" i="16"/>
  <c r="Q58" i="16"/>
  <c r="R62" i="16"/>
  <c r="Q85" i="16"/>
  <c r="Q33" i="16" s="1"/>
  <c r="R85" i="16"/>
  <c r="J19" i="15"/>
  <c r="J20" i="15" s="1"/>
  <c r="J18" i="15"/>
  <c r="K27" i="15"/>
  <c r="J27" i="15"/>
  <c r="R87" i="16" l="1"/>
  <c r="R33" i="16"/>
  <c r="R35" i="16" s="1"/>
  <c r="Q83" i="16"/>
  <c r="Q30" i="16"/>
  <c r="Q62" i="16"/>
  <c r="Q86" i="16"/>
  <c r="Q87" i="16" l="1"/>
  <c r="Q34" i="16"/>
  <c r="J22" i="15" l="1"/>
  <c r="K22" i="15" l="1"/>
  <c r="A15" i="8"/>
  <c r="A14" i="8"/>
  <c r="A13" i="8"/>
  <c r="A12" i="8"/>
  <c r="A11" i="8"/>
  <c r="A10" i="8"/>
  <c r="A9" i="8"/>
  <c r="A8" i="8"/>
  <c r="A7" i="8"/>
  <c r="A6" i="8"/>
  <c r="J12" i="8"/>
  <c r="G11" i="8"/>
  <c r="G10" i="8"/>
  <c r="G9" i="8"/>
  <c r="G8" i="8"/>
  <c r="E9" i="8"/>
  <c r="J9" i="8" s="1"/>
  <c r="D9" i="8"/>
  <c r="D11" i="8" s="1"/>
  <c r="E8" i="8"/>
  <c r="E10" i="8" s="1"/>
  <c r="D8" i="8"/>
  <c r="D10" i="8" s="1"/>
  <c r="A46" i="8"/>
  <c r="A45" i="8"/>
  <c r="A44" i="8"/>
  <c r="A43" i="8"/>
  <c r="A42" i="8"/>
  <c r="A41" i="8"/>
  <c r="A40" i="8"/>
  <c r="A39" i="8"/>
  <c r="A38" i="8"/>
  <c r="A37" i="8"/>
  <c r="A36" i="8"/>
  <c r="A35" i="8"/>
  <c r="F59" i="8"/>
  <c r="F61" i="8" s="1"/>
  <c r="F60" i="8" s="1"/>
  <c r="E59" i="8"/>
  <c r="E61" i="8" s="1"/>
  <c r="E60" i="8" s="1"/>
  <c r="H9" i="8" l="1"/>
  <c r="D79" i="8"/>
  <c r="F82" i="8"/>
  <c r="E11" i="8"/>
  <c r="J11" i="8" s="1"/>
  <c r="G82" i="8" s="1"/>
  <c r="H8" i="8"/>
  <c r="J10" i="8"/>
  <c r="G87" i="8" s="1"/>
  <c r="H10" i="8"/>
  <c r="D87" i="8"/>
  <c r="F86" i="8"/>
  <c r="D77" i="8"/>
  <c r="F80" i="8"/>
  <c r="J8" i="8"/>
  <c r="F87" i="8" s="1"/>
  <c r="D81" i="8"/>
  <c r="F84" i="8"/>
  <c r="D83" i="8"/>
  <c r="D85" i="8"/>
  <c r="F88" i="8"/>
  <c r="F78" i="8"/>
  <c r="F48" i="8"/>
  <c r="E48" i="8"/>
  <c r="D48" i="8"/>
  <c r="F47" i="8"/>
  <c r="E47" i="8"/>
  <c r="D47" i="8"/>
  <c r="G48" i="8"/>
  <c r="G47" i="8"/>
  <c r="G81" i="8" l="1"/>
  <c r="G80" i="8"/>
  <c r="G88" i="8"/>
  <c r="G78" i="8"/>
  <c r="G84" i="8"/>
  <c r="G86" i="8"/>
  <c r="G79" i="8"/>
  <c r="D89" i="8"/>
  <c r="F83" i="8"/>
  <c r="G77" i="8"/>
  <c r="F81" i="8"/>
  <c r="G83" i="8"/>
  <c r="F90" i="8"/>
  <c r="G85" i="8"/>
  <c r="F77" i="8"/>
  <c r="H11" i="8"/>
  <c r="F85" i="8"/>
  <c r="F79" i="8"/>
  <c r="G7" i="8"/>
  <c r="H7" i="8" s="1"/>
  <c r="J17" i="8"/>
  <c r="J16" i="8"/>
  <c r="J15" i="8"/>
  <c r="J14" i="8"/>
  <c r="J13" i="8"/>
  <c r="J7" i="8"/>
  <c r="J6" i="8"/>
  <c r="F19" i="8"/>
  <c r="F18" i="8"/>
  <c r="F7" i="8"/>
  <c r="F6" i="8"/>
  <c r="F17" i="8"/>
  <c r="F16" i="8"/>
  <c r="F15" i="8"/>
  <c r="F14" i="8"/>
  <c r="F13" i="8"/>
  <c r="F12" i="8"/>
  <c r="E20" i="8"/>
  <c r="G90" i="8" l="1"/>
  <c r="F89" i="8"/>
  <c r="G89" i="8"/>
  <c r="D78" i="8"/>
  <c r="D84" i="8"/>
  <c r="D88" i="8"/>
  <c r="D82" i="8"/>
  <c r="D80" i="8"/>
  <c r="D86" i="8"/>
  <c r="E86" i="8"/>
  <c r="E84" i="8"/>
  <c r="E78" i="8"/>
  <c r="E88" i="8"/>
  <c r="E82" i="8"/>
  <c r="E80" i="8"/>
  <c r="E83" i="8"/>
  <c r="E81" i="8"/>
  <c r="E87" i="8"/>
  <c r="E79" i="8"/>
  <c r="E85" i="8"/>
  <c r="E77" i="8"/>
  <c r="J20" i="8"/>
  <c r="N7" i="8"/>
  <c r="N6" i="8"/>
  <c r="N17" i="8"/>
  <c r="N16" i="8"/>
  <c r="N15" i="8"/>
  <c r="N14" i="8"/>
  <c r="N13" i="8"/>
  <c r="N12" i="8"/>
  <c r="E90" i="8" l="1"/>
  <c r="E89" i="8"/>
  <c r="D90" i="8"/>
  <c r="N20" i="8"/>
  <c r="J24" i="15" l="1"/>
  <c r="J25" i="15" s="1"/>
  <c r="J28" i="15" s="1"/>
  <c r="K24" i="15" l="1"/>
  <c r="K25" i="15" s="1"/>
  <c r="K28" i="15" s="1"/>
  <c r="D70" i="8" l="1"/>
  <c r="D71" i="8" s="1"/>
  <c r="C70" i="8"/>
  <c r="C71" i="8" s="1"/>
  <c r="J61" i="8"/>
  <c r="J60" i="8" s="1"/>
  <c r="I61" i="8"/>
  <c r="I60" i="8" s="1"/>
  <c r="H59" i="8"/>
  <c r="H61" i="8" s="1"/>
  <c r="H60" i="8" s="1"/>
  <c r="G59" i="8"/>
  <c r="G61" i="8" s="1"/>
  <c r="G60" i="8" s="1"/>
  <c r="D59" i="8"/>
  <c r="D61" i="8" s="1"/>
  <c r="D60" i="8" s="1"/>
  <c r="C59" i="8"/>
  <c r="C61" i="8" s="1"/>
  <c r="C60" i="8" s="1"/>
  <c r="F29" i="8"/>
  <c r="E29" i="8"/>
  <c r="F28" i="8"/>
  <c r="E28" i="8"/>
  <c r="F26" i="8"/>
  <c r="E26" i="8"/>
  <c r="F25" i="8"/>
  <c r="E25" i="8"/>
  <c r="G17" i="8"/>
  <c r="G16" i="8"/>
  <c r="G6" i="8"/>
  <c r="H6" i="8" s="1"/>
  <c r="H20" i="8" s="1"/>
  <c r="M14" i="8" l="1"/>
  <c r="M15" i="8"/>
  <c r="M6" i="8"/>
  <c r="M7" i="8"/>
  <c r="M13" i="8"/>
  <c r="M12" i="8" l="1"/>
  <c r="D17" i="8" l="1"/>
  <c r="M17" i="8" s="1"/>
  <c r="D16" i="8"/>
  <c r="F20" i="8" l="1"/>
  <c r="D20" i="8"/>
  <c r="M16" i="8" l="1"/>
  <c r="M20" i="8" s="1"/>
  <c r="Q79" i="16" l="1"/>
  <c r="L50" i="16"/>
  <c r="M50" i="16"/>
  <c r="N50" i="16"/>
  <c r="O50" i="16"/>
  <c r="P50" i="16"/>
  <c r="Q50" i="16"/>
  <c r="Q46" i="16"/>
  <c r="Q27" i="16" l="1"/>
  <c r="Q31" i="16"/>
  <c r="Q35" i="16" l="1"/>
  <c r="L6" i="16" l="1"/>
  <c r="M6" i="16"/>
  <c r="N6" i="16"/>
  <c r="O6" i="16"/>
  <c r="P6" i="16"/>
  <c r="L7" i="16"/>
  <c r="M7" i="16"/>
  <c r="N7" i="16"/>
  <c r="O7" i="16"/>
  <c r="P7" i="16"/>
  <c r="L8" i="16"/>
  <c r="M8" i="16"/>
  <c r="N8" i="16"/>
  <c r="O8" i="16"/>
  <c r="P8" i="16"/>
  <c r="L43" i="16"/>
  <c r="M43" i="16"/>
  <c r="N43" i="16"/>
  <c r="O43" i="16"/>
  <c r="P43" i="16"/>
  <c r="L45" i="16"/>
  <c r="M45" i="16"/>
  <c r="N45" i="16"/>
  <c r="O45" i="16"/>
  <c r="P45" i="16"/>
  <c r="L52" i="16"/>
  <c r="L56" i="16" s="1"/>
  <c r="M52" i="16"/>
  <c r="N52" i="16"/>
  <c r="N56" i="16" s="1"/>
  <c r="N60" i="16" s="1"/>
  <c r="O52" i="16"/>
  <c r="P52" i="16"/>
  <c r="P56" i="16" s="1"/>
  <c r="P60" i="16" s="1"/>
  <c r="L68" i="16"/>
  <c r="M68" i="16"/>
  <c r="N68" i="16"/>
  <c r="O68" i="16"/>
  <c r="P68" i="16"/>
  <c r="Q68" i="16"/>
  <c r="Q9" i="16" s="1"/>
  <c r="L69" i="16"/>
  <c r="M69" i="16"/>
  <c r="M10" i="16" s="1"/>
  <c r="N69" i="16"/>
  <c r="N10" i="16" s="1"/>
  <c r="O69" i="16"/>
  <c r="O10" i="16" s="1"/>
  <c r="P69" i="16"/>
  <c r="Q69" i="16"/>
  <c r="Q10" i="16" s="1"/>
  <c r="L70" i="16"/>
  <c r="M70" i="16"/>
  <c r="N70" i="16"/>
  <c r="O70" i="16"/>
  <c r="P70" i="16"/>
  <c r="L72" i="16"/>
  <c r="L16" i="16" s="1"/>
  <c r="M72" i="16"/>
  <c r="M16" i="16" s="1"/>
  <c r="N72" i="16"/>
  <c r="N16" i="16" s="1"/>
  <c r="O72" i="16"/>
  <c r="P72" i="16"/>
  <c r="P16" i="16" s="1"/>
  <c r="P20" i="16" s="1"/>
  <c r="Q72" i="16"/>
  <c r="Q16" i="16" s="1"/>
  <c r="Q20" i="16" s="1"/>
  <c r="L73" i="16"/>
  <c r="L17" i="16" s="1"/>
  <c r="L21" i="16" s="1"/>
  <c r="M73" i="16"/>
  <c r="N73" i="16"/>
  <c r="N17" i="16" s="1"/>
  <c r="N21" i="16" s="1"/>
  <c r="O73" i="16"/>
  <c r="O17" i="16" s="1"/>
  <c r="O21" i="16" s="1"/>
  <c r="P73" i="16"/>
  <c r="P17" i="16" s="1"/>
  <c r="Q73" i="16"/>
  <c r="Q17" i="16" s="1"/>
  <c r="L74" i="16"/>
  <c r="L18" i="16" s="1"/>
  <c r="L22" i="16" s="1"/>
  <c r="M74" i="16"/>
  <c r="M18" i="16" s="1"/>
  <c r="M22" i="16" s="1"/>
  <c r="N74" i="16"/>
  <c r="N18" i="16" s="1"/>
  <c r="N22" i="16" s="1"/>
  <c r="O74" i="16"/>
  <c r="O18" i="16" s="1"/>
  <c r="O22" i="16" s="1"/>
  <c r="P74" i="16"/>
  <c r="P18" i="16" s="1"/>
  <c r="P22" i="16" s="1"/>
  <c r="L76" i="16"/>
  <c r="M76" i="16"/>
  <c r="N76" i="16"/>
  <c r="O76" i="16"/>
  <c r="P76" i="16"/>
  <c r="L77" i="16"/>
  <c r="M77" i="16"/>
  <c r="N77" i="16"/>
  <c r="O77" i="16"/>
  <c r="P77" i="16"/>
  <c r="L78" i="16"/>
  <c r="M78" i="16"/>
  <c r="N78" i="16"/>
  <c r="O78" i="16"/>
  <c r="P78" i="16"/>
  <c r="L80" i="16"/>
  <c r="M80" i="16"/>
  <c r="N80" i="16"/>
  <c r="O80" i="16"/>
  <c r="P80" i="16"/>
  <c r="L81" i="16"/>
  <c r="M81" i="16"/>
  <c r="N81" i="16"/>
  <c r="O81" i="16"/>
  <c r="P81" i="16"/>
  <c r="L82" i="16"/>
  <c r="M82" i="16"/>
  <c r="N82" i="16"/>
  <c r="O82" i="16"/>
  <c r="P82" i="16"/>
  <c r="L84" i="16"/>
  <c r="M84" i="16"/>
  <c r="N84" i="16"/>
  <c r="O84" i="16"/>
  <c r="P84" i="16"/>
  <c r="L85" i="16"/>
  <c r="M85" i="16"/>
  <c r="N85" i="16"/>
  <c r="O85" i="16"/>
  <c r="P85" i="16"/>
  <c r="L86" i="16"/>
  <c r="M86" i="16"/>
  <c r="N86" i="16"/>
  <c r="O86" i="16"/>
  <c r="P86" i="16"/>
  <c r="P33" i="16" l="1"/>
  <c r="N2" i="16"/>
  <c r="L9" i="16"/>
  <c r="L1" i="16" s="1"/>
  <c r="M2" i="16"/>
  <c r="P11" i="16"/>
  <c r="P71" i="16"/>
  <c r="O25" i="16"/>
  <c r="O11" i="16"/>
  <c r="N25" i="16"/>
  <c r="N33" i="16"/>
  <c r="P25" i="16"/>
  <c r="L11" i="16"/>
  <c r="P29" i="16"/>
  <c r="M11" i="16"/>
  <c r="N83" i="16"/>
  <c r="M79" i="16"/>
  <c r="M75" i="16"/>
  <c r="N9" i="16"/>
  <c r="M83" i="16"/>
  <c r="M9" i="16"/>
  <c r="N11" i="16"/>
  <c r="N29" i="16"/>
  <c r="L29" i="16"/>
  <c r="P87" i="16"/>
  <c r="O83" i="16"/>
  <c r="N79" i="16"/>
  <c r="M17" i="16"/>
  <c r="M21" i="16" s="1"/>
  <c r="P83" i="16"/>
  <c r="N87" i="16"/>
  <c r="L79" i="16"/>
  <c r="L71" i="16"/>
  <c r="O56" i="16"/>
  <c r="O60" i="16" s="1"/>
  <c r="O33" i="16" s="1"/>
  <c r="P9" i="16"/>
  <c r="O79" i="16"/>
  <c r="M87" i="16"/>
  <c r="L83" i="16"/>
  <c r="N75" i="16"/>
  <c r="O75" i="16"/>
  <c r="Q12" i="16"/>
  <c r="O46" i="16"/>
  <c r="P79" i="16"/>
  <c r="L87" i="16"/>
  <c r="P53" i="16"/>
  <c r="L75" i="16"/>
  <c r="O53" i="16"/>
  <c r="Q75" i="16"/>
  <c r="N71" i="16"/>
  <c r="N53" i="16"/>
  <c r="L46" i="16"/>
  <c r="Q71" i="16"/>
  <c r="M53" i="16"/>
  <c r="M57" i="16" s="1"/>
  <c r="M30" i="16" s="1"/>
  <c r="O87" i="16"/>
  <c r="P21" i="16"/>
  <c r="P19" i="16"/>
  <c r="M20" i="16"/>
  <c r="Q19" i="16"/>
  <c r="Q21" i="16"/>
  <c r="L20" i="16"/>
  <c r="L19" i="16"/>
  <c r="N20" i="16"/>
  <c r="N19" i="16"/>
  <c r="P51" i="16"/>
  <c r="M51" i="16"/>
  <c r="O71" i="16"/>
  <c r="L51" i="16"/>
  <c r="O16" i="16"/>
  <c r="P10" i="16"/>
  <c r="P46" i="16"/>
  <c r="O51" i="16"/>
  <c r="N51" i="16"/>
  <c r="N46" i="16"/>
  <c r="M56" i="16"/>
  <c r="M29" i="16" s="1"/>
  <c r="L53" i="16"/>
  <c r="L25" i="16"/>
  <c r="L60" i="16"/>
  <c r="L33" i="16" s="1"/>
  <c r="M46" i="16"/>
  <c r="L10" i="16"/>
  <c r="M25" i="16"/>
  <c r="O9" i="16"/>
  <c r="M71" i="16"/>
  <c r="P75" i="16"/>
  <c r="O12" i="16" l="1"/>
  <c r="L12" i="16"/>
  <c r="L2" i="16"/>
  <c r="M12" i="16"/>
  <c r="M1" i="16"/>
  <c r="P12" i="16"/>
  <c r="N12" i="16"/>
  <c r="N1" i="16"/>
  <c r="O29" i="16"/>
  <c r="O57" i="16"/>
  <c r="O30" i="16" s="1"/>
  <c r="O26" i="16"/>
  <c r="P57" i="16"/>
  <c r="P30" i="16" s="1"/>
  <c r="P26" i="16"/>
  <c r="M61" i="16"/>
  <c r="M34" i="16" s="1"/>
  <c r="M26" i="16"/>
  <c r="N57" i="16"/>
  <c r="N30" i="16" s="1"/>
  <c r="N26" i="16"/>
  <c r="M19" i="16"/>
  <c r="M24" i="16"/>
  <c r="M55" i="16"/>
  <c r="M54" i="16"/>
  <c r="P55" i="16"/>
  <c r="P59" i="16" s="1"/>
  <c r="P24" i="16"/>
  <c r="P54" i="16"/>
  <c r="N24" i="16"/>
  <c r="N55" i="16"/>
  <c r="N59" i="16" s="1"/>
  <c r="N54" i="16"/>
  <c r="O55" i="16"/>
  <c r="O59" i="16" s="1"/>
  <c r="O24" i="16"/>
  <c r="O54" i="16"/>
  <c r="M60" i="16"/>
  <c r="M33" i="16" s="1"/>
  <c r="L24" i="16"/>
  <c r="L54" i="16"/>
  <c r="L55" i="16"/>
  <c r="O20" i="16"/>
  <c r="O19" i="16"/>
  <c r="L57" i="16"/>
  <c r="L30" i="16" s="1"/>
  <c r="L26" i="16"/>
  <c r="O27" i="16" l="1"/>
  <c r="M27" i="16"/>
  <c r="N61" i="16"/>
  <c r="N34" i="16" s="1"/>
  <c r="L27" i="16"/>
  <c r="P61" i="16"/>
  <c r="P34" i="16" s="1"/>
  <c r="N27" i="16"/>
  <c r="P27" i="16"/>
  <c r="O61" i="16"/>
  <c r="O34" i="16" s="1"/>
  <c r="N32" i="16"/>
  <c r="O32" i="16"/>
  <c r="L28" i="16"/>
  <c r="L31" i="16" s="1"/>
  <c r="L58" i="16"/>
  <c r="P32" i="16"/>
  <c r="M58" i="16"/>
  <c r="M28" i="16"/>
  <c r="M31" i="16" s="1"/>
  <c r="O58" i="16"/>
  <c r="O28" i="16"/>
  <c r="O31" i="16" s="1"/>
  <c r="N28" i="16"/>
  <c r="N31" i="16" s="1"/>
  <c r="N58" i="16"/>
  <c r="P58" i="16"/>
  <c r="P28" i="16"/>
  <c r="P31" i="16" s="1"/>
  <c r="L59" i="16"/>
  <c r="L61" i="16"/>
  <c r="L34" i="16" s="1"/>
  <c r="M59" i="16"/>
  <c r="N62" i="16" l="1"/>
  <c r="P35" i="16"/>
  <c r="P62" i="16"/>
  <c r="O35" i="16"/>
  <c r="O62" i="16"/>
  <c r="N35" i="16"/>
  <c r="L62" i="16"/>
  <c r="L32" i="16"/>
  <c r="L35" i="16" s="1"/>
  <c r="M62" i="16"/>
  <c r="M32" i="16"/>
  <c r="M35" i="16" s="1"/>
</calcChain>
</file>

<file path=xl/sharedStrings.xml><?xml version="1.0" encoding="utf-8"?>
<sst xmlns="http://schemas.openxmlformats.org/spreadsheetml/2006/main" count="1262" uniqueCount="192">
  <si>
    <t>Key figures for RAR and loan disbursements calculation</t>
  </si>
  <si>
    <t>Average loan amount</t>
  </si>
  <si>
    <t>Product</t>
  </si>
  <si>
    <t>New</t>
  </si>
  <si>
    <t>Used</t>
  </si>
  <si>
    <t>in €</t>
  </si>
  <si>
    <t>Auto loan</t>
  </si>
  <si>
    <t>Cash loan</t>
  </si>
  <si>
    <t>Financial lease</t>
  </si>
  <si>
    <t>Operational lease</t>
  </si>
  <si>
    <t>Eurobank RAR per car</t>
  </si>
  <si>
    <t>RAR per car</t>
  </si>
  <si>
    <t>Car type</t>
  </si>
  <si>
    <t>UoM</t>
  </si>
  <si>
    <t>Max</t>
  </si>
  <si>
    <t>Min</t>
  </si>
  <si>
    <t>RAR</t>
  </si>
  <si>
    <t>€M</t>
  </si>
  <si>
    <t>Cars financed</t>
  </si>
  <si>
    <t>k#</t>
  </si>
  <si>
    <t>Loan disbursements</t>
  </si>
  <si>
    <t>Market growth new cars</t>
  </si>
  <si>
    <t>B2B opportunity</t>
  </si>
  <si>
    <t>50% new and 50 % used</t>
  </si>
  <si>
    <t>D2C</t>
  </si>
  <si>
    <t>Total</t>
  </si>
  <si>
    <t>cars financed</t>
  </si>
  <si>
    <t>B2C cars</t>
  </si>
  <si>
    <t>B2C is new</t>
  </si>
  <si>
    <t>Toyota</t>
  </si>
  <si>
    <t>Used car finacing</t>
  </si>
  <si>
    <t>Digital presence (Car.gr + Cardom)</t>
  </si>
  <si>
    <t>C2C is used</t>
  </si>
  <si>
    <t>Notes</t>
  </si>
  <si>
    <t>#</t>
  </si>
  <si>
    <t>%</t>
  </si>
  <si>
    <t>Segment</t>
  </si>
  <si>
    <t>Expand digital presence</t>
  </si>
  <si>
    <t>Loan</t>
  </si>
  <si>
    <t>Eurobank</t>
  </si>
  <si>
    <t>€</t>
  </si>
  <si>
    <t>Market share</t>
  </si>
  <si>
    <t>Opex</t>
  </si>
  <si>
    <t>KPI</t>
  </si>
  <si>
    <t>Market</t>
  </si>
  <si>
    <t>Considered 25-20% Opex/RAR, starting from 29% in 2024 (source ERB P&amp;L) and gradually decreasing to 20% in 2030</t>
  </si>
  <si>
    <t>Considered 10-15% Opex/RAR, starting from 15% in 2024 (source ERB P&amp;L) and gradually decreasing to 10% in 2030</t>
  </si>
  <si>
    <t>Considered 15% Opex/RAR - to be checked against cash loan incidence of Opex/ RAR</t>
  </si>
  <si>
    <t>PBT</t>
  </si>
  <si>
    <t>Capex</t>
  </si>
  <si>
    <t>Incremental business case</t>
  </si>
  <si>
    <t>Increase used cars financing</t>
  </si>
  <si>
    <t>Redesign end-to-end B2B offering </t>
  </si>
  <si>
    <t>Opex/ RAR, %</t>
  </si>
  <si>
    <t>1. Avg. yearly stock, by segment</t>
  </si>
  <si>
    <t>Car sold to end customers, yearly</t>
  </si>
  <si>
    <t>Car sold to end customers, monthly</t>
  </si>
  <si>
    <r>
      <t xml:space="preserve">Avg. stock Rotation, </t>
    </r>
    <r>
      <rPr>
        <sz val="11"/>
        <color theme="0"/>
        <rFont val="Arial"/>
        <family val="2"/>
        <scheme val="minor"/>
      </rPr>
      <t>per year</t>
    </r>
  </si>
  <si>
    <r>
      <t xml:space="preserve">Avg. Yearly stock, </t>
    </r>
    <r>
      <rPr>
        <sz val="11"/>
        <color theme="0"/>
        <rFont val="Arial"/>
        <family val="2"/>
        <scheme val="minor"/>
      </rPr>
      <t>k#</t>
    </r>
  </si>
  <si>
    <r>
      <t xml:space="preserve">Financing penetration, </t>
    </r>
    <r>
      <rPr>
        <sz val="11"/>
        <color theme="0"/>
        <rFont val="Arial"/>
        <family val="2"/>
        <scheme val="minor"/>
      </rPr>
      <t>%</t>
    </r>
  </si>
  <si>
    <r>
      <t>Car volumes financed,</t>
    </r>
    <r>
      <rPr>
        <sz val="11"/>
        <color theme="0"/>
        <rFont val="Arial"/>
        <family val="2"/>
        <scheme val="minor"/>
      </rPr>
      <t xml:space="preserve"> k#</t>
    </r>
  </si>
  <si>
    <t>Yearly target for retail, %</t>
  </si>
  <si>
    <t>Yearly target for SB, %</t>
  </si>
  <si>
    <r>
      <t>Yearly target for retail</t>
    </r>
    <r>
      <rPr>
        <sz val="11"/>
        <color theme="0"/>
        <rFont val="Arial"/>
        <family val="2"/>
        <scheme val="minor"/>
      </rPr>
      <t>, #k</t>
    </r>
  </si>
  <si>
    <t>in k#</t>
  </si>
  <si>
    <t>Dealer</t>
  </si>
  <si>
    <t>New Auto</t>
  </si>
  <si>
    <t>Assuming stable inventory; stock rotation: 365/days supply</t>
  </si>
  <si>
    <t>Used Auto</t>
  </si>
  <si>
    <t>Independent dealers</t>
  </si>
  <si>
    <t>Dealers with OEMs captives</t>
  </si>
  <si>
    <t>LeaseCos</t>
  </si>
  <si>
    <t>ERB Leasing</t>
  </si>
  <si>
    <t>RAC</t>
  </si>
  <si>
    <t>small</t>
  </si>
  <si>
    <t>Direct corp</t>
  </si>
  <si>
    <t>Customer view</t>
  </si>
  <si>
    <t>Dealer view</t>
  </si>
  <si>
    <t>notes</t>
  </si>
  <si>
    <t>Considering 30%% markup</t>
  </si>
  <si>
    <t>Floor plan</t>
  </si>
  <si>
    <t>Stock finance</t>
  </si>
  <si>
    <t>Leasing</t>
  </si>
  <si>
    <t>Other</t>
  </si>
  <si>
    <t>2. Product mix, %</t>
  </si>
  <si>
    <t>in %</t>
  </si>
  <si>
    <t>Only Toyota, Mercedez and small syngelidis group brands have floor plan (only 1 brand)</t>
  </si>
  <si>
    <t>Other fin products</t>
  </si>
  <si>
    <t>e.g., RRF</t>
  </si>
  <si>
    <t>3. RAR per contract</t>
  </si>
  <si>
    <t>Pricing component</t>
  </si>
  <si>
    <t>Average rate</t>
  </si>
  <si>
    <t>Average cost of fund</t>
  </si>
  <si>
    <t>Average cost of risk</t>
  </si>
  <si>
    <t>Average contract duration</t>
  </si>
  <si>
    <t>Total RAR per car</t>
  </si>
  <si>
    <t>Total RAR per contract</t>
  </si>
  <si>
    <t>Operating lease</t>
  </si>
  <si>
    <t>Leasing RAR</t>
  </si>
  <si>
    <t>Services RAR</t>
  </si>
  <si>
    <t>UCS RAR</t>
  </si>
  <si>
    <t>4. Total RAR for the B2B market</t>
  </si>
  <si>
    <t>Avg. Yearly stock, k#</t>
  </si>
  <si>
    <t>Number of cars financed, #</t>
  </si>
  <si>
    <t>B2B Financing Opportunities: Target Wholesalers for Eurobank by 2030</t>
  </si>
  <si>
    <t>Importer</t>
  </si>
  <si>
    <t>Number of dealers</t>
  </si>
  <si>
    <t>Yearly number of cars sold</t>
  </si>
  <si>
    <t>Total line value</t>
  </si>
  <si>
    <t>Yearly cars financed</t>
  </si>
  <si>
    <t>Avg. Car value</t>
  </si>
  <si>
    <t>Annual RAR</t>
  </si>
  <si>
    <t>Assumption for selecting the importer</t>
  </si>
  <si>
    <t>Unit of measure</t>
  </si>
  <si>
    <t>Dealer Group</t>
  </si>
  <si>
    <t>Assumption for selecting the dealer</t>
  </si>
  <si>
    <t>Fleet Group</t>
  </si>
  <si>
    <t>Fleet financing</t>
  </si>
  <si>
    <t>2024 + baseline</t>
  </si>
  <si>
    <t>Considered 10-15% Opex/RAR, starting from 15% in 2024 (source ERB P&amp;L) and gradually decreasing to 12% in 2030</t>
  </si>
  <si>
    <t>Total BP</t>
  </si>
  <si>
    <t>Auto loanNew</t>
  </si>
  <si>
    <t>Auto loanUsed</t>
  </si>
  <si>
    <t>Cash loanNew</t>
  </si>
  <si>
    <t>Cash loanUsed</t>
  </si>
  <si>
    <t>Highly preliminary</t>
  </si>
  <si>
    <t>used</t>
  </si>
  <si>
    <t>new</t>
  </si>
  <si>
    <t>total</t>
  </si>
  <si>
    <t>cars sales</t>
  </si>
  <si>
    <t>sales</t>
  </si>
  <si>
    <t>loans</t>
  </si>
  <si>
    <t>finance penetration</t>
  </si>
  <si>
    <t>annual growth</t>
  </si>
  <si>
    <t>Sales (€M)=Loan penetrationAuto loans (€M)​</t>
  </si>
  <si>
    <t>+2% p.a.increse on car prices</t>
  </si>
  <si>
    <t>new: 40% (2024) → 41% (2025) → 42% (2026) → 43% (2027) → 44% (2028)</t>
  </si>
  <si>
    <t>used: 16% (2024) → 17% (2025) → 18% (2026) → 19% (2027) → 20% (2028)</t>
  </si>
  <si>
    <t>Έτος</t>
  </si>
  <si>
    <t>New Sales k#</t>
  </si>
  <si>
    <t>Used Sales k#</t>
  </si>
  <si>
    <r>
      <t xml:space="preserve">27/41% = </t>
    </r>
    <r>
      <rPr>
        <b/>
        <sz val="11"/>
        <color theme="1"/>
        <rFont val="Arial"/>
        <family val="2"/>
        <scheme val="minor"/>
      </rPr>
      <t>66</t>
    </r>
  </si>
  <si>
    <r>
      <t xml:space="preserve">23/17% = </t>
    </r>
    <r>
      <rPr>
        <b/>
        <sz val="11"/>
        <color theme="1"/>
        <rFont val="Arial"/>
        <family val="2"/>
        <scheme val="minor"/>
      </rPr>
      <t>135</t>
    </r>
  </si>
  <si>
    <r>
      <t xml:space="preserve">30/42% = </t>
    </r>
    <r>
      <rPr>
        <b/>
        <sz val="11"/>
        <color theme="1"/>
        <rFont val="Arial"/>
        <family val="2"/>
        <scheme val="minor"/>
      </rPr>
      <t>71</t>
    </r>
  </si>
  <si>
    <r>
      <t xml:space="preserve">26/18% = </t>
    </r>
    <r>
      <rPr>
        <b/>
        <sz val="11"/>
        <color theme="1"/>
        <rFont val="Arial"/>
        <family val="2"/>
        <scheme val="minor"/>
      </rPr>
      <t>144</t>
    </r>
  </si>
  <si>
    <r>
      <t xml:space="preserve">32/43% = </t>
    </r>
    <r>
      <rPr>
        <b/>
        <sz val="11"/>
        <color theme="1"/>
        <rFont val="Arial"/>
        <family val="2"/>
        <scheme val="minor"/>
      </rPr>
      <t>74</t>
    </r>
  </si>
  <si>
    <r>
      <t xml:space="preserve">28/19% = </t>
    </r>
    <r>
      <rPr>
        <b/>
        <sz val="11"/>
        <color theme="1"/>
        <rFont val="Arial"/>
        <family val="2"/>
        <scheme val="minor"/>
      </rPr>
      <t>147</t>
    </r>
  </si>
  <si>
    <r>
      <t xml:space="preserve">34/44% = </t>
    </r>
    <r>
      <rPr>
        <b/>
        <sz val="11"/>
        <color theme="1"/>
        <rFont val="Arial"/>
        <family val="2"/>
        <scheme val="minor"/>
      </rPr>
      <t>77</t>
    </r>
  </si>
  <si>
    <r>
      <t xml:space="preserve">30/20% = </t>
    </r>
    <r>
      <rPr>
        <b/>
        <sz val="11"/>
        <color theme="1"/>
        <rFont val="Arial"/>
        <family val="2"/>
        <scheme val="minor"/>
      </rPr>
      <t>150</t>
    </r>
  </si>
  <si>
    <t>no. of loans</t>
  </si>
  <si>
    <t>disb. Amount</t>
  </si>
  <si>
    <t>Εισαγόμενα (συνολικά)</t>
  </si>
  <si>
    <t>ετήσια αύξηση</t>
  </si>
  <si>
    <t>Επιβατικά ποσοστό</t>
  </si>
  <si>
    <t>Επιβατικά Εισαγόμενα</t>
  </si>
  <si>
    <t>Επιβ. Νέα ποσοστό</t>
  </si>
  <si>
    <t>Επιβ. Νέα Εισαγόμενα</t>
  </si>
  <si>
    <t>Επιβ. Μτχ Εισαγόμενα</t>
  </si>
  <si>
    <t>Μεταβιβ. Επιβ. Μτχ</t>
  </si>
  <si>
    <t>Νέα Retail</t>
  </si>
  <si>
    <t>Νέα Wholesale</t>
  </si>
  <si>
    <t>Μτχ Retail</t>
  </si>
  <si>
    <t>Μτχ Wholesale</t>
  </si>
  <si>
    <t>Νέα Retail ποσοστό</t>
  </si>
  <si>
    <t>Νέα Wholesale ποσοστό</t>
  </si>
  <si>
    <t>Μτχ Retail ποσοστό</t>
  </si>
  <si>
    <t>Μτχ Wholesale ποσοστό</t>
  </si>
  <si>
    <t>Μτχ δάνεια (k)</t>
  </si>
  <si>
    <t xml:space="preserve">Νέα πωλήσεις </t>
  </si>
  <si>
    <t>Νέα δάνεια</t>
  </si>
  <si>
    <t>2% annual infation</t>
  </si>
  <si>
    <t>Νέα Εκταμιεύσεις (€)</t>
  </si>
  <si>
    <t xml:space="preserve">Μτχ πωλήσεις </t>
  </si>
  <si>
    <t>Finance contribution used</t>
  </si>
  <si>
    <t>Finance contribution new</t>
  </si>
  <si>
    <t>μέσο ποσό δανείου νέα</t>
  </si>
  <si>
    <t>μέσο ποσό δανείου Μτχ</t>
  </si>
  <si>
    <t>Notes:</t>
  </si>
  <si>
    <t>actual data</t>
  </si>
  <si>
    <t>Μτχ Εκταμιεύσεις (€)</t>
  </si>
  <si>
    <t>Σύνολο Εκταμιεύσεις (€)</t>
  </si>
  <si>
    <t>Σύνολο Εκταμιεύσεις (€) S.Banks</t>
  </si>
  <si>
    <t>S. Banks market share</t>
  </si>
  <si>
    <t>Εκταμιεύσεις Eurobank new</t>
  </si>
  <si>
    <t>Εκταμιεύσεις Eurobank used</t>
  </si>
  <si>
    <t>S.Banks portion on total market</t>
  </si>
  <si>
    <r>
      <t xml:space="preserve">Market share </t>
    </r>
    <r>
      <rPr>
        <b/>
        <sz val="10"/>
        <color theme="1"/>
        <rFont val="Arial"/>
        <family val="2"/>
        <charset val="161"/>
        <scheme val="minor"/>
      </rPr>
      <t>new</t>
    </r>
    <r>
      <rPr>
        <sz val="10"/>
        <color theme="1"/>
        <rFont val="Arial"/>
        <family val="2"/>
        <scheme val="minor"/>
      </rPr>
      <t xml:space="preserve"> total market</t>
    </r>
  </si>
  <si>
    <r>
      <t xml:space="preserve">Market share </t>
    </r>
    <r>
      <rPr>
        <b/>
        <sz val="10"/>
        <color theme="1"/>
        <rFont val="Arial"/>
        <family val="2"/>
        <charset val="161"/>
        <scheme val="minor"/>
      </rPr>
      <t>used</t>
    </r>
    <r>
      <rPr>
        <sz val="10"/>
        <color theme="1"/>
        <rFont val="Arial"/>
        <family val="2"/>
        <scheme val="minor"/>
      </rPr>
      <t xml:space="preserve"> total market</t>
    </r>
  </si>
  <si>
    <r>
      <t xml:space="preserve">Market share </t>
    </r>
    <r>
      <rPr>
        <b/>
        <sz val="10"/>
        <color theme="1"/>
        <rFont val="Arial"/>
        <family val="2"/>
        <charset val="161"/>
        <scheme val="minor"/>
      </rPr>
      <t>new</t>
    </r>
    <r>
      <rPr>
        <sz val="10"/>
        <color theme="1"/>
        <rFont val="Arial"/>
        <family val="2"/>
        <scheme val="minor"/>
      </rPr>
      <t xml:space="preserve"> S. Banks market</t>
    </r>
  </si>
  <si>
    <r>
      <t xml:space="preserve">Market share </t>
    </r>
    <r>
      <rPr>
        <b/>
        <sz val="10"/>
        <color theme="1"/>
        <rFont val="Arial"/>
        <family val="2"/>
        <charset val="161"/>
        <scheme val="minor"/>
      </rPr>
      <t>used</t>
    </r>
    <r>
      <rPr>
        <sz val="10"/>
        <color theme="1"/>
        <rFont val="Arial"/>
        <family val="2"/>
        <scheme val="minor"/>
      </rPr>
      <t xml:space="preserve"> S. Banks market</t>
    </r>
  </si>
  <si>
    <r>
      <t xml:space="preserve">Market share </t>
    </r>
    <r>
      <rPr>
        <b/>
        <sz val="10"/>
        <color theme="1"/>
        <rFont val="Arial"/>
        <family val="2"/>
        <charset val="161"/>
        <scheme val="minor"/>
      </rPr>
      <t>auto</t>
    </r>
    <r>
      <rPr>
        <sz val="10"/>
        <color theme="1"/>
        <rFont val="Arial"/>
        <family val="2"/>
        <scheme val="minor"/>
      </rPr>
      <t xml:space="preserve"> total market</t>
    </r>
  </si>
  <si>
    <r>
      <t xml:space="preserve">Market share </t>
    </r>
    <r>
      <rPr>
        <b/>
        <sz val="10"/>
        <color theme="1"/>
        <rFont val="Arial"/>
        <family val="2"/>
        <charset val="161"/>
        <scheme val="minor"/>
      </rPr>
      <t>auto</t>
    </r>
    <r>
      <rPr>
        <sz val="10"/>
        <color theme="1"/>
        <rFont val="Arial"/>
        <family val="2"/>
        <scheme val="minor"/>
      </rPr>
      <t xml:space="preserve"> S. Banks market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</si>
</sst>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_-;\-* #,##0.0_-;_-* &quot;-&quot;??_-;_-@_-"/>
    <numFmt numFmtId="167" formatCode="_-* #,##0\ _€_-;\-* #,##0\ _€_-;_-* &quot;-&quot;??\ _€_-;_-@_-"/>
    <numFmt numFmtId="168" formatCode="#,##0.0"/>
    <numFmt numFmtId="169" formatCode="0.0"/>
    <numFmt numFmtId="170" formatCode="_-* #,##0.0\ _€_-;\-* #,##0.0\ _€_-;_-* &quot;-&quot;??\ _€_-;_-@_-"/>
    <numFmt numFmtId="171" formatCode="_-* #,##0.00\ _€_-;\-* #,##0.00\ _€_-;_-* &quot;-&quot;??\ _€_-;_-@_-"/>
  </numFmts>
  <fonts count="3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3"/>
      <name val="Arial"/>
      <family val="2"/>
      <scheme val="minor"/>
    </font>
    <font>
      <sz val="11"/>
      <color rgb="FFC0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6"/>
      <name val="Arial"/>
      <family val="2"/>
      <scheme val="minor"/>
    </font>
    <font>
      <b/>
      <sz val="22"/>
      <name val="Georgia"/>
      <family val="2"/>
      <scheme val="major"/>
    </font>
    <font>
      <sz val="11"/>
      <color theme="3"/>
      <name val="Arial"/>
      <family val="2"/>
      <scheme val="minor"/>
    </font>
    <font>
      <sz val="11"/>
      <color rgb="FF0000FF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3366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70C0"/>
      <name val="Arial"/>
      <family val="2"/>
      <scheme val="minor"/>
    </font>
    <font>
      <i/>
      <sz val="11"/>
      <color rgb="FF000000"/>
      <name val="Arial"/>
      <family val="2"/>
      <scheme val="minor"/>
    </font>
    <font>
      <i/>
      <sz val="11"/>
      <color rgb="FFFF0000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i/>
      <sz val="11"/>
      <color rgb="FF003366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4"/>
      <name val="Arial"/>
      <family val="2"/>
      <scheme val="minor"/>
    </font>
    <font>
      <sz val="11"/>
      <color theme="0" tint="-0.34998626667073579"/>
      <name val="Arial"/>
      <family val="2"/>
      <scheme val="minor"/>
    </font>
    <font>
      <b/>
      <sz val="11"/>
      <color theme="0" tint="-0.34998626667073579"/>
      <name val="Arial"/>
      <family val="2"/>
      <scheme val="minor"/>
    </font>
    <font>
      <sz val="11"/>
      <color rgb="FF000000"/>
      <name val="Eurobank Sans"/>
      <charset val="161"/>
    </font>
    <font>
      <b/>
      <sz val="11"/>
      <color theme="1"/>
      <name val="Arial"/>
      <family val="2"/>
      <charset val="161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charset val="161"/>
      <scheme val="minor"/>
    </font>
    <font>
      <b/>
      <u/>
      <sz val="10"/>
      <color theme="1"/>
      <name val="Arial"/>
      <family val="2"/>
      <charset val="161"/>
      <scheme val="minor"/>
    </font>
    <font>
      <sz val="10"/>
      <color rgb="FF00B05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0"/>
      <color rgb="FF00B050"/>
      <name val="Arial"/>
      <family val="2"/>
      <charset val="161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FF99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34998626667073579"/>
        <bgColor indexed="64"/>
      </patternFill>
    </fill>
  </fills>
  <borders count="31">
    <border>
      <left/>
      <right/>
      <top/>
      <bottom/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7F7F7F"/>
      </bottom>
      <diagonal/>
    </border>
    <border>
      <left/>
      <right/>
      <top style="thick">
        <color rgb="FF4D4D4D"/>
      </top>
      <bottom style="thick">
        <color rgb="FF4D4D4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9">
    <xf numFmtId="0" fontId="0" fillId="0" borderId="0"/>
    <xf numFmtId="0" fontId="15" fillId="11" borderId="0" applyNumberFormat="0" applyAlignment="0" applyProtection="0">
      <alignment vertical="center"/>
    </xf>
    <xf numFmtId="0" fontId="10" fillId="0" borderId="0" applyNumberFormat="0" applyAlignment="0" applyProtection="0"/>
    <xf numFmtId="0" fontId="3" fillId="0" borderId="6" applyNumberFormat="0" applyAlignment="0" applyProtection="0"/>
    <xf numFmtId="0" fontId="7" fillId="8" borderId="0" applyNumberFormat="0" applyAlignment="0" applyProtection="0">
      <alignment vertical="center"/>
    </xf>
    <xf numFmtId="0" fontId="2" fillId="2" borderId="1" applyNumberFormat="0" applyProtection="0">
      <alignment vertical="center"/>
    </xf>
    <xf numFmtId="0" fontId="16" fillId="0" borderId="0" applyNumberFormat="0" applyAlignment="0" applyProtection="0">
      <alignment vertical="center"/>
    </xf>
    <xf numFmtId="0" fontId="1" fillId="10" borderId="0" applyNumberFormat="0" applyAlignment="0" applyProtection="0">
      <alignment vertical="center"/>
    </xf>
    <xf numFmtId="0" fontId="11" fillId="3" borderId="0" applyNumberFormat="0" applyBorder="0" applyAlignment="0" applyProtection="0"/>
    <xf numFmtId="0" fontId="4" fillId="4" borderId="2" applyNumberFormat="0" applyAlignment="0" applyProtection="0"/>
    <xf numFmtId="0" fontId="5" fillId="5" borderId="2" applyNumberFormat="0" applyAlignment="0" applyProtection="0"/>
    <xf numFmtId="0" fontId="6" fillId="0" borderId="3" applyNumberFormat="0" applyFill="0" applyAlignment="0" applyProtection="0"/>
    <xf numFmtId="0" fontId="7" fillId="6" borderId="4" applyNumberFormat="0" applyAlignment="0" applyProtection="0"/>
    <xf numFmtId="0" fontId="8" fillId="0" borderId="0" applyNumberFormat="0" applyFill="0" applyBorder="0" applyAlignment="0" applyProtection="0"/>
    <xf numFmtId="0" fontId="1" fillId="7" borderId="5" applyNumberFormat="0" applyFont="0" applyAlignment="0" applyProtection="0"/>
    <xf numFmtId="0" fontId="9" fillId="0" borderId="0" applyNumberFormat="0" applyFill="0" applyBorder="0" applyAlignment="0" applyProtection="0"/>
    <xf numFmtId="0" fontId="14" fillId="0" borderId="0" applyNumberFormat="0" applyAlignment="0" applyProtection="0"/>
    <xf numFmtId="0" fontId="3" fillId="9" borderId="0" applyNumberFormat="0" applyAlignment="0" applyProtection="0">
      <alignment vertical="center"/>
    </xf>
    <xf numFmtId="0" fontId="3" fillId="0" borderId="7" applyNumberFormat="0" applyAlignment="0" applyProtection="0"/>
    <xf numFmtId="0" fontId="12" fillId="0" borderId="0" applyNumberFormat="0" applyAlignment="0" applyProtection="0">
      <alignment vertical="center"/>
    </xf>
    <xf numFmtId="0" fontId="13" fillId="0" borderId="0" applyNumberFormat="0" applyAlignment="0" applyProtection="0">
      <alignment vertical="center"/>
    </xf>
    <xf numFmtId="0" fontId="8" fillId="0" borderId="0" applyNumberFormat="0" applyAlignment="0" applyProtection="0">
      <alignment vertical="center"/>
    </xf>
    <xf numFmtId="0" fontId="17" fillId="0" borderId="0" applyNumberFormat="0" applyAlignment="0" applyProtection="0">
      <alignment vertical="center"/>
    </xf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" fillId="0" borderId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18" fillId="0" borderId="0" xfId="0" applyFont="1"/>
    <xf numFmtId="0" fontId="21" fillId="0" borderId="0" xfId="0" applyFont="1"/>
    <xf numFmtId="0" fontId="20" fillId="0" borderId="0" xfId="0" applyFont="1"/>
    <xf numFmtId="0" fontId="25" fillId="0" borderId="0" xfId="0" applyFont="1"/>
    <xf numFmtId="0" fontId="20" fillId="0" borderId="8" xfId="0" applyFont="1" applyBorder="1"/>
    <xf numFmtId="9" fontId="21" fillId="0" borderId="8" xfId="0" applyNumberFormat="1" applyFont="1" applyBorder="1"/>
    <xf numFmtId="0" fontId="19" fillId="0" borderId="0" xfId="0" applyFont="1"/>
    <xf numFmtId="167" fontId="0" fillId="0" borderId="0" xfId="0" applyNumberFormat="1"/>
    <xf numFmtId="0" fontId="26" fillId="15" borderId="0" xfId="0" applyFont="1" applyFill="1"/>
    <xf numFmtId="0" fontId="0" fillId="18" borderId="0" xfId="0" applyFill="1"/>
    <xf numFmtId="0" fontId="21" fillId="0" borderId="8" xfId="0" applyFont="1" applyBorder="1"/>
    <xf numFmtId="0" fontId="7" fillId="17" borderId="0" xfId="0" applyFont="1" applyFill="1"/>
    <xf numFmtId="3" fontId="20" fillId="0" borderId="0" xfId="0" applyNumberFormat="1" applyFont="1"/>
    <xf numFmtId="3" fontId="20" fillId="0" borderId="8" xfId="0" applyNumberFormat="1" applyFont="1" applyBorder="1"/>
    <xf numFmtId="165" fontId="0" fillId="18" borderId="0" xfId="25" applyNumberFormat="1" applyFont="1" applyFill="1"/>
    <xf numFmtId="0" fontId="29" fillId="0" borderId="0" xfId="0" applyFont="1"/>
    <xf numFmtId="165" fontId="0" fillId="0" borderId="0" xfId="25" applyNumberFormat="1" applyFont="1"/>
    <xf numFmtId="0" fontId="21" fillId="0" borderId="9" xfId="0" applyFont="1" applyBorder="1"/>
    <xf numFmtId="9" fontId="0" fillId="0" borderId="0" xfId="0" applyNumberFormat="1"/>
    <xf numFmtId="169" fontId="0" fillId="0" borderId="0" xfId="0" applyNumberFormat="1"/>
    <xf numFmtId="166" fontId="0" fillId="0" borderId="0" xfId="25" applyNumberFormat="1" applyFont="1"/>
    <xf numFmtId="165" fontId="18" fillId="0" borderId="0" xfId="25" applyNumberFormat="1" applyFont="1"/>
    <xf numFmtId="1" fontId="18" fillId="0" borderId="0" xfId="0" applyNumberFormat="1" applyFont="1"/>
    <xf numFmtId="165" fontId="1" fillId="0" borderId="0" xfId="25" applyNumberFormat="1" applyFont="1"/>
    <xf numFmtId="170" fontId="8" fillId="0" borderId="0" xfId="0" applyNumberFormat="1" applyFont="1"/>
    <xf numFmtId="165" fontId="18" fillId="0" borderId="0" xfId="25" applyNumberFormat="1" applyFont="1" applyFill="1"/>
    <xf numFmtId="166" fontId="18" fillId="0" borderId="0" xfId="25" applyNumberFormat="1" applyFont="1"/>
    <xf numFmtId="1" fontId="0" fillId="0" borderId="0" xfId="0" applyNumberFormat="1"/>
    <xf numFmtId="0" fontId="21" fillId="0" borderId="12" xfId="0" applyFont="1" applyBorder="1"/>
    <xf numFmtId="0" fontId="21" fillId="0" borderId="11" xfId="0" applyFont="1" applyBorder="1"/>
    <xf numFmtId="0" fontId="7" fillId="17" borderId="11" xfId="0" applyFont="1" applyFill="1" applyBorder="1"/>
    <xf numFmtId="0" fontId="7" fillId="17" borderId="13" xfId="0" applyFont="1" applyFill="1" applyBorder="1"/>
    <xf numFmtId="0" fontId="21" fillId="0" borderId="13" xfId="0" applyFont="1" applyBorder="1"/>
    <xf numFmtId="0" fontId="21" fillId="0" borderId="14" xfId="0" applyFont="1" applyBorder="1"/>
    <xf numFmtId="166" fontId="21" fillId="0" borderId="12" xfId="25" applyNumberFormat="1" applyFont="1" applyBorder="1"/>
    <xf numFmtId="166" fontId="21" fillId="0" borderId="8" xfId="25" applyNumberFormat="1" applyFont="1" applyBorder="1"/>
    <xf numFmtId="166" fontId="21" fillId="0" borderId="13" xfId="25" applyNumberFormat="1" applyFont="1" applyFill="1" applyBorder="1"/>
    <xf numFmtId="166" fontId="21" fillId="0" borderId="14" xfId="25" applyNumberFormat="1" applyFont="1" applyFill="1" applyBorder="1"/>
    <xf numFmtId="166" fontId="21" fillId="0" borderId="12" xfId="25" applyNumberFormat="1" applyFont="1" applyFill="1" applyBorder="1"/>
    <xf numFmtId="0" fontId="20" fillId="0" borderId="9" xfId="0" applyFont="1" applyBorder="1"/>
    <xf numFmtId="165" fontId="20" fillId="0" borderId="9" xfId="25" applyNumberFormat="1" applyFont="1" applyFill="1" applyBorder="1"/>
    <xf numFmtId="165" fontId="20" fillId="0" borderId="8" xfId="25" applyNumberFormat="1" applyFont="1" applyFill="1" applyBorder="1"/>
    <xf numFmtId="166" fontId="21" fillId="0" borderId="8" xfId="25" applyNumberFormat="1" applyFont="1" applyFill="1" applyBorder="1"/>
    <xf numFmtId="169" fontId="21" fillId="0" borderId="12" xfId="0" applyNumberFormat="1" applyFont="1" applyBorder="1"/>
    <xf numFmtId="169" fontId="21" fillId="0" borderId="8" xfId="0" applyNumberFormat="1" applyFont="1" applyBorder="1"/>
    <xf numFmtId="9" fontId="20" fillId="0" borderId="0" xfId="25" applyNumberFormat="1" applyFont="1" applyFill="1" applyBorder="1"/>
    <xf numFmtId="0" fontId="16" fillId="14" borderId="12" xfId="0" applyFont="1" applyFill="1" applyBorder="1"/>
    <xf numFmtId="1" fontId="21" fillId="0" borderId="13" xfId="0" applyNumberFormat="1" applyFont="1" applyBorder="1"/>
    <xf numFmtId="1" fontId="21" fillId="0" borderId="14" xfId="0" applyNumberFormat="1" applyFont="1" applyBorder="1"/>
    <xf numFmtId="1" fontId="21" fillId="20" borderId="13" xfId="0" applyNumberFormat="1" applyFont="1" applyFill="1" applyBorder="1"/>
    <xf numFmtId="0" fontId="19" fillId="15" borderId="13" xfId="0" applyFont="1" applyFill="1" applyBorder="1"/>
    <xf numFmtId="0" fontId="26" fillId="15" borderId="13" xfId="0" applyFont="1" applyFill="1" applyBorder="1"/>
    <xf numFmtId="3" fontId="16" fillId="14" borderId="13" xfId="0" applyNumberFormat="1" applyFont="1" applyFill="1" applyBorder="1"/>
    <xf numFmtId="0" fontId="7" fillId="17" borderId="13" xfId="0" applyFont="1" applyFill="1" applyBorder="1" applyAlignment="1">
      <alignment horizontal="left"/>
    </xf>
    <xf numFmtId="0" fontId="19" fillId="15" borderId="12" xfId="0" applyFont="1" applyFill="1" applyBorder="1"/>
    <xf numFmtId="0" fontId="7" fillId="17" borderId="13" xfId="0" applyFont="1" applyFill="1" applyBorder="1" applyAlignment="1">
      <alignment wrapText="1"/>
    </xf>
    <xf numFmtId="3" fontId="21" fillId="0" borderId="13" xfId="0" applyNumberFormat="1" applyFont="1" applyBorder="1"/>
    <xf numFmtId="1" fontId="21" fillId="0" borderId="12" xfId="0" applyNumberFormat="1" applyFont="1" applyBorder="1"/>
    <xf numFmtId="169" fontId="21" fillId="0" borderId="10" xfId="0" applyNumberFormat="1" applyFont="1" applyBorder="1"/>
    <xf numFmtId="169" fontId="21" fillId="0" borderId="13" xfId="0" applyNumberFormat="1" applyFont="1" applyBorder="1"/>
    <xf numFmtId="165" fontId="21" fillId="0" borderId="13" xfId="25" applyNumberFormat="1" applyFont="1" applyFill="1" applyBorder="1"/>
    <xf numFmtId="0" fontId="31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top"/>
    </xf>
    <xf numFmtId="0" fontId="23" fillId="0" borderId="13" xfId="0" applyFont="1" applyBorder="1"/>
    <xf numFmtId="0" fontId="20" fillId="0" borderId="13" xfId="0" applyFont="1" applyBorder="1"/>
    <xf numFmtId="0" fontId="22" fillId="16" borderId="13" xfId="0" applyFont="1" applyFill="1" applyBorder="1"/>
    <xf numFmtId="9" fontId="16" fillId="14" borderId="13" xfId="0" applyNumberFormat="1" applyFont="1" applyFill="1" applyBorder="1"/>
    <xf numFmtId="9" fontId="21" fillId="0" borderId="13" xfId="0" applyNumberFormat="1" applyFont="1" applyBorder="1"/>
    <xf numFmtId="0" fontId="20" fillId="0" borderId="14" xfId="0" applyFont="1" applyBorder="1"/>
    <xf numFmtId="9" fontId="21" fillId="0" borderId="12" xfId="0" applyNumberFormat="1" applyFont="1" applyBorder="1"/>
    <xf numFmtId="0" fontId="22" fillId="16" borderId="11" xfId="0" applyFont="1" applyFill="1" applyBorder="1"/>
    <xf numFmtId="9" fontId="21" fillId="0" borderId="14" xfId="0" applyNumberFormat="1" applyFont="1" applyBorder="1"/>
    <xf numFmtId="3" fontId="21" fillId="0" borderId="12" xfId="0" applyNumberFormat="1" applyFont="1" applyBorder="1"/>
    <xf numFmtId="0" fontId="20" fillId="0" borderId="12" xfId="0" applyFont="1" applyBorder="1"/>
    <xf numFmtId="9" fontId="16" fillId="14" borderId="14" xfId="0" applyNumberFormat="1" applyFont="1" applyFill="1" applyBorder="1"/>
    <xf numFmtId="3" fontId="16" fillId="0" borderId="13" xfId="0" applyNumberFormat="1" applyFont="1" applyBorder="1"/>
    <xf numFmtId="0" fontId="7" fillId="23" borderId="13" xfId="0" applyFont="1" applyFill="1" applyBorder="1"/>
    <xf numFmtId="0" fontId="16" fillId="14" borderId="13" xfId="0" applyFont="1" applyFill="1" applyBorder="1"/>
    <xf numFmtId="9" fontId="21" fillId="0" borderId="13" xfId="25" applyNumberFormat="1" applyFont="1" applyFill="1" applyBorder="1"/>
    <xf numFmtId="166" fontId="21" fillId="0" borderId="14" xfId="25" applyNumberFormat="1" applyFont="1" applyBorder="1"/>
    <xf numFmtId="0" fontId="3" fillId="0" borderId="13" xfId="0" applyFont="1" applyBorder="1"/>
    <xf numFmtId="0" fontId="8" fillId="0" borderId="13" xfId="0" applyFont="1" applyBorder="1"/>
    <xf numFmtId="0" fontId="3" fillId="0" borderId="12" xfId="0" applyFont="1" applyBorder="1"/>
    <xf numFmtId="0" fontId="12" fillId="0" borderId="12" xfId="0" applyFont="1" applyBorder="1"/>
    <xf numFmtId="0" fontId="8" fillId="0" borderId="12" xfId="0" applyFont="1" applyBorder="1"/>
    <xf numFmtId="3" fontId="16" fillId="14" borderId="12" xfId="0" applyNumberFormat="1" applyFont="1" applyFill="1" applyBorder="1"/>
    <xf numFmtId="168" fontId="21" fillId="0" borderId="13" xfId="0" applyNumberFormat="1" applyFont="1" applyBorder="1"/>
    <xf numFmtId="0" fontId="7" fillId="17" borderId="11" xfId="0" applyFont="1" applyFill="1" applyBorder="1" applyAlignment="1">
      <alignment wrapText="1"/>
    </xf>
    <xf numFmtId="0" fontId="28" fillId="19" borderId="13" xfId="0" applyFont="1" applyFill="1" applyBorder="1"/>
    <xf numFmtId="0" fontId="26" fillId="15" borderId="11" xfId="0" applyFont="1" applyFill="1" applyBorder="1"/>
    <xf numFmtId="169" fontId="29" fillId="0" borderId="13" xfId="0" applyNumberFormat="1" applyFont="1" applyBorder="1"/>
    <xf numFmtId="165" fontId="21" fillId="0" borderId="13" xfId="25" applyNumberFormat="1" applyFont="1" applyBorder="1"/>
    <xf numFmtId="169" fontId="29" fillId="0" borderId="14" xfId="0" applyNumberFormat="1" applyFont="1" applyBorder="1"/>
    <xf numFmtId="3" fontId="20" fillId="0" borderId="12" xfId="0" applyNumberFormat="1" applyFont="1" applyBorder="1"/>
    <xf numFmtId="3" fontId="30" fillId="0" borderId="12" xfId="0" applyNumberFormat="1" applyFont="1" applyBorder="1"/>
    <xf numFmtId="3" fontId="20" fillId="2" borderId="12" xfId="0" applyNumberFormat="1" applyFont="1" applyFill="1" applyBorder="1"/>
    <xf numFmtId="0" fontId="24" fillId="0" borderId="13" xfId="0" applyFont="1" applyBorder="1"/>
    <xf numFmtId="0" fontId="7" fillId="17" borderId="12" xfId="0" applyFont="1" applyFill="1" applyBorder="1"/>
    <xf numFmtId="0" fontId="28" fillId="19" borderId="12" xfId="0" applyFont="1" applyFill="1" applyBorder="1"/>
    <xf numFmtId="9" fontId="20" fillId="0" borderId="12" xfId="0" applyNumberFormat="1" applyFont="1" applyBorder="1"/>
    <xf numFmtId="164" fontId="16" fillId="0" borderId="13" xfId="0" applyNumberFormat="1" applyFont="1" applyBorder="1"/>
    <xf numFmtId="164" fontId="8" fillId="0" borderId="13" xfId="0" applyNumberFormat="1" applyFont="1" applyBorder="1"/>
    <xf numFmtId="168" fontId="16" fillId="14" borderId="14" xfId="0" applyNumberFormat="1" applyFont="1" applyFill="1" applyBorder="1"/>
    <xf numFmtId="3" fontId="8" fillId="0" borderId="13" xfId="0" applyNumberFormat="1" applyFont="1" applyBorder="1"/>
    <xf numFmtId="0" fontId="19" fillId="0" borderId="11" xfId="0" applyFont="1" applyBorder="1"/>
    <xf numFmtId="0" fontId="7" fillId="22" borderId="13" xfId="0" applyFont="1" applyFill="1" applyBorder="1"/>
    <xf numFmtId="0" fontId="7" fillId="21" borderId="13" xfId="0" applyFont="1" applyFill="1" applyBorder="1"/>
    <xf numFmtId="0" fontId="19" fillId="15" borderId="13" xfId="0" applyFont="1" applyFill="1" applyBorder="1" applyAlignment="1">
      <alignment wrapText="1"/>
    </xf>
    <xf numFmtId="4" fontId="0" fillId="0" borderId="0" xfId="0" applyNumberFormat="1"/>
    <xf numFmtId="9" fontId="20" fillId="0" borderId="14" xfId="0" applyNumberFormat="1" applyFont="1" applyBorder="1"/>
    <xf numFmtId="165" fontId="3" fillId="0" borderId="9" xfId="25" applyNumberFormat="1" applyFont="1" applyFill="1" applyBorder="1"/>
    <xf numFmtId="1" fontId="12" fillId="0" borderId="13" xfId="0" applyNumberFormat="1" applyFont="1" applyBorder="1"/>
    <xf numFmtId="0" fontId="7" fillId="24" borderId="0" xfId="0" applyFont="1" applyFill="1"/>
    <xf numFmtId="9" fontId="21" fillId="0" borderId="13" xfId="28" applyFont="1" applyBorder="1" applyAlignment="1">
      <alignment horizontal="left"/>
    </xf>
    <xf numFmtId="9" fontId="0" fillId="18" borderId="0" xfId="28" applyFont="1" applyFill="1"/>
    <xf numFmtId="0" fontId="0" fillId="18" borderId="15" xfId="0" applyFill="1" applyBorder="1"/>
    <xf numFmtId="9" fontId="0" fillId="18" borderId="15" xfId="28" applyFont="1" applyFill="1" applyBorder="1"/>
    <xf numFmtId="3" fontId="0" fillId="18" borderId="0" xfId="0" applyNumberFormat="1" applyFill="1"/>
    <xf numFmtId="0" fontId="0" fillId="18" borderId="15" xfId="0" applyFill="1" applyBorder="1" applyAlignment="1">
      <alignment horizontal="right"/>
    </xf>
    <xf numFmtId="0" fontId="32" fillId="25" borderId="16" xfId="0" applyFont="1" applyFill="1" applyBorder="1"/>
    <xf numFmtId="0" fontId="32" fillId="25" borderId="9" xfId="0" applyFont="1" applyFill="1" applyBorder="1"/>
    <xf numFmtId="0" fontId="32" fillId="25" borderId="17" xfId="0" applyFont="1" applyFill="1" applyBorder="1"/>
    <xf numFmtId="0" fontId="0" fillId="18" borderId="18" xfId="0" applyFill="1" applyBorder="1"/>
    <xf numFmtId="0" fontId="0" fillId="18" borderId="19" xfId="0" applyFill="1" applyBorder="1"/>
    <xf numFmtId="0" fontId="0" fillId="16" borderId="20" xfId="0" applyFill="1" applyBorder="1"/>
    <xf numFmtId="3" fontId="0" fillId="26" borderId="21" xfId="0" applyNumberFormat="1" applyFill="1" applyBorder="1"/>
    <xf numFmtId="0" fontId="0" fillId="18" borderId="20" xfId="0" applyFill="1" applyBorder="1"/>
    <xf numFmtId="3" fontId="0" fillId="18" borderId="21" xfId="0" applyNumberFormat="1" applyFill="1" applyBorder="1"/>
    <xf numFmtId="0" fontId="0" fillId="16" borderId="22" xfId="0" applyFill="1" applyBorder="1"/>
    <xf numFmtId="0" fontId="0" fillId="16" borderId="8" xfId="0" applyFill="1" applyBorder="1"/>
    <xf numFmtId="3" fontId="0" fillId="16" borderId="8" xfId="0" applyNumberFormat="1" applyFill="1" applyBorder="1"/>
    <xf numFmtId="0" fontId="0" fillId="18" borderId="21" xfId="0" applyFill="1" applyBorder="1"/>
    <xf numFmtId="1" fontId="0" fillId="16" borderId="21" xfId="0" applyNumberFormat="1" applyFill="1" applyBorder="1"/>
    <xf numFmtId="1" fontId="0" fillId="16" borderId="8" xfId="0" applyNumberFormat="1" applyFill="1" applyBorder="1"/>
    <xf numFmtId="1" fontId="0" fillId="16" borderId="23" xfId="0" applyNumberFormat="1" applyFill="1" applyBorder="1"/>
    <xf numFmtId="0" fontId="0" fillId="18" borderId="0" xfId="0" quotePrefix="1" applyFill="1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2" fillId="0" borderId="0" xfId="0" applyFont="1" applyAlignment="1">
      <alignment vertical="center" wrapText="1"/>
    </xf>
    <xf numFmtId="3" fontId="32" fillId="0" borderId="0" xfId="0" applyNumberFormat="1" applyFont="1" applyAlignment="1">
      <alignment vertical="center" wrapText="1"/>
    </xf>
    <xf numFmtId="0" fontId="27" fillId="28" borderId="0" xfId="0" applyFont="1" applyFill="1"/>
    <xf numFmtId="9" fontId="27" fillId="28" borderId="0" xfId="28" applyFont="1" applyFill="1"/>
    <xf numFmtId="0" fontId="27" fillId="27" borderId="0" xfId="0" applyFont="1" applyFill="1"/>
    <xf numFmtId="9" fontId="27" fillId="27" borderId="0" xfId="28" applyFont="1" applyFill="1"/>
    <xf numFmtId="3" fontId="0" fillId="18" borderId="0" xfId="28" applyNumberFormat="1" applyFont="1" applyFill="1"/>
    <xf numFmtId="0" fontId="33" fillId="16" borderId="25" xfId="0" applyFont="1" applyFill="1" applyBorder="1"/>
    <xf numFmtId="0" fontId="33" fillId="16" borderId="24" xfId="0" applyFont="1" applyFill="1" applyBorder="1"/>
    <xf numFmtId="0" fontId="33" fillId="18" borderId="0" xfId="0" applyFont="1" applyFill="1" applyAlignment="1">
      <alignment horizontal="left"/>
    </xf>
    <xf numFmtId="3" fontId="33" fillId="18" borderId="0" xfId="0" applyNumberFormat="1" applyFont="1" applyFill="1"/>
    <xf numFmtId="9" fontId="33" fillId="18" borderId="0" xfId="28" applyFont="1" applyFill="1"/>
    <xf numFmtId="0" fontId="33" fillId="18" borderId="0" xfId="0" applyFont="1" applyFill="1"/>
    <xf numFmtId="10" fontId="33" fillId="18" borderId="0" xfId="0" applyNumberFormat="1" applyFont="1" applyFill="1"/>
    <xf numFmtId="0" fontId="33" fillId="16" borderId="26" xfId="0" applyFont="1" applyFill="1" applyBorder="1"/>
    <xf numFmtId="0" fontId="33" fillId="20" borderId="27" xfId="0" applyFont="1" applyFill="1" applyBorder="1" applyAlignment="1">
      <alignment horizontal="center"/>
    </xf>
    <xf numFmtId="3" fontId="33" fillId="20" borderId="28" xfId="0" applyNumberFormat="1" applyFont="1" applyFill="1" applyBorder="1" applyAlignment="1">
      <alignment horizontal="center"/>
    </xf>
    <xf numFmtId="3" fontId="33" fillId="20" borderId="29" xfId="0" applyNumberFormat="1" applyFont="1" applyFill="1" applyBorder="1" applyAlignment="1">
      <alignment horizontal="center"/>
    </xf>
    <xf numFmtId="0" fontId="33" fillId="16" borderId="25" xfId="0" applyFont="1" applyFill="1" applyBorder="1" applyAlignment="1">
      <alignment horizontal="right"/>
    </xf>
    <xf numFmtId="0" fontId="35" fillId="0" borderId="0" xfId="0" applyFont="1"/>
    <xf numFmtId="0" fontId="36" fillId="0" borderId="0" xfId="0" applyFont="1"/>
    <xf numFmtId="3" fontId="36" fillId="18" borderId="0" xfId="0" applyNumberFormat="1" applyFont="1" applyFill="1"/>
    <xf numFmtId="3" fontId="36" fillId="20" borderId="28" xfId="0" applyNumberFormat="1" applyFont="1" applyFill="1" applyBorder="1" applyAlignment="1">
      <alignment horizontal="center"/>
    </xf>
    <xf numFmtId="3" fontId="33" fillId="18" borderId="0" xfId="0" applyNumberFormat="1" applyFont="1" applyFill="1" applyAlignment="1">
      <alignment horizontal="right"/>
    </xf>
    <xf numFmtId="9" fontId="33" fillId="18" borderId="0" xfId="28" applyFont="1" applyFill="1" applyAlignment="1">
      <alignment horizontal="right"/>
    </xf>
    <xf numFmtId="0" fontId="33" fillId="18" borderId="0" xfId="0" applyFont="1" applyFill="1" applyAlignment="1">
      <alignment horizontal="right"/>
    </xf>
    <xf numFmtId="0" fontId="35" fillId="18" borderId="0" xfId="0" applyFont="1" applyFill="1"/>
    <xf numFmtId="0" fontId="0" fillId="18" borderId="0" xfId="0" applyFill="1" applyAlignment="1">
      <alignment horizontal="right"/>
    </xf>
    <xf numFmtId="0" fontId="37" fillId="18" borderId="0" xfId="0" applyFont="1" applyFill="1"/>
    <xf numFmtId="0" fontId="34" fillId="20" borderId="27" xfId="0" applyFont="1" applyFill="1" applyBorder="1" applyAlignment="1">
      <alignment horizontal="center"/>
    </xf>
    <xf numFmtId="3" fontId="38" fillId="20" borderId="28" xfId="0" applyNumberFormat="1" applyFont="1" applyFill="1" applyBorder="1" applyAlignment="1">
      <alignment horizontal="center"/>
    </xf>
    <xf numFmtId="3" fontId="34" fillId="20" borderId="28" xfId="0" applyNumberFormat="1" applyFont="1" applyFill="1" applyBorder="1" applyAlignment="1">
      <alignment horizontal="center"/>
    </xf>
    <xf numFmtId="3" fontId="34" fillId="20" borderId="29" xfId="0" applyNumberFormat="1" applyFont="1" applyFill="1" applyBorder="1" applyAlignment="1">
      <alignment horizontal="center"/>
    </xf>
    <xf numFmtId="0" fontId="33" fillId="16" borderId="30" xfId="0" applyFont="1" applyFill="1" applyBorder="1"/>
    <xf numFmtId="0" fontId="33" fillId="16" borderId="27" xfId="0" applyFont="1" applyFill="1" applyBorder="1"/>
    <xf numFmtId="9" fontId="33" fillId="16" borderId="20" xfId="28" applyFont="1" applyFill="1" applyBorder="1"/>
    <xf numFmtId="9" fontId="33" fillId="16" borderId="0" xfId="28" applyFont="1" applyFill="1" applyBorder="1"/>
    <xf numFmtId="9" fontId="33" fillId="16" borderId="21" xfId="28" applyFont="1" applyFill="1" applyBorder="1"/>
    <xf numFmtId="9" fontId="33" fillId="16" borderId="22" xfId="28" applyFont="1" applyFill="1" applyBorder="1"/>
    <xf numFmtId="9" fontId="33" fillId="16" borderId="8" xfId="28" applyFont="1" applyFill="1" applyBorder="1"/>
    <xf numFmtId="9" fontId="33" fillId="16" borderId="23" xfId="28" applyFont="1" applyFill="1" applyBorder="1"/>
    <xf numFmtId="0" fontId="33" fillId="20" borderId="30" xfId="0" applyFont="1" applyFill="1" applyBorder="1"/>
    <xf numFmtId="0" fontId="33" fillId="20" borderId="27" xfId="0" applyFont="1" applyFill="1" applyBorder="1"/>
    <xf numFmtId="9" fontId="33" fillId="20" borderId="20" xfId="28" applyFont="1" applyFill="1" applyBorder="1"/>
    <xf numFmtId="9" fontId="33" fillId="20" borderId="0" xfId="28" applyFont="1" applyFill="1" applyBorder="1"/>
    <xf numFmtId="9" fontId="33" fillId="20" borderId="21" xfId="28" applyFont="1" applyFill="1" applyBorder="1"/>
    <xf numFmtId="9" fontId="33" fillId="20" borderId="22" xfId="28" applyFont="1" applyFill="1" applyBorder="1"/>
    <xf numFmtId="9" fontId="33" fillId="20" borderId="8" xfId="28" applyFont="1" applyFill="1" applyBorder="1"/>
    <xf numFmtId="9" fontId="33" fillId="20" borderId="23" xfId="28" applyFont="1" applyFill="1" applyBorder="1"/>
    <xf numFmtId="9" fontId="0" fillId="0" borderId="0" xfId="28" applyFont="1"/>
    <xf numFmtId="9" fontId="21" fillId="0" borderId="13" xfId="28" applyFont="1" applyBorder="1"/>
    <xf numFmtId="0" fontId="0" fillId="16" borderId="0" xfId="0" applyFill="1"/>
    <xf numFmtId="1" fontId="0" fillId="16" borderId="0" xfId="0" applyNumberFormat="1" applyFill="1"/>
    <xf numFmtId="3" fontId="0" fillId="16" borderId="0" xfId="0" applyNumberFormat="1" applyFill="1"/>
    <xf numFmtId="3" fontId="0" fillId="26" borderId="0" xfId="0" applyNumberFormat="1" applyFill="1"/>
    <xf numFmtId="3" fontId="0" fillId="16" borderId="21" xfId="0" applyNumberFormat="1" applyFill="1" applyBorder="1"/>
    <xf numFmtId="3" fontId="0" fillId="16" borderId="23" xfId="0" applyNumberFormat="1" applyFill="1" applyBorder="1"/>
    <xf numFmtId="43" fontId="21" fillId="26" borderId="13" xfId="25" applyFont="1" applyFill="1" applyBorder="1"/>
    <xf numFmtId="43" fontId="21" fillId="26" borderId="14" xfId="25" applyFont="1" applyFill="1" applyBorder="1"/>
    <xf numFmtId="43" fontId="20" fillId="26" borderId="9" xfId="25" applyFont="1" applyFill="1" applyBorder="1"/>
    <xf numFmtId="43" fontId="21" fillId="26" borderId="12" xfId="25" applyFont="1" applyFill="1" applyBorder="1"/>
    <xf numFmtId="43" fontId="21" fillId="26" borderId="8" xfId="25" applyFont="1" applyFill="1" applyBorder="1"/>
    <xf numFmtId="43" fontId="3" fillId="26" borderId="9" xfId="25" applyFont="1" applyFill="1" applyBorder="1"/>
    <xf numFmtId="166" fontId="21" fillId="26" borderId="13" xfId="25" applyNumberFormat="1" applyFont="1" applyFill="1" applyBorder="1"/>
    <xf numFmtId="166" fontId="21" fillId="26" borderId="14" xfId="25" applyNumberFormat="1" applyFont="1" applyFill="1" applyBorder="1"/>
    <xf numFmtId="165" fontId="20" fillId="26" borderId="9" xfId="25" applyNumberFormat="1" applyFont="1" applyFill="1" applyBorder="1"/>
    <xf numFmtId="166" fontId="21" fillId="26" borderId="12" xfId="25" applyNumberFormat="1" applyFont="1" applyFill="1" applyBorder="1"/>
    <xf numFmtId="166" fontId="21" fillId="26" borderId="8" xfId="25" applyNumberFormat="1" applyFont="1" applyFill="1" applyBorder="1"/>
    <xf numFmtId="1" fontId="21" fillId="0" borderId="0" xfId="0" applyNumberFormat="1" applyFont="1"/>
    <xf numFmtId="3" fontId="21" fillId="0" borderId="0" xfId="0" applyNumberFormat="1" applyFont="1"/>
    <xf numFmtId="1" fontId="21" fillId="2" borderId="0" xfId="0" applyNumberFormat="1" applyFont="1" applyFill="1"/>
    <xf numFmtId="3" fontId="21" fillId="2" borderId="0" xfId="0" applyNumberFormat="1" applyFont="1" applyFill="1"/>
    <xf numFmtId="3" fontId="0" fillId="0" borderId="0" xfId="0" applyNumberFormat="1"/>
    <xf numFmtId="171" fontId="0" fillId="0" borderId="0" xfId="0" applyNumberFormat="1"/>
    <xf numFmtId="0" fontId="0" fillId="18" borderId="15" xfId="0" applyFill="1" applyBorder="1" applyAlignment="1">
      <alignment horizontal="center"/>
    </xf>
    <xf numFmtId="0" fontId="0" fillId="0" borderId="15" xfId="0" applyBorder="1" applyAlignment="1">
      <alignment horizontal="center"/>
    </xf>
  </cellXfs>
  <cellStyles count="29">
    <cellStyle name="Accent4" xfId="23" builtinId="41" customBuiltin="1"/>
    <cellStyle name="Accent6" xfId="24" builtinId="49" customBuiltin="1"/>
    <cellStyle name="Bad" xfId="8" builtinId="27" customBuiltin="1"/>
    <cellStyle name="Calculation" xfId="10" builtinId="22" hidden="1"/>
    <cellStyle name="Calculation" xfId="19" xr:uid="{BA044971-647E-4B43-BDF3-B9F90685EA06}"/>
    <cellStyle name="Check Cell" xfId="12" builtinId="23" hidden="1"/>
    <cellStyle name="Comma" xfId="25" builtinId="3"/>
    <cellStyle name="Explanatory Text" xfId="15" builtinId="53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17" builtinId="19" customBuiltin="1"/>
    <cellStyle name="Input" xfId="9" builtinId="20" hidden="1"/>
    <cellStyle name="Link" xfId="20" xr:uid="{F6F335AB-58A7-4135-B553-B7C2CE08F402}"/>
    <cellStyle name="Linked Cell" xfId="11" builtinId="24" hidden="1"/>
    <cellStyle name="Normal" xfId="0" builtinId="0"/>
    <cellStyle name="Normal 2" xfId="27" xr:uid="{FC2A6FD7-1274-4575-A7C4-A66FC8905765}"/>
    <cellStyle name="Normal 3" xfId="26" xr:uid="{F132A2AD-2181-4B21-9BE2-EE67BC1DBCF4}"/>
    <cellStyle name="Note" xfId="14" builtinId="10" hidden="1"/>
    <cellStyle name="Notes" xfId="22" xr:uid="{7BF13CA6-F5E1-45BE-8ABA-DF8882E10889}"/>
    <cellStyle name="Output" xfId="5" builtinId="21" hidden="1" customBuiltin="1"/>
    <cellStyle name="Output" xfId="1" xr:uid="{DDC8B129-E4EA-4CC9-B7C4-EEF8799DAD76}"/>
    <cellStyle name="Percent" xfId="28" builtinId="5"/>
    <cellStyle name="Raw Data" xfId="6" xr:uid="{6E154805-33DE-42D5-80BA-AF332D8E7637}"/>
    <cellStyle name="Title" xfId="16" builtinId="15" customBuiltin="1"/>
    <cellStyle name="Total" xfId="18" builtinId="25" customBuiltin="1"/>
    <cellStyle name="Variables" xfId="7" xr:uid="{F06CDAB5-849E-4246-87E8-405DA417694B}"/>
    <cellStyle name="Warning" xfId="21" xr:uid="{270F583D-5642-40BB-8274-77A9A43F50AB}"/>
    <cellStyle name="Warning Text" xfId="13" builtinId="11" hidden="1"/>
  </cellStyles>
  <dxfs count="18">
    <dxf>
      <fill>
        <patternFill>
          <bgColor rgb="FFE6E6E6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 style="thick">
          <color auto="1"/>
        </bottom>
        <vertical/>
        <horizontal/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auto="1"/>
      </font>
      <fill>
        <patternFill>
          <bgColor rgb="FFE6E6E6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  <dxf>
      <font>
        <b/>
        <i val="0"/>
      </font>
    </dxf>
    <dxf>
      <font>
        <b/>
        <i val="0"/>
        <color theme="0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font>
        <b/>
        <i val="0"/>
      </font>
    </dxf>
    <dxf>
      <font>
        <b/>
        <i val="0"/>
      </font>
      <border diagonalUp="0" diagonalDown="0">
        <left/>
        <right/>
        <top/>
        <bottom style="thick">
          <color rgb="FF7F7F7F"/>
        </bottom>
        <vertical/>
        <horizontal/>
      </border>
    </dxf>
    <dxf>
      <border diagonalUp="0" diagonalDown="0">
        <left/>
        <right/>
        <top/>
        <bottom/>
        <vertical/>
        <horizontal style="thin">
          <color rgb="FF7F7F7F"/>
        </horizontal>
      </border>
    </dxf>
  </dxfs>
  <tableStyles count="7" defaultTableStyle="Firm Table 1" defaultPivotStyle="PivotStyleLight16">
    <tableStyle name="Firm Table 1" pivot="0" count="3" xr9:uid="{EBA62709-C567-4EE8-B22C-FB062E3CEA69}">
      <tableStyleElement type="wholeTable" dxfId="17"/>
      <tableStyleElement type="headerRow" dxfId="16"/>
      <tableStyleElement type="firstColumn" dxfId="15"/>
    </tableStyle>
    <tableStyle name="Firm Table 2" pivot="0" count="2" xr9:uid="{B876A247-FB3A-4EAD-8ABF-DECA13B726A4}">
      <tableStyleElement type="headerRow" dxfId="14"/>
      <tableStyleElement type="firstColumn" dxfId="13"/>
    </tableStyle>
    <tableStyle name="Firm Table 3" pivot="0" count="2" xr9:uid="{2B6AAF42-6E59-4306-B0DA-5849423BC35A}">
      <tableStyleElement type="headerRow" dxfId="12"/>
      <tableStyleElement type="firstColumn" dxfId="11"/>
    </tableStyle>
    <tableStyle name="Firm Table 4" pivot="0" count="3" xr9:uid="{32B30501-1584-4AD4-A03A-1FBBE68503FC}">
      <tableStyleElement type="wholeTable" dxfId="10"/>
      <tableStyleElement type="headerRow" dxfId="9"/>
      <tableStyleElement type="firstColumn" dxfId="8"/>
    </tableStyle>
    <tableStyle name="Firm Table 5" pivot="0" count="2" xr9:uid="{5186B738-23FD-49C9-A79F-52302289DB42}">
      <tableStyleElement type="headerRow" dxfId="7"/>
      <tableStyleElement type="firstColumn" dxfId="6"/>
    </tableStyle>
    <tableStyle name="Firm Table 6" pivot="0" count="3" xr9:uid="{5115FDC7-826F-425C-92C7-D20F38226ADA}">
      <tableStyleElement type="wholeTable" dxfId="5"/>
      <tableStyleElement type="headerRow" dxfId="4"/>
      <tableStyleElement type="firstColumn" dxfId="3"/>
    </tableStyle>
    <tableStyle name="Firm Table 7" pivot="0" count="3" xr9:uid="{084FD9DC-CC97-454E-8CBD-B2EE3CD956D6}">
      <tableStyleElement type="headerRow" dxfId="2"/>
      <tableStyleElement type="firstColumn" dxfId="1"/>
      <tableStyleElement type="secondRowStripe" dxfId="0"/>
    </tableStyle>
  </tableStyles>
  <colors>
    <mruColors>
      <color rgb="FF91E7A5"/>
      <color rgb="FFCCEAD3"/>
      <color rgb="FFFAA082"/>
      <color rgb="FFF9C7BF"/>
      <color rgb="FFE8F4E8"/>
      <color rgb="FF0000FF"/>
      <color rgb="FFF2F2F2"/>
      <color rgb="FFD0D0D0"/>
      <color rgb="FF7F7F7F"/>
      <color rgb="FF0080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2</xdr:row>
      <xdr:rowOff>129540</xdr:rowOff>
    </xdr:from>
    <xdr:to>
      <xdr:col>5</xdr:col>
      <xdr:colOff>114300</xdr:colOff>
      <xdr:row>18</xdr:row>
      <xdr:rowOff>65319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16EDB-370D-CC13-FF17-C602C1DF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1" y="388620"/>
          <a:ext cx="5090159" cy="2637069"/>
        </a:xfrm>
        <a:prstGeom prst="rect">
          <a:avLst/>
        </a:prstGeom>
      </xdr:spPr>
    </xdr:pic>
    <xdr:clientData/>
  </xdr:twoCellAnchor>
  <xdr:twoCellAnchor>
    <xdr:from>
      <xdr:col>6</xdr:col>
      <xdr:colOff>133350</xdr:colOff>
      <xdr:row>10</xdr:row>
      <xdr:rowOff>0</xdr:rowOff>
    </xdr:from>
    <xdr:to>
      <xdr:col>17</xdr:col>
      <xdr:colOff>123825</xdr:colOff>
      <xdr:row>30</xdr:row>
      <xdr:rowOff>247650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49991290-075F-B0D4-9B7A-BC4C4B7581F4}"/>
            </a:ext>
          </a:extLst>
        </xdr:cNvPr>
        <xdr:cNvCxnSpPr/>
      </xdr:nvCxnSpPr>
      <xdr:spPr>
        <a:xfrm flipV="1">
          <a:off x="6858000" y="1714500"/>
          <a:ext cx="7010400" cy="3762375"/>
        </a:xfrm>
        <a:prstGeom prst="bentConnector3">
          <a:avLst>
            <a:gd name="adj1" fmla="val 127038"/>
          </a:avLst>
        </a:prstGeom>
        <a:ln w="6350" cap="sq">
          <a:solidFill>
            <a:srgbClr val="000000"/>
          </a:solidFill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365356</xdr:colOff>
      <xdr:row>3</xdr:row>
      <xdr:rowOff>0</xdr:rowOff>
    </xdr:from>
    <xdr:to>
      <xdr:col>21</xdr:col>
      <xdr:colOff>174979</xdr:colOff>
      <xdr:row>18</xdr:row>
      <xdr:rowOff>119637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C73B5-5174-482E-8C0C-B0965FD7C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1443" y="174855"/>
          <a:ext cx="5773102" cy="3147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61F79"/>
      </a:accent1>
      <a:accent2>
        <a:srgbClr val="00A9F4"/>
      </a:accent2>
      <a:accent3>
        <a:srgbClr val="2251FF"/>
      </a:accent3>
      <a:accent4>
        <a:srgbClr val="99E6FF"/>
      </a:accent4>
      <a:accent5>
        <a:srgbClr val="0679C3"/>
      </a:accent5>
      <a:accent6>
        <a:srgbClr val="75F0E7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61F79"/>
        </a:accent1>
        <a:accent2>
          <a:srgbClr val="00A9F4"/>
        </a:accent2>
        <a:accent3>
          <a:srgbClr val="2251FF"/>
        </a:accent3>
        <a:accent4>
          <a:srgbClr val="99E6FF"/>
        </a:accent4>
        <a:accent5>
          <a:srgbClr val="0679C3"/>
        </a:accent5>
        <a:accent6>
          <a:srgbClr val="75F0E7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 900">
      <a:srgbClr val="061F79"/>
    </a:custClr>
    <a:custClr name="Electric Blue 700">
      <a:srgbClr val="1537BA"/>
    </a:custClr>
    <a:custClr name="Electric Blue 500">
      <a:srgbClr val="2251FF"/>
    </a:custClr>
    <a:custClr name="Electric Blue 300">
      <a:srgbClr val="5E9DFF"/>
    </a:custClr>
    <a:custClr name="Electric Blue 200">
      <a:srgbClr val="99C4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Deep Blue 900">
      <a:srgbClr val="051C2C"/>
    </a:custClr>
    <a:custClr name="Electric Blue 800">
      <a:srgbClr val="0E2B99"/>
    </a:custClr>
    <a:custClr name="Electric Blue 500">
      <a:srgbClr val="2251FF"/>
    </a:custClr>
    <a:custClr name="Electric Blue 200">
      <a:srgbClr val="99C4FF"/>
    </a:custClr>
    <a:custClr name="Gray 10%">
      <a:srgbClr val="E6E6E6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Marine Green 900">
      <a:srgbClr val="108980"/>
    </a:custClr>
    <a:custClr name="Marine Green 700">
      <a:srgbClr val="14B8AB"/>
    </a:custClr>
    <a:custClr name="Marine Green 500">
      <a:srgbClr val="0BDACB"/>
    </a:custClr>
    <a:custClr name="Marine Green 300">
      <a:srgbClr val="75F0E7"/>
    </a:custClr>
    <a:custClr name="Sand Neutral 300">
      <a:srgbClr val="E6D7BC"/>
    </a:custClr>
    <a:custClr name="Crimson Red 300">
      <a:srgbClr val="F17E7E"/>
    </a:custClr>
    <a:custClr name="Crimson Red 500">
      <a:srgbClr val="E33B3B"/>
    </a:custClr>
    <a:custClr name="Crimson Red 700">
      <a:srgbClr val="B82525"/>
    </a:custClr>
    <a:custClr name="Crimson Red 900">
      <a:srgbClr val="8E0B0B"/>
    </a:custClr>
    <a:custClr name="Null">
      <a:srgbClr val="FEFFFF"/>
    </a:custClr>
    <a:custClr name="Gray 70%">
      <a:srgbClr val="4D4D4D"/>
    </a:custClr>
    <a:custClr name="Gray 54%">
      <a:srgbClr val="757575"/>
    </a:custClr>
    <a:custClr name="Gray 30%">
      <a:srgbClr val="B3B3B3"/>
    </a:custClr>
    <a:custClr name="Gray 20%">
      <a:srgbClr val="CCCCCC"/>
    </a:custClr>
    <a:custClr name="Gray 10%">
      <a:srgbClr val="E6E6E6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Marine Green 500">
      <a:srgbClr val="0BDACB"/>
    </a:custClr>
    <a:custClr name="Amber Yellow 500">
      <a:srgbClr val="FFA800"/>
    </a:custClr>
    <a:custClr name="Crimson Red 500">
      <a:srgbClr val="E33B3B"/>
    </a:custClr>
    <a:custClr name="Deep Blue 900">
      <a:srgbClr val="051C2C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  <a:custClr name="Null">
      <a:srgbClr val="FE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6DDB-23D3-4E66-B283-547B7B366A9A}">
  <dimension ref="B3:X28"/>
  <sheetViews>
    <sheetView workbookViewId="0"/>
  </sheetViews>
  <sheetFormatPr defaultRowHeight="13.8" x14ac:dyDescent="0.25"/>
  <cols>
    <col min="2" max="4" width="15.296875" customWidth="1"/>
    <col min="5" max="5" width="19.796875" bestFit="1" customWidth="1"/>
    <col min="10" max="10" width="7.296875" customWidth="1"/>
    <col min="13" max="13" width="21.59765625" bestFit="1" customWidth="1"/>
  </cols>
  <sheetData>
    <row r="3" spans="2:24" x14ac:dyDescent="0.25">
      <c r="B3" s="1" t="s">
        <v>3</v>
      </c>
      <c r="C3" s="1"/>
      <c r="D3" s="1"/>
      <c r="E3" t="s">
        <v>21</v>
      </c>
      <c r="J3">
        <v>35</v>
      </c>
    </row>
    <row r="4" spans="2:24" x14ac:dyDescent="0.25">
      <c r="B4" s="1"/>
      <c r="C4" s="1"/>
      <c r="D4" s="1"/>
      <c r="J4" s="19">
        <v>0.35</v>
      </c>
    </row>
    <row r="5" spans="2:24" x14ac:dyDescent="0.25">
      <c r="B5" s="1"/>
      <c r="C5" s="1"/>
      <c r="D5" s="1"/>
      <c r="E5" t="s">
        <v>16</v>
      </c>
      <c r="J5">
        <f>J4*J3</f>
        <v>12.25</v>
      </c>
    </row>
    <row r="6" spans="2:24" x14ac:dyDescent="0.25">
      <c r="B6" s="1"/>
      <c r="C6" s="1"/>
      <c r="D6" s="1"/>
      <c r="E6" t="s">
        <v>18</v>
      </c>
      <c r="J6" s="23" t="e">
        <f>(J5*1000)/#REF!</f>
        <v>#REF!</v>
      </c>
    </row>
    <row r="7" spans="2:24" ht="14.4" x14ac:dyDescent="0.3">
      <c r="B7" s="1" t="s">
        <v>22</v>
      </c>
      <c r="C7" s="1"/>
      <c r="D7" s="1"/>
      <c r="E7" s="62" t="s">
        <v>16</v>
      </c>
      <c r="F7" s="33" t="s">
        <v>17</v>
      </c>
      <c r="J7" s="33">
        <f>3*50%</f>
        <v>1.5</v>
      </c>
      <c r="K7" s="57">
        <f>50%*4</f>
        <v>2</v>
      </c>
      <c r="L7" s="63"/>
      <c r="M7" s="64" t="s">
        <v>23</v>
      </c>
      <c r="N7" s="33"/>
      <c r="O7" s="62"/>
      <c r="P7" s="33"/>
      <c r="Q7" s="65"/>
      <c r="R7" s="65"/>
      <c r="S7" s="65"/>
      <c r="T7" s="59">
        <v>3</v>
      </c>
      <c r="U7" s="60">
        <v>4</v>
      </c>
      <c r="V7" s="33"/>
      <c r="W7" s="65"/>
      <c r="X7" s="33"/>
    </row>
    <row r="8" spans="2:24" x14ac:dyDescent="0.25">
      <c r="B8" s="1"/>
      <c r="C8" t="s">
        <v>3</v>
      </c>
      <c r="D8" s="1"/>
      <c r="E8" t="s">
        <v>18</v>
      </c>
      <c r="F8" s="33" t="s">
        <v>17</v>
      </c>
      <c r="J8" s="22" t="e">
        <f>J7*1000/#REF!</f>
        <v>#REF!</v>
      </c>
      <c r="K8" s="22" t="e">
        <f>K7*1000/#REF!</f>
        <v>#REF!</v>
      </c>
    </row>
    <row r="9" spans="2:24" x14ac:dyDescent="0.25">
      <c r="B9" s="1"/>
      <c r="C9" t="s">
        <v>4</v>
      </c>
      <c r="D9" s="1"/>
      <c r="E9" s="62" t="s">
        <v>16</v>
      </c>
      <c r="F9" s="33" t="s">
        <v>17</v>
      </c>
      <c r="J9" s="33">
        <f>3*50%</f>
        <v>1.5</v>
      </c>
      <c r="K9" s="57">
        <f>50%*4</f>
        <v>2</v>
      </c>
    </row>
    <row r="10" spans="2:24" x14ac:dyDescent="0.25">
      <c r="B10" s="1"/>
      <c r="C10" t="s">
        <v>4</v>
      </c>
      <c r="D10" s="1"/>
      <c r="E10" t="s">
        <v>18</v>
      </c>
      <c r="F10" s="33" t="s">
        <v>17</v>
      </c>
      <c r="J10" s="22" t="e">
        <f>J9*1000/#REF!</f>
        <v>#REF!</v>
      </c>
      <c r="K10" s="26" t="e">
        <f>K9*1000/#REF!</f>
        <v>#REF!</v>
      </c>
    </row>
    <row r="11" spans="2:24" x14ac:dyDescent="0.25">
      <c r="B11" s="1"/>
      <c r="C11" s="1"/>
      <c r="D11" s="1"/>
      <c r="J11" s="22"/>
      <c r="K11" s="22"/>
    </row>
    <row r="12" spans="2:24" x14ac:dyDescent="0.25">
      <c r="B12" s="1" t="s">
        <v>24</v>
      </c>
      <c r="C12" s="1" t="s">
        <v>25</v>
      </c>
      <c r="D12" t="s">
        <v>7</v>
      </c>
      <c r="E12" s="62" t="s">
        <v>16</v>
      </c>
      <c r="F12" s="33" t="s">
        <v>17</v>
      </c>
      <c r="J12" s="24">
        <v>2</v>
      </c>
      <c r="K12" s="24">
        <v>3</v>
      </c>
    </row>
    <row r="13" spans="2:24" x14ac:dyDescent="0.25">
      <c r="B13" s="1"/>
      <c r="C13" s="1" t="s">
        <v>3</v>
      </c>
      <c r="D13" t="s">
        <v>7</v>
      </c>
      <c r="E13" s="62" t="s">
        <v>16</v>
      </c>
      <c r="F13" s="33" t="s">
        <v>17</v>
      </c>
      <c r="J13" s="22">
        <f>15%*J12</f>
        <v>0.3</v>
      </c>
      <c r="K13" s="22">
        <f>15%*K12</f>
        <v>0.44999999999999996</v>
      </c>
    </row>
    <row r="14" spans="2:24" x14ac:dyDescent="0.25">
      <c r="B14" s="1" t="s">
        <v>24</v>
      </c>
      <c r="C14" s="1" t="s">
        <v>3</v>
      </c>
      <c r="D14" t="s">
        <v>7</v>
      </c>
      <c r="E14" t="s">
        <v>26</v>
      </c>
      <c r="F14" t="s">
        <v>19</v>
      </c>
      <c r="J14" s="25" t="e">
        <f>J13*1000/#REF!</f>
        <v>#REF!</v>
      </c>
      <c r="K14" s="25" t="e">
        <f>K13*1000/#REF!</f>
        <v>#REF!</v>
      </c>
      <c r="M14" t="s">
        <v>27</v>
      </c>
    </row>
    <row r="15" spans="2:24" x14ac:dyDescent="0.25">
      <c r="M15" s="1" t="s">
        <v>28</v>
      </c>
    </row>
    <row r="16" spans="2:24" x14ac:dyDescent="0.25">
      <c r="B16" t="s">
        <v>29</v>
      </c>
      <c r="C16" s="1" t="s">
        <v>25</v>
      </c>
      <c r="D16" t="s">
        <v>6</v>
      </c>
      <c r="E16" s="62" t="s">
        <v>16</v>
      </c>
      <c r="F16" s="33" t="s">
        <v>17</v>
      </c>
      <c r="J16" s="1">
        <v>1</v>
      </c>
      <c r="K16" s="1">
        <v>2</v>
      </c>
    </row>
    <row r="17" spans="2:13" x14ac:dyDescent="0.25">
      <c r="C17" s="1" t="s">
        <v>3</v>
      </c>
      <c r="D17" t="s">
        <v>6</v>
      </c>
      <c r="E17" s="62" t="s">
        <v>16</v>
      </c>
      <c r="F17" s="33" t="s">
        <v>17</v>
      </c>
      <c r="J17">
        <f>70%*J16</f>
        <v>0.7</v>
      </c>
      <c r="K17">
        <f>70%*K16</f>
        <v>1.4</v>
      </c>
    </row>
    <row r="18" spans="2:13" x14ac:dyDescent="0.25">
      <c r="C18" s="1" t="s">
        <v>3</v>
      </c>
      <c r="D18" t="s">
        <v>6</v>
      </c>
      <c r="E18" t="s">
        <v>26</v>
      </c>
      <c r="F18" t="s">
        <v>19</v>
      </c>
      <c r="J18" s="21" t="e">
        <f>J17*1000/#REF!</f>
        <v>#REF!</v>
      </c>
      <c r="K18" s="20" t="e">
        <f>J17*1000/#REF!</f>
        <v>#REF!</v>
      </c>
    </row>
    <row r="19" spans="2:13" x14ac:dyDescent="0.25">
      <c r="C19" s="1" t="s">
        <v>4</v>
      </c>
      <c r="D19" t="s">
        <v>6</v>
      </c>
      <c r="E19" s="62" t="s">
        <v>16</v>
      </c>
      <c r="F19" s="33" t="s">
        <v>17</v>
      </c>
      <c r="J19">
        <f>J16-J17</f>
        <v>0.30000000000000004</v>
      </c>
      <c r="K19">
        <f>K16-K17</f>
        <v>0.60000000000000009</v>
      </c>
    </row>
    <row r="20" spans="2:13" x14ac:dyDescent="0.25">
      <c r="C20" s="1" t="s">
        <v>4</v>
      </c>
      <c r="D20" t="s">
        <v>6</v>
      </c>
      <c r="E20" t="s">
        <v>26</v>
      </c>
      <c r="F20" t="s">
        <v>19</v>
      </c>
      <c r="J20" s="21" t="e">
        <f>J19*1000/#REF!</f>
        <v>#REF!</v>
      </c>
      <c r="K20" s="20" t="e">
        <f>K19*1000/#REF!</f>
        <v>#REF!</v>
      </c>
    </row>
    <row r="21" spans="2:13" x14ac:dyDescent="0.25">
      <c r="C21" s="1"/>
      <c r="J21" s="21"/>
      <c r="K21" s="20"/>
    </row>
    <row r="22" spans="2:13" x14ac:dyDescent="0.25">
      <c r="B22" t="s">
        <v>30</v>
      </c>
      <c r="C22" s="1"/>
      <c r="E22" t="s">
        <v>26</v>
      </c>
      <c r="F22" t="s">
        <v>19</v>
      </c>
      <c r="J22" s="27" t="e">
        <f>#REF!</f>
        <v>#REF!</v>
      </c>
      <c r="K22" s="27" t="e">
        <f>J22</f>
        <v>#REF!</v>
      </c>
    </row>
    <row r="23" spans="2:13" x14ac:dyDescent="0.25">
      <c r="C23" s="1"/>
      <c r="J23" s="21"/>
      <c r="K23" s="20"/>
    </row>
    <row r="24" spans="2:13" x14ac:dyDescent="0.25">
      <c r="B24" t="s">
        <v>31</v>
      </c>
      <c r="C24" s="1"/>
      <c r="E24" s="62" t="s">
        <v>16</v>
      </c>
      <c r="F24" s="33" t="s">
        <v>17</v>
      </c>
      <c r="J24" s="21" t="e">
        <f>#REF!+#REF!</f>
        <v>#REF!</v>
      </c>
      <c r="K24" s="21" t="e">
        <f>#REF!+#REF!</f>
        <v>#REF!</v>
      </c>
    </row>
    <row r="25" spans="2:13" x14ac:dyDescent="0.25">
      <c r="C25" s="1"/>
      <c r="E25" t="s">
        <v>26</v>
      </c>
      <c r="F25" t="s">
        <v>19</v>
      </c>
      <c r="J25" s="21" t="e">
        <f>J24*1000/#REF!</f>
        <v>#REF!</v>
      </c>
      <c r="K25" s="20" t="e">
        <f>K24*1000/#REF!</f>
        <v>#REF!</v>
      </c>
    </row>
    <row r="26" spans="2:13" x14ac:dyDescent="0.25">
      <c r="C26" s="1"/>
      <c r="J26" s="21"/>
      <c r="K26" s="20"/>
    </row>
    <row r="27" spans="2:13" x14ac:dyDescent="0.25">
      <c r="B27" s="1" t="s">
        <v>25</v>
      </c>
      <c r="C27" s="1" t="s">
        <v>3</v>
      </c>
      <c r="J27" s="8" t="e">
        <f>J6+J8+J17</f>
        <v>#REF!</v>
      </c>
      <c r="K27" s="8" t="e">
        <f>J6+K8+K17</f>
        <v>#REF!</v>
      </c>
      <c r="M27" s="1" t="s">
        <v>32</v>
      </c>
    </row>
    <row r="28" spans="2:13" x14ac:dyDescent="0.25">
      <c r="C28" s="1" t="s">
        <v>4</v>
      </c>
      <c r="J28" s="8" t="e">
        <f>J25+J22+J20+J10</f>
        <v>#REF!</v>
      </c>
      <c r="K28" s="8" t="e">
        <f>K25+K22+K20+K10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A660-EBE9-44C0-A162-EF4E1F245C41}">
  <sheetPr>
    <tabColor rgb="FFFFC000"/>
  </sheetPr>
  <dimension ref="B1:AF199"/>
  <sheetViews>
    <sheetView showGridLines="0" tabSelected="1" topLeftCell="A117" zoomScale="70" zoomScaleNormal="70" workbookViewId="0">
      <selection activeCell="P175" sqref="P175"/>
    </sheetView>
  </sheetViews>
  <sheetFormatPr defaultRowHeight="13.8" outlineLevelRow="1" outlineLevelCol="2" x14ac:dyDescent="0.25"/>
  <cols>
    <col min="2" max="2" width="17.3984375" bestFit="1" customWidth="1"/>
    <col min="3" max="3" width="17.796875" hidden="1" customWidth="1" outlineLevel="2"/>
    <col min="4" max="4" width="25.296875" customWidth="1" collapsed="1"/>
    <col min="5" max="5" width="11.09765625" customWidth="1"/>
    <col min="6" max="6" width="15.296875" bestFit="1" customWidth="1"/>
    <col min="7" max="7" width="10.09765625" bestFit="1" customWidth="1"/>
    <col min="8" max="8" width="13.09765625" customWidth="1"/>
    <col min="9" max="9" width="14.5" customWidth="1"/>
    <col min="10" max="10" width="9.19921875" customWidth="1"/>
    <col min="11" max="11" width="10.5" bestFit="1" customWidth="1"/>
    <col min="12" max="12" width="14.5" customWidth="1"/>
    <col min="13" max="13" width="13.69921875" bestFit="1" customWidth="1"/>
    <col min="14" max="16" width="10.09765625" bestFit="1" customWidth="1"/>
    <col min="17" max="17" width="11.796875" customWidth="1"/>
    <col min="18" max="18" width="11" bestFit="1" customWidth="1"/>
    <col min="19" max="19" width="102.296875" customWidth="1"/>
    <col min="21" max="21" width="11" bestFit="1" customWidth="1"/>
  </cols>
  <sheetData>
    <row r="1" spans="4:21" x14ac:dyDescent="0.25">
      <c r="K1" s="19">
        <f t="shared" ref="K1:N2" si="0">+K9/K6</f>
        <v>0.41297664387647431</v>
      </c>
      <c r="L1" s="19">
        <f t="shared" si="0"/>
        <v>0.37109671060811328</v>
      </c>
      <c r="M1" s="19">
        <f t="shared" si="0"/>
        <v>0.38099352159063349</v>
      </c>
      <c r="N1" s="19">
        <f t="shared" si="0"/>
        <v>0.36843059897806935</v>
      </c>
    </row>
    <row r="2" spans="4:21" x14ac:dyDescent="0.25">
      <c r="K2" s="19">
        <f t="shared" si="0"/>
        <v>0.14976780185758515</v>
      </c>
      <c r="L2" s="19">
        <f t="shared" si="0"/>
        <v>0.13653812962148557</v>
      </c>
      <c r="M2" s="19">
        <f t="shared" si="0"/>
        <v>0.24747783223006717</v>
      </c>
      <c r="N2" s="19">
        <f t="shared" si="0"/>
        <v>0.24162759282933713</v>
      </c>
    </row>
    <row r="3" spans="4:21" outlineLevel="1" x14ac:dyDescent="0.25">
      <c r="D3" s="54" t="s">
        <v>120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77"/>
      <c r="T3" s="77"/>
      <c r="U3" s="77"/>
    </row>
    <row r="4" spans="4:21" outlineLevel="1" x14ac:dyDescent="0.25">
      <c r="D4" s="51" t="s">
        <v>43</v>
      </c>
      <c r="E4" s="51"/>
      <c r="F4" s="51"/>
      <c r="G4" s="51"/>
      <c r="H4" s="51"/>
      <c r="I4" s="51"/>
      <c r="J4" s="51"/>
      <c r="K4" s="51">
        <v>2024</v>
      </c>
      <c r="L4" s="51">
        <f>K4+1</f>
        <v>2025</v>
      </c>
      <c r="M4" s="51">
        <f t="shared" ref="M4" si="1">L4+1</f>
        <v>2026</v>
      </c>
      <c r="N4" s="51">
        <f t="shared" ref="N4" si="2">M4+1</f>
        <v>2027</v>
      </c>
      <c r="O4" s="51">
        <f t="shared" ref="O4" si="3">N4+1</f>
        <v>2028</v>
      </c>
      <c r="P4" s="51">
        <f t="shared" ref="P4" si="4">O4+1</f>
        <v>2029</v>
      </c>
      <c r="Q4" s="51">
        <f t="shared" ref="Q4" si="5">P4+1</f>
        <v>2030</v>
      </c>
      <c r="R4" s="51"/>
      <c r="S4" s="66" t="s">
        <v>33</v>
      </c>
      <c r="T4" s="66"/>
      <c r="U4" s="66"/>
    </row>
    <row r="5" spans="4:21" outlineLevel="1" x14ac:dyDescent="0.25"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 t="s">
        <v>15</v>
      </c>
      <c r="R5" s="51" t="s">
        <v>14</v>
      </c>
      <c r="S5" s="71"/>
      <c r="T5" s="71"/>
      <c r="U5" s="71"/>
    </row>
    <row r="6" spans="4:21" outlineLevel="1" x14ac:dyDescent="0.25">
      <c r="D6" s="33" t="s">
        <v>18</v>
      </c>
      <c r="E6" s="33" t="s">
        <v>44</v>
      </c>
      <c r="F6" s="33" t="s">
        <v>3</v>
      </c>
      <c r="G6" s="33" t="s">
        <v>6</v>
      </c>
      <c r="H6" s="33"/>
      <c r="I6" s="33"/>
      <c r="J6" s="33" t="s">
        <v>19</v>
      </c>
      <c r="K6" s="61">
        <f t="shared" ref="K6:R8" si="6">(K13*10^6/K182)/1000</f>
        <v>24.666666666666668</v>
      </c>
      <c r="L6" s="61">
        <f t="shared" si="6"/>
        <v>27.27408469766695</v>
      </c>
      <c r="M6" s="61">
        <f t="shared" si="6"/>
        <v>29.749721747740331</v>
      </c>
      <c r="N6" s="61">
        <f t="shared" si="6"/>
        <v>32.103322049620125</v>
      </c>
      <c r="O6" s="61">
        <f t="shared" si="6"/>
        <v>34.343692259366769</v>
      </c>
      <c r="P6" s="61">
        <f t="shared" si="6"/>
        <v>36.478811572973299</v>
      </c>
      <c r="Q6" s="61">
        <f t="shared" si="6"/>
        <v>38.515926679569205</v>
      </c>
      <c r="R6" s="61">
        <f t="shared" si="6"/>
        <v>38.515926679569205</v>
      </c>
      <c r="S6" s="114"/>
      <c r="T6" s="33"/>
      <c r="U6" s="33"/>
    </row>
    <row r="7" spans="4:21" outlineLevel="1" x14ac:dyDescent="0.25">
      <c r="D7" s="33" t="s">
        <v>18</v>
      </c>
      <c r="E7" s="33" t="s">
        <v>44</v>
      </c>
      <c r="F7" s="33" t="s">
        <v>4</v>
      </c>
      <c r="G7" s="33" t="s">
        <v>6</v>
      </c>
      <c r="H7" s="33"/>
      <c r="I7" s="33"/>
      <c r="J7" s="33" t="s">
        <v>19</v>
      </c>
      <c r="K7" s="61">
        <f t="shared" si="6"/>
        <v>21.05263157894737</v>
      </c>
      <c r="L7" s="61">
        <f t="shared" si="6"/>
        <v>23.411964934714106</v>
      </c>
      <c r="M7" s="61">
        <f t="shared" si="6"/>
        <v>25.652055706338242</v>
      </c>
      <c r="N7" s="61">
        <f t="shared" si="6"/>
        <v>27.781721004478943</v>
      </c>
      <c r="O7" s="61">
        <f t="shared" si="6"/>
        <v>29.808929569533465</v>
      </c>
      <c r="P7" s="61">
        <f t="shared" si="6"/>
        <v>31.740901411118521</v>
      </c>
      <c r="Q7" s="61">
        <f t="shared" si="6"/>
        <v>33.584193726882802</v>
      </c>
      <c r="R7" s="61">
        <f t="shared" si="6"/>
        <v>33.584193726882809</v>
      </c>
      <c r="S7" s="114"/>
      <c r="T7" s="33"/>
      <c r="U7" s="33"/>
    </row>
    <row r="8" spans="4:21" outlineLevel="1" x14ac:dyDescent="0.25">
      <c r="D8" s="33" t="s">
        <v>18</v>
      </c>
      <c r="E8" s="33" t="s">
        <v>44</v>
      </c>
      <c r="F8" s="33" t="s">
        <v>4</v>
      </c>
      <c r="G8" s="33" t="s">
        <v>7</v>
      </c>
      <c r="H8" s="33"/>
      <c r="I8" s="33"/>
      <c r="J8" s="33" t="s">
        <v>19</v>
      </c>
      <c r="K8" s="61">
        <f t="shared" si="6"/>
        <v>24</v>
      </c>
      <c r="L8" s="61">
        <f t="shared" si="6"/>
        <v>24.351861337202628</v>
      </c>
      <c r="M8" s="61">
        <f t="shared" si="6"/>
        <v>24.685939322593029</v>
      </c>
      <c r="N8" s="61">
        <f t="shared" si="6"/>
        <v>25.003548904031046</v>
      </c>
      <c r="O8" s="61">
        <f t="shared" si="6"/>
        <v>25.305878506901816</v>
      </c>
      <c r="P8" s="61">
        <f t="shared" si="6"/>
        <v>25.594004893940934</v>
      </c>
      <c r="Q8" s="61">
        <f t="shared" si="6"/>
        <v>25.868905978815139</v>
      </c>
      <c r="R8" s="61">
        <f t="shared" si="6"/>
        <v>25.868905978815139</v>
      </c>
      <c r="S8" s="114"/>
      <c r="T8" s="33"/>
      <c r="U8" s="33"/>
    </row>
    <row r="9" spans="4:21" outlineLevel="1" x14ac:dyDescent="0.25">
      <c r="D9" s="33" t="s">
        <v>18</v>
      </c>
      <c r="E9" s="33" t="s">
        <v>39</v>
      </c>
      <c r="F9" s="33" t="s">
        <v>3</v>
      </c>
      <c r="G9" s="33" t="s">
        <v>6</v>
      </c>
      <c r="H9" s="33"/>
      <c r="I9" s="33"/>
      <c r="J9" s="33" t="s">
        <v>19</v>
      </c>
      <c r="K9" s="48">
        <v>10.1867572156197</v>
      </c>
      <c r="L9" s="48">
        <f t="shared" ref="L9:R11" si="7">SUMIFS(L$41:L$88,$G$41:$G$88,$G9,$F$41:$F$88,$F9,$D$41:$D$88,$D9)</f>
        <v>10.121323116151283</v>
      </c>
      <c r="M9" s="48">
        <f t="shared" si="7"/>
        <v>11.334451255013045</v>
      </c>
      <c r="N9" s="48">
        <f t="shared" si="7"/>
        <v>11.827846171927403</v>
      </c>
      <c r="O9" s="48">
        <f t="shared" si="7"/>
        <v>12.008140607328162</v>
      </c>
      <c r="P9" s="48">
        <f t="shared" si="7"/>
        <v>12.191568275533106</v>
      </c>
      <c r="Q9" s="48">
        <f t="shared" si="7"/>
        <v>12.689699987167785</v>
      </c>
      <c r="R9" s="48">
        <f t="shared" si="7"/>
        <v>13.407250256565952</v>
      </c>
      <c r="S9" s="191"/>
      <c r="T9" s="33"/>
      <c r="U9" s="33"/>
    </row>
    <row r="10" spans="4:21" outlineLevel="1" x14ac:dyDescent="0.25">
      <c r="D10" s="33" t="s">
        <v>18</v>
      </c>
      <c r="E10" s="33" t="s">
        <v>39</v>
      </c>
      <c r="F10" s="33" t="s">
        <v>4</v>
      </c>
      <c r="G10" s="33" t="s">
        <v>6</v>
      </c>
      <c r="H10" s="33"/>
      <c r="I10" s="33"/>
      <c r="J10" s="33" t="s">
        <v>19</v>
      </c>
      <c r="K10" s="48">
        <v>3.1530063548965299</v>
      </c>
      <c r="L10" s="48">
        <f t="shared" si="7"/>
        <v>3.1966259029496693</v>
      </c>
      <c r="M10" s="48">
        <f t="shared" si="7"/>
        <v>6.3483151384495127</v>
      </c>
      <c r="N10" s="48">
        <f t="shared" si="7"/>
        <v>6.7128303709684811</v>
      </c>
      <c r="O10" s="48">
        <f t="shared" si="7"/>
        <v>9.1555174325210054</v>
      </c>
      <c r="P10" s="48">
        <f t="shared" si="7"/>
        <v>9.6804038641530639</v>
      </c>
      <c r="Q10" s="48">
        <f t="shared" si="7"/>
        <v>10.870489591055371</v>
      </c>
      <c r="R10" s="48">
        <f t="shared" si="7"/>
        <v>11.782046513564929</v>
      </c>
      <c r="S10" s="33"/>
      <c r="T10" s="33"/>
      <c r="U10" s="33"/>
    </row>
    <row r="11" spans="4:21" outlineLevel="1" x14ac:dyDescent="0.25">
      <c r="D11" s="11" t="s">
        <v>18</v>
      </c>
      <c r="E11" s="11" t="s">
        <v>39</v>
      </c>
      <c r="F11" s="11" t="s">
        <v>4</v>
      </c>
      <c r="G11" s="11" t="s">
        <v>7</v>
      </c>
      <c r="H11" s="11"/>
      <c r="I11" s="11"/>
      <c r="J11" s="11" t="s">
        <v>19</v>
      </c>
      <c r="K11" s="49">
        <v>7</v>
      </c>
      <c r="L11" s="49">
        <f t="shared" si="7"/>
        <v>7.3055584011607877</v>
      </c>
      <c r="M11" s="49">
        <f t="shared" si="7"/>
        <v>7.6191151301112416</v>
      </c>
      <c r="N11" s="49">
        <f t="shared" si="7"/>
        <v>8.2298867105180555</v>
      </c>
      <c r="O11" s="49">
        <f t="shared" si="7"/>
        <v>8.8440396211217767</v>
      </c>
      <c r="P11" s="49">
        <f t="shared" si="7"/>
        <v>9.4618053758521548</v>
      </c>
      <c r="Q11" s="49">
        <f t="shared" si="7"/>
        <v>9.8536908580503848</v>
      </c>
      <c r="R11" s="49">
        <f t="shared" si="7"/>
        <v>11.211340477428992</v>
      </c>
      <c r="S11" s="34"/>
      <c r="T11" s="34"/>
      <c r="U11" s="34"/>
    </row>
    <row r="12" spans="4:21" outlineLevel="1" x14ac:dyDescent="0.25">
      <c r="D12" s="40" t="s">
        <v>18</v>
      </c>
      <c r="E12" s="40" t="s">
        <v>39</v>
      </c>
      <c r="F12" s="40" t="s">
        <v>25</v>
      </c>
      <c r="G12" s="40" t="s">
        <v>25</v>
      </c>
      <c r="H12" s="40"/>
      <c r="I12" s="40"/>
      <c r="J12" s="40" t="s">
        <v>19</v>
      </c>
      <c r="K12" s="41">
        <f>SUM(K9:K11)</f>
        <v>20.339763570516229</v>
      </c>
      <c r="L12" s="41">
        <f t="shared" ref="L12:R12" si="8">SUM(L9:L11)</f>
        <v>20.623507420261738</v>
      </c>
      <c r="M12" s="41">
        <f t="shared" si="8"/>
        <v>25.301881523573797</v>
      </c>
      <c r="N12" s="41">
        <f t="shared" si="8"/>
        <v>26.77056325341394</v>
      </c>
      <c r="O12" s="41">
        <f t="shared" si="8"/>
        <v>30.007697660970944</v>
      </c>
      <c r="P12" s="41">
        <f t="shared" si="8"/>
        <v>31.333777515538326</v>
      </c>
      <c r="Q12" s="41">
        <f t="shared" si="8"/>
        <v>33.413880436273544</v>
      </c>
      <c r="R12" s="41">
        <f t="shared" si="8"/>
        <v>36.400637247559871</v>
      </c>
      <c r="S12" s="29"/>
      <c r="T12" s="29"/>
      <c r="U12" s="29"/>
    </row>
    <row r="13" spans="4:21" outlineLevel="1" x14ac:dyDescent="0.25">
      <c r="D13" s="29" t="s">
        <v>20</v>
      </c>
      <c r="E13" s="29" t="s">
        <v>44</v>
      </c>
      <c r="F13" s="29" t="s">
        <v>3</v>
      </c>
      <c r="G13" s="33" t="s">
        <v>6</v>
      </c>
      <c r="H13" s="29"/>
      <c r="I13" s="29"/>
      <c r="J13" s="29" t="s">
        <v>17</v>
      </c>
      <c r="K13" s="47">
        <v>370</v>
      </c>
      <c r="L13" s="73">
        <f t="shared" ref="L13:Q15" si="9">K13+($R13-$K13)/($Q$41-$K$41)</f>
        <v>420</v>
      </c>
      <c r="M13" s="73">
        <f t="shared" si="9"/>
        <v>470</v>
      </c>
      <c r="N13" s="73">
        <f t="shared" si="9"/>
        <v>520</v>
      </c>
      <c r="O13" s="73">
        <f t="shared" si="9"/>
        <v>570</v>
      </c>
      <c r="P13" s="73">
        <f t="shared" si="9"/>
        <v>620</v>
      </c>
      <c r="Q13" s="73">
        <f t="shared" si="9"/>
        <v>670</v>
      </c>
      <c r="R13" s="47">
        <v>670</v>
      </c>
      <c r="S13" s="33"/>
      <c r="T13" s="33"/>
      <c r="U13" s="33"/>
    </row>
    <row r="14" spans="4:21" outlineLevel="1" x14ac:dyDescent="0.25">
      <c r="D14" s="33" t="s">
        <v>20</v>
      </c>
      <c r="E14" s="33" t="s">
        <v>44</v>
      </c>
      <c r="F14" s="33" t="s">
        <v>4</v>
      </c>
      <c r="G14" s="33" t="s">
        <v>6</v>
      </c>
      <c r="H14" s="33"/>
      <c r="I14" s="33"/>
      <c r="J14" s="33" t="s">
        <v>17</v>
      </c>
      <c r="K14" s="78">
        <v>200</v>
      </c>
      <c r="L14" s="73">
        <f t="shared" si="9"/>
        <v>228.33333333333334</v>
      </c>
      <c r="M14" s="73">
        <f t="shared" si="9"/>
        <v>256.66666666666669</v>
      </c>
      <c r="N14" s="73">
        <f t="shared" si="9"/>
        <v>285</v>
      </c>
      <c r="O14" s="73">
        <f t="shared" si="9"/>
        <v>313.33333333333331</v>
      </c>
      <c r="P14" s="73">
        <f t="shared" si="9"/>
        <v>341.66666666666663</v>
      </c>
      <c r="Q14" s="73">
        <f t="shared" si="9"/>
        <v>369.99999999999994</v>
      </c>
      <c r="R14" s="78">
        <v>370</v>
      </c>
      <c r="S14" s="33"/>
      <c r="T14" s="33"/>
      <c r="U14" s="33"/>
    </row>
    <row r="15" spans="4:21" outlineLevel="1" x14ac:dyDescent="0.25">
      <c r="D15" s="33" t="s">
        <v>20</v>
      </c>
      <c r="E15" s="33" t="s">
        <v>44</v>
      </c>
      <c r="F15" s="33" t="s">
        <v>4</v>
      </c>
      <c r="G15" s="33" t="s">
        <v>7</v>
      </c>
      <c r="H15" s="33"/>
      <c r="I15" s="33"/>
      <c r="J15" s="33" t="s">
        <v>17</v>
      </c>
      <c r="K15" s="78">
        <v>120</v>
      </c>
      <c r="L15" s="73">
        <f t="shared" si="9"/>
        <v>125</v>
      </c>
      <c r="M15" s="73">
        <f t="shared" si="9"/>
        <v>130</v>
      </c>
      <c r="N15" s="73">
        <f t="shared" si="9"/>
        <v>135</v>
      </c>
      <c r="O15" s="73">
        <f t="shared" si="9"/>
        <v>140</v>
      </c>
      <c r="P15" s="73">
        <f t="shared" si="9"/>
        <v>145</v>
      </c>
      <c r="Q15" s="73">
        <f t="shared" si="9"/>
        <v>150</v>
      </c>
      <c r="R15" s="78">
        <v>150</v>
      </c>
      <c r="S15" s="33"/>
      <c r="T15" s="33"/>
      <c r="U15" s="33"/>
    </row>
    <row r="16" spans="4:21" outlineLevel="1" x14ac:dyDescent="0.25">
      <c r="D16" s="33" t="s">
        <v>20</v>
      </c>
      <c r="E16" s="33" t="s">
        <v>39</v>
      </c>
      <c r="F16" s="33" t="s">
        <v>3</v>
      </c>
      <c r="G16" s="33" t="s">
        <v>6</v>
      </c>
      <c r="H16" s="33"/>
      <c r="I16" s="33"/>
      <c r="J16" s="33" t="s">
        <v>17</v>
      </c>
      <c r="K16" s="48">
        <f t="shared" ref="K16:R18" si="10">SUMIFS(K$41:K$88,$G$41:$G$88,$G16,$F$41:$F$88,$F16,$D$41:$D$88,$D16)</f>
        <v>152.80135823429549</v>
      </c>
      <c r="L16" s="48">
        <f t="shared" si="10"/>
        <v>155.83830645161291</v>
      </c>
      <c r="M16" s="48">
        <f t="shared" si="10"/>
        <v>179.01845500848896</v>
      </c>
      <c r="N16" s="48">
        <f t="shared" si="10"/>
        <v>191.50564091680815</v>
      </c>
      <c r="O16" s="48">
        <f t="shared" si="10"/>
        <v>199.18696095076402</v>
      </c>
      <c r="P16" s="48">
        <f t="shared" si="10"/>
        <v>207.06241511035654</v>
      </c>
      <c r="Q16" s="48">
        <f t="shared" si="10"/>
        <v>220.55587224937887</v>
      </c>
      <c r="R16" s="48">
        <f t="shared" si="10"/>
        <v>233.22449818308931</v>
      </c>
      <c r="S16" s="68"/>
      <c r="T16" s="33"/>
      <c r="U16" s="33"/>
    </row>
    <row r="17" spans="2:32" outlineLevel="1" x14ac:dyDescent="0.25">
      <c r="D17" s="33" t="s">
        <v>20</v>
      </c>
      <c r="E17" s="33" t="s">
        <v>39</v>
      </c>
      <c r="F17" s="33" t="s">
        <v>4</v>
      </c>
      <c r="G17" s="33" t="s">
        <v>6</v>
      </c>
      <c r="H17" s="33"/>
      <c r="I17" s="33"/>
      <c r="J17" s="33" t="s">
        <v>17</v>
      </c>
      <c r="K17" s="48">
        <f t="shared" si="10"/>
        <v>29.953560371517032</v>
      </c>
      <c r="L17" s="48">
        <f t="shared" si="10"/>
        <v>31.133159648135827</v>
      </c>
      <c r="M17" s="48">
        <f t="shared" si="10"/>
        <v>63.432459730100192</v>
      </c>
      <c r="N17" s="48">
        <f t="shared" si="10"/>
        <v>68.732509588501458</v>
      </c>
      <c r="O17" s="48">
        <f t="shared" si="10"/>
        <v>96.060723139751033</v>
      </c>
      <c r="P17" s="48">
        <f t="shared" si="10"/>
        <v>103.97992655422289</v>
      </c>
      <c r="Q17" s="48">
        <f t="shared" si="10"/>
        <v>119.49256267296178</v>
      </c>
      <c r="R17" s="48">
        <f t="shared" si="10"/>
        <v>129.57171302685774</v>
      </c>
      <c r="S17" s="191"/>
      <c r="T17" s="33"/>
      <c r="U17" s="33"/>
    </row>
    <row r="18" spans="2:32" outlineLevel="1" x14ac:dyDescent="0.25">
      <c r="D18" s="11" t="s">
        <v>20</v>
      </c>
      <c r="E18" s="11" t="s">
        <v>39</v>
      </c>
      <c r="F18" s="11" t="s">
        <v>4</v>
      </c>
      <c r="G18" s="34" t="s">
        <v>7</v>
      </c>
      <c r="H18" s="34"/>
      <c r="I18" s="11"/>
      <c r="J18" s="33" t="s">
        <v>17</v>
      </c>
      <c r="K18" s="49">
        <f t="shared" si="10"/>
        <v>37</v>
      </c>
      <c r="L18" s="49">
        <f t="shared" si="10"/>
        <v>37.5</v>
      </c>
      <c r="M18" s="49">
        <f t="shared" si="10"/>
        <v>40.123446548697913</v>
      </c>
      <c r="N18" s="49">
        <f t="shared" si="10"/>
        <v>44.435080403358967</v>
      </c>
      <c r="O18" s="49">
        <f t="shared" si="10"/>
        <v>48.927981165299478</v>
      </c>
      <c r="P18" s="49">
        <f t="shared" si="10"/>
        <v>53.604810391489664</v>
      </c>
      <c r="Q18" s="49">
        <f t="shared" si="10"/>
        <v>56.351366893801696</v>
      </c>
      <c r="R18" s="49">
        <f t="shared" si="10"/>
        <v>64.223653532964732</v>
      </c>
      <c r="S18" s="48"/>
      <c r="T18" s="33"/>
      <c r="U18" s="33"/>
    </row>
    <row r="19" spans="2:32" outlineLevel="1" x14ac:dyDescent="0.25">
      <c r="D19" s="40" t="s">
        <v>20</v>
      </c>
      <c r="E19" s="40" t="s">
        <v>39</v>
      </c>
      <c r="F19" s="40" t="s">
        <v>25</v>
      </c>
      <c r="G19" s="40" t="s">
        <v>25</v>
      </c>
      <c r="H19" s="40"/>
      <c r="I19" s="40"/>
      <c r="J19" s="40" t="s">
        <v>17</v>
      </c>
      <c r="K19" s="41">
        <f>SUM(K16:K18)</f>
        <v>219.75491860581252</v>
      </c>
      <c r="L19" s="41">
        <f t="shared" ref="L19:R19" si="11">SUM(L16:L18)</f>
        <v>224.47146609974874</v>
      </c>
      <c r="M19" s="41">
        <f t="shared" si="11"/>
        <v>282.57436128728705</v>
      </c>
      <c r="N19" s="41">
        <f t="shared" si="11"/>
        <v>304.67323090866853</v>
      </c>
      <c r="O19" s="41">
        <f t="shared" si="11"/>
        <v>344.17566525581452</v>
      </c>
      <c r="P19" s="41">
        <f t="shared" si="11"/>
        <v>364.6471520560691</v>
      </c>
      <c r="Q19" s="41">
        <f t="shared" si="11"/>
        <v>396.39980181614237</v>
      </c>
      <c r="R19" s="41">
        <f t="shared" si="11"/>
        <v>427.01986474291175</v>
      </c>
      <c r="S19" s="33"/>
      <c r="T19" s="33"/>
      <c r="U19" s="33"/>
    </row>
    <row r="20" spans="2:32" x14ac:dyDescent="0.25">
      <c r="D20" s="29" t="s">
        <v>41</v>
      </c>
      <c r="E20" s="29" t="s">
        <v>39</v>
      </c>
      <c r="F20" s="29" t="s">
        <v>3</v>
      </c>
      <c r="G20" s="29" t="s">
        <v>6</v>
      </c>
      <c r="H20" s="29"/>
      <c r="I20" s="29"/>
      <c r="J20" s="74" t="s">
        <v>35</v>
      </c>
      <c r="K20" s="70">
        <f>K16/K13</f>
        <v>0.41297664387647431</v>
      </c>
      <c r="L20" s="70">
        <f t="shared" ref="L20:Q20" si="12">L16/L13</f>
        <v>0.37104358678955457</v>
      </c>
      <c r="M20" s="70">
        <f t="shared" si="12"/>
        <v>0.38089032980529564</v>
      </c>
      <c r="N20" s="70">
        <f t="shared" si="12"/>
        <v>0.36828007868616952</v>
      </c>
      <c r="O20" s="70">
        <f t="shared" si="12"/>
        <v>0.3494508086855509</v>
      </c>
      <c r="P20" s="70">
        <f t="shared" si="12"/>
        <v>0.33397163727476858</v>
      </c>
      <c r="Q20" s="70">
        <f t="shared" si="12"/>
        <v>0.32918786902892366</v>
      </c>
      <c r="R20" s="70">
        <f>R16/R13</f>
        <v>0.34809626594490944</v>
      </c>
      <c r="S20" s="33"/>
      <c r="T20" s="33"/>
      <c r="U20" s="33"/>
    </row>
    <row r="21" spans="2:32" x14ac:dyDescent="0.25">
      <c r="D21" s="33" t="s">
        <v>41</v>
      </c>
      <c r="E21" s="33" t="s">
        <v>39</v>
      </c>
      <c r="F21" s="33" t="s">
        <v>4</v>
      </c>
      <c r="G21" s="33" t="s">
        <v>6</v>
      </c>
      <c r="H21" s="33"/>
      <c r="I21" s="33"/>
      <c r="J21" s="65" t="s">
        <v>35</v>
      </c>
      <c r="K21" s="68">
        <f t="shared" ref="K21:Q22" si="13">K17/K14</f>
        <v>0.14976780185758515</v>
      </c>
      <c r="L21" s="68">
        <f t="shared" si="13"/>
        <v>0.13634960429840506</v>
      </c>
      <c r="M21" s="68">
        <f t="shared" si="13"/>
        <v>0.24713945349389682</v>
      </c>
      <c r="N21" s="68">
        <f t="shared" si="13"/>
        <v>0.24116670031053142</v>
      </c>
      <c r="O21" s="68">
        <f t="shared" si="13"/>
        <v>0.30657677597792887</v>
      </c>
      <c r="P21" s="68">
        <f t="shared" si="13"/>
        <v>0.30433149235382312</v>
      </c>
      <c r="Q21" s="68">
        <f t="shared" si="13"/>
        <v>0.32295287208908596</v>
      </c>
      <c r="R21" s="68">
        <f>R17/R14</f>
        <v>0.35019381899150742</v>
      </c>
      <c r="S21" s="33"/>
      <c r="T21" s="33"/>
      <c r="U21" s="33"/>
    </row>
    <row r="22" spans="2:32" x14ac:dyDescent="0.25">
      <c r="D22" s="34" t="s">
        <v>41</v>
      </c>
      <c r="E22" s="34" t="s">
        <v>39</v>
      </c>
      <c r="F22" s="34" t="s">
        <v>4</v>
      </c>
      <c r="G22" s="34" t="s">
        <v>7</v>
      </c>
      <c r="H22" s="34"/>
      <c r="I22" s="34"/>
      <c r="J22" s="69" t="s">
        <v>35</v>
      </c>
      <c r="K22" s="72">
        <f t="shared" si="13"/>
        <v>0.30833333333333335</v>
      </c>
      <c r="L22" s="72">
        <f t="shared" si="13"/>
        <v>0.3</v>
      </c>
      <c r="M22" s="72">
        <f t="shared" si="13"/>
        <v>0.30864189652844548</v>
      </c>
      <c r="N22" s="72">
        <f t="shared" si="13"/>
        <v>0.32914874372858494</v>
      </c>
      <c r="O22" s="72">
        <f t="shared" si="13"/>
        <v>0.34948557975213912</v>
      </c>
      <c r="P22" s="72">
        <f t="shared" si="13"/>
        <v>0.36968834752751495</v>
      </c>
      <c r="Q22" s="72">
        <f t="shared" si="13"/>
        <v>0.37567577929201129</v>
      </c>
      <c r="R22" s="72">
        <f>R18/R15</f>
        <v>0.42815769021976491</v>
      </c>
      <c r="S22" s="33"/>
      <c r="T22" s="33"/>
      <c r="U22" s="33"/>
    </row>
    <row r="23" spans="2:32" x14ac:dyDescent="0.25">
      <c r="D23" s="5" t="s">
        <v>41</v>
      </c>
      <c r="E23" s="5" t="s">
        <v>39</v>
      </c>
      <c r="F23" s="5" t="s">
        <v>25</v>
      </c>
      <c r="G23" s="69"/>
      <c r="H23" s="69"/>
      <c r="I23" s="5"/>
      <c r="J23" s="40" t="s">
        <v>35</v>
      </c>
      <c r="K23" s="110">
        <v>0.3</v>
      </c>
      <c r="L23" s="110">
        <v>0.3</v>
      </c>
      <c r="M23" s="110">
        <v>0.32985334002407046</v>
      </c>
      <c r="N23" s="110">
        <v>0.32412045841347714</v>
      </c>
      <c r="O23" s="110">
        <v>0.33</v>
      </c>
      <c r="P23" s="110">
        <v>0.32950043860488176</v>
      </c>
      <c r="Q23" s="110">
        <v>0.33310907715642218</v>
      </c>
      <c r="R23" s="110">
        <v>0.3588402224730351</v>
      </c>
      <c r="S23" s="65"/>
      <c r="T23" s="65"/>
      <c r="U23" s="65"/>
      <c r="V23" s="1"/>
    </row>
    <row r="24" spans="2:32" outlineLevel="1" x14ac:dyDescent="0.25">
      <c r="D24" s="29" t="s">
        <v>16</v>
      </c>
      <c r="E24" s="2" t="s">
        <v>39</v>
      </c>
      <c r="F24" s="2" t="s">
        <v>3</v>
      </c>
      <c r="G24" s="29" t="s">
        <v>6</v>
      </c>
      <c r="H24" s="2"/>
      <c r="I24" s="2"/>
      <c r="J24" s="2" t="s">
        <v>17</v>
      </c>
      <c r="K24" s="58">
        <f t="shared" ref="K24:R24" si="14">SUMIFS(K$41:K$88,$G$41:$G$88,$G24,$F$41:$F$88,$F24,$D$41:$D$88,$D24)</f>
        <v>10</v>
      </c>
      <c r="L24" s="58">
        <f t="shared" si="14"/>
        <v>10.198751388888882</v>
      </c>
      <c r="M24" s="58">
        <f t="shared" si="14"/>
        <v>11.715763333333324</v>
      </c>
      <c r="N24" s="58">
        <f t="shared" si="14"/>
        <v>12.532980277777769</v>
      </c>
      <c r="O24" s="58">
        <f t="shared" si="14"/>
        <v>13.035679999999992</v>
      </c>
      <c r="P24" s="58">
        <f t="shared" si="14"/>
        <v>13.551084722222214</v>
      </c>
      <c r="Q24" s="58">
        <f t="shared" si="14"/>
        <v>14.434156528320452</v>
      </c>
      <c r="R24" s="58">
        <f t="shared" si="14"/>
        <v>15.263247714426612</v>
      </c>
      <c r="S24" s="33"/>
      <c r="T24" s="33"/>
      <c r="U24" s="33"/>
    </row>
    <row r="25" spans="2:32" outlineLevel="1" x14ac:dyDescent="0.25">
      <c r="D25" s="29" t="s">
        <v>16</v>
      </c>
      <c r="E25" s="33" t="s">
        <v>39</v>
      </c>
      <c r="F25" s="33" t="s">
        <v>4</v>
      </c>
      <c r="G25" s="33" t="s">
        <v>6</v>
      </c>
      <c r="H25" s="33"/>
      <c r="I25" s="33"/>
      <c r="J25" s="33" t="s">
        <v>17</v>
      </c>
      <c r="K25" s="48">
        <f t="shared" ref="K25:K26" si="15">SUMIFS(K$41:K$88,$G$41:$G$88,$G25,$F$41:$F$88,$F25,$D$41:$D$88,$D25)</f>
        <v>4.3</v>
      </c>
      <c r="L25" s="50">
        <f t="shared" ref="L25:R26" si="16">SUMIFS(L$41:L$88,$G$41:$G$88,$G25,$F$41:$F$88,$F25,$D$41:$D$88,$D25)</f>
        <v>4.5837849792071781</v>
      </c>
      <c r="M25" s="50">
        <f t="shared" si="16"/>
        <v>8.6617233031488983</v>
      </c>
      <c r="N25" s="50">
        <f t="shared" si="16"/>
        <v>9.4117305473695652</v>
      </c>
      <c r="O25" s="50">
        <f t="shared" si="16"/>
        <v>13.29418007463018</v>
      </c>
      <c r="P25" s="50">
        <f t="shared" si="16"/>
        <v>14.35745446694386</v>
      </c>
      <c r="Q25" s="50">
        <f t="shared" si="16"/>
        <v>16.289561411487284</v>
      </c>
      <c r="R25" s="50">
        <f t="shared" si="16"/>
        <v>17.589584940428495</v>
      </c>
      <c r="S25" s="33"/>
      <c r="T25" s="33"/>
      <c r="U25" s="33"/>
    </row>
    <row r="26" spans="2:32" outlineLevel="1" x14ac:dyDescent="0.25">
      <c r="D26" s="34" t="s">
        <v>16</v>
      </c>
      <c r="E26" s="34" t="s">
        <v>39</v>
      </c>
      <c r="F26" s="34" t="s">
        <v>4</v>
      </c>
      <c r="G26" s="34" t="s">
        <v>7</v>
      </c>
      <c r="H26" s="34"/>
      <c r="I26" s="34"/>
      <c r="J26" s="34" t="s">
        <v>17</v>
      </c>
      <c r="K26" s="49">
        <f t="shared" si="15"/>
        <v>5</v>
      </c>
      <c r="L26" s="49">
        <f t="shared" si="16"/>
        <v>5.383333333333332</v>
      </c>
      <c r="M26" s="49">
        <f t="shared" si="16"/>
        <v>5.7262402636410279</v>
      </c>
      <c r="N26" s="49">
        <f t="shared" si="16"/>
        <v>6.3254502413592055</v>
      </c>
      <c r="O26" s="49">
        <f t="shared" si="16"/>
        <v>6.9486440834373386</v>
      </c>
      <c r="P26" s="49">
        <f t="shared" si="16"/>
        <v>7.5961240244558246</v>
      </c>
      <c r="Q26" s="49">
        <f t="shared" si="16"/>
        <v>8.0769867106528608</v>
      </c>
      <c r="R26" s="49">
        <f t="shared" si="16"/>
        <v>9.1862227111026549</v>
      </c>
      <c r="S26" s="33"/>
      <c r="T26" s="33"/>
      <c r="U26" s="33"/>
    </row>
    <row r="27" spans="2:32" outlineLevel="1" x14ac:dyDescent="0.25">
      <c r="D27" s="5" t="s">
        <v>16</v>
      </c>
      <c r="E27" s="5" t="s">
        <v>39</v>
      </c>
      <c r="F27" s="5" t="s">
        <v>25</v>
      </c>
      <c r="G27" s="5" t="s">
        <v>25</v>
      </c>
      <c r="H27" s="5"/>
      <c r="I27" s="5"/>
      <c r="J27" s="40" t="s">
        <v>17</v>
      </c>
      <c r="K27" s="42">
        <f>SUM(K24:K26)</f>
        <v>19.3</v>
      </c>
      <c r="L27" s="42">
        <f t="shared" ref="L27:R27" si="17">SUM(L24:L26)</f>
        <v>20.165869701429394</v>
      </c>
      <c r="M27" s="42">
        <f t="shared" si="17"/>
        <v>26.103726900123252</v>
      </c>
      <c r="N27" s="42">
        <f t="shared" si="17"/>
        <v>28.270161066506539</v>
      </c>
      <c r="O27" s="42">
        <f t="shared" si="17"/>
        <v>33.278504158067513</v>
      </c>
      <c r="P27" s="42">
        <f t="shared" si="17"/>
        <v>35.504663213621896</v>
      </c>
      <c r="Q27" s="42">
        <f t="shared" si="17"/>
        <v>38.800704650460595</v>
      </c>
      <c r="R27" s="42">
        <f t="shared" si="17"/>
        <v>42.039055365957765</v>
      </c>
      <c r="S27" s="33"/>
      <c r="T27" s="33"/>
      <c r="U27" s="33"/>
    </row>
    <row r="28" spans="2:32" ht="14.4" outlineLevel="1" x14ac:dyDescent="0.3">
      <c r="B28" s="113" t="s">
        <v>125</v>
      </c>
      <c r="D28" s="29" t="s">
        <v>42</v>
      </c>
      <c r="E28" s="29" t="s">
        <v>39</v>
      </c>
      <c r="F28" s="29" t="s">
        <v>3</v>
      </c>
      <c r="G28" s="33" t="s">
        <v>6</v>
      </c>
      <c r="H28" s="29"/>
      <c r="I28" s="29"/>
      <c r="J28" s="29" t="s">
        <v>17</v>
      </c>
      <c r="K28" s="58">
        <f t="shared" ref="K28:R28" si="18">SUMIFS(K$41:K$88,$G$41:$G$88,$G28,$F$41:$F$88,$F28,$D$41:$D$88,$D28)</f>
        <v>2.9333286315474743</v>
      </c>
      <c r="L28" s="48">
        <f t="shared" si="18"/>
        <v>2.7536592785741192</v>
      </c>
      <c r="M28" s="48">
        <f t="shared" si="18"/>
        <v>2.8898855346383692</v>
      </c>
      <c r="N28" s="48">
        <f t="shared" si="18"/>
        <v>2.7990307888522992</v>
      </c>
      <c r="O28" s="48">
        <f t="shared" si="18"/>
        <v>2.6071359999999983</v>
      </c>
      <c r="P28" s="48">
        <f t="shared" si="18"/>
        <v>2.7102169444444431</v>
      </c>
      <c r="Q28" s="48">
        <f t="shared" si="18"/>
        <v>2.8868313056640904</v>
      </c>
      <c r="R28" s="48">
        <f t="shared" si="18"/>
        <v>3.815811928606653</v>
      </c>
      <c r="S28" s="64" t="s">
        <v>45</v>
      </c>
      <c r="T28" s="33"/>
      <c r="U28" s="33"/>
    </row>
    <row r="29" spans="2:32" ht="14.4" outlineLevel="1" x14ac:dyDescent="0.3">
      <c r="B29" s="113" t="s">
        <v>125</v>
      </c>
      <c r="D29" s="33" t="s">
        <v>42</v>
      </c>
      <c r="E29" s="33" t="s">
        <v>39</v>
      </c>
      <c r="F29" s="33" t="s">
        <v>4</v>
      </c>
      <c r="G29" s="33" t="s">
        <v>6</v>
      </c>
      <c r="H29" s="33"/>
      <c r="I29" s="33"/>
      <c r="J29" s="33" t="s">
        <v>17</v>
      </c>
      <c r="K29" s="48">
        <f t="shared" ref="K29:K30" si="19">SUMIFS(K$41:K$88,$G$41:$G$88,$G29,$F$41:$F$88,$F29,$D$41:$D$88,$D29)</f>
        <v>0.60199999999999998</v>
      </c>
      <c r="L29" s="50">
        <f t="shared" ref="L29:R30" si="20">SUMIFS(L$41:L$88,$G$41:$G$88,$G29,$F$41:$F$88,$F29,$D$41:$D$88,$D29)</f>
        <v>0.60505961725534763</v>
      </c>
      <c r="M29" s="50">
        <f t="shared" si="20"/>
        <v>1.0740536895904635</v>
      </c>
      <c r="N29" s="50">
        <f t="shared" si="20"/>
        <v>1.09176074349487</v>
      </c>
      <c r="O29" s="50">
        <f t="shared" si="20"/>
        <v>1.4357714480600596</v>
      </c>
      <c r="P29" s="50">
        <f t="shared" si="20"/>
        <v>1.435745446694386</v>
      </c>
      <c r="Q29" s="50">
        <f t="shared" si="20"/>
        <v>1.9547473693784738</v>
      </c>
      <c r="R29" s="50">
        <f t="shared" si="20"/>
        <v>2.6384377410642736</v>
      </c>
      <c r="S29" s="64" t="s">
        <v>119</v>
      </c>
      <c r="T29" s="33"/>
      <c r="U29" s="33"/>
    </row>
    <row r="30" spans="2:32" ht="14.4" outlineLevel="1" x14ac:dyDescent="0.3">
      <c r="B30" s="113" t="s">
        <v>125</v>
      </c>
      <c r="D30" s="34" t="s">
        <v>42</v>
      </c>
      <c r="E30" s="34" t="s">
        <v>39</v>
      </c>
      <c r="F30" s="34" t="s">
        <v>4</v>
      </c>
      <c r="G30" s="34" t="s">
        <v>7</v>
      </c>
      <c r="H30" s="34"/>
      <c r="I30" s="34"/>
      <c r="J30" s="34" t="s">
        <v>17</v>
      </c>
      <c r="K30" s="49">
        <f t="shared" si="19"/>
        <v>0.75</v>
      </c>
      <c r="L30" s="49">
        <f t="shared" si="20"/>
        <v>0.80749999999999977</v>
      </c>
      <c r="M30" s="49">
        <f t="shared" si="20"/>
        <v>0.85893603954615416</v>
      </c>
      <c r="N30" s="49">
        <f t="shared" si="20"/>
        <v>0.94881753620388087</v>
      </c>
      <c r="O30" s="49">
        <f t="shared" si="20"/>
        <v>1.0422966125156008</v>
      </c>
      <c r="P30" s="49">
        <f t="shared" si="20"/>
        <v>1.1394186036683736</v>
      </c>
      <c r="Q30" s="49">
        <f t="shared" si="20"/>
        <v>1.2115480065979292</v>
      </c>
      <c r="R30" s="49">
        <f t="shared" si="20"/>
        <v>1.3779334066653983</v>
      </c>
      <c r="S30" s="64" t="s">
        <v>47</v>
      </c>
      <c r="T30" s="33"/>
      <c r="U30" s="33"/>
    </row>
    <row r="31" spans="2:32" outlineLevel="1" x14ac:dyDescent="0.25">
      <c r="B31" s="113" t="s">
        <v>125</v>
      </c>
      <c r="D31" s="5" t="s">
        <v>42</v>
      </c>
      <c r="E31" s="5" t="s">
        <v>39</v>
      </c>
      <c r="F31" s="5" t="s">
        <v>25</v>
      </c>
      <c r="G31" s="5" t="s">
        <v>25</v>
      </c>
      <c r="H31" s="5"/>
      <c r="I31" s="5"/>
      <c r="J31" s="40" t="s">
        <v>17</v>
      </c>
      <c r="K31" s="42">
        <f>SUM(K28:K30)</f>
        <v>4.2853286315474737</v>
      </c>
      <c r="L31" s="42">
        <f t="shared" ref="L31:R31" si="21">SUM(L28:L30)</f>
        <v>4.1662188958294664</v>
      </c>
      <c r="M31" s="42">
        <f t="shared" si="21"/>
        <v>4.8228752637749865</v>
      </c>
      <c r="N31" s="42">
        <f t="shared" si="21"/>
        <v>4.8396090685510504</v>
      </c>
      <c r="O31" s="42">
        <f t="shared" si="21"/>
        <v>5.0852040605756592</v>
      </c>
      <c r="P31" s="42">
        <f t="shared" si="21"/>
        <v>5.2853809948072019</v>
      </c>
      <c r="Q31" s="42">
        <f t="shared" si="21"/>
        <v>6.0531266816404932</v>
      </c>
      <c r="R31" s="42">
        <f t="shared" si="21"/>
        <v>7.8321830763363245</v>
      </c>
      <c r="S31" s="79"/>
      <c r="T31" s="79"/>
      <c r="U31" s="33"/>
    </row>
    <row r="32" spans="2:32" outlineLevel="1" x14ac:dyDescent="0.25">
      <c r="D32" s="29" t="s">
        <v>48</v>
      </c>
      <c r="E32" s="29" t="s">
        <v>39</v>
      </c>
      <c r="F32" s="29" t="s">
        <v>3</v>
      </c>
      <c r="G32" s="29" t="s">
        <v>6</v>
      </c>
      <c r="H32" s="29"/>
      <c r="I32" s="29"/>
      <c r="J32" s="29" t="s">
        <v>17</v>
      </c>
      <c r="K32" s="48">
        <f t="shared" ref="K32:R32" si="22">SUMIFS(K$41:K$88,$G$41:$G$88,$G32,$F$41:$F$88,$F32,$D$41:$D$88,$D32)</f>
        <v>7.0666713684525257</v>
      </c>
      <c r="L32" s="48">
        <f t="shared" si="22"/>
        <v>7.4450921103147616</v>
      </c>
      <c r="M32" s="48">
        <f t="shared" si="22"/>
        <v>8.8258777986949539</v>
      </c>
      <c r="N32" s="48">
        <f t="shared" si="22"/>
        <v>9.7339494889254681</v>
      </c>
      <c r="O32" s="48">
        <f t="shared" si="22"/>
        <v>10.428543999999993</v>
      </c>
      <c r="P32" s="48">
        <f t="shared" si="22"/>
        <v>10.84086777777777</v>
      </c>
      <c r="Q32" s="48">
        <f t="shared" si="22"/>
        <v>11.547325222656362</v>
      </c>
      <c r="R32" s="48">
        <f t="shared" si="22"/>
        <v>11.447435785819959</v>
      </c>
      <c r="S32" s="33"/>
      <c r="T32" s="33"/>
      <c r="U32" s="33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4:32" outlineLevel="1" x14ac:dyDescent="0.25">
      <c r="D33" s="30" t="s">
        <v>48</v>
      </c>
      <c r="E33" s="30" t="s">
        <v>39</v>
      </c>
      <c r="F33" s="30" t="s">
        <v>4</v>
      </c>
      <c r="G33" s="30" t="s">
        <v>6</v>
      </c>
      <c r="H33" s="30"/>
      <c r="I33" s="30"/>
      <c r="J33" s="30" t="s">
        <v>17</v>
      </c>
      <c r="K33" s="48">
        <f t="shared" ref="K33:K34" si="23">SUMIFS(K$41:K$88,$G$41:$G$88,$G33,$F$41:$F$88,$F33,$D$41:$D$88,$D33)</f>
        <v>3.698</v>
      </c>
      <c r="L33" s="50">
        <f t="shared" ref="L33:R34" si="24">SUMIFS(L$41:L$88,$G$41:$G$88,$G33,$F$41:$F$88,$F33,$D$41:$D$88,$D33)</f>
        <v>3.9787253619518306</v>
      </c>
      <c r="M33" s="50">
        <f t="shared" si="24"/>
        <v>7.5876696135584343</v>
      </c>
      <c r="N33" s="50">
        <f t="shared" si="24"/>
        <v>8.3199698038746952</v>
      </c>
      <c r="O33" s="50">
        <f t="shared" si="24"/>
        <v>11.858408626570121</v>
      </c>
      <c r="P33" s="50">
        <f t="shared" si="24"/>
        <v>12.921709020249473</v>
      </c>
      <c r="Q33" s="50">
        <f t="shared" si="24"/>
        <v>14.33481404210881</v>
      </c>
      <c r="R33" s="50">
        <f t="shared" si="24"/>
        <v>14.95114719936422</v>
      </c>
      <c r="S33" s="191">
        <f>+R31/R27</f>
        <v>0.18630730419976663</v>
      </c>
      <c r="T33" s="33"/>
      <c r="U33" s="33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4:32" outlineLevel="1" x14ac:dyDescent="0.25">
      <c r="D34" s="34" t="s">
        <v>48</v>
      </c>
      <c r="E34" s="34" t="s">
        <v>39</v>
      </c>
      <c r="F34" s="34" t="s">
        <v>4</v>
      </c>
      <c r="G34" s="34" t="s">
        <v>7</v>
      </c>
      <c r="H34" s="34"/>
      <c r="I34" s="34"/>
      <c r="J34" s="34" t="s">
        <v>17</v>
      </c>
      <c r="K34" s="49">
        <f t="shared" si="23"/>
        <v>4.25</v>
      </c>
      <c r="L34" s="49">
        <f t="shared" si="24"/>
        <v>4.5758333333333319</v>
      </c>
      <c r="M34" s="49">
        <f t="shared" si="24"/>
        <v>4.8673042240948741</v>
      </c>
      <c r="N34" s="49">
        <f t="shared" si="24"/>
        <v>5.3766327051553242</v>
      </c>
      <c r="O34" s="49">
        <f t="shared" si="24"/>
        <v>5.9063474709217374</v>
      </c>
      <c r="P34" s="49">
        <f t="shared" si="24"/>
        <v>6.4567054207874506</v>
      </c>
      <c r="Q34" s="49">
        <f t="shared" si="24"/>
        <v>6.8654387040549327</v>
      </c>
      <c r="R34" s="49">
        <f t="shared" si="24"/>
        <v>7.8082893044372579</v>
      </c>
      <c r="S34" s="33"/>
      <c r="T34" s="33"/>
      <c r="U34" s="33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4:32" outlineLevel="1" x14ac:dyDescent="0.25">
      <c r="D35" s="5" t="s">
        <v>48</v>
      </c>
      <c r="E35" s="5" t="s">
        <v>39</v>
      </c>
      <c r="F35" s="5" t="s">
        <v>25</v>
      </c>
      <c r="G35" s="5" t="s">
        <v>25</v>
      </c>
      <c r="H35" s="5"/>
      <c r="I35" s="5"/>
      <c r="J35" s="40" t="s">
        <v>17</v>
      </c>
      <c r="K35" s="42">
        <f>SUM(K32:K34)</f>
        <v>15.014671368452525</v>
      </c>
      <c r="L35" s="42">
        <f t="shared" ref="L35:R35" si="25">SUM(L32:L34)</f>
        <v>15.999650805599924</v>
      </c>
      <c r="M35" s="42">
        <f t="shared" si="25"/>
        <v>21.28085163634826</v>
      </c>
      <c r="N35" s="42">
        <f t="shared" si="25"/>
        <v>23.430551997955487</v>
      </c>
      <c r="O35" s="42">
        <f t="shared" si="25"/>
        <v>28.19330009749185</v>
      </c>
      <c r="P35" s="42">
        <f t="shared" si="25"/>
        <v>30.219282218814694</v>
      </c>
      <c r="Q35" s="42">
        <f t="shared" si="25"/>
        <v>32.747577968820103</v>
      </c>
      <c r="R35" s="42">
        <f t="shared" si="25"/>
        <v>34.206872289621437</v>
      </c>
      <c r="S35" s="33"/>
      <c r="T35" s="33"/>
      <c r="U35" s="33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4:32" outlineLevel="1" x14ac:dyDescent="0.25">
      <c r="D36" s="18" t="s">
        <v>49</v>
      </c>
      <c r="E36" s="18" t="s">
        <v>39</v>
      </c>
      <c r="F36" s="18" t="s">
        <v>25</v>
      </c>
      <c r="G36" s="18" t="s">
        <v>25</v>
      </c>
      <c r="H36" s="18"/>
      <c r="I36" s="18"/>
      <c r="J36" s="18"/>
      <c r="K36" s="49"/>
      <c r="L36" s="49"/>
      <c r="M36" s="49"/>
      <c r="N36" s="49"/>
      <c r="O36" s="49"/>
      <c r="P36" s="49"/>
      <c r="Q36" s="49"/>
      <c r="R36" s="49"/>
      <c r="S36" s="33"/>
      <c r="T36" s="33"/>
      <c r="U36" s="33"/>
    </row>
    <row r="37" spans="4:32" x14ac:dyDescent="0.25">
      <c r="K37" s="19"/>
    </row>
    <row r="38" spans="4:32" x14ac:dyDescent="0.25">
      <c r="K38" s="19"/>
      <c r="L38" s="190">
        <f>+L13/K13-1</f>
        <v>0.13513513513513509</v>
      </c>
      <c r="M38" s="190">
        <f>+M13/L13-1</f>
        <v>0.11904761904761907</v>
      </c>
      <c r="N38" s="190">
        <f t="shared" ref="N38:O38" si="26">+N13/M13-1</f>
        <v>0.1063829787234043</v>
      </c>
      <c r="O38" s="190">
        <f t="shared" si="26"/>
        <v>9.6153846153846256E-2</v>
      </c>
      <c r="S38" s="19"/>
    </row>
    <row r="39" spans="4:32" x14ac:dyDescent="0.25">
      <c r="K39" s="19"/>
      <c r="L39" s="190">
        <f>+(L14)/(K14)-1</f>
        <v>0.14166666666666661</v>
      </c>
      <c r="M39" s="190">
        <f t="shared" ref="M39:O39" si="27">+(M14)/(L14)-1</f>
        <v>0.12408759124087587</v>
      </c>
      <c r="N39" s="190">
        <f t="shared" si="27"/>
        <v>0.11038961038961026</v>
      </c>
      <c r="O39" s="190">
        <f t="shared" si="27"/>
        <v>9.9415204678362512E-2</v>
      </c>
    </row>
    <row r="40" spans="4:32" outlineLevel="1" x14ac:dyDescent="0.25">
      <c r="D40" s="54" t="s">
        <v>118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77"/>
      <c r="T40" s="77"/>
      <c r="U40" s="77"/>
    </row>
    <row r="41" spans="4:32" outlineLevel="1" x14ac:dyDescent="0.25">
      <c r="D41" s="51" t="s">
        <v>43</v>
      </c>
      <c r="E41" s="51"/>
      <c r="F41" s="51"/>
      <c r="G41" s="51"/>
      <c r="H41" s="51"/>
      <c r="I41" s="51"/>
      <c r="J41" s="51"/>
      <c r="K41" s="51">
        <v>2024</v>
      </c>
      <c r="L41" s="51">
        <f>K41+1</f>
        <v>2025</v>
      </c>
      <c r="M41" s="51">
        <f t="shared" ref="M41" si="28">L41+1</f>
        <v>2026</v>
      </c>
      <c r="N41" s="51">
        <f t="shared" ref="N41" si="29">M41+1</f>
        <v>2027</v>
      </c>
      <c r="O41" s="51">
        <f t="shared" ref="O41" si="30">N41+1</f>
        <v>2028</v>
      </c>
      <c r="P41" s="51">
        <f t="shared" ref="P41" si="31">O41+1</f>
        <v>2029</v>
      </c>
      <c r="Q41" s="51">
        <f t="shared" ref="Q41" si="32">P41+1</f>
        <v>2030</v>
      </c>
      <c r="R41" s="51"/>
      <c r="S41" s="66" t="s">
        <v>33</v>
      </c>
      <c r="T41" s="66"/>
      <c r="U41" s="66"/>
    </row>
    <row r="42" spans="4:32" outlineLevel="1" x14ac:dyDescent="0.25"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 t="s">
        <v>15</v>
      </c>
      <c r="R42" s="51" t="s">
        <v>14</v>
      </c>
      <c r="S42" s="71"/>
      <c r="T42" s="71"/>
      <c r="U42" s="71"/>
    </row>
    <row r="43" spans="4:32" outlineLevel="1" x14ac:dyDescent="0.25">
      <c r="D43" s="33" t="s">
        <v>18</v>
      </c>
      <c r="E43" s="33" t="s">
        <v>39</v>
      </c>
      <c r="F43" s="33" t="s">
        <v>3</v>
      </c>
      <c r="G43" s="33" t="s">
        <v>6</v>
      </c>
      <c r="H43" s="33"/>
      <c r="I43" s="33"/>
      <c r="J43" s="33" t="s">
        <v>19</v>
      </c>
      <c r="K43" s="48">
        <v>10.1867572156197</v>
      </c>
      <c r="L43" s="48">
        <f t="shared" ref="L43:Q43" si="33">(L47*10^6/L182)/1000</f>
        <v>10.065436019377088</v>
      </c>
      <c r="M43" s="48">
        <f t="shared" si="33"/>
        <v>10.444051251866288</v>
      </c>
      <c r="N43" s="48">
        <f t="shared" si="33"/>
        <v>10.804002612852928</v>
      </c>
      <c r="O43" s="48">
        <f t="shared" si="33"/>
        <v>10.845376502957928</v>
      </c>
      <c r="P43" s="48">
        <f t="shared" si="33"/>
        <v>10.884806679032355</v>
      </c>
      <c r="Q43" s="48">
        <f t="shared" si="33"/>
        <v>10.922426968833056</v>
      </c>
      <c r="R43" s="48">
        <f>Q43</f>
        <v>10.922426968833056</v>
      </c>
      <c r="S43" s="48">
        <f>+R43-K43</f>
        <v>0.73566975321335626</v>
      </c>
      <c r="T43" s="48">
        <f>+S43+S44</f>
        <v>0.73566975321335626</v>
      </c>
      <c r="U43" s="33"/>
    </row>
    <row r="44" spans="4:32" outlineLevel="1" x14ac:dyDescent="0.25">
      <c r="D44" s="33" t="s">
        <v>18</v>
      </c>
      <c r="E44" s="33" t="s">
        <v>39</v>
      </c>
      <c r="F44" s="33" t="s">
        <v>4</v>
      </c>
      <c r="G44" s="33" t="s">
        <v>6</v>
      </c>
      <c r="H44" s="33"/>
      <c r="I44" s="33"/>
      <c r="J44" s="33" t="s">
        <v>19</v>
      </c>
      <c r="K44" s="48">
        <v>3.1530063548965299</v>
      </c>
      <c r="L44" s="112">
        <v>3.1530063548965299</v>
      </c>
      <c r="M44" s="112">
        <v>3.1530063548965299</v>
      </c>
      <c r="N44" s="112">
        <v>3.1530063548965299</v>
      </c>
      <c r="O44" s="112">
        <v>3.1530063548965299</v>
      </c>
      <c r="P44" s="112">
        <v>3.1530063548965299</v>
      </c>
      <c r="Q44" s="112">
        <v>3.1530063548965299</v>
      </c>
      <c r="R44" s="112">
        <v>3.1530063548965299</v>
      </c>
      <c r="S44" s="48">
        <f>+R44-K44</f>
        <v>0</v>
      </c>
      <c r="T44" s="33"/>
      <c r="U44" s="33"/>
    </row>
    <row r="45" spans="4:32" outlineLevel="1" x14ac:dyDescent="0.25">
      <c r="D45" s="11" t="s">
        <v>18</v>
      </c>
      <c r="E45" s="11" t="s">
        <v>39</v>
      </c>
      <c r="F45" s="11" t="s">
        <v>4</v>
      </c>
      <c r="G45" s="11" t="s">
        <v>7</v>
      </c>
      <c r="H45" s="11"/>
      <c r="I45" s="11"/>
      <c r="J45" s="11" t="s">
        <v>19</v>
      </c>
      <c r="K45" s="49">
        <v>7</v>
      </c>
      <c r="L45" s="49">
        <f>(L49*10^6/L184)/1000</f>
        <v>7.3055584011607877</v>
      </c>
      <c r="M45" s="49">
        <f>(M49*10^6/M184)/1000</f>
        <v>7.4057817967779087</v>
      </c>
      <c r="N45" s="49">
        <f>(N49*10^6/N184)/1000</f>
        <v>7.5010646712093143</v>
      </c>
      <c r="O45" s="49">
        <f>(O49*10^6/O184)/1000</f>
        <v>7.5917635520705442</v>
      </c>
      <c r="P45" s="49">
        <f>(P49*10^6/P184)/1000</f>
        <v>7.678201468182281</v>
      </c>
      <c r="Q45" s="49">
        <v>7.8960412386717787</v>
      </c>
      <c r="R45" s="49">
        <f>Q45</f>
        <v>7.8960412386717787</v>
      </c>
      <c r="S45" s="34"/>
      <c r="T45" s="34"/>
      <c r="U45" s="34"/>
    </row>
    <row r="46" spans="4:32" outlineLevel="1" x14ac:dyDescent="0.25">
      <c r="D46" s="40" t="s">
        <v>18</v>
      </c>
      <c r="E46" s="40" t="s">
        <v>39</v>
      </c>
      <c r="F46" s="40" t="s">
        <v>25</v>
      </c>
      <c r="G46" s="40" t="s">
        <v>25</v>
      </c>
      <c r="H46" s="40"/>
      <c r="I46" s="40"/>
      <c r="J46" s="40" t="s">
        <v>19</v>
      </c>
      <c r="K46" s="41">
        <f>SUM(K43:K45)</f>
        <v>20.339763570516229</v>
      </c>
      <c r="L46" s="41">
        <f t="shared" ref="L46" si="34">SUM(L43:L45)</f>
        <v>20.524000775434406</v>
      </c>
      <c r="M46" s="41">
        <f t="shared" ref="M46" si="35">SUM(M43:M45)</f>
        <v>21.002839403540726</v>
      </c>
      <c r="N46" s="41">
        <f t="shared" ref="N46" si="36">SUM(N43:N45)</f>
        <v>21.458073638958773</v>
      </c>
      <c r="O46" s="41">
        <f t="shared" ref="O46" si="37">SUM(O43:O45)</f>
        <v>21.590146409925001</v>
      </c>
      <c r="P46" s="41">
        <f t="shared" ref="P46" si="38">SUM(P43:P45)</f>
        <v>21.716014502111165</v>
      </c>
      <c r="Q46" s="41">
        <f t="shared" ref="Q46" si="39">SUM(Q43:Q45)</f>
        <v>21.971474562401365</v>
      </c>
      <c r="R46" s="41">
        <f t="shared" ref="R46" si="40">SUM(R43:R45)</f>
        <v>21.971474562401365</v>
      </c>
      <c r="S46" s="29"/>
      <c r="T46" s="29"/>
      <c r="U46" s="29"/>
    </row>
    <row r="47" spans="4:32" outlineLevel="1" x14ac:dyDescent="0.25">
      <c r="D47" s="33" t="s">
        <v>20</v>
      </c>
      <c r="E47" s="33" t="s">
        <v>39</v>
      </c>
      <c r="F47" s="33" t="s">
        <v>3</v>
      </c>
      <c r="G47" s="33" t="s">
        <v>6</v>
      </c>
      <c r="H47" s="33"/>
      <c r="I47" s="33"/>
      <c r="J47" s="33" t="s">
        <v>17</v>
      </c>
      <c r="K47" s="48">
        <v>152.80135823429549</v>
      </c>
      <c r="L47" s="48">
        <v>155</v>
      </c>
      <c r="M47" s="48">
        <v>165</v>
      </c>
      <c r="N47" s="48">
        <v>175</v>
      </c>
      <c r="O47" s="48">
        <v>180</v>
      </c>
      <c r="P47" s="48">
        <v>185</v>
      </c>
      <c r="Q47" s="48">
        <v>190</v>
      </c>
      <c r="R47" s="48">
        <v>190</v>
      </c>
      <c r="S47" s="48">
        <f>+R47-K47</f>
        <v>37.198641765704508</v>
      </c>
      <c r="T47" s="33"/>
      <c r="U47" s="33"/>
    </row>
    <row r="48" spans="4:32" outlineLevel="1" x14ac:dyDescent="0.25">
      <c r="D48" s="33" t="s">
        <v>20</v>
      </c>
      <c r="E48" s="33" t="s">
        <v>39</v>
      </c>
      <c r="F48" s="33" t="s">
        <v>4</v>
      </c>
      <c r="G48" s="33" t="s">
        <v>6</v>
      </c>
      <c r="H48" s="33"/>
      <c r="I48" s="33"/>
      <c r="J48" s="33" t="s">
        <v>17</v>
      </c>
      <c r="K48" s="48">
        <v>29.953560371517032</v>
      </c>
      <c r="L48" s="48">
        <f>K48</f>
        <v>29.953560371517032</v>
      </c>
      <c r="M48" s="48">
        <f t="shared" ref="M48:R48" si="41">L48</f>
        <v>29.953560371517032</v>
      </c>
      <c r="N48" s="48">
        <f t="shared" si="41"/>
        <v>29.953560371517032</v>
      </c>
      <c r="O48" s="48">
        <f t="shared" si="41"/>
        <v>29.953560371517032</v>
      </c>
      <c r="P48" s="48">
        <f t="shared" si="41"/>
        <v>29.953560371517032</v>
      </c>
      <c r="Q48" s="48">
        <f t="shared" si="41"/>
        <v>29.953560371517032</v>
      </c>
      <c r="R48" s="48">
        <f t="shared" si="41"/>
        <v>29.953560371517032</v>
      </c>
      <c r="S48" s="48"/>
      <c r="T48" s="33"/>
      <c r="U48" s="33"/>
    </row>
    <row r="49" spans="4:21" outlineLevel="1" x14ac:dyDescent="0.25">
      <c r="D49" s="11" t="s">
        <v>20</v>
      </c>
      <c r="E49" s="11" t="s">
        <v>39</v>
      </c>
      <c r="F49" s="11" t="s">
        <v>4</v>
      </c>
      <c r="G49" s="34" t="s">
        <v>7</v>
      </c>
      <c r="H49" s="34"/>
      <c r="I49" s="11"/>
      <c r="J49" s="33" t="s">
        <v>17</v>
      </c>
      <c r="K49" s="49">
        <v>37</v>
      </c>
      <c r="L49" s="49">
        <v>37.5</v>
      </c>
      <c r="M49" s="49">
        <v>39</v>
      </c>
      <c r="N49" s="49">
        <v>40.5</v>
      </c>
      <c r="O49" s="49">
        <v>42</v>
      </c>
      <c r="P49" s="49">
        <v>43.5</v>
      </c>
      <c r="Q49" s="49">
        <v>45</v>
      </c>
      <c r="R49" s="49">
        <v>45</v>
      </c>
      <c r="S49" s="48"/>
      <c r="T49" s="33"/>
      <c r="U49" s="33"/>
    </row>
    <row r="50" spans="4:21" outlineLevel="1" x14ac:dyDescent="0.25">
      <c r="D50" s="40" t="s">
        <v>18</v>
      </c>
      <c r="E50" s="40" t="s">
        <v>39</v>
      </c>
      <c r="F50" s="40" t="s">
        <v>25</v>
      </c>
      <c r="G50" s="40" t="s">
        <v>25</v>
      </c>
      <c r="H50" s="40"/>
      <c r="I50" s="40"/>
      <c r="J50" s="40" t="s">
        <v>19</v>
      </c>
      <c r="K50" s="41">
        <f>SUM(K47:K49)</f>
        <v>219.75491860581252</v>
      </c>
      <c r="L50" s="41">
        <f t="shared" ref="L50" si="42">SUM(L47:L49)</f>
        <v>222.45356037151703</v>
      </c>
      <c r="M50" s="41">
        <f t="shared" ref="M50" si="43">SUM(M47:M49)</f>
        <v>233.95356037151703</v>
      </c>
      <c r="N50" s="41">
        <f t="shared" ref="N50" si="44">SUM(N47:N49)</f>
        <v>245.45356037151703</v>
      </c>
      <c r="O50" s="41">
        <f t="shared" ref="O50" si="45">SUM(O47:O49)</f>
        <v>251.95356037151703</v>
      </c>
      <c r="P50" s="41">
        <f t="shared" ref="P50" si="46">SUM(P47:P49)</f>
        <v>258.45356037151703</v>
      </c>
      <c r="Q50" s="41">
        <f t="shared" ref="Q50" si="47">SUM(Q47:Q49)</f>
        <v>264.95356037151703</v>
      </c>
      <c r="R50" s="41">
        <f t="shared" ref="R50" si="48">SUM(R47:R49)</f>
        <v>264.95356037151703</v>
      </c>
      <c r="S50" s="33"/>
      <c r="T50" s="33"/>
      <c r="U50" s="33"/>
    </row>
    <row r="51" spans="4:21" outlineLevel="1" x14ac:dyDescent="0.25">
      <c r="D51" s="29" t="s">
        <v>16</v>
      </c>
      <c r="E51" s="2" t="s">
        <v>39</v>
      </c>
      <c r="F51" s="2" t="s">
        <v>3</v>
      </c>
      <c r="G51" s="33" t="s">
        <v>6</v>
      </c>
      <c r="H51" s="2"/>
      <c r="I51" s="2"/>
      <c r="J51" s="2" t="s">
        <v>17</v>
      </c>
      <c r="K51" s="48">
        <v>10</v>
      </c>
      <c r="L51" s="48">
        <f t="shared" ref="L51:R53" si="49">L43*1000*L189/10^6</f>
        <v>10.143888888888881</v>
      </c>
      <c r="M51" s="48">
        <f t="shared" si="49"/>
        <v>10.798333333333325</v>
      </c>
      <c r="N51" s="48">
        <f t="shared" si="49"/>
        <v>11.452777777777769</v>
      </c>
      <c r="O51" s="48">
        <f t="shared" si="49"/>
        <v>11.779999999999992</v>
      </c>
      <c r="P51" s="48">
        <f t="shared" si="49"/>
        <v>12.107222222222214</v>
      </c>
      <c r="Q51" s="48">
        <f t="shared" si="49"/>
        <v>12.434444444444436</v>
      </c>
      <c r="R51" s="48">
        <f t="shared" si="49"/>
        <v>12.434444444444436</v>
      </c>
      <c r="S51" s="33"/>
      <c r="T51" s="33"/>
      <c r="U51" s="33"/>
    </row>
    <row r="52" spans="4:21" outlineLevel="1" x14ac:dyDescent="0.25">
      <c r="D52" s="29" t="s">
        <v>16</v>
      </c>
      <c r="E52" s="33" t="s">
        <v>39</v>
      </c>
      <c r="F52" s="33" t="s">
        <v>4</v>
      </c>
      <c r="G52" s="33" t="s">
        <v>6</v>
      </c>
      <c r="H52" s="33"/>
      <c r="I52" s="33"/>
      <c r="J52" s="33" t="s">
        <v>17</v>
      </c>
      <c r="K52" s="48">
        <v>4.3</v>
      </c>
      <c r="L52" s="48">
        <f t="shared" si="49"/>
        <v>4.4144469497192373</v>
      </c>
      <c r="M52" s="48">
        <f t="shared" si="49"/>
        <v>4.528893899438474</v>
      </c>
      <c r="N52" s="48">
        <f t="shared" si="49"/>
        <v>4.6433408491577124</v>
      </c>
      <c r="O52" s="48">
        <f t="shared" si="49"/>
        <v>4.7577877988769508</v>
      </c>
      <c r="P52" s="48">
        <f t="shared" si="49"/>
        <v>4.8722347485961892</v>
      </c>
      <c r="Q52" s="48">
        <f t="shared" si="49"/>
        <v>4.9866816983154276</v>
      </c>
      <c r="R52" s="48">
        <f t="shared" si="49"/>
        <v>4.9866816983154276</v>
      </c>
      <c r="S52" s="33"/>
      <c r="T52" s="33"/>
      <c r="U52" s="33"/>
    </row>
    <row r="53" spans="4:21" outlineLevel="1" x14ac:dyDescent="0.25">
      <c r="D53" s="34" t="s">
        <v>16</v>
      </c>
      <c r="E53" s="34" t="s">
        <v>39</v>
      </c>
      <c r="F53" s="34" t="s">
        <v>4</v>
      </c>
      <c r="G53" s="34" t="s">
        <v>7</v>
      </c>
      <c r="H53" s="34"/>
      <c r="I53" s="34"/>
      <c r="J53" s="34" t="s">
        <v>17</v>
      </c>
      <c r="K53" s="49">
        <v>5</v>
      </c>
      <c r="L53" s="49">
        <f t="shared" si="49"/>
        <v>5.383333333333332</v>
      </c>
      <c r="M53" s="49">
        <f t="shared" si="49"/>
        <v>5.5986666666666647</v>
      </c>
      <c r="N53" s="49">
        <f t="shared" si="49"/>
        <v>5.8139999999999983</v>
      </c>
      <c r="O53" s="49">
        <f t="shared" si="49"/>
        <v>6.029333333333331</v>
      </c>
      <c r="P53" s="49">
        <f t="shared" si="49"/>
        <v>6.2446666666666655</v>
      </c>
      <c r="Q53" s="49">
        <f t="shared" si="49"/>
        <v>6.5726818190652105</v>
      </c>
      <c r="R53" s="49">
        <f t="shared" si="49"/>
        <v>6.5726818190652105</v>
      </c>
      <c r="S53" s="33"/>
      <c r="T53" s="33"/>
      <c r="U53" s="33"/>
    </row>
    <row r="54" spans="4:21" outlineLevel="1" x14ac:dyDescent="0.25">
      <c r="D54" s="5" t="s">
        <v>16</v>
      </c>
      <c r="E54" s="5" t="s">
        <v>39</v>
      </c>
      <c r="F54" s="5" t="s">
        <v>25</v>
      </c>
      <c r="G54" s="5" t="s">
        <v>25</v>
      </c>
      <c r="H54" s="5"/>
      <c r="I54" s="5"/>
      <c r="J54" s="40" t="s">
        <v>17</v>
      </c>
      <c r="K54" s="42">
        <f>SUM(K51:K53)</f>
        <v>19.3</v>
      </c>
      <c r="L54" s="42">
        <f t="shared" ref="L54" si="50">SUM(L51:L53)</f>
        <v>19.941669171941452</v>
      </c>
      <c r="M54" s="42">
        <f t="shared" ref="M54" si="51">SUM(M51:M53)</f>
        <v>20.925893899438464</v>
      </c>
      <c r="N54" s="42">
        <f t="shared" ref="N54" si="52">SUM(N51:N53)</f>
        <v>21.910118626935478</v>
      </c>
      <c r="O54" s="42">
        <f t="shared" ref="O54" si="53">SUM(O51:O53)</f>
        <v>22.567121132210271</v>
      </c>
      <c r="P54" s="42">
        <f t="shared" ref="P54" si="54">SUM(P51:P53)</f>
        <v>23.224123637485071</v>
      </c>
      <c r="Q54" s="42">
        <f t="shared" ref="Q54" si="55">SUM(Q51:Q53)</f>
        <v>23.993807961825073</v>
      </c>
      <c r="R54" s="42">
        <f t="shared" ref="R54" si="56">SUM(R51:R53)</f>
        <v>23.993807961825073</v>
      </c>
      <c r="S54" s="33"/>
      <c r="T54" s="33"/>
      <c r="U54" s="33"/>
    </row>
    <row r="55" spans="4:21" ht="14.4" outlineLevel="1" x14ac:dyDescent="0.3">
      <c r="D55" s="29" t="s">
        <v>42</v>
      </c>
      <c r="E55" s="29" t="s">
        <v>39</v>
      </c>
      <c r="F55" s="29" t="s">
        <v>3</v>
      </c>
      <c r="G55" s="33" t="s">
        <v>6</v>
      </c>
      <c r="H55" s="29"/>
      <c r="I55" s="29"/>
      <c r="J55" s="29" t="s">
        <v>17</v>
      </c>
      <c r="K55" s="58">
        <f t="shared" ref="K55:R57" si="57">K51*_xlfn.XLOOKUP($G55&amp;$F55,$C$196:$C$198,K$196:K$198,,0)</f>
        <v>2.9333286315474743</v>
      </c>
      <c r="L55" s="48">
        <f t="shared" si="57"/>
        <v>2.7388464229204987</v>
      </c>
      <c r="M55" s="48">
        <f t="shared" si="57"/>
        <v>2.6635863503163391</v>
      </c>
      <c r="N55" s="48">
        <f t="shared" si="57"/>
        <v>2.5577856908243204</v>
      </c>
      <c r="O55" s="48">
        <f t="shared" si="57"/>
        <v>2.3559999999999985</v>
      </c>
      <c r="P55" s="48">
        <f t="shared" si="57"/>
        <v>2.4214444444444432</v>
      </c>
      <c r="Q55" s="48">
        <f t="shared" si="57"/>
        <v>2.4868888888888874</v>
      </c>
      <c r="R55" s="48">
        <f t="shared" si="57"/>
        <v>3.108611111111109</v>
      </c>
      <c r="S55" s="64" t="s">
        <v>45</v>
      </c>
      <c r="T55" s="33"/>
      <c r="U55" s="33"/>
    </row>
    <row r="56" spans="4:21" ht="14.4" outlineLevel="1" x14ac:dyDescent="0.3">
      <c r="D56" s="33" t="s">
        <v>42</v>
      </c>
      <c r="E56" s="33" t="s">
        <v>39</v>
      </c>
      <c r="F56" s="33" t="s">
        <v>4</v>
      </c>
      <c r="G56" s="33" t="s">
        <v>6</v>
      </c>
      <c r="H56" s="33"/>
      <c r="I56" s="33"/>
      <c r="J56" s="33" t="s">
        <v>17</v>
      </c>
      <c r="K56" s="48">
        <f t="shared" si="57"/>
        <v>0.60199999999999998</v>
      </c>
      <c r="L56" s="48">
        <f t="shared" si="57"/>
        <v>0.58270699736293941</v>
      </c>
      <c r="M56" s="48">
        <f t="shared" si="57"/>
        <v>0.5615828435303708</v>
      </c>
      <c r="N56" s="48">
        <f t="shared" si="57"/>
        <v>0.53862753850229472</v>
      </c>
      <c r="O56" s="48">
        <f t="shared" si="57"/>
        <v>0.51384108227871073</v>
      </c>
      <c r="P56" s="48">
        <f t="shared" si="57"/>
        <v>0.48722347485961892</v>
      </c>
      <c r="Q56" s="48">
        <f t="shared" si="57"/>
        <v>0.59840180379785124</v>
      </c>
      <c r="R56" s="48">
        <f t="shared" si="57"/>
        <v>0.74800225474731408</v>
      </c>
      <c r="S56" s="64" t="s">
        <v>119</v>
      </c>
      <c r="T56" s="33"/>
      <c r="U56" s="33"/>
    </row>
    <row r="57" spans="4:21" ht="14.4" outlineLevel="1" x14ac:dyDescent="0.3">
      <c r="D57" s="34" t="s">
        <v>42</v>
      </c>
      <c r="E57" s="34" t="s">
        <v>39</v>
      </c>
      <c r="F57" s="34" t="s">
        <v>4</v>
      </c>
      <c r="G57" s="34" t="s">
        <v>7</v>
      </c>
      <c r="H57" s="34"/>
      <c r="I57" s="34"/>
      <c r="J57" s="34" t="s">
        <v>17</v>
      </c>
      <c r="K57" s="49">
        <f t="shared" si="57"/>
        <v>0.75</v>
      </c>
      <c r="L57" s="49">
        <f t="shared" si="57"/>
        <v>0.80749999999999977</v>
      </c>
      <c r="M57" s="49">
        <f t="shared" si="57"/>
        <v>0.83979999999999966</v>
      </c>
      <c r="N57" s="49">
        <f t="shared" si="57"/>
        <v>0.87209999999999976</v>
      </c>
      <c r="O57" s="49">
        <f t="shared" si="57"/>
        <v>0.90439999999999965</v>
      </c>
      <c r="P57" s="49">
        <f t="shared" si="57"/>
        <v>0.93669999999999976</v>
      </c>
      <c r="Q57" s="49">
        <f t="shared" si="57"/>
        <v>0.98590227285978149</v>
      </c>
      <c r="R57" s="49">
        <f t="shared" si="57"/>
        <v>0.98590227285978149</v>
      </c>
      <c r="S57" s="64" t="s">
        <v>47</v>
      </c>
      <c r="T57" s="33"/>
      <c r="U57" s="33"/>
    </row>
    <row r="58" spans="4:21" outlineLevel="1" x14ac:dyDescent="0.25">
      <c r="D58" s="5" t="s">
        <v>42</v>
      </c>
      <c r="E58" s="5" t="s">
        <v>39</v>
      </c>
      <c r="F58" s="5" t="s">
        <v>25</v>
      </c>
      <c r="G58" s="5" t="s">
        <v>25</v>
      </c>
      <c r="H58" s="5"/>
      <c r="I58" s="5"/>
      <c r="J58" s="40" t="s">
        <v>17</v>
      </c>
      <c r="K58" s="42">
        <f>SUM(K55:K57)</f>
        <v>4.2853286315474737</v>
      </c>
      <c r="L58" s="42">
        <f t="shared" ref="L58" si="58">SUM(L55:L57)</f>
        <v>4.1290534202834381</v>
      </c>
      <c r="M58" s="42">
        <f t="shared" ref="M58" si="59">SUM(M55:M57)</f>
        <v>4.0649691938467098</v>
      </c>
      <c r="N58" s="42">
        <f t="shared" ref="N58" si="60">SUM(N55:N57)</f>
        <v>3.9685132293266148</v>
      </c>
      <c r="O58" s="42">
        <f t="shared" ref="O58" si="61">SUM(O55:O57)</f>
        <v>3.7742410822787091</v>
      </c>
      <c r="P58" s="42">
        <f t="shared" ref="P58" si="62">SUM(P55:P57)</f>
        <v>3.8453679193040617</v>
      </c>
      <c r="Q58" s="42">
        <f t="shared" ref="Q58" si="63">SUM(Q55:Q57)</f>
        <v>4.07119296554652</v>
      </c>
      <c r="R58" s="42">
        <f t="shared" ref="R58" si="64">SUM(R55:R57)</f>
        <v>4.8425156387182042</v>
      </c>
      <c r="S58" s="79"/>
      <c r="T58" s="79"/>
      <c r="U58" s="33"/>
    </row>
    <row r="59" spans="4:21" outlineLevel="1" x14ac:dyDescent="0.25">
      <c r="D59" s="29" t="s">
        <v>48</v>
      </c>
      <c r="E59" s="29" t="s">
        <v>39</v>
      </c>
      <c r="F59" s="29" t="s">
        <v>3</v>
      </c>
      <c r="G59" s="29" t="s">
        <v>6</v>
      </c>
      <c r="H59" s="29"/>
      <c r="I59" s="29"/>
      <c r="J59" s="29" t="s">
        <v>17</v>
      </c>
      <c r="K59" s="48">
        <f>K51-K55</f>
        <v>7.0666713684525257</v>
      </c>
      <c r="L59" s="48">
        <f t="shared" ref="L59:R60" si="65">L51-L55</f>
        <v>7.405042465968382</v>
      </c>
      <c r="M59" s="48">
        <f t="shared" si="65"/>
        <v>8.134746983016985</v>
      </c>
      <c r="N59" s="48">
        <f t="shared" si="65"/>
        <v>8.8949920869534473</v>
      </c>
      <c r="O59" s="48">
        <f t="shared" si="65"/>
        <v>9.4239999999999942</v>
      </c>
      <c r="P59" s="48">
        <f t="shared" si="65"/>
        <v>9.6857777777777709</v>
      </c>
      <c r="Q59" s="48">
        <f t="shared" si="65"/>
        <v>9.9475555555555495</v>
      </c>
      <c r="R59" s="48">
        <f t="shared" si="65"/>
        <v>9.3258333333333265</v>
      </c>
      <c r="S59" s="33"/>
      <c r="T59" s="33"/>
      <c r="U59" s="33"/>
    </row>
    <row r="60" spans="4:21" outlineLevel="1" x14ac:dyDescent="0.25">
      <c r="D60" s="30" t="s">
        <v>48</v>
      </c>
      <c r="E60" s="30" t="s">
        <v>39</v>
      </c>
      <c r="F60" s="30" t="s">
        <v>4</v>
      </c>
      <c r="G60" s="30" t="s">
        <v>6</v>
      </c>
      <c r="H60" s="30"/>
      <c r="I60" s="30"/>
      <c r="J60" s="30" t="s">
        <v>17</v>
      </c>
      <c r="K60" s="48">
        <f t="shared" ref="K60" si="66">K52-K56</f>
        <v>3.698</v>
      </c>
      <c r="L60" s="48">
        <f t="shared" si="65"/>
        <v>3.8317399523562981</v>
      </c>
      <c r="M60" s="48">
        <f t="shared" si="65"/>
        <v>3.9673110559081031</v>
      </c>
      <c r="N60" s="48">
        <f t="shared" si="65"/>
        <v>4.1047133106554181</v>
      </c>
      <c r="O60" s="48">
        <f t="shared" si="65"/>
        <v>4.2439467165982396</v>
      </c>
      <c r="P60" s="48">
        <f t="shared" si="65"/>
        <v>4.3850112737365698</v>
      </c>
      <c r="Q60" s="48">
        <f t="shared" si="65"/>
        <v>4.3882798945175763</v>
      </c>
      <c r="R60" s="48">
        <f t="shared" si="65"/>
        <v>4.2386794435681132</v>
      </c>
      <c r="S60" s="33"/>
      <c r="T60" s="33"/>
      <c r="U60" s="33"/>
    </row>
    <row r="61" spans="4:21" outlineLevel="1" x14ac:dyDescent="0.25">
      <c r="D61" s="34" t="s">
        <v>48</v>
      </c>
      <c r="E61" s="34" t="s">
        <v>39</v>
      </c>
      <c r="F61" s="34" t="s">
        <v>4</v>
      </c>
      <c r="G61" s="34" t="s">
        <v>7</v>
      </c>
      <c r="H61" s="34"/>
      <c r="I61" s="34"/>
      <c r="J61" s="34" t="s">
        <v>17</v>
      </c>
      <c r="K61" s="49">
        <f t="shared" ref="K61:R61" si="67">K53-K57</f>
        <v>4.25</v>
      </c>
      <c r="L61" s="49">
        <f t="shared" si="67"/>
        <v>4.5758333333333319</v>
      </c>
      <c r="M61" s="49">
        <f t="shared" si="67"/>
        <v>4.7588666666666652</v>
      </c>
      <c r="N61" s="49">
        <f t="shared" si="67"/>
        <v>4.9418999999999986</v>
      </c>
      <c r="O61" s="49">
        <f t="shared" si="67"/>
        <v>5.1249333333333311</v>
      </c>
      <c r="P61" s="49">
        <f t="shared" si="67"/>
        <v>5.3079666666666654</v>
      </c>
      <c r="Q61" s="49">
        <f t="shared" si="67"/>
        <v>5.5867795462054293</v>
      </c>
      <c r="R61" s="49">
        <f t="shared" si="67"/>
        <v>5.5867795462054293</v>
      </c>
      <c r="S61" s="33"/>
      <c r="T61" s="33"/>
      <c r="U61" s="33"/>
    </row>
    <row r="62" spans="4:21" outlineLevel="1" x14ac:dyDescent="0.25">
      <c r="D62" s="5" t="s">
        <v>48</v>
      </c>
      <c r="E62" s="5" t="s">
        <v>39</v>
      </c>
      <c r="F62" s="5" t="s">
        <v>25</v>
      </c>
      <c r="G62" s="5" t="s">
        <v>25</v>
      </c>
      <c r="H62" s="5"/>
      <c r="I62" s="5"/>
      <c r="J62" s="40" t="s">
        <v>17</v>
      </c>
      <c r="K62" s="42">
        <f>SUM(K59:K61)</f>
        <v>15.014671368452525</v>
      </c>
      <c r="L62" s="42">
        <f t="shared" ref="L62" si="68">SUM(L59:L61)</f>
        <v>15.812615751658011</v>
      </c>
      <c r="M62" s="42">
        <f t="shared" ref="M62" si="69">SUM(M59:M61)</f>
        <v>16.860924705591753</v>
      </c>
      <c r="N62" s="42">
        <f t="shared" ref="N62" si="70">SUM(N59:N61)</f>
        <v>17.941605397608864</v>
      </c>
      <c r="O62" s="42">
        <f t="shared" ref="O62" si="71">SUM(O59:O61)</f>
        <v>18.792880049931565</v>
      </c>
      <c r="P62" s="42">
        <f t="shared" ref="P62" si="72">SUM(P59:P61)</f>
        <v>19.378755718181004</v>
      </c>
      <c r="Q62" s="42">
        <f t="shared" ref="Q62" si="73">SUM(Q59:Q61)</f>
        <v>19.922614996278554</v>
      </c>
      <c r="R62" s="42">
        <f t="shared" ref="R62" si="74">SUM(R59:R61)</f>
        <v>19.151292323106869</v>
      </c>
      <c r="S62" s="33"/>
      <c r="T62" s="33"/>
      <c r="U62" s="33"/>
    </row>
    <row r="63" spans="4:21" outlineLevel="1" x14ac:dyDescent="0.25">
      <c r="D63" s="18" t="s">
        <v>49</v>
      </c>
      <c r="E63" s="18" t="s">
        <v>39</v>
      </c>
      <c r="F63" s="18" t="s">
        <v>25</v>
      </c>
      <c r="G63" s="18" t="s">
        <v>25</v>
      </c>
      <c r="H63" s="18"/>
      <c r="I63" s="18"/>
      <c r="J63" s="18"/>
      <c r="K63" s="49"/>
      <c r="L63" s="49"/>
      <c r="M63" s="49"/>
      <c r="N63" s="49"/>
      <c r="O63" s="49"/>
      <c r="P63" s="49"/>
      <c r="Q63" s="49"/>
      <c r="R63" s="49"/>
      <c r="S63" s="33"/>
      <c r="T63" s="33"/>
      <c r="U63" s="33"/>
    </row>
    <row r="64" spans="4:21" outlineLevel="1" x14ac:dyDescent="0.25"/>
    <row r="65" spans="2:23" x14ac:dyDescent="0.25">
      <c r="D65" s="32" t="s">
        <v>50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77"/>
      <c r="T65" s="77"/>
      <c r="U65" s="77"/>
    </row>
    <row r="66" spans="2:23" x14ac:dyDescent="0.25">
      <c r="D66" s="51" t="s">
        <v>43</v>
      </c>
      <c r="E66" s="51"/>
      <c r="F66" s="51"/>
      <c r="G66" s="51"/>
      <c r="H66" s="51"/>
      <c r="I66" s="51"/>
      <c r="J66" s="51"/>
      <c r="K66" s="51">
        <v>2024</v>
      </c>
      <c r="L66" s="51">
        <f>K66+1</f>
        <v>2025</v>
      </c>
      <c r="M66" s="51">
        <f t="shared" ref="M66" si="75">L66+1</f>
        <v>2026</v>
      </c>
      <c r="N66" s="51">
        <f t="shared" ref="N66" si="76">M66+1</f>
        <v>2027</v>
      </c>
      <c r="O66" s="51">
        <f t="shared" ref="O66" si="77">N66+1</f>
        <v>2028</v>
      </c>
      <c r="P66" s="51">
        <f t="shared" ref="P66" si="78">O66+1</f>
        <v>2029</v>
      </c>
      <c r="Q66" s="51">
        <f t="shared" ref="Q66" si="79">P66+1</f>
        <v>2030</v>
      </c>
      <c r="R66" s="51"/>
      <c r="S66" s="66" t="s">
        <v>33</v>
      </c>
      <c r="T66" s="66"/>
      <c r="U66" s="66"/>
    </row>
    <row r="67" spans="2:23" x14ac:dyDescent="0.25"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 t="s">
        <v>15</v>
      </c>
      <c r="R67" s="51" t="s">
        <v>14</v>
      </c>
      <c r="S67" s="71"/>
      <c r="T67" s="71"/>
      <c r="U67" s="71"/>
    </row>
    <row r="68" spans="2:23" x14ac:dyDescent="0.25">
      <c r="D68" s="33" t="s">
        <v>18</v>
      </c>
      <c r="E68" s="33" t="s">
        <v>39</v>
      </c>
      <c r="F68" s="33" t="s">
        <v>3</v>
      </c>
      <c r="G68" s="33" t="s">
        <v>6</v>
      </c>
      <c r="H68" s="33"/>
      <c r="I68" s="33"/>
      <c r="J68" s="33" t="s">
        <v>19</v>
      </c>
      <c r="K68" s="48">
        <f t="shared" ref="K68:R70" si="80">SUMIFS(K$104:K$174,$G$104:$G$174,$G68,$F$104:$F$174,$F68,$D$104:$D$174,$D68)</f>
        <v>0</v>
      </c>
      <c r="L68" s="48">
        <f t="shared" si="80"/>
        <v>5.5887096774193561E-2</v>
      </c>
      <c r="M68" s="48">
        <f t="shared" si="80"/>
        <v>0.89040000314675771</v>
      </c>
      <c r="N68" s="48">
        <f t="shared" si="80"/>
        <v>1.0238435590744748</v>
      </c>
      <c r="O68" s="48">
        <f t="shared" si="80"/>
        <v>1.1627641043702337</v>
      </c>
      <c r="P68" s="48">
        <f t="shared" si="80"/>
        <v>1.3067615965007509</v>
      </c>
      <c r="Q68" s="48">
        <f t="shared" si="80"/>
        <v>1.7672730183347281</v>
      </c>
      <c r="R68" s="48">
        <f t="shared" si="80"/>
        <v>2.4848232877328953</v>
      </c>
      <c r="S68" s="33"/>
      <c r="T68" s="33"/>
      <c r="U68" s="33"/>
      <c r="W68">
        <v>175</v>
      </c>
    </row>
    <row r="69" spans="2:23" x14ac:dyDescent="0.25">
      <c r="D69" s="33" t="s">
        <v>18</v>
      </c>
      <c r="E69" s="33" t="s">
        <v>39</v>
      </c>
      <c r="F69" s="33" t="s">
        <v>4</v>
      </c>
      <c r="G69" s="33" t="s">
        <v>6</v>
      </c>
      <c r="H69" s="33"/>
      <c r="I69" s="33"/>
      <c r="J69" s="33" t="s">
        <v>19</v>
      </c>
      <c r="K69" s="48">
        <f t="shared" si="80"/>
        <v>0</v>
      </c>
      <c r="L69" s="48">
        <f t="shared" si="80"/>
        <v>4.361954805313957E-2</v>
      </c>
      <c r="M69" s="48">
        <f t="shared" si="80"/>
        <v>3.1953087835529832</v>
      </c>
      <c r="N69" s="48">
        <f t="shared" si="80"/>
        <v>3.5598240160719516</v>
      </c>
      <c r="O69" s="48">
        <f t="shared" si="80"/>
        <v>6.002511077624475</v>
      </c>
      <c r="P69" s="48">
        <f t="shared" si="80"/>
        <v>6.5273975092565344</v>
      </c>
      <c r="Q69" s="48">
        <f t="shared" si="80"/>
        <v>7.7174832361588415</v>
      </c>
      <c r="R69" s="48">
        <f t="shared" si="80"/>
        <v>8.6290401586683991</v>
      </c>
      <c r="S69" s="33"/>
      <c r="T69" s="33"/>
      <c r="U69" s="33"/>
      <c r="W69">
        <v>27</v>
      </c>
    </row>
    <row r="70" spans="2:23" x14ac:dyDescent="0.25">
      <c r="D70" s="11" t="s">
        <v>18</v>
      </c>
      <c r="E70" s="11" t="s">
        <v>39</v>
      </c>
      <c r="F70" s="11" t="s">
        <v>4</v>
      </c>
      <c r="G70" s="11" t="s">
        <v>7</v>
      </c>
      <c r="H70" s="11"/>
      <c r="I70" s="11"/>
      <c r="J70" s="11" t="s">
        <v>19</v>
      </c>
      <c r="K70" s="49">
        <f t="shared" si="80"/>
        <v>0</v>
      </c>
      <c r="L70" s="49">
        <f t="shared" si="80"/>
        <v>0</v>
      </c>
      <c r="M70" s="49">
        <f t="shared" si="80"/>
        <v>0.21333333333333329</v>
      </c>
      <c r="N70" s="49">
        <f t="shared" si="80"/>
        <v>0.72882203930874212</v>
      </c>
      <c r="O70" s="49">
        <f t="shared" si="80"/>
        <v>1.2522760690512333</v>
      </c>
      <c r="P70" s="49">
        <f t="shared" si="80"/>
        <v>1.7836039076698735</v>
      </c>
      <c r="Q70" s="49">
        <f t="shared" si="80"/>
        <v>1.9576496193786064</v>
      </c>
      <c r="R70" s="49">
        <f t="shared" si="80"/>
        <v>3.315299238757214</v>
      </c>
      <c r="S70" s="34"/>
      <c r="T70" s="34"/>
      <c r="U70" s="34"/>
      <c r="W70">
        <v>34</v>
      </c>
    </row>
    <row r="71" spans="2:23" x14ac:dyDescent="0.25">
      <c r="D71" s="40" t="s">
        <v>18</v>
      </c>
      <c r="E71" s="40" t="s">
        <v>39</v>
      </c>
      <c r="F71" s="40" t="s">
        <v>25</v>
      </c>
      <c r="G71" s="40" t="s">
        <v>25</v>
      </c>
      <c r="H71" s="40"/>
      <c r="I71" s="40"/>
      <c r="J71" s="40" t="s">
        <v>19</v>
      </c>
      <c r="K71" s="41">
        <f>SUM(K68:K70)</f>
        <v>0</v>
      </c>
      <c r="L71" s="41">
        <f t="shared" ref="L71" si="81">SUM(L68:L70)</f>
        <v>9.9506644827333124E-2</v>
      </c>
      <c r="M71" s="41">
        <f t="shared" ref="M71" si="82">SUM(M68:M70)</f>
        <v>4.2990421200330742</v>
      </c>
      <c r="N71" s="41">
        <f t="shared" ref="N71" si="83">SUM(N68:N70)</f>
        <v>5.3124896144551688</v>
      </c>
      <c r="O71" s="41">
        <f t="shared" ref="O71" si="84">SUM(O68:O70)</f>
        <v>8.4175512510459427</v>
      </c>
      <c r="P71" s="41">
        <f t="shared" ref="P71" si="85">SUM(P68:P70)</f>
        <v>9.6177630134271581</v>
      </c>
      <c r="Q71" s="41">
        <f t="shared" ref="Q71" si="86">SUM(Q68:Q70)</f>
        <v>11.442405873872177</v>
      </c>
      <c r="R71" s="41">
        <f t="shared" ref="R71" si="87">SUM(R68:R70)</f>
        <v>14.429162685158509</v>
      </c>
      <c r="S71" s="29"/>
      <c r="T71" s="29"/>
      <c r="U71" s="29"/>
      <c r="W71">
        <v>63</v>
      </c>
    </row>
    <row r="72" spans="2:23" x14ac:dyDescent="0.25">
      <c r="D72" s="33" t="s">
        <v>20</v>
      </c>
      <c r="E72" s="33" t="s">
        <v>39</v>
      </c>
      <c r="F72" s="33" t="s">
        <v>3</v>
      </c>
      <c r="G72" s="33" t="s">
        <v>6</v>
      </c>
      <c r="H72" s="33"/>
      <c r="I72" s="33"/>
      <c r="J72" s="33" t="s">
        <v>17</v>
      </c>
      <c r="K72" s="60">
        <f t="shared" ref="K72:R74" si="88">SUMIFS(K$104:K$174,$G$104:$G$174,$G72,$F$104:$F$174,$F72,$D$104:$D$174,$D72)</f>
        <v>0</v>
      </c>
      <c r="L72" s="48">
        <f t="shared" si="88"/>
        <v>0.8383064516129034</v>
      </c>
      <c r="M72" s="48">
        <f t="shared" si="88"/>
        <v>14.018455008488971</v>
      </c>
      <c r="N72" s="48">
        <f t="shared" si="88"/>
        <v>16.505640916808158</v>
      </c>
      <c r="O72" s="48">
        <f t="shared" si="88"/>
        <v>19.186960950764018</v>
      </c>
      <c r="P72" s="48">
        <f t="shared" si="88"/>
        <v>22.06241511035655</v>
      </c>
      <c r="Q72" s="48">
        <f t="shared" si="88"/>
        <v>30.555872249378869</v>
      </c>
      <c r="R72" s="48">
        <f t="shared" si="88"/>
        <v>43.224498183089302</v>
      </c>
      <c r="S72" s="33">
        <f>34+63+46</f>
        <v>143</v>
      </c>
      <c r="T72" s="33"/>
      <c r="U72" s="33"/>
      <c r="W72">
        <v>46</v>
      </c>
    </row>
    <row r="73" spans="2:23" x14ac:dyDescent="0.25">
      <c r="D73" s="33" t="s">
        <v>20</v>
      </c>
      <c r="E73" s="33" t="s">
        <v>39</v>
      </c>
      <c r="F73" s="33" t="s">
        <v>4</v>
      </c>
      <c r="G73" s="33" t="s">
        <v>6</v>
      </c>
      <c r="H73" s="33"/>
      <c r="I73" s="33"/>
      <c r="J73" s="33" t="s">
        <v>17</v>
      </c>
      <c r="K73" s="48">
        <f t="shared" si="88"/>
        <v>0</v>
      </c>
      <c r="L73" s="48">
        <f t="shared" si="88"/>
        <v>1.1795992766187966</v>
      </c>
      <c r="M73" s="48">
        <f t="shared" si="88"/>
        <v>33.478899358583163</v>
      </c>
      <c r="N73" s="48">
        <f t="shared" si="88"/>
        <v>38.778949216984422</v>
      </c>
      <c r="O73" s="48">
        <f t="shared" si="88"/>
        <v>66.107162768234005</v>
      </c>
      <c r="P73" s="48">
        <f t="shared" si="88"/>
        <v>74.026366182705857</v>
      </c>
      <c r="Q73" s="48">
        <f t="shared" si="88"/>
        <v>89.539002301444754</v>
      </c>
      <c r="R73" s="48">
        <f t="shared" si="88"/>
        <v>99.618152655340694</v>
      </c>
      <c r="S73" s="33">
        <f>+S72+175</f>
        <v>318</v>
      </c>
      <c r="T73" s="33"/>
      <c r="U73" s="33"/>
      <c r="W73">
        <f>SUM(W68:W72)</f>
        <v>345</v>
      </c>
    </row>
    <row r="74" spans="2:23" x14ac:dyDescent="0.25">
      <c r="D74" s="11" t="s">
        <v>20</v>
      </c>
      <c r="E74" s="11" t="s">
        <v>39</v>
      </c>
      <c r="F74" s="11" t="s">
        <v>4</v>
      </c>
      <c r="G74" s="34" t="s">
        <v>7</v>
      </c>
      <c r="H74" s="34"/>
      <c r="I74" s="11"/>
      <c r="J74" s="33" t="s">
        <v>17</v>
      </c>
      <c r="K74" s="49">
        <f t="shared" si="88"/>
        <v>0</v>
      </c>
      <c r="L74" s="49">
        <f t="shared" si="88"/>
        <v>0</v>
      </c>
      <c r="M74" s="49">
        <f t="shared" si="88"/>
        <v>1.1234465486979168</v>
      </c>
      <c r="N74" s="49">
        <f t="shared" si="88"/>
        <v>3.9350804033589686</v>
      </c>
      <c r="O74" s="49">
        <f t="shared" si="88"/>
        <v>6.9279811652994789</v>
      </c>
      <c r="P74" s="49">
        <f t="shared" si="88"/>
        <v>10.104810391489663</v>
      </c>
      <c r="Q74" s="49">
        <f t="shared" si="88"/>
        <v>11.351366893801696</v>
      </c>
      <c r="R74" s="49">
        <f t="shared" si="88"/>
        <v>19.223653532964732</v>
      </c>
      <c r="S74" s="33">
        <f>+S73-345</f>
        <v>-27</v>
      </c>
      <c r="T74" s="33"/>
      <c r="U74" s="33"/>
    </row>
    <row r="75" spans="2:23" x14ac:dyDescent="0.25">
      <c r="D75" s="40" t="s">
        <v>18</v>
      </c>
      <c r="E75" s="40" t="s">
        <v>39</v>
      </c>
      <c r="F75" s="40" t="s">
        <v>25</v>
      </c>
      <c r="G75" s="40" t="s">
        <v>25</v>
      </c>
      <c r="H75" s="40"/>
      <c r="I75" s="40"/>
      <c r="J75" s="40" t="s">
        <v>19</v>
      </c>
      <c r="K75" s="41">
        <f>SUM(K72:K74)</f>
        <v>0</v>
      </c>
      <c r="L75" s="41">
        <f t="shared" ref="L75" si="89">SUM(L72:L74)</f>
        <v>2.0179057282317001</v>
      </c>
      <c r="M75" s="41">
        <f t="shared" ref="M75" si="90">SUM(M72:M74)</f>
        <v>48.620800915770047</v>
      </c>
      <c r="N75" s="41">
        <f t="shared" ref="N75" si="91">SUM(N72:N74)</f>
        <v>59.219670537151543</v>
      </c>
      <c r="O75" s="41">
        <f t="shared" ref="O75" si="92">SUM(O72:O74)</f>
        <v>92.222104884297508</v>
      </c>
      <c r="P75" s="41">
        <f t="shared" ref="P75" si="93">SUM(P72:P74)</f>
        <v>106.19359168455208</v>
      </c>
      <c r="Q75" s="41">
        <f t="shared" ref="Q75" si="94">SUM(Q72:Q74)</f>
        <v>131.44624144462531</v>
      </c>
      <c r="R75" s="41">
        <f t="shared" ref="R75" si="95">SUM(R72:R74)</f>
        <v>162.06630437139472</v>
      </c>
      <c r="S75" s="33"/>
      <c r="T75" s="33"/>
      <c r="U75" s="33"/>
    </row>
    <row r="76" spans="2:23" x14ac:dyDescent="0.25">
      <c r="D76" s="29" t="s">
        <v>16</v>
      </c>
      <c r="E76" s="2" t="s">
        <v>39</v>
      </c>
      <c r="F76" s="2" t="s">
        <v>3</v>
      </c>
      <c r="G76" s="33" t="s">
        <v>6</v>
      </c>
      <c r="H76" s="2"/>
      <c r="I76" s="2"/>
      <c r="J76" s="2" t="s">
        <v>17</v>
      </c>
      <c r="K76" s="48">
        <f t="shared" ref="K76:R78" si="96">SUMIFS(K$104:K$174,$G$104:$G$174,$G76,$F$104:$F$174,$F76,$D$104:$D$174,$D76)</f>
        <v>0</v>
      </c>
      <c r="L76" s="48">
        <f t="shared" si="96"/>
        <v>5.4862499999999981E-2</v>
      </c>
      <c r="M76" s="48">
        <f t="shared" si="96"/>
        <v>0.91742999999999952</v>
      </c>
      <c r="N76" s="48">
        <f t="shared" si="96"/>
        <v>1.0802024999999997</v>
      </c>
      <c r="O76" s="48">
        <f t="shared" si="96"/>
        <v>1.2556799999999997</v>
      </c>
      <c r="P76" s="48">
        <f t="shared" si="96"/>
        <v>1.4438624999999998</v>
      </c>
      <c r="Q76" s="48">
        <f t="shared" si="96"/>
        <v>1.9997120838760161</v>
      </c>
      <c r="R76" s="48">
        <f t="shared" si="96"/>
        <v>2.8288032699821759</v>
      </c>
      <c r="S76" s="33"/>
      <c r="T76" s="33"/>
      <c r="U76" s="33"/>
    </row>
    <row r="77" spans="2:23" x14ac:dyDescent="0.25">
      <c r="D77" s="29" t="s">
        <v>16</v>
      </c>
      <c r="E77" s="33" t="s">
        <v>39</v>
      </c>
      <c r="F77" s="33" t="s">
        <v>4</v>
      </c>
      <c r="G77" s="33" t="s">
        <v>6</v>
      </c>
      <c r="H77" s="33"/>
      <c r="I77" s="33"/>
      <c r="J77" s="33" t="s">
        <v>17</v>
      </c>
      <c r="K77" s="48">
        <f t="shared" si="96"/>
        <v>0</v>
      </c>
      <c r="L77" s="48">
        <f t="shared" si="96"/>
        <v>0.16933802948794091</v>
      </c>
      <c r="M77" s="48">
        <f t="shared" si="96"/>
        <v>4.1328294037104243</v>
      </c>
      <c r="N77" s="48">
        <f t="shared" si="96"/>
        <v>4.7683896982118537</v>
      </c>
      <c r="O77" s="48">
        <f t="shared" si="96"/>
        <v>8.5363922757532293</v>
      </c>
      <c r="P77" s="48">
        <f t="shared" si="96"/>
        <v>9.4852197183476701</v>
      </c>
      <c r="Q77" s="48">
        <f t="shared" si="96"/>
        <v>11.302879713171857</v>
      </c>
      <c r="R77" s="48">
        <f t="shared" si="96"/>
        <v>12.602903242113065</v>
      </c>
      <c r="S77" s="33"/>
      <c r="T77" s="33"/>
      <c r="U77" s="33"/>
    </row>
    <row r="78" spans="2:23" x14ac:dyDescent="0.25">
      <c r="D78" s="34" t="s">
        <v>16</v>
      </c>
      <c r="E78" s="34" t="s">
        <v>39</v>
      </c>
      <c r="F78" s="34" t="s">
        <v>4</v>
      </c>
      <c r="G78" s="34" t="s">
        <v>7</v>
      </c>
      <c r="H78" s="34"/>
      <c r="I78" s="34"/>
      <c r="J78" s="34" t="s">
        <v>17</v>
      </c>
      <c r="K78" s="49">
        <f t="shared" si="96"/>
        <v>0</v>
      </c>
      <c r="L78" s="49">
        <f t="shared" si="96"/>
        <v>0</v>
      </c>
      <c r="M78" s="49">
        <f t="shared" si="96"/>
        <v>0.12757359697436341</v>
      </c>
      <c r="N78" s="49">
        <f t="shared" si="96"/>
        <v>0.51145024135920703</v>
      </c>
      <c r="O78" s="49">
        <f t="shared" si="96"/>
        <v>0.9193107501040072</v>
      </c>
      <c r="P78" s="49">
        <f t="shared" si="96"/>
        <v>1.3514573577891591</v>
      </c>
      <c r="Q78" s="49">
        <f t="shared" si="96"/>
        <v>1.5043048915876511</v>
      </c>
      <c r="R78" s="49">
        <f t="shared" si="96"/>
        <v>2.6135408920374452</v>
      </c>
      <c r="S78" s="33"/>
      <c r="T78" s="33"/>
      <c r="U78" s="33"/>
    </row>
    <row r="79" spans="2:23" x14ac:dyDescent="0.25">
      <c r="D79" s="5" t="s">
        <v>16</v>
      </c>
      <c r="E79" s="5" t="s">
        <v>39</v>
      </c>
      <c r="F79" s="5" t="s">
        <v>25</v>
      </c>
      <c r="G79" s="5" t="s">
        <v>25</v>
      </c>
      <c r="H79" s="5"/>
      <c r="I79" s="5"/>
      <c r="J79" s="40" t="s">
        <v>17</v>
      </c>
      <c r="K79" s="42">
        <f>SUM(K76:K78)</f>
        <v>0</v>
      </c>
      <c r="L79" s="42">
        <f t="shared" ref="L79" si="97">SUM(L76:L78)</f>
        <v>0.22420052948794089</v>
      </c>
      <c r="M79" s="42">
        <f t="shared" ref="M79" si="98">SUM(M76:M78)</f>
        <v>5.177833000684787</v>
      </c>
      <c r="N79" s="42">
        <f t="shared" ref="N79" si="99">SUM(N76:N78)</f>
        <v>6.3600424395710604</v>
      </c>
      <c r="O79" s="42">
        <f t="shared" ref="O79" si="100">SUM(O76:O78)</f>
        <v>10.711383025857236</v>
      </c>
      <c r="P79" s="42">
        <f t="shared" ref="P79" si="101">SUM(P76:P78)</f>
        <v>12.280539576136828</v>
      </c>
      <c r="Q79" s="42">
        <f t="shared" ref="Q79" si="102">SUM(Q76:Q78)</f>
        <v>14.806896688635524</v>
      </c>
      <c r="R79" s="42">
        <f t="shared" ref="R79" si="103">SUM(R76:R78)</f>
        <v>18.045247404132688</v>
      </c>
      <c r="S79" s="33"/>
      <c r="T79" s="33"/>
      <c r="U79" s="33"/>
    </row>
    <row r="80" spans="2:23" ht="14.4" x14ac:dyDescent="0.3">
      <c r="B80" s="113" t="s">
        <v>125</v>
      </c>
      <c r="D80" s="29" t="s">
        <v>42</v>
      </c>
      <c r="E80" s="29" t="s">
        <v>39</v>
      </c>
      <c r="F80" s="29" t="s">
        <v>3</v>
      </c>
      <c r="G80" s="33" t="s">
        <v>6</v>
      </c>
      <c r="H80" s="29"/>
      <c r="I80" s="29"/>
      <c r="J80" s="29" t="s">
        <v>17</v>
      </c>
      <c r="K80" s="48">
        <f t="shared" ref="K80:R82" si="104">SUMIFS(K$104:K$174,$G$104:$G$174,$G80,$F$104:$F$174,$F80,$D$104:$D$174,$D80)</f>
        <v>0</v>
      </c>
      <c r="L80" s="48">
        <f t="shared" si="104"/>
        <v>1.4812855653620496E-2</v>
      </c>
      <c r="M80" s="48">
        <f t="shared" si="104"/>
        <v>0.22629918432202992</v>
      </c>
      <c r="N80" s="48">
        <f t="shared" si="104"/>
        <v>0.241245098027979</v>
      </c>
      <c r="O80" s="48">
        <f t="shared" si="104"/>
        <v>0.25113599999999997</v>
      </c>
      <c r="P80" s="48">
        <f t="shared" si="104"/>
        <v>0.28877249999999999</v>
      </c>
      <c r="Q80" s="48">
        <f t="shared" si="104"/>
        <v>0.39994241677520326</v>
      </c>
      <c r="R80" s="48">
        <f t="shared" si="104"/>
        <v>0.70720081749554398</v>
      </c>
      <c r="S80" s="64" t="s">
        <v>45</v>
      </c>
      <c r="T80" s="33"/>
      <c r="U80" s="33"/>
    </row>
    <row r="81" spans="2:21" ht="14.4" x14ac:dyDescent="0.3">
      <c r="B81" s="113" t="s">
        <v>125</v>
      </c>
      <c r="D81" s="33" t="s">
        <v>42</v>
      </c>
      <c r="E81" s="33" t="s">
        <v>39</v>
      </c>
      <c r="F81" s="33" t="s">
        <v>4</v>
      </c>
      <c r="G81" s="33" t="s">
        <v>6</v>
      </c>
      <c r="H81" s="33"/>
      <c r="I81" s="33"/>
      <c r="J81" s="33" t="s">
        <v>17</v>
      </c>
      <c r="K81" s="48">
        <f t="shared" si="104"/>
        <v>0</v>
      </c>
      <c r="L81" s="48">
        <f t="shared" si="104"/>
        <v>2.23526198924082E-2</v>
      </c>
      <c r="M81" s="48">
        <f t="shared" si="104"/>
        <v>0.51247084606009263</v>
      </c>
      <c r="N81" s="48">
        <f t="shared" si="104"/>
        <v>0.55313320499257512</v>
      </c>
      <c r="O81" s="48">
        <f t="shared" si="104"/>
        <v>0.92193036578134901</v>
      </c>
      <c r="P81" s="48">
        <f t="shared" si="104"/>
        <v>0.94852197183476705</v>
      </c>
      <c r="Q81" s="48">
        <f t="shared" si="104"/>
        <v>1.3563455655806227</v>
      </c>
      <c r="R81" s="48">
        <f t="shared" si="104"/>
        <v>1.8904354863169597</v>
      </c>
      <c r="S81" s="64" t="s">
        <v>46</v>
      </c>
      <c r="T81" s="33"/>
      <c r="U81" s="33"/>
    </row>
    <row r="82" spans="2:21" ht="14.4" x14ac:dyDescent="0.3">
      <c r="B82" s="113" t="s">
        <v>125</v>
      </c>
      <c r="D82" s="34" t="s">
        <v>42</v>
      </c>
      <c r="E82" s="34" t="s">
        <v>39</v>
      </c>
      <c r="F82" s="34" t="s">
        <v>4</v>
      </c>
      <c r="G82" s="34" t="s">
        <v>7</v>
      </c>
      <c r="H82" s="34"/>
      <c r="I82" s="34"/>
      <c r="J82" s="34" t="s">
        <v>17</v>
      </c>
      <c r="K82" s="49">
        <f t="shared" si="104"/>
        <v>0</v>
      </c>
      <c r="L82" s="49">
        <f t="shared" si="104"/>
        <v>0</v>
      </c>
      <c r="M82" s="49">
        <f t="shared" si="104"/>
        <v>1.9136039546154511E-2</v>
      </c>
      <c r="N82" s="49">
        <f t="shared" si="104"/>
        <v>7.6717536203881054E-2</v>
      </c>
      <c r="O82" s="49">
        <f t="shared" si="104"/>
        <v>0.13789661251560106</v>
      </c>
      <c r="P82" s="49">
        <f t="shared" si="104"/>
        <v>0.20271860366837385</v>
      </c>
      <c r="Q82" s="49">
        <f t="shared" si="104"/>
        <v>0.22564573373814767</v>
      </c>
      <c r="R82" s="49">
        <f t="shared" si="104"/>
        <v>0.39203113380561677</v>
      </c>
      <c r="S82" s="64" t="s">
        <v>47</v>
      </c>
      <c r="T82" s="33"/>
      <c r="U82" s="33"/>
    </row>
    <row r="83" spans="2:21" x14ac:dyDescent="0.25">
      <c r="B83" s="113" t="s">
        <v>125</v>
      </c>
      <c r="D83" s="5" t="s">
        <v>42</v>
      </c>
      <c r="E83" s="5" t="s">
        <v>39</v>
      </c>
      <c r="F83" s="5" t="s">
        <v>25</v>
      </c>
      <c r="G83" s="5" t="s">
        <v>25</v>
      </c>
      <c r="H83" s="5"/>
      <c r="I83" s="5"/>
      <c r="J83" s="40" t="s">
        <v>17</v>
      </c>
      <c r="K83" s="42">
        <f>SUM(K80:K82)</f>
        <v>0</v>
      </c>
      <c r="L83" s="42">
        <f t="shared" ref="L83" si="105">SUM(L80:L82)</f>
        <v>3.7165475546028698E-2</v>
      </c>
      <c r="M83" s="42">
        <f t="shared" ref="M83" si="106">SUM(M80:M82)</f>
        <v>0.75790606992827703</v>
      </c>
      <c r="N83" s="42">
        <f t="shared" ref="N83" si="107">SUM(N80:N82)</f>
        <v>0.87109583922443523</v>
      </c>
      <c r="O83" s="42">
        <f t="shared" ref="O83" si="108">SUM(O80:O82)</f>
        <v>1.3109629782969501</v>
      </c>
      <c r="P83" s="42">
        <f t="shared" ref="P83" si="109">SUM(P80:P82)</f>
        <v>1.4400130755031411</v>
      </c>
      <c r="Q83" s="42">
        <f t="shared" ref="Q83" si="110">SUM(Q80:Q82)</f>
        <v>1.9819337160939736</v>
      </c>
      <c r="R83" s="42">
        <f t="shared" ref="R83" si="111">SUM(R80:R82)</f>
        <v>2.9896674376181203</v>
      </c>
      <c r="S83" s="79"/>
      <c r="T83" s="79"/>
      <c r="U83" s="33"/>
    </row>
    <row r="84" spans="2:21" x14ac:dyDescent="0.25">
      <c r="D84" s="29" t="s">
        <v>48</v>
      </c>
      <c r="E84" s="29" t="s">
        <v>39</v>
      </c>
      <c r="F84" s="29" t="s">
        <v>3</v>
      </c>
      <c r="G84" s="29" t="s">
        <v>6</v>
      </c>
      <c r="H84" s="29"/>
      <c r="I84" s="29"/>
      <c r="J84" s="29" t="s">
        <v>17</v>
      </c>
      <c r="K84" s="48">
        <f t="shared" ref="K84:R86" si="112">SUMIFS(K$104:K$174,$G$104:$G$174,$G84,$F$104:$F$174,$F84,$D$104:$D$174,$D84)</f>
        <v>0</v>
      </c>
      <c r="L84" s="48">
        <f t="shared" si="112"/>
        <v>4.0049644346379483E-2</v>
      </c>
      <c r="M84" s="48">
        <f t="shared" si="112"/>
        <v>0.69113081567796963</v>
      </c>
      <c r="N84" s="48">
        <f t="shared" si="112"/>
        <v>0.83895740197202073</v>
      </c>
      <c r="O84" s="48">
        <f t="shared" si="112"/>
        <v>1.0045439999999999</v>
      </c>
      <c r="P84" s="48">
        <f t="shared" si="112"/>
        <v>1.15509</v>
      </c>
      <c r="Q84" s="48">
        <f t="shared" si="112"/>
        <v>1.5997696671008126</v>
      </c>
      <c r="R84" s="48">
        <f t="shared" si="112"/>
        <v>2.1216024524866319</v>
      </c>
      <c r="S84" s="33"/>
      <c r="T84" s="33"/>
      <c r="U84" s="33"/>
    </row>
    <row r="85" spans="2:21" x14ac:dyDescent="0.25">
      <c r="D85" s="30" t="s">
        <v>48</v>
      </c>
      <c r="E85" s="30" t="s">
        <v>39</v>
      </c>
      <c r="F85" s="30" t="s">
        <v>4</v>
      </c>
      <c r="G85" s="30" t="s">
        <v>6</v>
      </c>
      <c r="H85" s="30"/>
      <c r="I85" s="30"/>
      <c r="J85" s="30" t="s">
        <v>17</v>
      </c>
      <c r="K85" s="48">
        <f t="shared" si="112"/>
        <v>0</v>
      </c>
      <c r="L85" s="48">
        <f t="shared" si="112"/>
        <v>0.14698540959553269</v>
      </c>
      <c r="M85" s="48">
        <f t="shared" si="112"/>
        <v>3.6203585576503317</v>
      </c>
      <c r="N85" s="48">
        <f t="shared" si="112"/>
        <v>4.215256493219278</v>
      </c>
      <c r="O85" s="48">
        <f t="shared" si="112"/>
        <v>7.6144619099718822</v>
      </c>
      <c r="P85" s="48">
        <f t="shared" si="112"/>
        <v>8.5366977465129033</v>
      </c>
      <c r="Q85" s="48">
        <f t="shared" si="112"/>
        <v>9.9465341475912332</v>
      </c>
      <c r="R85" s="48">
        <f t="shared" si="112"/>
        <v>10.712467755796107</v>
      </c>
      <c r="S85" s="33"/>
      <c r="T85" s="33"/>
      <c r="U85" s="33"/>
    </row>
    <row r="86" spans="2:21" x14ac:dyDescent="0.25">
      <c r="D86" s="34" t="s">
        <v>48</v>
      </c>
      <c r="E86" s="34" t="s">
        <v>39</v>
      </c>
      <c r="F86" s="34" t="s">
        <v>4</v>
      </c>
      <c r="G86" s="34" t="s">
        <v>7</v>
      </c>
      <c r="H86" s="34"/>
      <c r="I86" s="34"/>
      <c r="J86" s="34" t="s">
        <v>17</v>
      </c>
      <c r="K86" s="49">
        <f t="shared" si="112"/>
        <v>0</v>
      </c>
      <c r="L86" s="49">
        <f t="shared" si="112"/>
        <v>0</v>
      </c>
      <c r="M86" s="49">
        <f t="shared" si="112"/>
        <v>0.1084375574282089</v>
      </c>
      <c r="N86" s="49">
        <f t="shared" si="112"/>
        <v>0.43473270515532597</v>
      </c>
      <c r="O86" s="49">
        <f t="shared" si="112"/>
        <v>0.78141413758840617</v>
      </c>
      <c r="P86" s="49">
        <f t="shared" si="112"/>
        <v>1.1487387541207852</v>
      </c>
      <c r="Q86" s="49">
        <f t="shared" si="112"/>
        <v>1.2786591578495035</v>
      </c>
      <c r="R86" s="49">
        <f t="shared" si="112"/>
        <v>2.2215097582318286</v>
      </c>
      <c r="S86" s="33"/>
      <c r="T86" s="33"/>
      <c r="U86" s="33"/>
    </row>
    <row r="87" spans="2:21" x14ac:dyDescent="0.25">
      <c r="D87" s="5" t="s">
        <v>48</v>
      </c>
      <c r="E87" s="5" t="s">
        <v>39</v>
      </c>
      <c r="F87" s="5" t="s">
        <v>25</v>
      </c>
      <c r="G87" s="5" t="s">
        <v>25</v>
      </c>
      <c r="H87" s="5"/>
      <c r="I87" s="5"/>
      <c r="J87" s="40" t="s">
        <v>17</v>
      </c>
      <c r="K87" s="42">
        <f>SUM(K84:K86)</f>
        <v>0</v>
      </c>
      <c r="L87" s="42">
        <f t="shared" ref="L87" si="113">SUM(L84:L86)</f>
        <v>0.18703505394191217</v>
      </c>
      <c r="M87" s="42">
        <f t="shared" ref="M87" si="114">SUM(M84:M86)</f>
        <v>4.4199269307565103</v>
      </c>
      <c r="N87" s="42">
        <f t="shared" ref="N87" si="115">SUM(N84:N86)</f>
        <v>5.4889466003466243</v>
      </c>
      <c r="O87" s="42">
        <f t="shared" ref="O87" si="116">SUM(O84:O86)</f>
        <v>9.4004200475602886</v>
      </c>
      <c r="P87" s="42">
        <f t="shared" ref="P87" si="117">SUM(P84:P86)</f>
        <v>10.840526500633688</v>
      </c>
      <c r="Q87" s="42">
        <f t="shared" ref="Q87" si="118">SUM(Q84:Q86)</f>
        <v>12.824962972541549</v>
      </c>
      <c r="R87" s="42">
        <f t="shared" ref="R87" si="119">SUM(R84:R86)</f>
        <v>15.055579966514568</v>
      </c>
      <c r="S87" s="33"/>
      <c r="T87" s="33"/>
      <c r="U87" s="33"/>
    </row>
    <row r="88" spans="2:21" x14ac:dyDescent="0.25">
      <c r="D88" s="18" t="s">
        <v>49</v>
      </c>
      <c r="E88" s="18" t="s">
        <v>39</v>
      </c>
      <c r="F88" s="18" t="s">
        <v>25</v>
      </c>
      <c r="G88" s="18" t="s">
        <v>25</v>
      </c>
      <c r="H88" s="18"/>
      <c r="I88" s="18"/>
      <c r="J88" s="18"/>
      <c r="K88" s="49">
        <f t="shared" ref="K88:R88" si="120">SUMIFS(K$104:K$174,$G$104:$G$174,$G88,$F$104:$F$174,$F88,$D$104:$D$174,$D88)</f>
        <v>0</v>
      </c>
      <c r="L88" s="49">
        <f t="shared" si="120"/>
        <v>0.4</v>
      </c>
      <c r="M88" s="49">
        <f t="shared" si="120"/>
        <v>1.5</v>
      </c>
      <c r="N88" s="49">
        <f t="shared" si="120"/>
        <v>0</v>
      </c>
      <c r="O88" s="49">
        <f t="shared" si="120"/>
        <v>0</v>
      </c>
      <c r="P88" s="49">
        <f t="shared" si="120"/>
        <v>0</v>
      </c>
      <c r="Q88" s="49">
        <f t="shared" si="120"/>
        <v>0</v>
      </c>
      <c r="R88" s="49">
        <f t="shared" si="120"/>
        <v>0</v>
      </c>
      <c r="S88" s="33"/>
      <c r="T88" s="33"/>
      <c r="U88" s="33"/>
    </row>
    <row r="89" spans="2:21" x14ac:dyDescent="0.25">
      <c r="D89" s="2"/>
      <c r="E89" s="2"/>
      <c r="F89" s="2"/>
      <c r="G89" s="2"/>
      <c r="H89" s="2"/>
      <c r="I89" s="2"/>
      <c r="J89" s="2"/>
      <c r="K89" s="209"/>
      <c r="L89" s="211" t="str">
        <f>+G104&amp;F104</f>
        <v>Auto loanNew</v>
      </c>
      <c r="M89" s="212">
        <f>+M104*1000</f>
        <v>121.48312598358109</v>
      </c>
      <c r="N89" s="212">
        <f t="shared" ref="N89:O89" si="121">+N104*1000</f>
        <v>196.05204187819976</v>
      </c>
      <c r="O89" s="212">
        <f t="shared" si="121"/>
        <v>278.93036558928156</v>
      </c>
      <c r="P89" s="209"/>
      <c r="Q89" s="209"/>
      <c r="R89" s="209"/>
      <c r="S89" s="2"/>
      <c r="T89" s="2"/>
      <c r="U89" s="2"/>
    </row>
    <row r="90" spans="2:21" x14ac:dyDescent="0.25">
      <c r="D90" s="2"/>
      <c r="E90" s="2"/>
      <c r="F90" s="2"/>
      <c r="G90" s="2"/>
      <c r="H90" s="2"/>
      <c r="I90" s="2"/>
      <c r="J90" s="2"/>
      <c r="K90" s="209"/>
      <c r="L90" s="211" t="str">
        <f t="shared" ref="L90:L91" si="122">+G105&amp;F105</f>
        <v>Auto loanUsed</v>
      </c>
      <c r="M90" s="212">
        <f t="shared" ref="M90:O90" si="123">+M105*1000</f>
        <v>175.78913680960699</v>
      </c>
      <c r="N90" s="212">
        <f t="shared" si="123"/>
        <v>376.93614698096769</v>
      </c>
      <c r="O90" s="212">
        <f t="shared" si="123"/>
        <v>658.29380132290316</v>
      </c>
      <c r="P90" s="209"/>
      <c r="Q90" s="209"/>
      <c r="R90" s="209"/>
      <c r="S90" s="2"/>
      <c r="T90" s="2"/>
      <c r="U90" s="2"/>
    </row>
    <row r="91" spans="2:21" x14ac:dyDescent="0.25">
      <c r="D91" s="2"/>
      <c r="E91" s="2"/>
      <c r="F91" s="2"/>
      <c r="G91" s="2"/>
      <c r="H91" s="2"/>
      <c r="I91" s="2"/>
      <c r="J91" s="2"/>
      <c r="K91" s="209"/>
      <c r="L91" s="211" t="str">
        <f t="shared" si="122"/>
        <v>Cash loanUsed</v>
      </c>
      <c r="M91" s="212">
        <f t="shared" ref="M91:O91" si="124">+M106*1000</f>
        <v>213.33333333333329</v>
      </c>
      <c r="N91" s="212">
        <f t="shared" si="124"/>
        <v>728.82203930874209</v>
      </c>
      <c r="O91" s="212">
        <f t="shared" si="124"/>
        <v>1252.2760690512334</v>
      </c>
      <c r="P91" s="209"/>
      <c r="Q91" s="209"/>
      <c r="R91" s="209"/>
      <c r="S91" s="2"/>
      <c r="T91" s="2"/>
      <c r="U91" s="2"/>
    </row>
    <row r="92" spans="2:21" x14ac:dyDescent="0.25">
      <c r="D92" s="2"/>
      <c r="E92" s="2"/>
      <c r="F92" s="2"/>
      <c r="G92" s="2"/>
      <c r="H92" s="2"/>
      <c r="I92" s="2"/>
      <c r="J92" s="2"/>
      <c r="K92" s="209"/>
      <c r="L92" s="209" t="str">
        <f>+L89</f>
        <v>Auto loanNew</v>
      </c>
      <c r="M92" s="210">
        <f t="shared" ref="M92:O94" si="125">+M108*1000000</f>
        <v>1870747.0288624794</v>
      </c>
      <c r="N92" s="210">
        <f t="shared" si="125"/>
        <v>3097321.7317487281</v>
      </c>
      <c r="O92" s="210">
        <f t="shared" si="125"/>
        <v>4518030.5602716487</v>
      </c>
      <c r="P92" s="209"/>
      <c r="Q92" s="209"/>
      <c r="R92" s="209"/>
      <c r="S92" s="2"/>
      <c r="T92" s="2"/>
      <c r="U92" s="2"/>
    </row>
    <row r="93" spans="2:21" x14ac:dyDescent="0.25">
      <c r="D93" s="2"/>
      <c r="E93" s="2"/>
      <c r="F93" s="2"/>
      <c r="G93" s="2"/>
      <c r="H93" s="2"/>
      <c r="I93" s="2"/>
      <c r="J93" s="2"/>
      <c r="K93" s="209"/>
      <c r="L93" s="209" t="str">
        <f t="shared" ref="L93:L97" si="126">+L90</f>
        <v>Auto loanUsed</v>
      </c>
      <c r="M93" s="210">
        <f t="shared" si="125"/>
        <v>1749416.7646254145</v>
      </c>
      <c r="N93" s="210">
        <f t="shared" si="125"/>
        <v>3851523.5939698303</v>
      </c>
      <c r="O93" s="210">
        <f t="shared" si="125"/>
        <v>6897826.9753325973</v>
      </c>
      <c r="P93" s="209"/>
      <c r="Q93" s="209"/>
      <c r="R93" s="209"/>
      <c r="S93" s="2"/>
      <c r="T93" s="2"/>
      <c r="U93" s="2"/>
    </row>
    <row r="94" spans="2:21" x14ac:dyDescent="0.25">
      <c r="D94" s="2"/>
      <c r="E94" s="2"/>
      <c r="F94" s="2"/>
      <c r="G94" s="2"/>
      <c r="H94" s="2"/>
      <c r="I94" s="2"/>
      <c r="J94" s="2"/>
      <c r="K94" s="209"/>
      <c r="L94" s="209" t="str">
        <f t="shared" si="126"/>
        <v>Cash loanUsed</v>
      </c>
      <c r="M94" s="210">
        <f t="shared" si="125"/>
        <v>1123446.5486979168</v>
      </c>
      <c r="N94" s="210">
        <f t="shared" si="125"/>
        <v>3935080.4033589684</v>
      </c>
      <c r="O94" s="210">
        <f t="shared" si="125"/>
        <v>6927981.1652994789</v>
      </c>
      <c r="P94" s="209"/>
      <c r="Q94" s="209"/>
      <c r="R94" s="209"/>
      <c r="S94" s="2"/>
      <c r="T94" s="2"/>
      <c r="U94" s="2"/>
    </row>
    <row r="95" spans="2:21" x14ac:dyDescent="0.25">
      <c r="D95" s="2"/>
      <c r="E95" s="2"/>
      <c r="F95" s="2"/>
      <c r="G95" s="2"/>
      <c r="H95" s="2"/>
      <c r="I95" s="2"/>
      <c r="J95" s="2"/>
      <c r="K95" s="209"/>
      <c r="L95" s="209" t="str">
        <f>+L92</f>
        <v>Auto loanNew</v>
      </c>
      <c r="M95" s="210">
        <f t="shared" ref="M95:O97" si="127">+M92/M89</f>
        <v>15399.233545532225</v>
      </c>
      <c r="N95" s="210">
        <f t="shared" si="127"/>
        <v>15798.467091064449</v>
      </c>
      <c r="O95" s="210">
        <f t="shared" si="127"/>
        <v>16197.700636596674</v>
      </c>
      <c r="P95" s="209"/>
      <c r="Q95" s="209"/>
      <c r="R95" s="209"/>
      <c r="S95" s="2"/>
      <c r="T95" s="2"/>
      <c r="U95" s="2"/>
    </row>
    <row r="96" spans="2:21" x14ac:dyDescent="0.25">
      <c r="D96" s="2"/>
      <c r="E96" s="2"/>
      <c r="F96" s="2"/>
      <c r="G96" s="2"/>
      <c r="H96" s="2"/>
      <c r="I96" s="2"/>
      <c r="J96" s="2"/>
      <c r="K96" s="209"/>
      <c r="L96" s="209" t="str">
        <f t="shared" si="126"/>
        <v>Auto loanUsed</v>
      </c>
      <c r="M96" s="210">
        <f t="shared" si="127"/>
        <v>9951.7910854762649</v>
      </c>
      <c r="N96" s="210">
        <f t="shared" si="127"/>
        <v>10217.973587352189</v>
      </c>
      <c r="O96" s="210">
        <f t="shared" si="127"/>
        <v>10478.341071221948</v>
      </c>
      <c r="P96" s="209"/>
      <c r="Q96" s="209"/>
      <c r="R96" s="209"/>
      <c r="S96" s="2"/>
      <c r="T96" s="2"/>
      <c r="U96" s="2"/>
    </row>
    <row r="97" spans="4:21" x14ac:dyDescent="0.25">
      <c r="D97" s="2"/>
      <c r="E97" s="2"/>
      <c r="F97" s="2"/>
      <c r="G97" s="2"/>
      <c r="H97" s="2"/>
      <c r="I97" s="2"/>
      <c r="J97" s="2"/>
      <c r="K97" s="209"/>
      <c r="L97" s="209" t="str">
        <f t="shared" si="126"/>
        <v>Cash loanUsed</v>
      </c>
      <c r="M97" s="210">
        <f t="shared" si="127"/>
        <v>5266.155697021486</v>
      </c>
      <c r="N97" s="210">
        <f t="shared" si="127"/>
        <v>5399.2335455322282</v>
      </c>
      <c r="O97" s="210">
        <f t="shared" si="127"/>
        <v>5532.3113940429694</v>
      </c>
      <c r="P97" s="209"/>
      <c r="Q97" s="209"/>
      <c r="R97" s="209"/>
      <c r="S97" s="2"/>
      <c r="T97" s="2"/>
      <c r="U97" s="2"/>
    </row>
    <row r="98" spans="4:21" x14ac:dyDescent="0.25">
      <c r="D98" s="2"/>
      <c r="E98" s="2"/>
      <c r="F98" s="2"/>
      <c r="G98" s="2"/>
      <c r="H98" s="2"/>
      <c r="I98" s="2"/>
      <c r="J98" s="2"/>
      <c r="K98" s="209"/>
      <c r="L98" s="209"/>
      <c r="M98" s="209"/>
      <c r="N98" s="209"/>
      <c r="O98" s="209"/>
      <c r="P98" s="209"/>
      <c r="Q98" s="209"/>
      <c r="R98" s="209"/>
      <c r="S98" s="2"/>
      <c r="T98" s="2"/>
      <c r="U98" s="2"/>
    </row>
    <row r="99" spans="4:21" x14ac:dyDescent="0.25">
      <c r="D99" s="2"/>
      <c r="E99" s="2"/>
      <c r="F99" s="2"/>
      <c r="G99" s="2"/>
      <c r="H99" s="2"/>
      <c r="I99" s="2"/>
      <c r="J99" s="2"/>
      <c r="K99" s="2"/>
      <c r="L99" s="2"/>
      <c r="M99" s="209"/>
      <c r="N99" s="209"/>
      <c r="O99" s="209"/>
      <c r="P99" s="2"/>
      <c r="Q99" s="2"/>
      <c r="R99" s="2"/>
    </row>
    <row r="100" spans="4:21" x14ac:dyDescent="0.25">
      <c r="D100" s="2"/>
      <c r="E100" s="2"/>
      <c r="F100" s="2"/>
      <c r="G100" s="2"/>
      <c r="H100" s="2"/>
      <c r="I100" s="2"/>
      <c r="J100" s="2"/>
      <c r="K100" s="2"/>
      <c r="L100" s="2"/>
      <c r="M100" s="210"/>
      <c r="N100" s="210"/>
      <c r="O100" s="210"/>
      <c r="P100" s="2"/>
      <c r="Q100" s="2"/>
    </row>
    <row r="101" spans="4:21" x14ac:dyDescent="0.25">
      <c r="D101" s="32" t="s">
        <v>37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</row>
    <row r="102" spans="4:21" x14ac:dyDescent="0.25">
      <c r="D102" s="51"/>
      <c r="E102" s="51"/>
      <c r="F102" s="51"/>
      <c r="G102" s="51"/>
      <c r="H102" s="51"/>
      <c r="I102" s="51"/>
      <c r="J102" s="51" t="s">
        <v>13</v>
      </c>
      <c r="K102" s="51">
        <v>2024</v>
      </c>
      <c r="L102" s="51">
        <v>2025</v>
      </c>
      <c r="M102" s="51">
        <v>2026</v>
      </c>
      <c r="N102" s="51">
        <v>2027</v>
      </c>
      <c r="O102" s="51">
        <v>2028</v>
      </c>
      <c r="P102" s="51">
        <v>2029</v>
      </c>
      <c r="Q102" s="51">
        <v>2030</v>
      </c>
      <c r="R102" s="51"/>
    </row>
    <row r="103" spans="4:21" x14ac:dyDescent="0.25">
      <c r="D103" s="51" t="s">
        <v>43</v>
      </c>
      <c r="E103" s="51"/>
      <c r="F103" s="51" t="s">
        <v>12</v>
      </c>
      <c r="G103" s="51" t="s">
        <v>2</v>
      </c>
      <c r="H103" s="51"/>
      <c r="I103" s="51"/>
      <c r="J103" s="51"/>
      <c r="K103" s="51"/>
      <c r="L103" s="51"/>
      <c r="M103" s="51"/>
      <c r="N103" s="51"/>
      <c r="O103" s="51"/>
      <c r="P103" s="51"/>
      <c r="Q103" s="51" t="s">
        <v>15</v>
      </c>
      <c r="R103" s="51" t="s">
        <v>14</v>
      </c>
    </row>
    <row r="104" spans="4:21" x14ac:dyDescent="0.25">
      <c r="D104" s="33" t="s">
        <v>18</v>
      </c>
      <c r="E104" s="33" t="s">
        <v>39</v>
      </c>
      <c r="F104" s="33" t="s">
        <v>3</v>
      </c>
      <c r="G104" s="33" t="s">
        <v>6</v>
      </c>
      <c r="H104" s="33"/>
      <c r="I104" s="33"/>
      <c r="J104" s="33" t="s">
        <v>19</v>
      </c>
      <c r="K104" s="37">
        <v>0</v>
      </c>
      <c r="L104" s="37">
        <v>5.5887096774193561E-2</v>
      </c>
      <c r="M104" s="204">
        <v>0.12148312598358109</v>
      </c>
      <c r="N104" s="204">
        <v>0.19605204187819975</v>
      </c>
      <c r="O104" s="204">
        <v>0.27893036558928158</v>
      </c>
      <c r="P104" s="204">
        <v>0.36951845727236443</v>
      </c>
      <c r="Q104" s="198">
        <v>0.46727301833472801</v>
      </c>
      <c r="R104" s="198">
        <v>0.68482328773289514</v>
      </c>
    </row>
    <row r="105" spans="4:21" x14ac:dyDescent="0.25">
      <c r="D105" s="33" t="s">
        <v>18</v>
      </c>
      <c r="E105" s="33" t="s">
        <v>39</v>
      </c>
      <c r="F105" s="33" t="s">
        <v>4</v>
      </c>
      <c r="G105" s="33" t="s">
        <v>6</v>
      </c>
      <c r="H105" s="33"/>
      <c r="I105" s="33"/>
      <c r="J105" s="33" t="s">
        <v>19</v>
      </c>
      <c r="K105" s="37">
        <v>0</v>
      </c>
      <c r="L105" s="37">
        <v>1.7240712074303405E-2</v>
      </c>
      <c r="M105" s="204">
        <v>0.17578913680960698</v>
      </c>
      <c r="N105" s="204">
        <v>0.37693614698096767</v>
      </c>
      <c r="O105" s="204">
        <v>0.65829380132290316</v>
      </c>
      <c r="P105" s="204">
        <v>1.0237459678942504</v>
      </c>
      <c r="Q105" s="198">
        <v>1.4774832361588408</v>
      </c>
      <c r="R105" s="198">
        <v>1.989040158668399</v>
      </c>
      <c r="S105" s="214">
        <f>+M105*1000</f>
        <v>175.78913680960699</v>
      </c>
      <c r="T105" s="214">
        <f>+N105*1000</f>
        <v>376.93614698096769</v>
      </c>
      <c r="U105" s="214">
        <f>+O105*1000</f>
        <v>658.29380132290316</v>
      </c>
    </row>
    <row r="106" spans="4:21" x14ac:dyDescent="0.25">
      <c r="D106" s="34" t="s">
        <v>18</v>
      </c>
      <c r="E106" s="34" t="s">
        <v>39</v>
      </c>
      <c r="F106" s="34" t="s">
        <v>4</v>
      </c>
      <c r="G106" s="34" t="s">
        <v>7</v>
      </c>
      <c r="H106" s="34"/>
      <c r="I106" s="34"/>
      <c r="J106" s="34" t="s">
        <v>19</v>
      </c>
      <c r="K106" s="80">
        <v>0</v>
      </c>
      <c r="L106" s="80">
        <v>0</v>
      </c>
      <c r="M106" s="205">
        <v>0.21333333333333329</v>
      </c>
      <c r="N106" s="205">
        <v>0.72882203930874212</v>
      </c>
      <c r="O106" s="205">
        <v>1.2522760690512333</v>
      </c>
      <c r="P106" s="205">
        <v>1.7836039076698735</v>
      </c>
      <c r="Q106" s="199">
        <v>1.9576496193786064</v>
      </c>
      <c r="R106" s="199">
        <v>3.315299238757214</v>
      </c>
      <c r="S106">
        <f>+S105*1000</f>
        <v>175789.13680960698</v>
      </c>
    </row>
    <row r="107" spans="4:21" x14ac:dyDescent="0.25">
      <c r="D107" s="40" t="s">
        <v>18</v>
      </c>
      <c r="E107" s="40" t="s">
        <v>39</v>
      </c>
      <c r="F107" s="40" t="s">
        <v>25</v>
      </c>
      <c r="G107" s="40" t="s">
        <v>25</v>
      </c>
      <c r="H107" s="40"/>
      <c r="I107" s="40"/>
      <c r="J107" s="40" t="s">
        <v>19</v>
      </c>
      <c r="K107" s="41">
        <v>0</v>
      </c>
      <c r="L107" s="41">
        <v>7.312780884849697E-2</v>
      </c>
      <c r="M107" s="206">
        <v>0.51060559612652134</v>
      </c>
      <c r="N107" s="206">
        <v>1.3018102281679096</v>
      </c>
      <c r="O107" s="206">
        <v>2.1895002359634184</v>
      </c>
      <c r="P107" s="206">
        <v>3.1768683328364884</v>
      </c>
      <c r="Q107" s="200">
        <v>3.9024058738721754</v>
      </c>
      <c r="R107" s="200">
        <v>5.989162685158508</v>
      </c>
    </row>
    <row r="108" spans="4:21" x14ac:dyDescent="0.25">
      <c r="D108" s="29" t="s">
        <v>20</v>
      </c>
      <c r="E108" s="29" t="s">
        <v>39</v>
      </c>
      <c r="F108" s="29" t="s">
        <v>3</v>
      </c>
      <c r="G108" s="29" t="s">
        <v>6</v>
      </c>
      <c r="H108" s="29"/>
      <c r="I108" s="29"/>
      <c r="J108" s="29" t="s">
        <v>17</v>
      </c>
      <c r="K108" s="35">
        <v>0</v>
      </c>
      <c r="L108" s="35">
        <v>0.8383064516129034</v>
      </c>
      <c r="M108" s="207">
        <v>1.8707470288624795</v>
      </c>
      <c r="N108" s="207">
        <v>3.0973217317487283</v>
      </c>
      <c r="O108" s="207">
        <v>4.5180305602716491</v>
      </c>
      <c r="P108" s="207">
        <v>6.1328735144312425</v>
      </c>
      <c r="Q108" s="201">
        <v>7.9418505942275104</v>
      </c>
      <c r="R108" s="201">
        <v>11.912775891341262</v>
      </c>
    </row>
    <row r="109" spans="4:21" x14ac:dyDescent="0.25">
      <c r="D109" s="33" t="s">
        <v>20</v>
      </c>
      <c r="E109" s="33" t="s">
        <v>39</v>
      </c>
      <c r="F109" s="33" t="s">
        <v>4</v>
      </c>
      <c r="G109" s="33" t="s">
        <v>6</v>
      </c>
      <c r="H109" s="33"/>
      <c r="I109" s="33"/>
      <c r="J109" s="33" t="s">
        <v>17</v>
      </c>
      <c r="K109" s="37">
        <v>0</v>
      </c>
      <c r="L109" s="37">
        <v>0.16378676470588235</v>
      </c>
      <c r="M109" s="204">
        <v>1.7494167646254146</v>
      </c>
      <c r="N109" s="204">
        <v>3.8515235939698305</v>
      </c>
      <c r="O109" s="204">
        <v>6.8978269753325971</v>
      </c>
      <c r="P109" s="204">
        <v>10.991023849473446</v>
      </c>
      <c r="Q109" s="198">
        <v>16.24111405071725</v>
      </c>
      <c r="R109" s="198">
        <v>21.913429415404217</v>
      </c>
    </row>
    <row r="110" spans="4:21" x14ac:dyDescent="0.25">
      <c r="D110" s="11" t="s">
        <v>20</v>
      </c>
      <c r="E110" s="11" t="s">
        <v>39</v>
      </c>
      <c r="F110" s="11" t="s">
        <v>4</v>
      </c>
      <c r="G110" s="34" t="s">
        <v>7</v>
      </c>
      <c r="H110" s="11"/>
      <c r="I110" s="11"/>
      <c r="J110" s="11" t="s">
        <v>17</v>
      </c>
      <c r="K110" s="36">
        <v>0</v>
      </c>
      <c r="L110" s="36">
        <v>0</v>
      </c>
      <c r="M110" s="208">
        <v>1.1234465486979168</v>
      </c>
      <c r="N110" s="208">
        <v>3.9350804033589686</v>
      </c>
      <c r="O110" s="208">
        <v>6.9279811652994789</v>
      </c>
      <c r="P110" s="208">
        <v>10.104810391489663</v>
      </c>
      <c r="Q110" s="202">
        <v>11.351366893801696</v>
      </c>
      <c r="R110" s="202">
        <v>19.223653532964732</v>
      </c>
    </row>
    <row r="111" spans="4:21" x14ac:dyDescent="0.25">
      <c r="D111" s="40" t="s">
        <v>20</v>
      </c>
      <c r="E111" s="40" t="s">
        <v>39</v>
      </c>
      <c r="F111" s="40" t="s">
        <v>25</v>
      </c>
      <c r="G111" s="40" t="s">
        <v>25</v>
      </c>
      <c r="H111" s="40"/>
      <c r="I111" s="40"/>
      <c r="J111" s="40" t="s">
        <v>17</v>
      </c>
      <c r="K111" s="41">
        <v>0</v>
      </c>
      <c r="L111" s="41">
        <v>1.0020932163187857</v>
      </c>
      <c r="M111" s="206">
        <v>4.7436103421858107</v>
      </c>
      <c r="N111" s="206">
        <v>10.883925729077527</v>
      </c>
      <c r="O111" s="206">
        <v>18.343838700903724</v>
      </c>
      <c r="P111" s="206">
        <v>27.228707755394353</v>
      </c>
      <c r="Q111" s="203">
        <v>35.534331538746457</v>
      </c>
      <c r="R111" s="203">
        <v>53.049858839710211</v>
      </c>
    </row>
    <row r="112" spans="4:21" x14ac:dyDescent="0.25">
      <c r="D112" s="29" t="s">
        <v>16</v>
      </c>
      <c r="E112" s="29" t="s">
        <v>39</v>
      </c>
      <c r="F112" s="29" t="s">
        <v>3</v>
      </c>
      <c r="G112" s="29" t="s">
        <v>6</v>
      </c>
      <c r="H112" s="29"/>
      <c r="I112" s="29"/>
      <c r="J112" s="29" t="s">
        <v>17</v>
      </c>
      <c r="K112" s="39">
        <v>0</v>
      </c>
      <c r="L112" s="35">
        <v>5.4862499999999981E-2</v>
      </c>
      <c r="M112" s="35">
        <v>0.12242999999999994</v>
      </c>
      <c r="N112" s="35">
        <v>0.20270249999999992</v>
      </c>
      <c r="O112" s="35">
        <v>0.29567999999999989</v>
      </c>
      <c r="P112" s="35">
        <v>0.40136249999999996</v>
      </c>
      <c r="Q112" s="35">
        <v>0.51975000000000005</v>
      </c>
      <c r="R112" s="35">
        <v>0.7796249999999999</v>
      </c>
    </row>
    <row r="113" spans="2:20" x14ac:dyDescent="0.25">
      <c r="D113" s="33" t="s">
        <v>16</v>
      </c>
      <c r="E113" s="33" t="s">
        <v>39</v>
      </c>
      <c r="F113" s="33" t="s">
        <v>4</v>
      </c>
      <c r="G113" s="33" t="s">
        <v>6</v>
      </c>
      <c r="H113" s="33"/>
      <c r="I113" s="33"/>
      <c r="J113" s="33" t="s">
        <v>17</v>
      </c>
      <c r="K113" s="37">
        <v>0</v>
      </c>
      <c r="L113" s="37">
        <v>2.3512499999999992E-2</v>
      </c>
      <c r="M113" s="37">
        <v>0.20962108548449832</v>
      </c>
      <c r="N113" s="37">
        <v>0.45551637126281491</v>
      </c>
      <c r="O113" s="37">
        <v>0.80976830805611932</v>
      </c>
      <c r="P113" s="37">
        <v>1.2840387040262393</v>
      </c>
      <c r="Q113" s="37">
        <v>1.8908186514709551</v>
      </c>
      <c r="R113" s="37">
        <v>2.5582165352946067</v>
      </c>
      <c r="S113">
        <f>+R113*1000000</f>
        <v>2558216.5352946068</v>
      </c>
    </row>
    <row r="114" spans="2:20" x14ac:dyDescent="0.25">
      <c r="D114" s="34" t="s">
        <v>16</v>
      </c>
      <c r="E114" s="34" t="s">
        <v>39</v>
      </c>
      <c r="F114" s="34" t="s">
        <v>4</v>
      </c>
      <c r="G114" s="34" t="s">
        <v>7</v>
      </c>
      <c r="H114" s="34"/>
      <c r="I114" s="34"/>
      <c r="J114" s="11" t="s">
        <v>17</v>
      </c>
      <c r="K114" s="38">
        <v>0</v>
      </c>
      <c r="L114" s="38">
        <v>0</v>
      </c>
      <c r="M114" s="38">
        <v>0.12757359697436341</v>
      </c>
      <c r="N114" s="38">
        <v>0.51145024135920703</v>
      </c>
      <c r="O114" s="38">
        <v>0.9193107501040072</v>
      </c>
      <c r="P114" s="38">
        <v>1.3514573577891591</v>
      </c>
      <c r="Q114" s="38">
        <v>1.5043048915876511</v>
      </c>
      <c r="R114" s="38">
        <v>2.6135408920374452</v>
      </c>
    </row>
    <row r="115" spans="2:20" x14ac:dyDescent="0.25">
      <c r="D115" s="5" t="s">
        <v>16</v>
      </c>
      <c r="E115" s="5" t="s">
        <v>39</v>
      </c>
      <c r="F115" s="5" t="s">
        <v>25</v>
      </c>
      <c r="G115" s="5" t="s">
        <v>25</v>
      </c>
      <c r="H115" s="5"/>
      <c r="I115" s="5"/>
      <c r="J115" s="40" t="s">
        <v>17</v>
      </c>
      <c r="K115" s="42">
        <v>0</v>
      </c>
      <c r="L115" s="42">
        <v>7.8374999999999972E-2</v>
      </c>
      <c r="M115" s="42">
        <v>0.45962468245886168</v>
      </c>
      <c r="N115" s="42">
        <v>1.1696691126220218</v>
      </c>
      <c r="O115" s="42">
        <v>2.0247590581601265</v>
      </c>
      <c r="P115" s="42">
        <v>3.0368585618153983</v>
      </c>
      <c r="Q115" s="42">
        <v>3.9148735430586061</v>
      </c>
      <c r="R115" s="42">
        <v>5.9513824273320513</v>
      </c>
    </row>
    <row r="116" spans="2:20" x14ac:dyDescent="0.25">
      <c r="B116" s="113" t="s">
        <v>125</v>
      </c>
      <c r="D116" s="29" t="s">
        <v>42</v>
      </c>
      <c r="E116" s="29" t="s">
        <v>39</v>
      </c>
      <c r="F116" s="29" t="s">
        <v>3</v>
      </c>
      <c r="G116" s="29" t="s">
        <v>6</v>
      </c>
      <c r="H116" s="29"/>
      <c r="I116" s="29"/>
      <c r="J116" s="29" t="s">
        <v>17</v>
      </c>
      <c r="K116" s="44">
        <v>0</v>
      </c>
      <c r="L116" s="44">
        <v>1.4812855653620496E-2</v>
      </c>
      <c r="M116" s="44">
        <v>3.0199371218017856E-2</v>
      </c>
      <c r="N116" s="44">
        <v>4.5270201173406285E-2</v>
      </c>
      <c r="O116" s="44">
        <v>5.913599999999998E-2</v>
      </c>
      <c r="P116" s="44">
        <v>8.0272499999999997E-2</v>
      </c>
      <c r="Q116" s="44">
        <v>0.10395000000000001</v>
      </c>
      <c r="R116" s="44">
        <v>0.19490624999999998</v>
      </c>
    </row>
    <row r="117" spans="2:20" x14ac:dyDescent="0.25">
      <c r="B117" s="113" t="s">
        <v>125</v>
      </c>
      <c r="D117" s="33" t="s">
        <v>42</v>
      </c>
      <c r="E117" s="33" t="s">
        <v>39</v>
      </c>
      <c r="F117" s="33" t="s">
        <v>4</v>
      </c>
      <c r="G117" s="33" t="s">
        <v>6</v>
      </c>
      <c r="H117" s="33"/>
      <c r="I117" s="33"/>
      <c r="J117" s="33" t="s">
        <v>17</v>
      </c>
      <c r="K117" s="60">
        <v>0</v>
      </c>
      <c r="L117" s="60">
        <v>3.103649999999999E-3</v>
      </c>
      <c r="M117" s="60">
        <v>2.5993014600077795E-2</v>
      </c>
      <c r="N117" s="60">
        <v>5.2839899066486541E-2</v>
      </c>
      <c r="O117" s="60">
        <v>8.7454977270060894E-2</v>
      </c>
      <c r="P117" s="60">
        <v>0.12840387040262394</v>
      </c>
      <c r="Q117" s="60">
        <v>0.22689823817651461</v>
      </c>
      <c r="R117" s="60">
        <v>0.38373248029419099</v>
      </c>
    </row>
    <row r="118" spans="2:20" x14ac:dyDescent="0.25">
      <c r="B118" s="113" t="s">
        <v>125</v>
      </c>
      <c r="D118" s="11" t="s">
        <v>42</v>
      </c>
      <c r="E118" s="11" t="s">
        <v>39</v>
      </c>
      <c r="F118" s="11" t="s">
        <v>4</v>
      </c>
      <c r="G118" s="34" t="s">
        <v>7</v>
      </c>
      <c r="H118" s="11"/>
      <c r="I118" s="11"/>
      <c r="J118" s="11" t="s">
        <v>17</v>
      </c>
      <c r="K118" s="45">
        <v>0</v>
      </c>
      <c r="L118" s="45">
        <v>0</v>
      </c>
      <c r="M118" s="45">
        <v>1.9136039546154511E-2</v>
      </c>
      <c r="N118" s="45">
        <v>7.6717536203881054E-2</v>
      </c>
      <c r="O118" s="45">
        <v>0.13789661251560106</v>
      </c>
      <c r="P118" s="45">
        <v>0.20271860366837385</v>
      </c>
      <c r="Q118" s="45">
        <v>0.22564573373814767</v>
      </c>
      <c r="R118" s="45">
        <v>0.39203113380561677</v>
      </c>
    </row>
    <row r="119" spans="2:20" x14ac:dyDescent="0.25">
      <c r="B119" s="113" t="s">
        <v>125</v>
      </c>
      <c r="D119" s="5" t="s">
        <v>42</v>
      </c>
      <c r="E119" s="5" t="s">
        <v>39</v>
      </c>
      <c r="F119" s="5" t="s">
        <v>25</v>
      </c>
      <c r="G119" s="5" t="s">
        <v>25</v>
      </c>
      <c r="H119" s="5"/>
      <c r="I119" s="5"/>
      <c r="J119" s="40" t="s">
        <v>17</v>
      </c>
      <c r="K119" s="42">
        <v>0</v>
      </c>
      <c r="L119" s="42">
        <v>1.7916505653620494E-2</v>
      </c>
      <c r="M119" s="42">
        <v>7.5328425364250162E-2</v>
      </c>
      <c r="N119" s="42">
        <v>0.17482763644377389</v>
      </c>
      <c r="O119" s="42">
        <v>0.28448758978566191</v>
      </c>
      <c r="P119" s="42">
        <v>0.41139497407099779</v>
      </c>
      <c r="Q119" s="42">
        <v>0.55649397191466232</v>
      </c>
      <c r="R119" s="42">
        <v>0.97066986409980771</v>
      </c>
      <c r="S119" s="46"/>
      <c r="T119" s="46"/>
    </row>
    <row r="120" spans="2:20" x14ac:dyDescent="0.25">
      <c r="D120" s="29" t="s">
        <v>48</v>
      </c>
      <c r="E120" s="29" t="s">
        <v>39</v>
      </c>
      <c r="F120" s="29" t="s">
        <v>3</v>
      </c>
      <c r="G120" s="33" t="s">
        <v>6</v>
      </c>
      <c r="H120" s="29"/>
      <c r="I120" s="29"/>
      <c r="J120" s="29" t="s">
        <v>17</v>
      </c>
      <c r="K120" s="35">
        <v>0</v>
      </c>
      <c r="L120" s="35">
        <v>4.0049644346379483E-2</v>
      </c>
      <c r="M120" s="39">
        <v>9.2230628781982085E-2</v>
      </c>
      <c r="N120" s="35">
        <v>0.15743229882659365</v>
      </c>
      <c r="O120" s="35">
        <v>0.23654399999999992</v>
      </c>
      <c r="P120" s="35">
        <v>0.32108999999999999</v>
      </c>
      <c r="Q120" s="35">
        <v>0.41580000000000006</v>
      </c>
      <c r="R120" s="35">
        <v>0.58471874999999995</v>
      </c>
    </row>
    <row r="121" spans="2:20" x14ac:dyDescent="0.25">
      <c r="D121" s="33" t="s">
        <v>48</v>
      </c>
      <c r="E121" s="33" t="s">
        <v>39</v>
      </c>
      <c r="F121" s="33" t="s">
        <v>4</v>
      </c>
      <c r="G121" s="33" t="s">
        <v>6</v>
      </c>
      <c r="H121" s="33"/>
      <c r="I121" s="33"/>
      <c r="J121" s="33" t="s">
        <v>17</v>
      </c>
      <c r="K121" s="37">
        <v>0</v>
      </c>
      <c r="L121" s="37">
        <v>2.0408849999999992E-2</v>
      </c>
      <c r="M121" s="37">
        <v>0.18362807088442051</v>
      </c>
      <c r="N121" s="37">
        <v>0.40267647219632835</v>
      </c>
      <c r="O121" s="37">
        <v>0.72231333078605842</v>
      </c>
      <c r="P121" s="37">
        <v>1.1556348336236153</v>
      </c>
      <c r="Q121" s="37">
        <v>1.6639204132944405</v>
      </c>
      <c r="R121" s="37">
        <v>2.1744840550004159</v>
      </c>
    </row>
    <row r="122" spans="2:20" x14ac:dyDescent="0.25">
      <c r="D122" s="11" t="s">
        <v>48</v>
      </c>
      <c r="E122" s="11" t="s">
        <v>39</v>
      </c>
      <c r="F122" s="11" t="s">
        <v>4</v>
      </c>
      <c r="G122" s="34" t="s">
        <v>7</v>
      </c>
      <c r="H122" s="11"/>
      <c r="I122" s="11"/>
      <c r="J122" s="11" t="s">
        <v>17</v>
      </c>
      <c r="K122" s="43">
        <v>0</v>
      </c>
      <c r="L122" s="43">
        <v>0</v>
      </c>
      <c r="M122" s="43">
        <v>0.1084375574282089</v>
      </c>
      <c r="N122" s="43">
        <v>0.43473270515532597</v>
      </c>
      <c r="O122" s="43">
        <v>0.78141413758840617</v>
      </c>
      <c r="P122" s="43">
        <v>1.1487387541207852</v>
      </c>
      <c r="Q122" s="43">
        <v>1.2786591578495035</v>
      </c>
      <c r="R122" s="43">
        <v>2.2215097582318286</v>
      </c>
    </row>
    <row r="123" spans="2:20" x14ac:dyDescent="0.25">
      <c r="D123" s="5" t="s">
        <v>48</v>
      </c>
      <c r="E123" s="5" t="s">
        <v>39</v>
      </c>
      <c r="F123" s="5" t="s">
        <v>25</v>
      </c>
      <c r="G123" s="5" t="s">
        <v>25</v>
      </c>
      <c r="H123" s="5"/>
      <c r="I123" s="5"/>
      <c r="J123" s="40" t="s">
        <v>17</v>
      </c>
      <c r="K123" s="42">
        <v>0</v>
      </c>
      <c r="L123" s="42">
        <v>6.0458494346379475E-2</v>
      </c>
      <c r="M123" s="42">
        <v>0.38429625709461146</v>
      </c>
      <c r="N123" s="42">
        <v>0.99484147617824803</v>
      </c>
      <c r="O123" s="42">
        <v>1.7402714683744644</v>
      </c>
      <c r="P123" s="42">
        <v>2.6254635877444006</v>
      </c>
      <c r="Q123" s="42">
        <v>3.3583795711439439</v>
      </c>
      <c r="R123" s="42">
        <v>4.9807125632322444</v>
      </c>
    </row>
    <row r="124" spans="2:20" x14ac:dyDescent="0.25">
      <c r="D124" s="81" t="s">
        <v>49</v>
      </c>
      <c r="E124" s="81" t="s">
        <v>39</v>
      </c>
      <c r="F124" s="81" t="s">
        <v>25</v>
      </c>
      <c r="G124" s="81" t="s">
        <v>25</v>
      </c>
      <c r="H124" s="81"/>
      <c r="I124" s="81"/>
      <c r="J124" s="81" t="s">
        <v>17</v>
      </c>
      <c r="K124" s="81"/>
      <c r="L124" s="81">
        <v>0.4</v>
      </c>
      <c r="M124" s="81">
        <v>1</v>
      </c>
      <c r="N124" s="82"/>
      <c r="O124" s="82"/>
      <c r="P124" s="82"/>
      <c r="Q124" s="82"/>
      <c r="R124" s="82"/>
    </row>
    <row r="125" spans="2:20" x14ac:dyDescent="0.25"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2:20" x14ac:dyDescent="0.25">
      <c r="D126" s="32" t="s">
        <v>51</v>
      </c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</row>
    <row r="127" spans="2:20" x14ac:dyDescent="0.25">
      <c r="D127" s="51"/>
      <c r="E127" s="51"/>
      <c r="F127" s="51"/>
      <c r="G127" s="51"/>
      <c r="H127" s="51"/>
      <c r="I127" s="51"/>
      <c r="J127" s="51" t="s">
        <v>13</v>
      </c>
      <c r="K127" s="51">
        <v>2024</v>
      </c>
      <c r="L127" s="51">
        <v>2025</v>
      </c>
      <c r="M127" s="51">
        <v>2026</v>
      </c>
      <c r="N127" s="51">
        <v>2027</v>
      </c>
      <c r="O127" s="51">
        <v>2028</v>
      </c>
      <c r="P127" s="51">
        <v>2029</v>
      </c>
      <c r="Q127" s="51">
        <v>2030</v>
      </c>
      <c r="R127" s="51"/>
    </row>
    <row r="128" spans="2:20" x14ac:dyDescent="0.25">
      <c r="D128" s="51" t="s">
        <v>43</v>
      </c>
      <c r="E128" s="51"/>
      <c r="F128" s="51" t="s">
        <v>12</v>
      </c>
      <c r="G128" s="51" t="s">
        <v>2</v>
      </c>
      <c r="H128" s="51"/>
      <c r="I128" s="51"/>
      <c r="J128" s="51"/>
      <c r="K128" s="51"/>
      <c r="L128" s="51"/>
      <c r="M128" s="51"/>
      <c r="N128" s="51"/>
      <c r="O128" s="51"/>
      <c r="P128" s="51"/>
      <c r="Q128" s="51" t="s">
        <v>15</v>
      </c>
      <c r="R128" s="51" t="s">
        <v>14</v>
      </c>
    </row>
    <row r="129" spans="2:20" x14ac:dyDescent="0.25">
      <c r="D129" s="33" t="s">
        <v>18</v>
      </c>
      <c r="E129" s="33" t="s">
        <v>39</v>
      </c>
      <c r="F129" s="33" t="s">
        <v>3</v>
      </c>
      <c r="G129" s="33" t="s">
        <v>6</v>
      </c>
      <c r="H129" s="33"/>
      <c r="I129" s="33"/>
      <c r="J129" s="33" t="s">
        <v>19</v>
      </c>
      <c r="K129" s="37">
        <v>0</v>
      </c>
      <c r="L129" s="37">
        <v>0</v>
      </c>
      <c r="M129" s="37">
        <v>0</v>
      </c>
      <c r="N129" s="37">
        <v>0</v>
      </c>
      <c r="O129" s="37">
        <v>0</v>
      </c>
      <c r="P129" s="37">
        <v>0</v>
      </c>
      <c r="Q129" s="37">
        <v>0</v>
      </c>
      <c r="R129" s="37">
        <v>0</v>
      </c>
    </row>
    <row r="130" spans="2:20" x14ac:dyDescent="0.25">
      <c r="D130" s="33" t="s">
        <v>18</v>
      </c>
      <c r="E130" s="33" t="s">
        <v>39</v>
      </c>
      <c r="F130" s="33" t="s">
        <v>4</v>
      </c>
      <c r="G130" s="33" t="s">
        <v>6</v>
      </c>
      <c r="H130" s="33"/>
      <c r="I130" s="33"/>
      <c r="J130" s="33" t="s">
        <v>19</v>
      </c>
      <c r="K130" s="37">
        <v>0</v>
      </c>
      <c r="L130" s="37">
        <v>2.6378835978836168E-2</v>
      </c>
      <c r="M130" s="37">
        <v>2.4660423280423283</v>
      </c>
      <c r="N130" s="37">
        <v>2.5870317460317462</v>
      </c>
      <c r="O130" s="37">
        <v>4.7080211640211651</v>
      </c>
      <c r="P130" s="37">
        <v>4.8290105820105822</v>
      </c>
      <c r="Q130" s="37">
        <v>5.34</v>
      </c>
      <c r="R130" s="37">
        <v>5.34</v>
      </c>
    </row>
    <row r="131" spans="2:20" x14ac:dyDescent="0.25">
      <c r="D131" s="34" t="s">
        <v>18</v>
      </c>
      <c r="E131" s="34" t="s">
        <v>39</v>
      </c>
      <c r="F131" s="34" t="s">
        <v>4</v>
      </c>
      <c r="G131" s="34" t="s">
        <v>7</v>
      </c>
      <c r="H131" s="34"/>
      <c r="I131" s="34"/>
      <c r="J131" s="34" t="s">
        <v>19</v>
      </c>
      <c r="K131" s="80">
        <v>0</v>
      </c>
      <c r="L131" s="80">
        <v>0</v>
      </c>
      <c r="M131" s="38">
        <v>0</v>
      </c>
      <c r="N131" s="80">
        <v>0</v>
      </c>
      <c r="O131" s="80">
        <v>0</v>
      </c>
      <c r="P131" s="80">
        <v>0</v>
      </c>
      <c r="Q131" s="80">
        <v>0</v>
      </c>
      <c r="R131" s="80">
        <v>0</v>
      </c>
    </row>
    <row r="132" spans="2:20" x14ac:dyDescent="0.25">
      <c r="D132" s="40" t="s">
        <v>18</v>
      </c>
      <c r="E132" s="40" t="s">
        <v>39</v>
      </c>
      <c r="F132" s="40" t="s">
        <v>25</v>
      </c>
      <c r="G132" s="40" t="s">
        <v>25</v>
      </c>
      <c r="H132" s="40"/>
      <c r="I132" s="40"/>
      <c r="J132" s="40" t="s">
        <v>19</v>
      </c>
      <c r="K132" s="41">
        <v>0</v>
      </c>
      <c r="L132" s="41">
        <v>2.6378835978836168E-2</v>
      </c>
      <c r="M132" s="41">
        <v>2.4660423280423283</v>
      </c>
      <c r="N132" s="41">
        <v>2.5870317460317462</v>
      </c>
      <c r="O132" s="41">
        <v>4.7080211640211651</v>
      </c>
      <c r="P132" s="41">
        <v>4.8290105820105822</v>
      </c>
      <c r="Q132" s="41">
        <v>5.34</v>
      </c>
      <c r="R132" s="41">
        <v>5.34</v>
      </c>
    </row>
    <row r="133" spans="2:20" x14ac:dyDescent="0.25">
      <c r="D133" s="29" t="s">
        <v>20</v>
      </c>
      <c r="E133" s="29" t="s">
        <v>39</v>
      </c>
      <c r="F133" s="29" t="s">
        <v>3</v>
      </c>
      <c r="G133" s="29" t="s">
        <v>6</v>
      </c>
      <c r="H133" s="29"/>
      <c r="I133" s="29"/>
      <c r="J133" s="29" t="s">
        <v>17</v>
      </c>
      <c r="K133" s="35">
        <v>0</v>
      </c>
      <c r="L133" s="35">
        <v>0</v>
      </c>
      <c r="M133" s="39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</row>
    <row r="134" spans="2:20" x14ac:dyDescent="0.25">
      <c r="D134" s="33" t="s">
        <v>20</v>
      </c>
      <c r="E134" s="33" t="s">
        <v>39</v>
      </c>
      <c r="F134" s="33" t="s">
        <v>4</v>
      </c>
      <c r="G134" s="33" t="s">
        <v>6</v>
      </c>
      <c r="H134" s="33"/>
      <c r="I134" s="33"/>
      <c r="J134" s="33" t="s">
        <v>17</v>
      </c>
      <c r="K134" s="37">
        <v>0</v>
      </c>
      <c r="L134" s="37">
        <v>1.0158125119129142</v>
      </c>
      <c r="M134" s="37">
        <v>26.191556897363316</v>
      </c>
      <c r="N134" s="37">
        <v>28.814809523943381</v>
      </c>
      <c r="O134" s="37">
        <v>52.522029291353419</v>
      </c>
      <c r="P134" s="37">
        <v>55.773345429207637</v>
      </c>
      <c r="Q134" s="37">
        <v>63.382509525007293</v>
      </c>
      <c r="R134" s="37">
        <v>63.382509525007293</v>
      </c>
    </row>
    <row r="135" spans="2:20" x14ac:dyDescent="0.25">
      <c r="D135" s="11" t="s">
        <v>20</v>
      </c>
      <c r="E135" s="11" t="s">
        <v>39</v>
      </c>
      <c r="F135" s="11" t="s">
        <v>4</v>
      </c>
      <c r="G135" s="34" t="s">
        <v>7</v>
      </c>
      <c r="H135" s="11"/>
      <c r="I135" s="11"/>
      <c r="J135" s="11" t="s">
        <v>17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  <c r="Q135" s="43">
        <v>0</v>
      </c>
      <c r="R135" s="36">
        <v>0</v>
      </c>
    </row>
    <row r="136" spans="2:20" x14ac:dyDescent="0.25">
      <c r="D136" s="40" t="s">
        <v>20</v>
      </c>
      <c r="E136" s="40" t="s">
        <v>39</v>
      </c>
      <c r="F136" s="40" t="s">
        <v>25</v>
      </c>
      <c r="G136" s="40" t="s">
        <v>25</v>
      </c>
      <c r="H136" s="40"/>
      <c r="I136" s="40"/>
      <c r="J136" s="40" t="s">
        <v>17</v>
      </c>
      <c r="K136" s="41">
        <v>0</v>
      </c>
      <c r="L136" s="41">
        <v>1.0158125119129142</v>
      </c>
      <c r="M136" s="41">
        <v>26.191556897363316</v>
      </c>
      <c r="N136" s="41">
        <v>28.814809523943381</v>
      </c>
      <c r="O136" s="41">
        <v>52.522029291353419</v>
      </c>
      <c r="P136" s="41">
        <v>55.773345429207637</v>
      </c>
      <c r="Q136" s="111">
        <v>63.382509525007293</v>
      </c>
      <c r="R136" s="111">
        <v>63.382509525007293</v>
      </c>
    </row>
    <row r="137" spans="2:20" x14ac:dyDescent="0.25">
      <c r="D137" s="29" t="s">
        <v>16</v>
      </c>
      <c r="E137" s="29" t="s">
        <v>39</v>
      </c>
      <c r="F137" s="29" t="s">
        <v>3</v>
      </c>
      <c r="G137" s="29" t="s">
        <v>6</v>
      </c>
      <c r="H137" s="29"/>
      <c r="I137" s="29"/>
      <c r="J137" s="29" t="s">
        <v>17</v>
      </c>
      <c r="K137" s="39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</row>
    <row r="138" spans="2:20" x14ac:dyDescent="0.25">
      <c r="D138" s="33" t="s">
        <v>16</v>
      </c>
      <c r="E138" s="33" t="s">
        <v>39</v>
      </c>
      <c r="F138" s="33" t="s">
        <v>4</v>
      </c>
      <c r="G138" s="33" t="s">
        <v>6</v>
      </c>
      <c r="H138" s="33"/>
      <c r="I138" s="33"/>
      <c r="J138" s="33" t="s">
        <v>17</v>
      </c>
      <c r="K138" s="37">
        <v>0</v>
      </c>
      <c r="L138" s="37">
        <v>0.14582552948794092</v>
      </c>
      <c r="M138" s="37">
        <v>3.1282083182259264</v>
      </c>
      <c r="N138" s="37">
        <v>3.4353733269490387</v>
      </c>
      <c r="O138" s="37">
        <v>6.7666239676971109</v>
      </c>
      <c r="P138" s="37">
        <v>7.1586810143214299</v>
      </c>
      <c r="Q138" s="37">
        <v>7.9886533601864009</v>
      </c>
      <c r="R138" s="37">
        <v>7.9886533601864009</v>
      </c>
    </row>
    <row r="139" spans="2:20" x14ac:dyDescent="0.25">
      <c r="D139" s="34" t="s">
        <v>16</v>
      </c>
      <c r="E139" s="34" t="s">
        <v>39</v>
      </c>
      <c r="F139" s="34" t="s">
        <v>4</v>
      </c>
      <c r="G139" s="34" t="s">
        <v>7</v>
      </c>
      <c r="H139" s="34"/>
      <c r="I139" s="34"/>
      <c r="J139" s="11" t="s">
        <v>17</v>
      </c>
      <c r="K139" s="38">
        <v>0</v>
      </c>
      <c r="L139" s="38">
        <v>0</v>
      </c>
      <c r="M139" s="38">
        <v>0</v>
      </c>
      <c r="N139" s="38">
        <v>0</v>
      </c>
      <c r="O139" s="38">
        <v>0</v>
      </c>
      <c r="P139" s="38">
        <v>0</v>
      </c>
      <c r="Q139" s="38">
        <v>0</v>
      </c>
      <c r="R139" s="38">
        <v>0</v>
      </c>
    </row>
    <row r="140" spans="2:20" x14ac:dyDescent="0.25">
      <c r="D140" s="5" t="s">
        <v>16</v>
      </c>
      <c r="E140" s="5" t="s">
        <v>39</v>
      </c>
      <c r="F140" s="5" t="s">
        <v>25</v>
      </c>
      <c r="G140" s="5" t="s">
        <v>25</v>
      </c>
      <c r="H140" s="5"/>
      <c r="I140" s="5"/>
      <c r="J140" s="40" t="s">
        <v>17</v>
      </c>
      <c r="K140" s="42">
        <v>0</v>
      </c>
      <c r="L140" s="42">
        <v>0.14582552948794092</v>
      </c>
      <c r="M140" s="42">
        <v>3.1282083182259264</v>
      </c>
      <c r="N140" s="42">
        <v>3.4353733269490387</v>
      </c>
      <c r="O140" s="42">
        <v>6.7666239676971109</v>
      </c>
      <c r="P140" s="42">
        <v>7.1586810143214299</v>
      </c>
      <c r="Q140" s="42">
        <v>7.9886533601864009</v>
      </c>
      <c r="R140" s="42">
        <v>7.9886533601864009</v>
      </c>
    </row>
    <row r="141" spans="2:20" x14ac:dyDescent="0.25">
      <c r="B141" s="113" t="s">
        <v>125</v>
      </c>
      <c r="D141" s="29" t="s">
        <v>42</v>
      </c>
      <c r="E141" s="29" t="s">
        <v>39</v>
      </c>
      <c r="F141" s="29" t="s">
        <v>3</v>
      </c>
      <c r="G141" s="29" t="s">
        <v>6</v>
      </c>
      <c r="H141" s="29"/>
      <c r="I141" s="29"/>
      <c r="J141" s="29" t="s">
        <v>17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</row>
    <row r="142" spans="2:20" x14ac:dyDescent="0.25">
      <c r="B142" s="113" t="s">
        <v>125</v>
      </c>
      <c r="D142" s="33" t="s">
        <v>42</v>
      </c>
      <c r="E142" s="33" t="s">
        <v>39</v>
      </c>
      <c r="F142" s="33" t="s">
        <v>4</v>
      </c>
      <c r="G142" s="33" t="s">
        <v>6</v>
      </c>
      <c r="H142" s="33"/>
      <c r="I142" s="33"/>
      <c r="J142" s="33" t="s">
        <v>17</v>
      </c>
      <c r="K142" s="60">
        <v>0</v>
      </c>
      <c r="L142" s="60">
        <v>1.9248969892408201E-2</v>
      </c>
      <c r="M142" s="60">
        <v>0.38789783146001489</v>
      </c>
      <c r="N142" s="60">
        <v>0.39850330592608857</v>
      </c>
      <c r="O142" s="60">
        <v>0.73079538851128811</v>
      </c>
      <c r="P142" s="60">
        <v>0.71586810143214308</v>
      </c>
      <c r="Q142" s="60">
        <v>0.95863840322236804</v>
      </c>
      <c r="R142" s="60">
        <v>1.1982980040279601</v>
      </c>
    </row>
    <row r="143" spans="2:20" x14ac:dyDescent="0.25">
      <c r="B143" s="113" t="s">
        <v>125</v>
      </c>
      <c r="D143" s="11" t="s">
        <v>42</v>
      </c>
      <c r="E143" s="11" t="s">
        <v>39</v>
      </c>
      <c r="F143" s="11" t="s">
        <v>4</v>
      </c>
      <c r="G143" s="34" t="s">
        <v>7</v>
      </c>
      <c r="H143" s="11"/>
      <c r="I143" s="11"/>
      <c r="J143" s="11" t="s">
        <v>17</v>
      </c>
      <c r="K143" s="45">
        <v>0</v>
      </c>
      <c r="L143" s="45">
        <v>0</v>
      </c>
      <c r="M143" s="45">
        <v>0</v>
      </c>
      <c r="N143" s="45">
        <v>0</v>
      </c>
      <c r="O143" s="45">
        <v>0</v>
      </c>
      <c r="P143" s="45">
        <v>0</v>
      </c>
      <c r="Q143" s="45">
        <v>0</v>
      </c>
      <c r="R143" s="45">
        <v>0</v>
      </c>
    </row>
    <row r="144" spans="2:20" x14ac:dyDescent="0.25">
      <c r="B144" s="113" t="s">
        <v>125</v>
      </c>
      <c r="D144" s="5" t="s">
        <v>42</v>
      </c>
      <c r="E144" s="5" t="s">
        <v>39</v>
      </c>
      <c r="F144" s="5" t="s">
        <v>25</v>
      </c>
      <c r="G144" s="5" t="s">
        <v>25</v>
      </c>
      <c r="H144" s="5"/>
      <c r="I144" s="5"/>
      <c r="J144" s="40" t="s">
        <v>17</v>
      </c>
      <c r="K144" s="42">
        <v>0</v>
      </c>
      <c r="L144" s="42">
        <v>1.9248969892408201E-2</v>
      </c>
      <c r="M144" s="42">
        <v>0.38789783146001489</v>
      </c>
      <c r="N144" s="42">
        <v>0.39850330592608857</v>
      </c>
      <c r="O144" s="42">
        <v>0.73079538851128811</v>
      </c>
      <c r="P144" s="42">
        <v>0.71586810143214308</v>
      </c>
      <c r="Q144" s="42">
        <v>0.95863840322236804</v>
      </c>
      <c r="R144" s="42">
        <v>1.1982980040279601</v>
      </c>
      <c r="S144" s="46"/>
      <c r="T144" s="46"/>
    </row>
    <row r="145" spans="4:18" x14ac:dyDescent="0.25">
      <c r="D145" s="29" t="s">
        <v>48</v>
      </c>
      <c r="E145" s="29" t="s">
        <v>39</v>
      </c>
      <c r="F145" s="29" t="s">
        <v>3</v>
      </c>
      <c r="G145" s="33" t="s">
        <v>6</v>
      </c>
      <c r="H145" s="29"/>
      <c r="I145" s="29"/>
      <c r="J145" s="29" t="s">
        <v>17</v>
      </c>
      <c r="K145" s="35">
        <v>0</v>
      </c>
      <c r="L145" s="35">
        <v>0</v>
      </c>
      <c r="M145" s="39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</row>
    <row r="146" spans="4:18" x14ac:dyDescent="0.25">
      <c r="D146" s="33" t="s">
        <v>48</v>
      </c>
      <c r="E146" s="33" t="s">
        <v>39</v>
      </c>
      <c r="F146" s="33" t="s">
        <v>4</v>
      </c>
      <c r="G146" s="33" t="s">
        <v>6</v>
      </c>
      <c r="H146" s="33"/>
      <c r="I146" s="33"/>
      <c r="J146" s="33" t="s">
        <v>17</v>
      </c>
      <c r="K146" s="37">
        <v>0</v>
      </c>
      <c r="L146" s="37">
        <v>0.12657655959553271</v>
      </c>
      <c r="M146" s="37">
        <v>2.7403104867659116</v>
      </c>
      <c r="N146" s="37">
        <v>3.03687002102295</v>
      </c>
      <c r="O146" s="37">
        <v>6.0358285791858233</v>
      </c>
      <c r="P146" s="37">
        <v>6.4428129128892868</v>
      </c>
      <c r="Q146" s="37">
        <v>7.0300149569640329</v>
      </c>
      <c r="R146" s="37">
        <v>6.7903553561584413</v>
      </c>
    </row>
    <row r="147" spans="4:18" x14ac:dyDescent="0.25">
      <c r="D147" s="11" t="s">
        <v>48</v>
      </c>
      <c r="E147" s="11" t="s">
        <v>39</v>
      </c>
      <c r="F147" s="11" t="s">
        <v>4</v>
      </c>
      <c r="G147" s="34" t="s">
        <v>7</v>
      </c>
      <c r="H147" s="11"/>
      <c r="I147" s="11"/>
      <c r="J147" s="11" t="s">
        <v>17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</row>
    <row r="148" spans="4:18" x14ac:dyDescent="0.25">
      <c r="D148" s="5" t="s">
        <v>48</v>
      </c>
      <c r="E148" s="5" t="s">
        <v>39</v>
      </c>
      <c r="F148" s="5" t="s">
        <v>25</v>
      </c>
      <c r="G148" s="5" t="s">
        <v>25</v>
      </c>
      <c r="H148" s="5"/>
      <c r="I148" s="5"/>
      <c r="J148" s="40" t="s">
        <v>17</v>
      </c>
      <c r="K148" s="42">
        <v>0</v>
      </c>
      <c r="L148" s="42">
        <v>0.12657655959553271</v>
      </c>
      <c r="M148" s="42">
        <v>2.7403104867659116</v>
      </c>
      <c r="N148" s="42">
        <v>3.03687002102295</v>
      </c>
      <c r="O148" s="42">
        <v>6.0358285791858233</v>
      </c>
      <c r="P148" s="42">
        <v>6.4428129128892868</v>
      </c>
      <c r="Q148" s="42">
        <v>7.0300149569640329</v>
      </c>
      <c r="R148" s="42">
        <v>6.7903553561584413</v>
      </c>
    </row>
    <row r="149" spans="4:18" x14ac:dyDescent="0.25">
      <c r="D149" s="83" t="s">
        <v>49</v>
      </c>
      <c r="E149" s="83" t="s">
        <v>39</v>
      </c>
      <c r="F149" s="83" t="s">
        <v>25</v>
      </c>
      <c r="G149" s="83" t="s">
        <v>25</v>
      </c>
      <c r="H149" s="84"/>
      <c r="I149" s="84"/>
      <c r="J149" s="84" t="s">
        <v>17</v>
      </c>
      <c r="K149" s="84"/>
      <c r="L149" s="84"/>
      <c r="M149" s="84">
        <v>0.5</v>
      </c>
      <c r="N149" s="85"/>
      <c r="O149" s="85"/>
      <c r="P149" s="85"/>
      <c r="Q149" s="85"/>
      <c r="R149" s="85"/>
    </row>
    <row r="150" spans="4:18" x14ac:dyDescent="0.25"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4:18" x14ac:dyDescent="0.25">
      <c r="D151" s="32" t="s">
        <v>52</v>
      </c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</row>
    <row r="152" spans="4:18" x14ac:dyDescent="0.25">
      <c r="D152" s="51"/>
      <c r="E152" s="51"/>
      <c r="F152" s="51"/>
      <c r="G152" s="51"/>
      <c r="H152" s="51"/>
      <c r="I152" s="51"/>
      <c r="J152" s="51" t="s">
        <v>13</v>
      </c>
      <c r="K152" s="51">
        <v>2024</v>
      </c>
      <c r="L152" s="51">
        <v>2025</v>
      </c>
      <c r="M152" s="51">
        <v>2026</v>
      </c>
      <c r="N152" s="51">
        <v>2027</v>
      </c>
      <c r="O152" s="51">
        <v>2028</v>
      </c>
      <c r="P152" s="51">
        <v>2029</v>
      </c>
      <c r="Q152" s="51">
        <v>2030</v>
      </c>
      <c r="R152" s="51"/>
    </row>
    <row r="153" spans="4:18" x14ac:dyDescent="0.25">
      <c r="D153" s="51" t="s">
        <v>43</v>
      </c>
      <c r="E153" s="51"/>
      <c r="F153" s="51" t="s">
        <v>12</v>
      </c>
      <c r="G153" s="51" t="s">
        <v>2</v>
      </c>
      <c r="H153" s="51"/>
      <c r="I153" s="51"/>
      <c r="J153" s="51"/>
      <c r="K153" s="51"/>
      <c r="L153" s="51"/>
      <c r="M153" s="51"/>
      <c r="N153" s="51"/>
      <c r="O153" s="51"/>
      <c r="P153" s="51"/>
      <c r="Q153" s="51" t="s">
        <v>15</v>
      </c>
      <c r="R153" s="51" t="s">
        <v>14</v>
      </c>
    </row>
    <row r="154" spans="4:18" x14ac:dyDescent="0.25">
      <c r="D154" s="33" t="s">
        <v>18</v>
      </c>
      <c r="E154" s="33" t="s">
        <v>39</v>
      </c>
      <c r="F154" s="33" t="s">
        <v>3</v>
      </c>
      <c r="G154" s="33" t="s">
        <v>6</v>
      </c>
      <c r="H154" s="33"/>
      <c r="I154" s="33"/>
      <c r="J154" s="33" t="s">
        <v>19</v>
      </c>
      <c r="K154" s="37">
        <v>0</v>
      </c>
      <c r="L154" s="37">
        <v>0</v>
      </c>
      <c r="M154" s="37">
        <v>0.76891687716317658</v>
      </c>
      <c r="N154" s="37">
        <v>0.82779151719627497</v>
      </c>
      <c r="O154" s="37">
        <v>0.88383373878095206</v>
      </c>
      <c r="P154" s="37">
        <v>0.93724313922838653</v>
      </c>
      <c r="Q154" s="37">
        <v>1.3</v>
      </c>
      <c r="R154" s="37">
        <v>1.8</v>
      </c>
    </row>
    <row r="155" spans="4:18" x14ac:dyDescent="0.25">
      <c r="D155" s="33" t="s">
        <v>18</v>
      </c>
      <c r="E155" s="33" t="s">
        <v>39</v>
      </c>
      <c r="F155" s="33" t="s">
        <v>4</v>
      </c>
      <c r="G155" s="33" t="s">
        <v>6</v>
      </c>
      <c r="H155" s="33"/>
      <c r="I155" s="33"/>
      <c r="J155" s="33" t="s">
        <v>19</v>
      </c>
      <c r="K155" s="37">
        <v>0</v>
      </c>
      <c r="L155" s="37">
        <v>0</v>
      </c>
      <c r="M155" s="37">
        <v>0.55347731870104788</v>
      </c>
      <c r="N155" s="37">
        <v>0.59585612305923796</v>
      </c>
      <c r="O155" s="37">
        <v>0.63619611228040651</v>
      </c>
      <c r="P155" s="37">
        <v>0.6746409593517021</v>
      </c>
      <c r="Q155" s="37">
        <v>0.9</v>
      </c>
      <c r="R155" s="37">
        <v>1.3</v>
      </c>
    </row>
    <row r="156" spans="4:18" x14ac:dyDescent="0.25">
      <c r="D156" s="34" t="s">
        <v>18</v>
      </c>
      <c r="E156" s="34" t="s">
        <v>39</v>
      </c>
      <c r="F156" s="34" t="s">
        <v>4</v>
      </c>
      <c r="G156" s="34" t="s">
        <v>7</v>
      </c>
      <c r="H156" s="34"/>
      <c r="I156" s="34"/>
      <c r="J156" s="34" t="s">
        <v>19</v>
      </c>
      <c r="K156" s="80">
        <v>0</v>
      </c>
      <c r="L156" s="80">
        <v>0</v>
      </c>
      <c r="M156" s="38">
        <v>0</v>
      </c>
      <c r="N156" s="80">
        <v>0</v>
      </c>
      <c r="O156" s="80">
        <v>0</v>
      </c>
      <c r="P156" s="80">
        <v>0</v>
      </c>
      <c r="Q156" s="80">
        <v>0</v>
      </c>
      <c r="R156" s="80">
        <v>0</v>
      </c>
    </row>
    <row r="157" spans="4:18" x14ac:dyDescent="0.25">
      <c r="D157" s="40" t="s">
        <v>18</v>
      </c>
      <c r="E157" s="40" t="s">
        <v>39</v>
      </c>
      <c r="F157" s="40" t="s">
        <v>25</v>
      </c>
      <c r="G157" s="40" t="s">
        <v>25</v>
      </c>
      <c r="H157" s="40"/>
      <c r="I157" s="40"/>
      <c r="J157" s="40" t="s">
        <v>19</v>
      </c>
      <c r="K157" s="41">
        <v>0</v>
      </c>
      <c r="L157" s="41">
        <v>0</v>
      </c>
      <c r="M157" s="41">
        <v>1.3223941958642245</v>
      </c>
      <c r="N157" s="41">
        <v>1.4236476402555129</v>
      </c>
      <c r="O157" s="41">
        <v>1.5200298510613586</v>
      </c>
      <c r="P157" s="41">
        <v>1.6118840985800886</v>
      </c>
      <c r="Q157" s="41">
        <v>2.2000000000000002</v>
      </c>
      <c r="R157" s="41">
        <v>3.1</v>
      </c>
    </row>
    <row r="158" spans="4:18" x14ac:dyDescent="0.25">
      <c r="D158" s="29" t="s">
        <v>20</v>
      </c>
      <c r="E158" s="29" t="s">
        <v>39</v>
      </c>
      <c r="F158" s="29" t="s">
        <v>3</v>
      </c>
      <c r="G158" s="29" t="s">
        <v>6</v>
      </c>
      <c r="H158" s="29"/>
      <c r="I158" s="29"/>
      <c r="J158" s="29" t="s">
        <v>17</v>
      </c>
      <c r="K158" s="37">
        <v>0</v>
      </c>
      <c r="L158" s="37">
        <v>0</v>
      </c>
      <c r="M158" s="37">
        <v>12.147707979626491</v>
      </c>
      <c r="N158" s="37">
        <v>13.40831918505943</v>
      </c>
      <c r="O158" s="37">
        <v>14.668930390492367</v>
      </c>
      <c r="P158" s="37">
        <v>15.929541595925308</v>
      </c>
      <c r="Q158" s="37">
        <v>22.614021655151358</v>
      </c>
      <c r="R158" s="37">
        <v>31.31172229174804</v>
      </c>
    </row>
    <row r="159" spans="4:18" x14ac:dyDescent="0.25">
      <c r="D159" s="33" t="s">
        <v>20</v>
      </c>
      <c r="E159" s="33" t="s">
        <v>39</v>
      </c>
      <c r="F159" s="33" t="s">
        <v>4</v>
      </c>
      <c r="G159" s="33" t="s">
        <v>6</v>
      </c>
      <c r="H159" s="33"/>
      <c r="I159" s="33"/>
      <c r="J159" s="33" t="s">
        <v>17</v>
      </c>
      <c r="K159" s="37">
        <v>0</v>
      </c>
      <c r="L159" s="37">
        <v>0</v>
      </c>
      <c r="M159" s="37">
        <v>5.5379256965944306</v>
      </c>
      <c r="N159" s="37">
        <v>6.1126160990712108</v>
      </c>
      <c r="O159" s="37">
        <v>6.6873065015479929</v>
      </c>
      <c r="P159" s="37">
        <v>7.2619969040247714</v>
      </c>
      <c r="Q159" s="37">
        <v>9.9153787257202115</v>
      </c>
      <c r="R159" s="37">
        <v>14.322213714929193</v>
      </c>
    </row>
    <row r="160" spans="4:18" x14ac:dyDescent="0.25">
      <c r="D160" s="11" t="s">
        <v>20</v>
      </c>
      <c r="E160" s="11" t="s">
        <v>39</v>
      </c>
      <c r="F160" s="11" t="s">
        <v>4</v>
      </c>
      <c r="G160" s="34" t="s">
        <v>7</v>
      </c>
      <c r="H160" s="11"/>
      <c r="I160" s="11"/>
      <c r="J160" s="11" t="s">
        <v>17</v>
      </c>
      <c r="K160" s="80">
        <v>0</v>
      </c>
      <c r="L160" s="80">
        <v>0</v>
      </c>
      <c r="M160" s="38">
        <v>0</v>
      </c>
      <c r="N160" s="80">
        <v>0</v>
      </c>
      <c r="O160" s="80">
        <v>0</v>
      </c>
      <c r="P160" s="80">
        <v>0</v>
      </c>
      <c r="Q160" s="80">
        <v>0</v>
      </c>
      <c r="R160" s="80">
        <v>0</v>
      </c>
    </row>
    <row r="161" spans="2:20" x14ac:dyDescent="0.25">
      <c r="D161" s="40" t="s">
        <v>20</v>
      </c>
      <c r="E161" s="40" t="s">
        <v>39</v>
      </c>
      <c r="F161" s="40" t="s">
        <v>25</v>
      </c>
      <c r="G161" s="40" t="s">
        <v>25</v>
      </c>
      <c r="H161" s="40"/>
      <c r="I161" s="40"/>
      <c r="J161" s="40" t="s">
        <v>17</v>
      </c>
      <c r="K161" s="41">
        <v>0</v>
      </c>
      <c r="L161" s="41">
        <v>0</v>
      </c>
      <c r="M161" s="41">
        <v>17.68563367622092</v>
      </c>
      <c r="N161" s="41">
        <v>19.52093528413064</v>
      </c>
      <c r="O161" s="41">
        <v>21.356236892040361</v>
      </c>
      <c r="P161" s="41">
        <v>23.191538499950077</v>
      </c>
      <c r="Q161" s="111">
        <v>32.529400380871571</v>
      </c>
      <c r="R161" s="111">
        <v>45.633936006677231</v>
      </c>
    </row>
    <row r="162" spans="2:20" x14ac:dyDescent="0.25">
      <c r="D162" s="29" t="s">
        <v>16</v>
      </c>
      <c r="E162" s="29" t="s">
        <v>39</v>
      </c>
      <c r="F162" s="29" t="s">
        <v>3</v>
      </c>
      <c r="G162" s="29" t="s">
        <v>6</v>
      </c>
      <c r="H162" s="29"/>
      <c r="I162" s="29"/>
      <c r="J162" s="29" t="s">
        <v>17</v>
      </c>
      <c r="K162" s="37">
        <v>0</v>
      </c>
      <c r="L162" s="37">
        <v>0</v>
      </c>
      <c r="M162" s="37">
        <v>0.7949999999999996</v>
      </c>
      <c r="N162" s="37">
        <v>0.87749999999999972</v>
      </c>
      <c r="O162" s="37">
        <v>0.95999999999999985</v>
      </c>
      <c r="P162" s="37">
        <v>1.0425</v>
      </c>
      <c r="Q162" s="37">
        <v>1.4799620838760159</v>
      </c>
      <c r="R162" s="37">
        <v>2.0491782699821761</v>
      </c>
    </row>
    <row r="163" spans="2:20" x14ac:dyDescent="0.25">
      <c r="D163" s="33" t="s">
        <v>16</v>
      </c>
      <c r="E163" s="33" t="s">
        <v>39</v>
      </c>
      <c r="F163" s="33" t="s">
        <v>4</v>
      </c>
      <c r="G163" s="33" t="s">
        <v>6</v>
      </c>
      <c r="H163" s="33"/>
      <c r="I163" s="33"/>
      <c r="J163" s="33" t="s">
        <v>17</v>
      </c>
      <c r="K163" s="37">
        <v>0</v>
      </c>
      <c r="L163" s="37">
        <v>0</v>
      </c>
      <c r="M163" s="37">
        <v>0.7949999999999996</v>
      </c>
      <c r="N163" s="37">
        <v>0.87749999999999972</v>
      </c>
      <c r="O163" s="37">
        <v>0.96</v>
      </c>
      <c r="P163" s="37">
        <v>1.0425</v>
      </c>
      <c r="Q163" s="37">
        <v>1.4234077015145008</v>
      </c>
      <c r="R163" s="37">
        <v>2.0560333466320571</v>
      </c>
    </row>
    <row r="164" spans="2:20" x14ac:dyDescent="0.25">
      <c r="D164" s="34" t="s">
        <v>16</v>
      </c>
      <c r="E164" s="34" t="s">
        <v>39</v>
      </c>
      <c r="F164" s="34" t="s">
        <v>4</v>
      </c>
      <c r="G164" s="34" t="s">
        <v>7</v>
      </c>
      <c r="H164" s="34"/>
      <c r="I164" s="34"/>
      <c r="J164" s="11" t="s">
        <v>17</v>
      </c>
      <c r="K164" s="80">
        <v>0</v>
      </c>
      <c r="L164" s="80">
        <v>0</v>
      </c>
      <c r="M164" s="38">
        <v>0</v>
      </c>
      <c r="N164" s="80">
        <v>0</v>
      </c>
      <c r="O164" s="80">
        <v>0</v>
      </c>
      <c r="P164" s="80">
        <v>0</v>
      </c>
      <c r="Q164" s="80">
        <v>0</v>
      </c>
      <c r="R164" s="80">
        <v>0</v>
      </c>
    </row>
    <row r="165" spans="2:20" x14ac:dyDescent="0.25">
      <c r="D165" s="5" t="s">
        <v>16</v>
      </c>
      <c r="E165" s="5" t="s">
        <v>39</v>
      </c>
      <c r="F165" s="5" t="s">
        <v>25</v>
      </c>
      <c r="G165" s="5" t="s">
        <v>25</v>
      </c>
      <c r="H165" s="5"/>
      <c r="I165" s="5"/>
      <c r="J165" s="40" t="s">
        <v>17</v>
      </c>
      <c r="K165" s="42">
        <v>0</v>
      </c>
      <c r="L165" s="42">
        <v>0</v>
      </c>
      <c r="M165" s="42">
        <v>1.5899999999999992</v>
      </c>
      <c r="N165" s="42">
        <v>1.7549999999999994</v>
      </c>
      <c r="O165" s="42">
        <v>1.92</v>
      </c>
      <c r="P165" s="42">
        <v>2.085</v>
      </c>
      <c r="Q165" s="42">
        <v>2.9033697853905167</v>
      </c>
      <c r="R165" s="42">
        <v>4.1052116166142332</v>
      </c>
    </row>
    <row r="166" spans="2:20" x14ac:dyDescent="0.25">
      <c r="B166" s="113" t="s">
        <v>125</v>
      </c>
      <c r="D166" s="29" t="s">
        <v>42</v>
      </c>
      <c r="E166" s="29" t="s">
        <v>39</v>
      </c>
      <c r="F166" s="29" t="s">
        <v>3</v>
      </c>
      <c r="G166" s="29" t="s">
        <v>6</v>
      </c>
      <c r="H166" s="29"/>
      <c r="I166" s="29"/>
      <c r="J166" s="29" t="s">
        <v>17</v>
      </c>
      <c r="K166" s="44">
        <v>0</v>
      </c>
      <c r="L166" s="44">
        <v>0</v>
      </c>
      <c r="M166" s="44">
        <v>0.19609981310401206</v>
      </c>
      <c r="N166" s="44">
        <v>0.1959748968545727</v>
      </c>
      <c r="O166" s="44">
        <v>0.19199999999999998</v>
      </c>
      <c r="P166" s="44">
        <v>0.20850000000000002</v>
      </c>
      <c r="Q166" s="44">
        <v>0.29599241677520322</v>
      </c>
      <c r="R166" s="44">
        <v>0.51229456749554403</v>
      </c>
    </row>
    <row r="167" spans="2:20" x14ac:dyDescent="0.25">
      <c r="B167" s="113" t="s">
        <v>125</v>
      </c>
      <c r="D167" s="33" t="s">
        <v>42</v>
      </c>
      <c r="E167" s="33" t="s">
        <v>39</v>
      </c>
      <c r="F167" s="33" t="s">
        <v>4</v>
      </c>
      <c r="G167" s="33" t="s">
        <v>6</v>
      </c>
      <c r="H167" s="33"/>
      <c r="I167" s="33"/>
      <c r="J167" s="33" t="s">
        <v>17</v>
      </c>
      <c r="K167" s="60">
        <v>0</v>
      </c>
      <c r="L167" s="60">
        <v>0</v>
      </c>
      <c r="M167" s="60">
        <v>9.8579999999999959E-2</v>
      </c>
      <c r="N167" s="60">
        <v>0.10178999999999999</v>
      </c>
      <c r="O167" s="60">
        <v>0.10368000000000001</v>
      </c>
      <c r="P167" s="60">
        <v>0.10425000000000001</v>
      </c>
      <c r="Q167" s="60">
        <v>0.1708089241817401</v>
      </c>
      <c r="R167" s="60">
        <v>0.30840500199480853</v>
      </c>
    </row>
    <row r="168" spans="2:20" x14ac:dyDescent="0.25">
      <c r="B168" s="113" t="s">
        <v>125</v>
      </c>
      <c r="D168" s="11" t="s">
        <v>42</v>
      </c>
      <c r="E168" s="11" t="s">
        <v>39</v>
      </c>
      <c r="F168" s="11" t="s">
        <v>4</v>
      </c>
      <c r="G168" s="34" t="s">
        <v>7</v>
      </c>
      <c r="H168" s="11"/>
      <c r="I168" s="11"/>
      <c r="J168" s="11" t="s">
        <v>17</v>
      </c>
      <c r="K168" s="45">
        <v>0</v>
      </c>
      <c r="L168" s="45">
        <v>0</v>
      </c>
      <c r="M168" s="45">
        <v>0</v>
      </c>
      <c r="N168" s="45">
        <v>0</v>
      </c>
      <c r="O168" s="45">
        <v>0</v>
      </c>
      <c r="P168" s="45">
        <v>0</v>
      </c>
      <c r="Q168" s="45">
        <v>0</v>
      </c>
      <c r="R168" s="45">
        <v>0</v>
      </c>
    </row>
    <row r="169" spans="2:20" x14ac:dyDescent="0.25">
      <c r="B169" s="113" t="s">
        <v>125</v>
      </c>
      <c r="D169" s="5" t="s">
        <v>42</v>
      </c>
      <c r="E169" s="5" t="s">
        <v>39</v>
      </c>
      <c r="F169" s="5" t="s">
        <v>25</v>
      </c>
      <c r="G169" s="5" t="s">
        <v>25</v>
      </c>
      <c r="H169" s="5"/>
      <c r="I169" s="5"/>
      <c r="J169" s="40" t="s">
        <v>17</v>
      </c>
      <c r="K169" s="42">
        <v>0</v>
      </c>
      <c r="L169" s="42">
        <v>0</v>
      </c>
      <c r="M169" s="42">
        <v>0.29467981310401203</v>
      </c>
      <c r="N169" s="42">
        <v>0.29776489685457269</v>
      </c>
      <c r="O169" s="42">
        <v>0.29568</v>
      </c>
      <c r="P169" s="42">
        <v>0.31275000000000003</v>
      </c>
      <c r="Q169" s="42">
        <v>0.46680134095694331</v>
      </c>
      <c r="R169" s="42">
        <v>0.8206995694903525</v>
      </c>
      <c r="S169" s="46"/>
      <c r="T169" s="46"/>
    </row>
    <row r="170" spans="2:20" x14ac:dyDescent="0.25">
      <c r="D170" s="29" t="s">
        <v>48</v>
      </c>
      <c r="E170" s="29" t="s">
        <v>39</v>
      </c>
      <c r="F170" s="29" t="s">
        <v>3</v>
      </c>
      <c r="G170" s="33" t="s">
        <v>6</v>
      </c>
      <c r="H170" s="29"/>
      <c r="I170" s="29"/>
      <c r="J170" s="29" t="s">
        <v>17</v>
      </c>
      <c r="K170" s="35">
        <v>0</v>
      </c>
      <c r="L170" s="35">
        <v>0</v>
      </c>
      <c r="M170" s="39">
        <v>0.59890018689598756</v>
      </c>
      <c r="N170" s="35">
        <v>0.68152510314542702</v>
      </c>
      <c r="O170" s="35">
        <v>0.7679999999999999</v>
      </c>
      <c r="P170" s="35">
        <v>0.83399999999999996</v>
      </c>
      <c r="Q170" s="35">
        <v>1.1839696671008126</v>
      </c>
      <c r="R170" s="35">
        <v>1.536883702486632</v>
      </c>
    </row>
    <row r="171" spans="2:20" x14ac:dyDescent="0.25">
      <c r="D171" s="33" t="s">
        <v>48</v>
      </c>
      <c r="E171" s="33" t="s">
        <v>39</v>
      </c>
      <c r="F171" s="33" t="s">
        <v>4</v>
      </c>
      <c r="G171" s="33" t="s">
        <v>6</v>
      </c>
      <c r="H171" s="33"/>
      <c r="I171" s="33"/>
      <c r="J171" s="33" t="s">
        <v>17</v>
      </c>
      <c r="K171" s="37">
        <v>0</v>
      </c>
      <c r="L171" s="37">
        <v>0</v>
      </c>
      <c r="M171" s="37">
        <v>0.69641999999999959</v>
      </c>
      <c r="N171" s="37">
        <v>0.77570999999999968</v>
      </c>
      <c r="O171" s="37">
        <v>0.85631999999999997</v>
      </c>
      <c r="P171" s="37">
        <v>0.93825000000000003</v>
      </c>
      <c r="Q171" s="37">
        <v>1.2525987773327607</v>
      </c>
      <c r="R171" s="37">
        <v>1.7476283446372485</v>
      </c>
    </row>
    <row r="172" spans="2:20" x14ac:dyDescent="0.25">
      <c r="D172" s="11" t="s">
        <v>48</v>
      </c>
      <c r="E172" s="11" t="s">
        <v>39</v>
      </c>
      <c r="F172" s="11" t="s">
        <v>4</v>
      </c>
      <c r="G172" s="34" t="s">
        <v>7</v>
      </c>
      <c r="H172" s="11"/>
      <c r="I172" s="11"/>
      <c r="J172" s="11" t="s">
        <v>17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</row>
    <row r="173" spans="2:20" x14ac:dyDescent="0.25">
      <c r="D173" s="5" t="s">
        <v>48</v>
      </c>
      <c r="E173" s="5" t="s">
        <v>39</v>
      </c>
      <c r="F173" s="5" t="s">
        <v>25</v>
      </c>
      <c r="G173" s="5" t="s">
        <v>25</v>
      </c>
      <c r="H173" s="5"/>
      <c r="I173" s="5"/>
      <c r="J173" s="40" t="s">
        <v>17</v>
      </c>
      <c r="K173" s="42">
        <v>0</v>
      </c>
      <c r="L173" s="42">
        <v>0</v>
      </c>
      <c r="M173" s="42">
        <v>1.2953201868959872</v>
      </c>
      <c r="N173" s="42">
        <v>1.4572351031454267</v>
      </c>
      <c r="O173" s="42">
        <v>1.62432</v>
      </c>
      <c r="P173" s="42">
        <v>1.7722500000000001</v>
      </c>
      <c r="Q173" s="42">
        <v>2.4365684444335733</v>
      </c>
      <c r="R173" s="42">
        <v>3.2845120471238802</v>
      </c>
    </row>
    <row r="174" spans="2:20" x14ac:dyDescent="0.25">
      <c r="D174" s="83" t="s">
        <v>49</v>
      </c>
      <c r="E174" s="83" t="s">
        <v>39</v>
      </c>
      <c r="F174" s="83" t="s">
        <v>25</v>
      </c>
      <c r="G174" s="83"/>
      <c r="H174" s="83"/>
      <c r="I174" s="83"/>
      <c r="J174" s="83" t="s">
        <v>17</v>
      </c>
      <c r="K174" s="83"/>
      <c r="L174" s="85"/>
      <c r="M174" s="84">
        <v>2</v>
      </c>
      <c r="N174" s="84">
        <v>1</v>
      </c>
      <c r="O174" s="85"/>
      <c r="P174" s="85"/>
      <c r="Q174" s="85"/>
      <c r="R174" s="85"/>
    </row>
    <row r="175" spans="2:20" x14ac:dyDescent="0.25"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2:20" x14ac:dyDescent="0.25"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3:24" x14ac:dyDescent="0.25">
      <c r="D177" s="32" t="s">
        <v>0</v>
      </c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</row>
    <row r="179" spans="3:24" x14ac:dyDescent="0.25">
      <c r="D179" s="31" t="s">
        <v>1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2"/>
    </row>
    <row r="180" spans="3:24" x14ac:dyDescent="0.25">
      <c r="D180" s="51" t="s">
        <v>2</v>
      </c>
      <c r="E180" s="51"/>
      <c r="F180" s="51"/>
      <c r="G180" s="51"/>
      <c r="H180" s="51"/>
      <c r="I180" s="51"/>
      <c r="J180" s="51" t="s">
        <v>13</v>
      </c>
      <c r="K180" s="51">
        <v>2024</v>
      </c>
      <c r="L180" s="51">
        <v>2025</v>
      </c>
      <c r="M180" s="51">
        <v>2026</v>
      </c>
      <c r="N180" s="51">
        <v>2027</v>
      </c>
      <c r="O180" s="51">
        <v>2028</v>
      </c>
      <c r="P180" s="51">
        <v>2029</v>
      </c>
      <c r="Q180" s="51">
        <v>2030</v>
      </c>
      <c r="R180" s="51"/>
    </row>
    <row r="181" spans="3:24" x14ac:dyDescent="0.25">
      <c r="D181" s="51" t="s">
        <v>5</v>
      </c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 t="s">
        <v>15</v>
      </c>
      <c r="R181" s="51" t="s">
        <v>14</v>
      </c>
    </row>
    <row r="182" spans="3:24" x14ac:dyDescent="0.25">
      <c r="C182" t="s">
        <v>121</v>
      </c>
      <c r="D182" s="29" t="s">
        <v>6</v>
      </c>
      <c r="E182" s="29" t="s">
        <v>3</v>
      </c>
      <c r="F182" s="29"/>
      <c r="G182" s="29"/>
      <c r="H182" s="29"/>
      <c r="I182" s="29"/>
      <c r="J182" s="29" t="s">
        <v>40</v>
      </c>
      <c r="K182" s="86">
        <v>15000</v>
      </c>
      <c r="L182" s="57">
        <v>15399.233545532225</v>
      </c>
      <c r="M182" s="57">
        <v>15798.467091064449</v>
      </c>
      <c r="N182" s="57">
        <v>16197.700636596674</v>
      </c>
      <c r="O182" s="57">
        <v>16596.934182128898</v>
      </c>
      <c r="P182" s="57">
        <v>16996.167727661126</v>
      </c>
      <c r="Q182" s="86">
        <v>17395.401273193354</v>
      </c>
      <c r="R182" s="57">
        <v>17395.401273193354</v>
      </c>
      <c r="S182" s="213">
        <f>+R182-K182</f>
        <v>2395.4012731933544</v>
      </c>
      <c r="T182" s="214">
        <f>+R104+R105+R130+R154+R155</f>
        <v>11.113863446401295</v>
      </c>
      <c r="U182" s="213">
        <f>+T182*1000</f>
        <v>11113.863446401296</v>
      </c>
    </row>
    <row r="183" spans="3:24" x14ac:dyDescent="0.25">
      <c r="C183" t="s">
        <v>122</v>
      </c>
      <c r="D183" s="29" t="s">
        <v>6</v>
      </c>
      <c r="E183" s="33" t="s">
        <v>4</v>
      </c>
      <c r="F183" s="33"/>
      <c r="G183" s="33"/>
      <c r="H183" s="33"/>
      <c r="I183" s="33"/>
      <c r="J183" s="29" t="s">
        <v>40</v>
      </c>
      <c r="K183" s="53">
        <v>9500</v>
      </c>
      <c r="L183" s="57">
        <v>9752.8479121704113</v>
      </c>
      <c r="M183" s="57">
        <v>10005.695824340823</v>
      </c>
      <c r="N183" s="57">
        <v>10258.543736511232</v>
      </c>
      <c r="O183" s="57">
        <v>10511.391648681642</v>
      </c>
      <c r="P183" s="57">
        <v>10764.239560852049</v>
      </c>
      <c r="Q183" s="53">
        <v>11017.087473022457</v>
      </c>
      <c r="R183" s="57">
        <v>11017.087473022457</v>
      </c>
      <c r="S183" s="213">
        <f>+R183-K183</f>
        <v>1517.0874730224568</v>
      </c>
      <c r="T183" s="28">
        <f>+T182*(S183+S182)</f>
        <v>43482.865661024334</v>
      </c>
      <c r="U183" s="213">
        <f>+U182*2000</f>
        <v>22227726.892802592</v>
      </c>
    </row>
    <row r="184" spans="3:24" x14ac:dyDescent="0.25">
      <c r="C184" t="s">
        <v>123</v>
      </c>
      <c r="D184" s="33" t="s">
        <v>7</v>
      </c>
      <c r="E184" s="33" t="s">
        <v>25</v>
      </c>
      <c r="F184" s="33"/>
      <c r="G184" s="33"/>
      <c r="H184" s="33"/>
      <c r="I184" s="33"/>
      <c r="J184" s="29" t="s">
        <v>40</v>
      </c>
      <c r="K184" s="53">
        <v>5000</v>
      </c>
      <c r="L184" s="57">
        <v>5133.077848510743</v>
      </c>
      <c r="M184" s="57">
        <v>5266.155697021486</v>
      </c>
      <c r="N184" s="57">
        <v>5399.2335455322282</v>
      </c>
      <c r="O184" s="57">
        <v>5532.3113940429694</v>
      </c>
      <c r="P184" s="57">
        <v>5665.3892425537106</v>
      </c>
      <c r="Q184" s="53">
        <v>5798.4670910644509</v>
      </c>
      <c r="R184" s="57">
        <v>5798.4670910644509</v>
      </c>
    </row>
    <row r="186" spans="3:24" x14ac:dyDescent="0.25">
      <c r="D186" s="32" t="s">
        <v>10</v>
      </c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10"/>
      <c r="T186" s="10"/>
      <c r="U186" s="10"/>
      <c r="V186" s="10"/>
      <c r="W186" s="10"/>
      <c r="X186" s="10"/>
    </row>
    <row r="187" spans="3:24" x14ac:dyDescent="0.25">
      <c r="D187" s="51" t="s">
        <v>2</v>
      </c>
      <c r="E187" s="51"/>
      <c r="F187" s="51"/>
      <c r="G187" s="51"/>
      <c r="H187" s="51"/>
      <c r="I187" s="51"/>
      <c r="J187" s="51"/>
      <c r="K187" s="51">
        <v>2024</v>
      </c>
      <c r="L187" s="51">
        <v>2025</v>
      </c>
      <c r="M187" s="51">
        <v>2026</v>
      </c>
      <c r="N187" s="51">
        <v>2027</v>
      </c>
      <c r="O187" s="51">
        <v>2028</v>
      </c>
      <c r="P187" s="51">
        <v>2029</v>
      </c>
      <c r="Q187" s="51">
        <v>2030</v>
      </c>
      <c r="R187" s="51"/>
      <c r="S187" s="10"/>
      <c r="T187" s="10"/>
      <c r="U187" s="10"/>
      <c r="V187" s="10"/>
      <c r="W187" s="10"/>
      <c r="X187" s="10"/>
    </row>
    <row r="188" spans="3:24" x14ac:dyDescent="0.25">
      <c r="D188" s="51" t="s">
        <v>5</v>
      </c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 t="s">
        <v>15</v>
      </c>
      <c r="R188" s="51" t="s">
        <v>14</v>
      </c>
      <c r="S188" s="10"/>
      <c r="T188" s="10"/>
      <c r="U188" s="10"/>
      <c r="V188" s="10"/>
      <c r="W188" s="10"/>
      <c r="X188" s="10"/>
    </row>
    <row r="189" spans="3:24" x14ac:dyDescent="0.25">
      <c r="C189" t="s">
        <v>121</v>
      </c>
      <c r="D189" s="33" t="s">
        <v>6</v>
      </c>
      <c r="E189" s="29" t="s">
        <v>3</v>
      </c>
      <c r="F189" s="29"/>
      <c r="G189" s="29"/>
      <c r="H189" s="29"/>
      <c r="I189" s="29"/>
      <c r="J189" s="29" t="s">
        <v>40</v>
      </c>
      <c r="K189" s="53">
        <v>981.66666666666606</v>
      </c>
      <c r="L189" s="57">
        <v>1007.7942842576082</v>
      </c>
      <c r="M189" s="57">
        <v>1033.9219018485503</v>
      </c>
      <c r="N189" s="57">
        <v>1060.0495194394925</v>
      </c>
      <c r="O189" s="57">
        <v>1086.177137030435</v>
      </c>
      <c r="P189" s="57">
        <v>1112.3047546213775</v>
      </c>
      <c r="Q189" s="53">
        <v>1138.4323722123199</v>
      </c>
      <c r="R189" s="57">
        <v>1138.4323722123199</v>
      </c>
      <c r="U189" s="10"/>
      <c r="V189" s="10"/>
      <c r="W189" s="10"/>
      <c r="X189" s="10"/>
    </row>
    <row r="190" spans="3:24" x14ac:dyDescent="0.25">
      <c r="C190" t="s">
        <v>122</v>
      </c>
      <c r="D190" s="33" t="s">
        <v>6</v>
      </c>
      <c r="E190" s="33" t="s">
        <v>4</v>
      </c>
      <c r="F190" s="33"/>
      <c r="G190" s="33"/>
      <c r="H190" s="33"/>
      <c r="I190" s="33"/>
      <c r="J190" s="29" t="s">
        <v>40</v>
      </c>
      <c r="K190" s="53">
        <v>1363.7777777777774</v>
      </c>
      <c r="L190" s="57">
        <v>1400.0755002804626</v>
      </c>
      <c r="M190" s="57">
        <v>1436.3732227831479</v>
      </c>
      <c r="N190" s="57">
        <v>1472.6709452858333</v>
      </c>
      <c r="O190" s="57">
        <v>1508.9686677885188</v>
      </c>
      <c r="P190" s="57">
        <v>1545.2663902912045</v>
      </c>
      <c r="Q190" s="53">
        <v>1581.56411279389</v>
      </c>
      <c r="R190" s="57">
        <v>1581.56411279389</v>
      </c>
      <c r="U190" s="10"/>
      <c r="V190" s="10"/>
      <c r="W190" s="10"/>
      <c r="X190" s="10"/>
    </row>
    <row r="191" spans="3:24" x14ac:dyDescent="0.25">
      <c r="C191" t="s">
        <v>123</v>
      </c>
      <c r="D191" s="33" t="s">
        <v>7</v>
      </c>
      <c r="E191" s="33" t="s">
        <v>25</v>
      </c>
      <c r="F191" s="33"/>
      <c r="G191" s="33"/>
      <c r="H191" s="33"/>
      <c r="I191" s="33"/>
      <c r="J191" s="29" t="s">
        <v>40</v>
      </c>
      <c r="K191" s="53">
        <v>717.7777777777776</v>
      </c>
      <c r="L191" s="57">
        <v>736.88184225287534</v>
      </c>
      <c r="M191" s="57">
        <v>755.98590672797309</v>
      </c>
      <c r="N191" s="57">
        <v>775.08997120307072</v>
      </c>
      <c r="O191" s="57">
        <v>794.19403567816823</v>
      </c>
      <c r="P191" s="57">
        <v>813.29810015326575</v>
      </c>
      <c r="Q191" s="53">
        <v>832.40216462836315</v>
      </c>
      <c r="R191" s="57">
        <v>832.40216462836315</v>
      </c>
      <c r="U191" s="10"/>
      <c r="V191" s="10"/>
      <c r="W191" s="10"/>
      <c r="X191" s="10"/>
    </row>
    <row r="193" spans="3:19" x14ac:dyDescent="0.25">
      <c r="D193" s="32" t="s">
        <v>53</v>
      </c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</row>
    <row r="194" spans="3:19" x14ac:dyDescent="0.25">
      <c r="D194" s="51" t="s">
        <v>2</v>
      </c>
      <c r="E194" s="51"/>
      <c r="F194" s="51"/>
      <c r="G194" s="51"/>
      <c r="H194" s="51"/>
      <c r="I194" s="51"/>
      <c r="J194" s="51"/>
      <c r="K194" s="51">
        <v>2024</v>
      </c>
      <c r="L194" s="51">
        <v>2025</v>
      </c>
      <c r="M194" s="51">
        <v>2026</v>
      </c>
      <c r="N194" s="51">
        <v>2027</v>
      </c>
      <c r="O194" s="51">
        <v>2028</v>
      </c>
      <c r="P194" s="51">
        <v>2029</v>
      </c>
      <c r="Q194" s="51">
        <v>2030</v>
      </c>
      <c r="R194" s="51"/>
    </row>
    <row r="195" spans="3:19" x14ac:dyDescent="0.25">
      <c r="D195" s="51" t="s">
        <v>5</v>
      </c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 t="s">
        <v>15</v>
      </c>
      <c r="R195" s="51" t="s">
        <v>14</v>
      </c>
    </row>
    <row r="196" spans="3:19" x14ac:dyDescent="0.25">
      <c r="C196" t="s">
        <v>121</v>
      </c>
      <c r="D196" s="33" t="s">
        <v>6</v>
      </c>
      <c r="E196" s="29" t="s">
        <v>3</v>
      </c>
      <c r="F196" s="29"/>
      <c r="G196" s="29"/>
      <c r="H196" s="29"/>
      <c r="I196" s="29"/>
      <c r="J196" s="29" t="s">
        <v>35</v>
      </c>
      <c r="K196" s="67">
        <v>0.29333286315474744</v>
      </c>
      <c r="L196" s="68">
        <v>0.26999964736606064</v>
      </c>
      <c r="M196" s="68">
        <v>0.24666643157737378</v>
      </c>
      <c r="N196" s="68">
        <v>0.2233332157886869</v>
      </c>
      <c r="O196" s="67">
        <v>0.2</v>
      </c>
      <c r="P196" s="67">
        <v>0.2</v>
      </c>
      <c r="Q196" s="67">
        <v>0.2</v>
      </c>
      <c r="R196" s="68">
        <v>0.25</v>
      </c>
    </row>
    <row r="197" spans="3:19" x14ac:dyDescent="0.25">
      <c r="C197" t="s">
        <v>122</v>
      </c>
      <c r="D197" s="33" t="s">
        <v>6</v>
      </c>
      <c r="E197" s="33" t="s">
        <v>4</v>
      </c>
      <c r="F197" s="33"/>
      <c r="G197" s="33"/>
      <c r="H197" s="33"/>
      <c r="I197" s="33"/>
      <c r="J197" s="29" t="s">
        <v>35</v>
      </c>
      <c r="K197" s="67">
        <v>0.14000000000000001</v>
      </c>
      <c r="L197" s="68">
        <v>0.13200000000000001</v>
      </c>
      <c r="M197" s="68">
        <v>0.12400000000000001</v>
      </c>
      <c r="N197" s="68">
        <v>0.11600000000000002</v>
      </c>
      <c r="O197" s="68">
        <v>0.10800000000000001</v>
      </c>
      <c r="P197" s="67">
        <v>0.1</v>
      </c>
      <c r="Q197" s="67">
        <v>0.12</v>
      </c>
      <c r="R197" s="68">
        <v>0.15</v>
      </c>
      <c r="S197" s="109"/>
    </row>
    <row r="198" spans="3:19" x14ac:dyDescent="0.25">
      <c r="C198" t="s">
        <v>124</v>
      </c>
      <c r="D198" s="33" t="s">
        <v>7</v>
      </c>
      <c r="E198" s="33" t="s">
        <v>25</v>
      </c>
      <c r="F198" s="33"/>
      <c r="G198" s="33"/>
      <c r="H198" s="33"/>
      <c r="I198" s="33"/>
      <c r="J198" s="29" t="s">
        <v>35</v>
      </c>
      <c r="K198" s="67">
        <v>0.15</v>
      </c>
      <c r="L198" s="68">
        <v>0.15</v>
      </c>
      <c r="M198" s="68">
        <v>0.15</v>
      </c>
      <c r="N198" s="68">
        <v>0.15</v>
      </c>
      <c r="O198" s="68">
        <v>0.15</v>
      </c>
      <c r="P198" s="68">
        <v>0.15</v>
      </c>
      <c r="Q198" s="67">
        <v>0.15</v>
      </c>
      <c r="R198" s="68">
        <v>0.15</v>
      </c>
    </row>
    <row r="199" spans="3:19" outlineLevel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20D8-C414-4536-9592-21598753729F}">
  <dimension ref="B1:V34"/>
  <sheetViews>
    <sheetView topLeftCell="A11" zoomScale="80" zoomScaleNormal="80" workbookViewId="0">
      <selection activeCell="C43" sqref="C43"/>
    </sheetView>
  </sheetViews>
  <sheetFormatPr defaultRowHeight="13.8" x14ac:dyDescent="0.25"/>
  <cols>
    <col min="1" max="2" width="8.796875" style="10"/>
    <col min="3" max="3" width="12.3984375" style="10" customWidth="1"/>
    <col min="4" max="4" width="12.59765625" style="10" customWidth="1"/>
    <col min="5" max="5" width="23.296875" style="10" customWidth="1"/>
    <col min="6" max="6" width="22.5" style="10" customWidth="1"/>
    <col min="7" max="8" width="8.796875" style="10"/>
    <col min="9" max="9" width="7.19921875" style="10" customWidth="1"/>
    <col min="10" max="10" width="8.796875" style="10"/>
    <col min="11" max="11" width="17.3984375" style="10" customWidth="1"/>
    <col min="12" max="12" width="4.69921875" style="10" customWidth="1"/>
    <col min="13" max="13" width="8.796875" style="10" customWidth="1"/>
    <col min="14" max="21" width="8.796875" style="10"/>
    <col min="22" max="22" width="16.3984375" style="10" bestFit="1" customWidth="1"/>
    <col min="23" max="16384" width="8.796875" style="10"/>
  </cols>
  <sheetData>
    <row r="1" spans="7:22" x14ac:dyDescent="0.25">
      <c r="I1" s="123"/>
      <c r="J1" s="124"/>
      <c r="K1" s="124"/>
      <c r="L1" s="124"/>
      <c r="M1" s="120">
        <v>2024</v>
      </c>
      <c r="N1" s="121">
        <v>2025</v>
      </c>
      <c r="O1" s="121">
        <v>2026</v>
      </c>
      <c r="P1" s="121">
        <v>2027</v>
      </c>
      <c r="Q1" s="122">
        <v>2028</v>
      </c>
      <c r="S1" s="116"/>
      <c r="T1" s="215">
        <v>2024</v>
      </c>
      <c r="U1" s="216"/>
      <c r="V1" s="216"/>
    </row>
    <row r="2" spans="7:22" x14ac:dyDescent="0.25">
      <c r="I2" s="127"/>
      <c r="Q2" s="132"/>
      <c r="S2" s="116"/>
      <c r="T2" s="119" t="s">
        <v>130</v>
      </c>
      <c r="U2" s="119" t="s">
        <v>131</v>
      </c>
      <c r="V2" s="117" t="s">
        <v>132</v>
      </c>
    </row>
    <row r="3" spans="7:22" x14ac:dyDescent="0.25">
      <c r="I3" s="125" t="s">
        <v>44</v>
      </c>
      <c r="J3" s="192" t="s">
        <v>3</v>
      </c>
      <c r="K3" s="192" t="s">
        <v>149</v>
      </c>
      <c r="L3" s="192" t="s">
        <v>19</v>
      </c>
      <c r="M3" s="193">
        <v>24.666666666666668</v>
      </c>
      <c r="N3" s="193">
        <v>27.27408469766695</v>
      </c>
      <c r="O3" s="193">
        <v>29.749721747740331</v>
      </c>
      <c r="P3" s="193">
        <v>32.103322049620125</v>
      </c>
      <c r="Q3" s="133">
        <v>34.343692259366769</v>
      </c>
      <c r="S3" s="116" t="s">
        <v>127</v>
      </c>
      <c r="T3" s="116">
        <v>62</v>
      </c>
      <c r="U3" s="116">
        <v>25</v>
      </c>
      <c r="V3" s="117">
        <f>+U3/T3</f>
        <v>0.40322580645161288</v>
      </c>
    </row>
    <row r="4" spans="7:22" x14ac:dyDescent="0.25">
      <c r="G4" s="10">
        <f>135*42%</f>
        <v>56.699999999999996</v>
      </c>
      <c r="I4" s="125" t="s">
        <v>44</v>
      </c>
      <c r="J4" s="192" t="s">
        <v>4</v>
      </c>
      <c r="K4" s="192" t="str">
        <f>+K3</f>
        <v>no. of loans</v>
      </c>
      <c r="L4" s="192" t="s">
        <v>19</v>
      </c>
      <c r="M4" s="193">
        <v>21.05263157894737</v>
      </c>
      <c r="N4" s="193">
        <v>23.411964934714106</v>
      </c>
      <c r="O4" s="193">
        <v>25.652055706338242</v>
      </c>
      <c r="P4" s="193">
        <v>27.781721004478943</v>
      </c>
      <c r="Q4" s="133">
        <v>29.808929569533465</v>
      </c>
      <c r="S4" s="116" t="s">
        <v>126</v>
      </c>
      <c r="T4" s="116">
        <v>135</v>
      </c>
      <c r="U4" s="116">
        <v>21</v>
      </c>
      <c r="V4" s="117">
        <f>+U4/T4</f>
        <v>0.15555555555555556</v>
      </c>
    </row>
    <row r="5" spans="7:22" x14ac:dyDescent="0.25">
      <c r="I5" s="127"/>
      <c r="Q5" s="132"/>
      <c r="S5" s="116" t="s">
        <v>128</v>
      </c>
      <c r="T5" s="116">
        <f>+T4+T3</f>
        <v>197</v>
      </c>
      <c r="U5" s="116">
        <f>+U4+U3</f>
        <v>46</v>
      </c>
      <c r="V5" s="117">
        <f>+U5/T5</f>
        <v>0.233502538071066</v>
      </c>
    </row>
    <row r="6" spans="7:22" x14ac:dyDescent="0.25">
      <c r="I6" s="125" t="s">
        <v>44</v>
      </c>
      <c r="J6" s="192" t="s">
        <v>3</v>
      </c>
      <c r="K6" s="192" t="s">
        <v>150</v>
      </c>
      <c r="L6" s="192" t="s">
        <v>17</v>
      </c>
      <c r="M6" s="193">
        <f>+M3*15</f>
        <v>370</v>
      </c>
      <c r="N6" s="193">
        <v>420</v>
      </c>
      <c r="O6" s="193">
        <v>470</v>
      </c>
      <c r="P6" s="193">
        <v>520</v>
      </c>
      <c r="Q6" s="133">
        <v>570</v>
      </c>
    </row>
    <row r="7" spans="7:22" x14ac:dyDescent="0.25">
      <c r="I7" s="129" t="s">
        <v>44</v>
      </c>
      <c r="J7" s="130" t="s">
        <v>4</v>
      </c>
      <c r="K7" s="130" t="str">
        <f>+K6</f>
        <v>disb. Amount</v>
      </c>
      <c r="L7" s="130" t="s">
        <v>17</v>
      </c>
      <c r="M7" s="193">
        <f>+M4*9.5</f>
        <v>200</v>
      </c>
      <c r="N7" s="134">
        <v>228.33333333333334</v>
      </c>
      <c r="O7" s="134">
        <v>256.66666666666669</v>
      </c>
      <c r="P7" s="134">
        <v>285</v>
      </c>
      <c r="Q7" s="135">
        <v>313.33333333333331</v>
      </c>
    </row>
    <row r="8" spans="7:22" x14ac:dyDescent="0.25">
      <c r="I8" s="123"/>
      <c r="J8" s="124"/>
      <c r="K8" s="124"/>
      <c r="L8" s="124"/>
      <c r="M8" s="120">
        <v>2024</v>
      </c>
      <c r="N8" s="121">
        <v>2025</v>
      </c>
      <c r="O8" s="121">
        <v>2026</v>
      </c>
      <c r="P8" s="121">
        <v>2027</v>
      </c>
      <c r="Q8" s="122">
        <v>2028</v>
      </c>
    </row>
    <row r="9" spans="7:22" x14ac:dyDescent="0.25">
      <c r="I9" s="125" t="s">
        <v>44</v>
      </c>
      <c r="J9" s="192" t="s">
        <v>3</v>
      </c>
      <c r="K9" s="192" t="s">
        <v>129</v>
      </c>
      <c r="L9" s="192" t="s">
        <v>19</v>
      </c>
      <c r="M9" s="194">
        <f>+M3/V3</f>
        <v>61.173333333333339</v>
      </c>
      <c r="N9" s="195">
        <v>66</v>
      </c>
      <c r="O9" s="195">
        <v>71</v>
      </c>
      <c r="P9" s="195">
        <v>74</v>
      </c>
      <c r="Q9" s="126">
        <v>77</v>
      </c>
    </row>
    <row r="10" spans="7:22" x14ac:dyDescent="0.25">
      <c r="I10" s="125" t="s">
        <v>44</v>
      </c>
      <c r="J10" s="192" t="s">
        <v>4</v>
      </c>
      <c r="K10" s="192" t="str">
        <f>+K9</f>
        <v>cars sales</v>
      </c>
      <c r="L10" s="192" t="s">
        <v>19</v>
      </c>
      <c r="M10" s="194">
        <f>+M4/V4</f>
        <v>135.33834586466165</v>
      </c>
      <c r="N10" s="195">
        <f>+M10</f>
        <v>135.33834586466165</v>
      </c>
      <c r="O10" s="195">
        <v>144</v>
      </c>
      <c r="P10" s="195">
        <v>147</v>
      </c>
      <c r="Q10" s="126">
        <v>150</v>
      </c>
    </row>
    <row r="11" spans="7:22" ht="6" customHeight="1" x14ac:dyDescent="0.25">
      <c r="I11" s="127"/>
      <c r="M11" s="118"/>
      <c r="N11" s="118"/>
      <c r="O11" s="118"/>
      <c r="P11" s="118"/>
      <c r="Q11" s="128"/>
    </row>
    <row r="12" spans="7:22" x14ac:dyDescent="0.25">
      <c r="I12" s="125" t="s">
        <v>44</v>
      </c>
      <c r="J12" s="192" t="s">
        <v>3</v>
      </c>
      <c r="K12" s="192" t="s">
        <v>129</v>
      </c>
      <c r="L12" s="192" t="s">
        <v>17</v>
      </c>
      <c r="M12" s="194">
        <f>+M9*15</f>
        <v>917.60000000000014</v>
      </c>
      <c r="N12" s="194">
        <f>+N9*(15*102%)</f>
        <v>1009.8000000000001</v>
      </c>
      <c r="O12" s="194">
        <f t="shared" ref="O12:Q12" si="0">+O9*(15*102%)</f>
        <v>1086.3</v>
      </c>
      <c r="P12" s="194">
        <f t="shared" si="0"/>
        <v>1132.2</v>
      </c>
      <c r="Q12" s="196">
        <f t="shared" si="0"/>
        <v>1178.1000000000001</v>
      </c>
    </row>
    <row r="13" spans="7:22" x14ac:dyDescent="0.25">
      <c r="I13" s="129" t="s">
        <v>44</v>
      </c>
      <c r="J13" s="130" t="s">
        <v>4</v>
      </c>
      <c r="K13" s="130" t="str">
        <f>+K12</f>
        <v>cars sales</v>
      </c>
      <c r="L13" s="130" t="s">
        <v>17</v>
      </c>
      <c r="M13" s="131">
        <f>+M10*8.5</f>
        <v>1150.375939849624</v>
      </c>
      <c r="N13" s="131">
        <f>+N10*(8.5*102%)</f>
        <v>1173.3834586466164</v>
      </c>
      <c r="O13" s="131">
        <f t="shared" ref="O13:Q13" si="1">+O10*(8.5*102%)</f>
        <v>1248.48</v>
      </c>
      <c r="P13" s="131">
        <f t="shared" si="1"/>
        <v>1274.49</v>
      </c>
      <c r="Q13" s="197">
        <f t="shared" si="1"/>
        <v>1300.5</v>
      </c>
    </row>
    <row r="15" spans="7:22" x14ac:dyDescent="0.25">
      <c r="I15" s="143" t="str">
        <f>+I12</f>
        <v>Market</v>
      </c>
      <c r="J15" s="143" t="str">
        <f>+J9</f>
        <v>New</v>
      </c>
      <c r="K15" s="143" t="s">
        <v>133</v>
      </c>
      <c r="L15" s="143"/>
      <c r="M15" s="143"/>
      <c r="N15" s="144">
        <f>+N12/M12-1</f>
        <v>0.10047951176983427</v>
      </c>
      <c r="O15" s="144">
        <f t="shared" ref="O15:Q15" si="2">+O12/N12-1</f>
        <v>7.575757575757569E-2</v>
      </c>
      <c r="P15" s="144">
        <f t="shared" si="2"/>
        <v>4.2253521126760729E-2</v>
      </c>
      <c r="Q15" s="144">
        <f t="shared" si="2"/>
        <v>4.0540540540540571E-2</v>
      </c>
    </row>
    <row r="16" spans="7:22" x14ac:dyDescent="0.25">
      <c r="I16" s="143" t="str">
        <f>+I15</f>
        <v>Market</v>
      </c>
      <c r="J16" s="143" t="str">
        <f>+J13</f>
        <v>Used</v>
      </c>
      <c r="K16" s="143" t="s">
        <v>133</v>
      </c>
      <c r="L16" s="143"/>
      <c r="M16" s="143"/>
      <c r="N16" s="144">
        <f>+N13/M13-1</f>
        <v>1.9999999999999796E-2</v>
      </c>
      <c r="O16" s="144">
        <f t="shared" ref="O16:Q16" si="3">+O13/N13-1</f>
        <v>6.4000000000000057E-2</v>
      </c>
      <c r="P16" s="144">
        <f t="shared" si="3"/>
        <v>2.0833333333333259E-2</v>
      </c>
      <c r="Q16" s="144">
        <f t="shared" si="3"/>
        <v>2.0408163265306145E-2</v>
      </c>
    </row>
    <row r="17" spans="2:17" x14ac:dyDescent="0.25">
      <c r="I17" s="143" t="str">
        <f>+I16</f>
        <v>Market</v>
      </c>
      <c r="J17" s="143" t="s">
        <v>128</v>
      </c>
      <c r="K17" s="143" t="s">
        <v>133</v>
      </c>
      <c r="L17" s="143"/>
      <c r="M17" s="143"/>
      <c r="N17" s="144">
        <f>+(N12+N13)/(M12+M13)-1</f>
        <v>5.5710280074810603E-2</v>
      </c>
      <c r="O17" s="144">
        <f>+(O12+O13)/(N12+N13)-1</f>
        <v>6.9438296975445013E-2</v>
      </c>
      <c r="P17" s="144">
        <f>+(P12+P13)/(O12+O13)-1</f>
        <v>3.0799475753604311E-2</v>
      </c>
      <c r="Q17" s="144">
        <f>+(Q12+Q13)/(P12+P13)-1</f>
        <v>2.9879211697393604E-2</v>
      </c>
    </row>
    <row r="18" spans="2:17" x14ac:dyDescent="0.25">
      <c r="I18" s="145" t="str">
        <f>+I16</f>
        <v>Market</v>
      </c>
      <c r="J18" s="145" t="str">
        <f>+J15</f>
        <v>New</v>
      </c>
      <c r="K18" s="145" t="s">
        <v>132</v>
      </c>
      <c r="L18" s="145"/>
      <c r="M18" s="146">
        <f t="shared" ref="M18:Q19" si="4">+M6/M12</f>
        <v>0.40322580645161282</v>
      </c>
      <c r="N18" s="146">
        <f t="shared" si="4"/>
        <v>0.41592394533571003</v>
      </c>
      <c r="O18" s="146">
        <f t="shared" si="4"/>
        <v>0.43266132744177482</v>
      </c>
      <c r="P18" s="146">
        <f t="shared" si="4"/>
        <v>0.4592828122239887</v>
      </c>
      <c r="Q18" s="146">
        <f t="shared" si="4"/>
        <v>0.48382989559460143</v>
      </c>
    </row>
    <row r="19" spans="2:17" x14ac:dyDescent="0.25">
      <c r="I19" s="145" t="str">
        <f>+I18</f>
        <v>Market</v>
      </c>
      <c r="J19" s="145" t="str">
        <f>+J16</f>
        <v>Used</v>
      </c>
      <c r="K19" s="145" t="s">
        <v>132</v>
      </c>
      <c r="L19" s="145"/>
      <c r="M19" s="146">
        <f t="shared" si="4"/>
        <v>0.17385620915032679</v>
      </c>
      <c r="N19" s="146">
        <f t="shared" si="4"/>
        <v>0.19459395958819262</v>
      </c>
      <c r="O19" s="146">
        <f t="shared" si="4"/>
        <v>0.20558332265368023</v>
      </c>
      <c r="P19" s="146">
        <f t="shared" si="4"/>
        <v>0.22361885930842926</v>
      </c>
      <c r="Q19" s="146">
        <f t="shared" si="4"/>
        <v>0.24093297449698833</v>
      </c>
    </row>
    <row r="20" spans="2:17" x14ac:dyDescent="0.25">
      <c r="M20" s="115"/>
      <c r="N20" s="115"/>
      <c r="O20" s="115"/>
      <c r="P20" s="115"/>
      <c r="Q20" s="115"/>
    </row>
    <row r="21" spans="2:17" x14ac:dyDescent="0.25">
      <c r="M21" s="147"/>
      <c r="N21" s="147"/>
      <c r="O21" s="147"/>
      <c r="P21" s="147"/>
      <c r="Q21" s="147"/>
    </row>
    <row r="22" spans="2:17" x14ac:dyDescent="0.25">
      <c r="M22" s="147"/>
      <c r="N22" s="118"/>
      <c r="O22" s="118"/>
      <c r="P22" s="118"/>
      <c r="Q22" s="118"/>
    </row>
    <row r="23" spans="2:17" x14ac:dyDescent="0.25">
      <c r="M23" s="147"/>
      <c r="N23" s="118"/>
      <c r="O23" s="118"/>
      <c r="P23" s="118"/>
      <c r="Q23" s="118"/>
    </row>
    <row r="24" spans="2:17" x14ac:dyDescent="0.25">
      <c r="B24" s="10" t="s">
        <v>134</v>
      </c>
      <c r="N24" s="115">
        <f>+N12/M12-1</f>
        <v>0.10047951176983427</v>
      </c>
      <c r="O24" s="115">
        <f t="shared" ref="O24:Q24" si="5">+O12/N12-1</f>
        <v>7.575757575757569E-2</v>
      </c>
      <c r="P24" s="115">
        <f t="shared" si="5"/>
        <v>4.2253521126760729E-2</v>
      </c>
      <c r="Q24" s="115">
        <f t="shared" si="5"/>
        <v>4.0540540540540571E-2</v>
      </c>
    </row>
    <row r="25" spans="2:17" x14ac:dyDescent="0.25">
      <c r="B25" s="136" t="s">
        <v>135</v>
      </c>
      <c r="N25" s="115">
        <f>+N13/M13-1</f>
        <v>1.9999999999999796E-2</v>
      </c>
      <c r="O25" s="115">
        <f t="shared" ref="O25:Q25" si="6">+O13/N13-1</f>
        <v>6.4000000000000057E-2</v>
      </c>
      <c r="P25" s="115">
        <f t="shared" si="6"/>
        <v>2.0833333333333259E-2</v>
      </c>
      <c r="Q25" s="115">
        <f t="shared" si="6"/>
        <v>2.0408163265306145E-2</v>
      </c>
    </row>
    <row r="26" spans="2:17" x14ac:dyDescent="0.25">
      <c r="B26" s="10" t="s">
        <v>136</v>
      </c>
    </row>
    <row r="27" spans="2:17" x14ac:dyDescent="0.25">
      <c r="B27" s="10" t="s">
        <v>137</v>
      </c>
      <c r="N27" s="118"/>
      <c r="O27" s="118"/>
      <c r="P27" s="118"/>
      <c r="Q27" s="118"/>
    </row>
    <row r="28" spans="2:17" x14ac:dyDescent="0.25">
      <c r="N28" s="118">
        <f>+N10+N9</f>
        <v>201.33834586466165</v>
      </c>
      <c r="O28" s="115"/>
      <c r="P28" s="115"/>
      <c r="Q28" s="115"/>
    </row>
    <row r="29" spans="2:17" ht="27.6" x14ac:dyDescent="0.25">
      <c r="B29" s="139" t="s">
        <v>138</v>
      </c>
      <c r="C29" s="137" t="s">
        <v>139</v>
      </c>
      <c r="D29" s="137" t="s">
        <v>140</v>
      </c>
      <c r="E29" s="137"/>
      <c r="F29" s="137"/>
      <c r="N29" s="10">
        <f>+N10/N28</f>
        <v>0.67219359175442528</v>
      </c>
    </row>
    <row r="30" spans="2:17" x14ac:dyDescent="0.25">
      <c r="B30" s="140">
        <v>2024</v>
      </c>
      <c r="C30" s="141">
        <v>61</v>
      </c>
      <c r="D30" s="141">
        <v>135</v>
      </c>
      <c r="E30" s="141"/>
      <c r="F30" s="142"/>
    </row>
    <row r="31" spans="2:17" x14ac:dyDescent="0.25">
      <c r="B31" s="140">
        <v>2025</v>
      </c>
      <c r="C31" s="138" t="s">
        <v>141</v>
      </c>
      <c r="D31" s="138" t="s">
        <v>142</v>
      </c>
      <c r="E31" s="138"/>
      <c r="F31" s="138"/>
    </row>
    <row r="32" spans="2:17" x14ac:dyDescent="0.25">
      <c r="B32" s="140">
        <v>2026</v>
      </c>
      <c r="C32" s="138" t="s">
        <v>143</v>
      </c>
      <c r="D32" s="138" t="s">
        <v>144</v>
      </c>
      <c r="E32" s="138"/>
      <c r="F32" s="138"/>
    </row>
    <row r="33" spans="2:6" x14ac:dyDescent="0.25">
      <c r="B33" s="140">
        <v>2027</v>
      </c>
      <c r="C33" s="138" t="s">
        <v>145</v>
      </c>
      <c r="D33" s="138" t="s">
        <v>146</v>
      </c>
      <c r="E33" s="138"/>
      <c r="F33" s="138"/>
    </row>
    <row r="34" spans="2:6" x14ac:dyDescent="0.25">
      <c r="B34" s="140">
        <v>2028</v>
      </c>
      <c r="C34" s="138" t="s">
        <v>147</v>
      </c>
      <c r="D34" s="138" t="s">
        <v>148</v>
      </c>
      <c r="E34" s="138"/>
      <c r="F34" s="138"/>
    </row>
  </sheetData>
  <mergeCells count="1">
    <mergeCell ref="T1:V1"/>
  </mergeCells>
  <pageMargins left="0.7" right="0.7" top="0.75" bottom="0.75" header="0.3" footer="0.3"/>
  <ignoredErrors>
    <ignoredError sqref="N13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56CAF-CD16-4AE6-9A5C-560224676A56}">
  <dimension ref="A1:Q13"/>
  <sheetViews>
    <sheetView workbookViewId="0">
      <pane xSplit="1" topLeftCell="G1" activePane="topRight" state="frozen"/>
      <selection pane="topRight" activeCell="A3" sqref="A3"/>
    </sheetView>
  </sheetViews>
  <sheetFormatPr defaultRowHeight="13.2" x14ac:dyDescent="0.25"/>
  <cols>
    <col min="1" max="1" width="9" style="150" customWidth="1"/>
    <col min="2" max="2" width="18.09765625" style="153" bestFit="1" customWidth="1"/>
    <col min="3" max="3" width="11.69921875" style="153" bestFit="1" customWidth="1"/>
    <col min="4" max="4" width="15.5" style="153" bestFit="1" customWidth="1"/>
    <col min="5" max="5" width="17.59765625" style="153" bestFit="1" customWidth="1"/>
    <col min="6" max="6" width="15.69921875" style="153" bestFit="1" customWidth="1"/>
    <col min="7" max="9" width="17.59765625" style="153" bestFit="1" customWidth="1"/>
    <col min="10" max="10" width="16.09765625" style="153" customWidth="1"/>
    <col min="11" max="11" width="17.59765625" style="153" bestFit="1" customWidth="1"/>
    <col min="12" max="12" width="19.296875" style="153" bestFit="1" customWidth="1"/>
    <col min="13" max="13" width="11.8984375" style="153" bestFit="1" customWidth="1"/>
    <col min="14" max="14" width="15.5" style="153" bestFit="1" customWidth="1"/>
    <col min="15" max="15" width="17.59765625" style="153" bestFit="1" customWidth="1"/>
    <col min="16" max="16" width="19.19921875" style="153" bestFit="1" customWidth="1"/>
    <col min="17" max="17" width="11.796875" style="153" bestFit="1" customWidth="1"/>
    <col min="18" max="16384" width="8.796875" style="153"/>
  </cols>
  <sheetData>
    <row r="1" spans="1:17" ht="13.8" thickBot="1" x14ac:dyDescent="0.3">
      <c r="A1" s="148" t="s">
        <v>138</v>
      </c>
      <c r="B1" s="148" t="s">
        <v>151</v>
      </c>
      <c r="C1" s="148" t="s">
        <v>152</v>
      </c>
      <c r="D1" s="148" t="s">
        <v>153</v>
      </c>
      <c r="E1" s="156" t="s">
        <v>154</v>
      </c>
      <c r="F1" s="155" t="s">
        <v>155</v>
      </c>
      <c r="G1" s="156" t="s">
        <v>156</v>
      </c>
      <c r="H1" s="156" t="s">
        <v>157</v>
      </c>
      <c r="I1" s="156" t="s">
        <v>158</v>
      </c>
      <c r="J1" s="148" t="s">
        <v>163</v>
      </c>
      <c r="K1" s="170" t="s">
        <v>159</v>
      </c>
      <c r="L1" s="148" t="s">
        <v>164</v>
      </c>
      <c r="M1" s="148" t="s">
        <v>160</v>
      </c>
      <c r="N1" s="148" t="s">
        <v>165</v>
      </c>
      <c r="O1" s="170" t="s">
        <v>161</v>
      </c>
      <c r="P1" s="148" t="s">
        <v>166</v>
      </c>
      <c r="Q1" s="149" t="s">
        <v>162</v>
      </c>
    </row>
    <row r="2" spans="1:17" ht="13.8" thickTop="1" x14ac:dyDescent="0.25">
      <c r="A2" s="150">
        <v>2024</v>
      </c>
      <c r="B2" s="162">
        <v>243796</v>
      </c>
      <c r="C2" s="151"/>
      <c r="D2" s="152">
        <f>+E2/B2</f>
        <v>0.56235951369177506</v>
      </c>
      <c r="E2" s="163">
        <v>137101</v>
      </c>
      <c r="F2" s="152">
        <f>+G2/E2</f>
        <v>0.70479427575291209</v>
      </c>
      <c r="G2" s="163">
        <v>96628</v>
      </c>
      <c r="H2" s="163">
        <v>40473</v>
      </c>
      <c r="I2" s="163">
        <v>66527</v>
      </c>
      <c r="J2" s="152">
        <f>+K2/G2</f>
        <v>0.63128699755764373</v>
      </c>
      <c r="K2" s="171">
        <v>61000</v>
      </c>
      <c r="L2" s="152">
        <f>+M2/G2</f>
        <v>0.36871300244235627</v>
      </c>
      <c r="M2" s="151">
        <v>35628</v>
      </c>
      <c r="N2" s="152">
        <f>+O2/(H2+I2)</f>
        <v>0.9</v>
      </c>
      <c r="O2" s="171">
        <v>96300</v>
      </c>
      <c r="P2" s="152">
        <f>+Q2/(H2+I2)</f>
        <v>0.1</v>
      </c>
      <c r="Q2" s="151">
        <v>10700</v>
      </c>
    </row>
    <row r="3" spans="1:17" x14ac:dyDescent="0.25">
      <c r="A3" s="150">
        <v>2025</v>
      </c>
      <c r="B3" s="151">
        <f>+B2*C3+100%+B2</f>
        <v>248672.92</v>
      </c>
      <c r="C3" s="154">
        <v>0.02</v>
      </c>
      <c r="D3" s="152">
        <v>0.56235951369177506</v>
      </c>
      <c r="E3" s="157">
        <f>+D3*B3</f>
        <v>139843.5823595137</v>
      </c>
      <c r="F3" s="152">
        <v>0.70479427575291209</v>
      </c>
      <c r="G3" s="157">
        <f>+F3*E3</f>
        <v>98560.956347766172</v>
      </c>
      <c r="H3" s="157">
        <f>+E3-G3</f>
        <v>41282.626011747532</v>
      </c>
      <c r="I3" s="157">
        <v>69000</v>
      </c>
      <c r="J3" s="152">
        <f t="shared" ref="J3:J6" si="0">+K3/G3</f>
        <v>0.63919834318275526</v>
      </c>
      <c r="K3" s="172">
        <v>63000</v>
      </c>
      <c r="L3" s="152">
        <f t="shared" ref="L3:L6" si="1">+M3/G3</f>
        <v>0.3764168020965114</v>
      </c>
      <c r="M3" s="151">
        <v>37100</v>
      </c>
      <c r="N3" s="152">
        <f t="shared" ref="N3:N6" si="2">+O3/(H3+I3)</f>
        <v>0.89315972571697355</v>
      </c>
      <c r="O3" s="172">
        <v>98500</v>
      </c>
      <c r="P3" s="152">
        <f t="shared" ref="P3:P6" si="3">+Q3/(H3+I3)</f>
        <v>9.5209920000286524E-2</v>
      </c>
      <c r="Q3" s="151">
        <v>10500</v>
      </c>
    </row>
    <row r="4" spans="1:17" x14ac:dyDescent="0.25">
      <c r="A4" s="150">
        <v>2026</v>
      </c>
      <c r="B4" s="151">
        <f t="shared" ref="B4:B6" si="4">+B3*C4+100%+B3</f>
        <v>253896.05132000003</v>
      </c>
      <c r="C4" s="154">
        <v>2.1000000000000001E-2</v>
      </c>
      <c r="D4" s="152">
        <v>0.56235951369177506</v>
      </c>
      <c r="E4" s="157">
        <f t="shared" ref="E4:E6" si="5">+D4*B4</f>
        <v>142780.85994857718</v>
      </c>
      <c r="F4" s="152">
        <v>0.70479427575291209</v>
      </c>
      <c r="G4" s="157">
        <f t="shared" ref="G4:G6" si="6">+F4*E4</f>
        <v>100631.13277883542</v>
      </c>
      <c r="H4" s="157">
        <f t="shared" ref="H4:H6" si="7">+E4-G4</f>
        <v>42149.72716974176</v>
      </c>
      <c r="I4" s="157">
        <v>71500</v>
      </c>
      <c r="J4" s="152">
        <f t="shared" si="0"/>
        <v>0.65089200718781781</v>
      </c>
      <c r="K4" s="172">
        <v>65500</v>
      </c>
      <c r="L4" s="152">
        <f t="shared" si="1"/>
        <v>0.38854774780219353</v>
      </c>
      <c r="M4" s="151">
        <v>39100</v>
      </c>
      <c r="N4" s="152">
        <f t="shared" si="2"/>
        <v>0.88605580064085265</v>
      </c>
      <c r="O4" s="172">
        <v>100700</v>
      </c>
      <c r="P4" s="152">
        <f t="shared" si="3"/>
        <v>8.8869549021575095E-2</v>
      </c>
      <c r="Q4" s="151">
        <v>10100</v>
      </c>
    </row>
    <row r="5" spans="1:17" x14ac:dyDescent="0.25">
      <c r="A5" s="150">
        <v>2027</v>
      </c>
      <c r="B5" s="151">
        <f t="shared" si="4"/>
        <v>259482.76444904003</v>
      </c>
      <c r="C5" s="154">
        <v>2.1999999999999999E-2</v>
      </c>
      <c r="D5" s="152">
        <v>0.56235951369177506</v>
      </c>
      <c r="E5" s="157">
        <f t="shared" si="5"/>
        <v>145922.60122695958</v>
      </c>
      <c r="F5" s="152">
        <v>0.70479427575291209</v>
      </c>
      <c r="G5" s="157">
        <f t="shared" si="6"/>
        <v>102845.41404773598</v>
      </c>
      <c r="H5" s="157">
        <f t="shared" si="7"/>
        <v>43077.187179223605</v>
      </c>
      <c r="I5" s="157">
        <v>74000</v>
      </c>
      <c r="J5" s="152">
        <f t="shared" si="0"/>
        <v>0.66118650626889031</v>
      </c>
      <c r="K5" s="172">
        <v>68000</v>
      </c>
      <c r="L5" s="152">
        <f t="shared" si="1"/>
        <v>0.40254590234605969</v>
      </c>
      <c r="M5" s="151">
        <v>41400</v>
      </c>
      <c r="N5" s="152">
        <f t="shared" si="2"/>
        <v>0.87890734718864616</v>
      </c>
      <c r="O5" s="172">
        <v>102900</v>
      </c>
      <c r="P5" s="152">
        <f t="shared" si="3"/>
        <v>8.4559599000656918E-2</v>
      </c>
      <c r="Q5" s="151">
        <v>9900</v>
      </c>
    </row>
    <row r="6" spans="1:17" x14ac:dyDescent="0.25">
      <c r="A6" s="150">
        <v>2027</v>
      </c>
      <c r="B6" s="151">
        <f t="shared" si="4"/>
        <v>265451.86803136795</v>
      </c>
      <c r="C6" s="154">
        <v>2.3E-2</v>
      </c>
      <c r="D6" s="152">
        <v>0.56235951369177506</v>
      </c>
      <c r="E6" s="158">
        <f t="shared" si="5"/>
        <v>149279.38341469332</v>
      </c>
      <c r="F6" s="152">
        <v>0.70479427575291209</v>
      </c>
      <c r="G6" s="158">
        <f t="shared" si="6"/>
        <v>105211.25491860005</v>
      </c>
      <c r="H6" s="158">
        <f t="shared" si="7"/>
        <v>44068.128496093268</v>
      </c>
      <c r="I6" s="158">
        <v>74000</v>
      </c>
      <c r="J6" s="152">
        <f t="shared" si="0"/>
        <v>0.64631868570154694</v>
      </c>
      <c r="K6" s="173">
        <v>68000</v>
      </c>
      <c r="L6" s="152">
        <f t="shared" si="1"/>
        <v>0.39349402335358885</v>
      </c>
      <c r="M6" s="151">
        <v>41400</v>
      </c>
      <c r="N6" s="152">
        <f t="shared" si="2"/>
        <v>0.87153071121479531</v>
      </c>
      <c r="O6" s="173">
        <v>102900</v>
      </c>
      <c r="P6" s="152">
        <f t="shared" si="3"/>
        <v>8.3849893498799538E-2</v>
      </c>
      <c r="Q6" s="151">
        <v>9900</v>
      </c>
    </row>
    <row r="10" spans="1:17" x14ac:dyDescent="0.25">
      <c r="A10" s="160" t="s">
        <v>177</v>
      </c>
    </row>
    <row r="11" spans="1:17" x14ac:dyDescent="0.25">
      <c r="A11" s="161" t="s">
        <v>178</v>
      </c>
    </row>
    <row r="12" spans="1:17" x14ac:dyDescent="0.25">
      <c r="B12" s="151"/>
    </row>
    <row r="13" spans="1:17" x14ac:dyDescent="0.25">
      <c r="B13" s="15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5698-28C1-4150-88C6-598F8A41B685}">
  <dimension ref="A1:M11"/>
  <sheetViews>
    <sheetView workbookViewId="0">
      <pane xSplit="1" topLeftCell="B1" activePane="topRight" state="frozen"/>
      <selection pane="topRight" activeCell="F21" sqref="F21"/>
    </sheetView>
  </sheetViews>
  <sheetFormatPr defaultRowHeight="13.8" x14ac:dyDescent="0.25"/>
  <cols>
    <col min="1" max="1" width="14.5" style="10" bestFit="1" customWidth="1"/>
    <col min="2" max="2" width="12.09765625" style="168" bestFit="1" customWidth="1"/>
    <col min="3" max="3" width="19.3984375" style="168" bestFit="1" customWidth="1"/>
    <col min="4" max="4" width="9" style="10" bestFit="1" customWidth="1"/>
    <col min="5" max="5" width="18.3984375" style="10" bestFit="1" customWidth="1"/>
    <col min="6" max="6" width="16.3984375" style="10" bestFit="1" customWidth="1"/>
    <col min="7" max="7" width="12" style="10" bestFit="1" customWidth="1"/>
    <col min="8" max="8" width="20" style="10" bestFit="1" customWidth="1"/>
    <col min="9" max="9" width="11.3984375" style="10" bestFit="1" customWidth="1"/>
    <col min="10" max="10" width="18.69921875" style="10" bestFit="1" customWidth="1"/>
    <col min="11" max="11" width="16.296875" style="10" bestFit="1" customWidth="1"/>
    <col min="12" max="12" width="19" style="10" bestFit="1" customWidth="1"/>
    <col min="13" max="13" width="11.5" style="10" bestFit="1" customWidth="1"/>
    <col min="14" max="16384" width="8.796875" style="10"/>
  </cols>
  <sheetData>
    <row r="1" spans="1:13" s="153" customFormat="1" thickBot="1" x14ac:dyDescent="0.3">
      <c r="A1" s="148" t="s">
        <v>138</v>
      </c>
      <c r="B1" s="159" t="s">
        <v>168</v>
      </c>
      <c r="C1" s="159" t="s">
        <v>174</v>
      </c>
      <c r="D1" s="148" t="s">
        <v>169</v>
      </c>
      <c r="E1" s="148" t="s">
        <v>175</v>
      </c>
      <c r="F1" s="156" t="s">
        <v>171</v>
      </c>
      <c r="G1" s="148" t="s">
        <v>172</v>
      </c>
      <c r="H1" s="148" t="s">
        <v>173</v>
      </c>
      <c r="I1" s="148" t="s">
        <v>167</v>
      </c>
      <c r="J1" s="148" t="s">
        <v>176</v>
      </c>
      <c r="K1" s="156" t="s">
        <v>179</v>
      </c>
      <c r="L1" s="156" t="s">
        <v>180</v>
      </c>
    </row>
    <row r="2" spans="1:13" ht="14.4" thickTop="1" x14ac:dyDescent="0.25">
      <c r="A2" s="150">
        <v>2024</v>
      </c>
      <c r="B2" s="164">
        <f>+'sales analysis (MRKT)'!K2</f>
        <v>61000</v>
      </c>
      <c r="C2" s="165">
        <f>+D2/B2</f>
        <v>0.4098360655737705</v>
      </c>
      <c r="D2" s="164">
        <v>25000</v>
      </c>
      <c r="E2" s="164">
        <v>15000</v>
      </c>
      <c r="F2" s="157">
        <f>+E2*D2</f>
        <v>375000000</v>
      </c>
      <c r="G2" s="151">
        <f>+'sales analysis (MRKT)'!O2</f>
        <v>96300</v>
      </c>
      <c r="H2" s="152">
        <f>+I2/G2</f>
        <v>0.21806853582554517</v>
      </c>
      <c r="I2" s="151">
        <v>21000</v>
      </c>
      <c r="J2" s="164">
        <v>8600</v>
      </c>
      <c r="K2" s="157">
        <f>+J2*I2</f>
        <v>180600000</v>
      </c>
      <c r="L2" s="157">
        <f>+K2+F2</f>
        <v>555600000</v>
      </c>
    </row>
    <row r="3" spans="1:13" x14ac:dyDescent="0.25">
      <c r="A3" s="150">
        <v>2025</v>
      </c>
      <c r="B3" s="164">
        <f>+'sales analysis (MRKT)'!K3</f>
        <v>63000</v>
      </c>
      <c r="C3" s="165">
        <f>+C2</f>
        <v>0.4098360655737705</v>
      </c>
      <c r="D3" s="164">
        <f>+C3*B3</f>
        <v>25819.672131147541</v>
      </c>
      <c r="E3" s="164">
        <f>+E2*102%</f>
        <v>15300</v>
      </c>
      <c r="F3" s="157">
        <f t="shared" ref="F3:F6" si="0">+E3*D3</f>
        <v>395040983.60655737</v>
      </c>
      <c r="G3" s="151">
        <f>+'sales analysis (MRKT)'!O3</f>
        <v>98500</v>
      </c>
      <c r="H3" s="152">
        <f>+H2</f>
        <v>0.21806853582554517</v>
      </c>
      <c r="I3" s="151">
        <f>+H3*G3</f>
        <v>21479.7507788162</v>
      </c>
      <c r="J3" s="164">
        <v>8600</v>
      </c>
      <c r="K3" s="157">
        <f t="shared" ref="K3:K6" si="1">+J3*I3</f>
        <v>184725856.69781932</v>
      </c>
      <c r="L3" s="157">
        <f t="shared" ref="L3:L6" si="2">+K3+F3</f>
        <v>579766840.30437672</v>
      </c>
      <c r="M3" s="118"/>
    </row>
    <row r="4" spans="1:13" x14ac:dyDescent="0.25">
      <c r="A4" s="150">
        <v>2026</v>
      </c>
      <c r="B4" s="164">
        <f>+'sales analysis (MRKT)'!K4</f>
        <v>65500</v>
      </c>
      <c r="C4" s="165">
        <f t="shared" ref="C4:C6" si="3">+C3</f>
        <v>0.4098360655737705</v>
      </c>
      <c r="D4" s="164">
        <v>30000</v>
      </c>
      <c r="E4" s="164">
        <f t="shared" ref="E4:E6" si="4">+E3*102%</f>
        <v>15606</v>
      </c>
      <c r="F4" s="157">
        <f t="shared" si="0"/>
        <v>468180000</v>
      </c>
      <c r="G4" s="151">
        <f>+'sales analysis (MRKT)'!O4</f>
        <v>100700</v>
      </c>
      <c r="H4" s="152">
        <f t="shared" ref="H4:H6" si="5">+H3</f>
        <v>0.21806853582554517</v>
      </c>
      <c r="I4" s="151">
        <f t="shared" ref="I4:I6" si="6">+H4*G4</f>
        <v>21959.501557632397</v>
      </c>
      <c r="J4" s="164">
        <v>8600</v>
      </c>
      <c r="K4" s="157">
        <f t="shared" si="1"/>
        <v>188851713.39563861</v>
      </c>
      <c r="L4" s="157">
        <f t="shared" si="2"/>
        <v>657031713.39563859</v>
      </c>
    </row>
    <row r="5" spans="1:13" x14ac:dyDescent="0.25">
      <c r="A5" s="150">
        <v>2027</v>
      </c>
      <c r="B5" s="164">
        <f>+'sales analysis (MRKT)'!K5</f>
        <v>68000</v>
      </c>
      <c r="C5" s="165">
        <f t="shared" si="3"/>
        <v>0.4098360655737705</v>
      </c>
      <c r="D5" s="164">
        <v>32000</v>
      </c>
      <c r="E5" s="164">
        <f t="shared" si="4"/>
        <v>15918.12</v>
      </c>
      <c r="F5" s="157">
        <f t="shared" si="0"/>
        <v>509379840</v>
      </c>
      <c r="G5" s="151">
        <f>+'sales analysis (MRKT)'!O5</f>
        <v>102900</v>
      </c>
      <c r="H5" s="152">
        <f t="shared" si="5"/>
        <v>0.21806853582554517</v>
      </c>
      <c r="I5" s="151">
        <f t="shared" si="6"/>
        <v>22439.252336448597</v>
      </c>
      <c r="J5" s="164">
        <v>8600</v>
      </c>
      <c r="K5" s="157">
        <f t="shared" si="1"/>
        <v>192977570.09345794</v>
      </c>
      <c r="L5" s="157">
        <f t="shared" si="2"/>
        <v>702357410.09345794</v>
      </c>
    </row>
    <row r="6" spans="1:13" x14ac:dyDescent="0.25">
      <c r="A6" s="150">
        <v>2028</v>
      </c>
      <c r="B6" s="164">
        <f>+'sales analysis (MRKT)'!K6</f>
        <v>68000</v>
      </c>
      <c r="C6" s="165">
        <f t="shared" si="3"/>
        <v>0.4098360655737705</v>
      </c>
      <c r="D6" s="164">
        <v>34000</v>
      </c>
      <c r="E6" s="164">
        <f t="shared" si="4"/>
        <v>16236.482400000001</v>
      </c>
      <c r="F6" s="158">
        <f t="shared" si="0"/>
        <v>552040401.60000002</v>
      </c>
      <c r="G6" s="151">
        <f>+'sales analysis (MRKT)'!O6</f>
        <v>102900</v>
      </c>
      <c r="H6" s="152">
        <f t="shared" si="5"/>
        <v>0.21806853582554517</v>
      </c>
      <c r="I6" s="151">
        <f t="shared" si="6"/>
        <v>22439.252336448597</v>
      </c>
      <c r="J6" s="164">
        <v>8600</v>
      </c>
      <c r="K6" s="158">
        <f t="shared" si="1"/>
        <v>192977570.09345794</v>
      </c>
      <c r="L6" s="158">
        <f t="shared" si="2"/>
        <v>745017971.69345796</v>
      </c>
    </row>
    <row r="7" spans="1:13" x14ac:dyDescent="0.25">
      <c r="B7" s="166"/>
      <c r="C7" s="166"/>
      <c r="D7" s="153"/>
      <c r="E7" s="153"/>
      <c r="F7" s="153"/>
      <c r="G7" s="153"/>
      <c r="H7" s="153"/>
      <c r="I7" s="153"/>
      <c r="J7" s="153"/>
      <c r="K7" s="153"/>
      <c r="L7" s="153"/>
    </row>
    <row r="10" spans="1:13" x14ac:dyDescent="0.25">
      <c r="A10" s="167" t="s">
        <v>177</v>
      </c>
    </row>
    <row r="11" spans="1:13" x14ac:dyDescent="0.25">
      <c r="A11" s="153" t="s">
        <v>170</v>
      </c>
    </row>
  </sheetData>
  <pageMargins left="0.7" right="0.7" top="0.75" bottom="0.75" header="0.3" footer="0.3"/>
  <ignoredErrors>
    <ignoredError sqref="E3:E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C0DE-C00F-4FA3-81D1-B659138457B7}">
  <dimension ref="A1:J10"/>
  <sheetViews>
    <sheetView workbookViewId="0">
      <pane xSplit="1" topLeftCell="B1" activePane="topRight" state="frozen"/>
      <selection pane="topRight" activeCell="G18" sqref="G18"/>
    </sheetView>
  </sheetViews>
  <sheetFormatPr defaultRowHeight="13.8" x14ac:dyDescent="0.25"/>
  <cols>
    <col min="1" max="1" width="6.19921875" style="153" customWidth="1"/>
    <col min="2" max="2" width="16.3984375" style="10" bestFit="1" customWidth="1"/>
    <col min="3" max="3" width="16.296875" style="10" bestFit="1" customWidth="1"/>
    <col min="4" max="4" width="19" style="10" bestFit="1" customWidth="1"/>
    <col min="5" max="5" width="17.69921875" style="153" bestFit="1" customWidth="1"/>
    <col min="6" max="6" width="25.796875" style="10" bestFit="1" customWidth="1"/>
    <col min="7" max="8" width="16.3984375" style="10" bestFit="1" customWidth="1"/>
    <col min="9" max="9" width="19" style="10" bestFit="1" customWidth="1"/>
    <col min="10" max="10" width="23.8984375" style="153" bestFit="1" customWidth="1"/>
    <col min="11" max="16384" width="8.796875" style="153"/>
  </cols>
  <sheetData>
    <row r="1" spans="1:10" thickBot="1" x14ac:dyDescent="0.3">
      <c r="A1" s="148" t="s">
        <v>138</v>
      </c>
      <c r="B1" s="148" t="s">
        <v>171</v>
      </c>
      <c r="C1" s="148" t="s">
        <v>179</v>
      </c>
      <c r="D1" s="148" t="s">
        <v>180</v>
      </c>
      <c r="E1" s="148" t="s">
        <v>182</v>
      </c>
      <c r="F1" s="148" t="s">
        <v>181</v>
      </c>
      <c r="G1" s="156" t="s">
        <v>171</v>
      </c>
      <c r="H1" s="156" t="s">
        <v>179</v>
      </c>
      <c r="I1" s="156" t="s">
        <v>180</v>
      </c>
      <c r="J1" s="148" t="s">
        <v>185</v>
      </c>
    </row>
    <row r="2" spans="1:10" thickTop="1" x14ac:dyDescent="0.25">
      <c r="A2" s="150">
        <v>2024</v>
      </c>
      <c r="B2" s="151">
        <v>375000000</v>
      </c>
      <c r="C2" s="151">
        <v>180600000</v>
      </c>
      <c r="D2" s="151">
        <v>555600000</v>
      </c>
      <c r="E2" s="152">
        <f>+F2/D2</f>
        <v>0.76493880489560839</v>
      </c>
      <c r="F2" s="151">
        <v>425000000</v>
      </c>
      <c r="G2" s="157">
        <f>+F2*(B2/D2)</f>
        <v>286852051.83585316</v>
      </c>
      <c r="H2" s="157">
        <f>+F2*(C2/D2)</f>
        <v>138147948.16414687</v>
      </c>
      <c r="I2" s="157">
        <f>+H2+G2</f>
        <v>425000000</v>
      </c>
      <c r="J2" s="152">
        <f>+I2/'Disb. analysis (MRKT)'!L2</f>
        <v>0.76493880489560839</v>
      </c>
    </row>
    <row r="3" spans="1:10" ht="13.2" x14ac:dyDescent="0.25">
      <c r="A3" s="150">
        <v>2025</v>
      </c>
      <c r="B3" s="151">
        <v>395040983.60655737</v>
      </c>
      <c r="C3" s="151">
        <v>184725856.69781932</v>
      </c>
      <c r="D3" s="151">
        <v>579766840.30437672</v>
      </c>
      <c r="E3" s="152">
        <f>+E2</f>
        <v>0.76493880489560839</v>
      </c>
      <c r="F3" s="151">
        <f>+E3*D3</f>
        <v>443486153.94053298</v>
      </c>
      <c r="G3" s="157">
        <f t="shared" ref="G3:G6" si="0">+F3*(B3/D3)</f>
        <v>302182177.88478565</v>
      </c>
      <c r="H3" s="157">
        <f t="shared" ref="H3:H6" si="1">+F3*(C3/D3)</f>
        <v>141303976.05574733</v>
      </c>
      <c r="I3" s="157">
        <f t="shared" ref="I3:I6" si="2">+H3+G3</f>
        <v>443486153.94053298</v>
      </c>
      <c r="J3" s="152">
        <f>+I3/'Disb. analysis (MRKT)'!L3</f>
        <v>0.76493880489560839</v>
      </c>
    </row>
    <row r="4" spans="1:10" ht="13.2" x14ac:dyDescent="0.25">
      <c r="A4" s="150">
        <v>2026</v>
      </c>
      <c r="B4" s="151">
        <v>468180000</v>
      </c>
      <c r="C4" s="151">
        <v>188851713.39563861</v>
      </c>
      <c r="D4" s="151">
        <v>657031713.39563859</v>
      </c>
      <c r="E4" s="152">
        <f t="shared" ref="E4:E6" si="3">+E3</f>
        <v>0.76493880489560839</v>
      </c>
      <c r="F4" s="151">
        <f t="shared" ref="F4:F6" si="4">+E4*D4</f>
        <v>502589053.62337369</v>
      </c>
      <c r="G4" s="157">
        <f t="shared" si="0"/>
        <v>358129049.67602593</v>
      </c>
      <c r="H4" s="157">
        <f t="shared" si="1"/>
        <v>144460003.94734776</v>
      </c>
      <c r="I4" s="157">
        <f t="shared" si="2"/>
        <v>502589053.62337369</v>
      </c>
      <c r="J4" s="152">
        <f>+I4/'Disb. analysis (MRKT)'!L4</f>
        <v>0.76493880489560839</v>
      </c>
    </row>
    <row r="5" spans="1:10" ht="13.2" x14ac:dyDescent="0.25">
      <c r="A5" s="150">
        <v>2027</v>
      </c>
      <c r="B5" s="151">
        <v>509379840</v>
      </c>
      <c r="C5" s="151">
        <v>192977570.09345794</v>
      </c>
      <c r="D5" s="151">
        <v>702357410.09345794</v>
      </c>
      <c r="E5" s="152">
        <f t="shared" si="3"/>
        <v>0.76493880489560839</v>
      </c>
      <c r="F5" s="151">
        <f t="shared" si="4"/>
        <v>537260437.88646448</v>
      </c>
      <c r="G5" s="157">
        <f t="shared" si="0"/>
        <v>389644406.04751629</v>
      </c>
      <c r="H5" s="157">
        <f t="shared" si="1"/>
        <v>147616031.83894822</v>
      </c>
      <c r="I5" s="157">
        <f t="shared" si="2"/>
        <v>537260437.88646448</v>
      </c>
      <c r="J5" s="152">
        <f>+I5/'Disb. analysis (MRKT)'!L5</f>
        <v>0.7649388048956085</v>
      </c>
    </row>
    <row r="6" spans="1:10" ht="13.2" x14ac:dyDescent="0.25">
      <c r="A6" s="150">
        <v>2028</v>
      </c>
      <c r="B6" s="151">
        <v>552040401.60000002</v>
      </c>
      <c r="C6" s="151">
        <v>192977570.09345794</v>
      </c>
      <c r="D6" s="151">
        <v>745017971.69345796</v>
      </c>
      <c r="E6" s="152">
        <f t="shared" si="3"/>
        <v>0.76493880489560839</v>
      </c>
      <c r="F6" s="151">
        <f t="shared" si="4"/>
        <v>569893156.89294398</v>
      </c>
      <c r="G6" s="158">
        <f t="shared" si="0"/>
        <v>422277125.05399573</v>
      </c>
      <c r="H6" s="158">
        <f t="shared" si="1"/>
        <v>147616031.83894822</v>
      </c>
      <c r="I6" s="158">
        <f t="shared" si="2"/>
        <v>569893156.89294398</v>
      </c>
      <c r="J6" s="152">
        <f>+I6/'Disb. analysis (MRKT)'!L6</f>
        <v>0.7649388048956085</v>
      </c>
    </row>
    <row r="7" spans="1:10" ht="13.2" x14ac:dyDescent="0.25">
      <c r="B7" s="153"/>
      <c r="C7" s="153"/>
      <c r="D7" s="153"/>
      <c r="F7" s="153"/>
      <c r="G7" s="153"/>
      <c r="H7" s="153"/>
      <c r="I7" s="153"/>
    </row>
    <row r="10" spans="1:10" x14ac:dyDescent="0.25">
      <c r="A10" s="169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553C-EF44-4915-8DA4-2F413D1AC4AE}">
  <dimension ref="A1:I11"/>
  <sheetViews>
    <sheetView workbookViewId="0">
      <selection activeCell="G10" sqref="G10"/>
    </sheetView>
  </sheetViews>
  <sheetFormatPr defaultRowHeight="13.8" x14ac:dyDescent="0.25"/>
  <cols>
    <col min="1" max="1" width="6.19921875" style="153" customWidth="1"/>
    <col min="2" max="3" width="21.5" style="153" bestFit="1" customWidth="1"/>
    <col min="4" max="4" width="22.8984375" style="10" bestFit="1" customWidth="1"/>
    <col min="5" max="6" width="23.5" style="153" bestFit="1" customWidth="1"/>
    <col min="7" max="7" width="26.69921875" style="10" bestFit="1" customWidth="1"/>
    <col min="8" max="9" width="27.296875" style="153" bestFit="1" customWidth="1"/>
    <col min="10" max="16384" width="8.796875" style="153"/>
  </cols>
  <sheetData>
    <row r="1" spans="1:9" thickBot="1" x14ac:dyDescent="0.3">
      <c r="A1" s="148" t="s">
        <v>138</v>
      </c>
      <c r="B1" s="148" t="s">
        <v>183</v>
      </c>
      <c r="C1" s="148" t="s">
        <v>184</v>
      </c>
      <c r="D1" s="174" t="s">
        <v>186</v>
      </c>
      <c r="E1" s="174" t="s">
        <v>187</v>
      </c>
      <c r="F1" s="175" t="s">
        <v>190</v>
      </c>
      <c r="G1" s="182" t="s">
        <v>188</v>
      </c>
      <c r="H1" s="182" t="s">
        <v>189</v>
      </c>
      <c r="I1" s="183" t="s">
        <v>191</v>
      </c>
    </row>
    <row r="2" spans="1:9" thickTop="1" x14ac:dyDescent="0.25">
      <c r="A2" s="150">
        <v>2024</v>
      </c>
      <c r="B2" s="162">
        <v>128675000</v>
      </c>
      <c r="C2" s="162">
        <v>28253000</v>
      </c>
      <c r="D2" s="176">
        <f>+B2/'Disb. analysis (MRKT)'!F2</f>
        <v>0.34313333333333335</v>
      </c>
      <c r="E2" s="177">
        <f>+C2/'Disb. analysis (MRKT)'!K2</f>
        <v>0.15643964562569213</v>
      </c>
      <c r="F2" s="178">
        <f>+(B2+C2)/'Disb. analysis (MRKT)'!L2</f>
        <v>0.28244780417566595</v>
      </c>
      <c r="G2" s="184">
        <f>+B2/'Disb. analysis (S.Βanks)'!G2</f>
        <v>0.44857618823529405</v>
      </c>
      <c r="H2" s="185">
        <f>+C2/'Disb. analysis (S.Βanks)'!H2</f>
        <v>0.20451262849325777</v>
      </c>
      <c r="I2" s="186">
        <f>+(B2+C2)/'Disb. analysis (S.Βanks)'!I2</f>
        <v>0.36924235294117647</v>
      </c>
    </row>
    <row r="3" spans="1:9" ht="13.2" x14ac:dyDescent="0.25">
      <c r="A3" s="150">
        <v>2025</v>
      </c>
      <c r="B3" s="151">
        <v>119167000</v>
      </c>
      <c r="C3" s="151">
        <v>21588750</v>
      </c>
      <c r="D3" s="176">
        <f>+B3/'Disb. analysis (MRKT)'!F3</f>
        <v>0.30165730884946573</v>
      </c>
      <c r="E3" s="177">
        <f>+C3/'Disb. analysis (MRKT)'!K3</f>
        <v>0.11686912912963555</v>
      </c>
      <c r="F3" s="178">
        <f>+(B3+C3)/'Disb. analysis (MRKT)'!L3</f>
        <v>0.24277992498864448</v>
      </c>
      <c r="G3" s="184">
        <f>+B3/'Disb. analysis (S.Βanks)'!G3</f>
        <v>0.39435482540414851</v>
      </c>
      <c r="H3" s="185">
        <f>+C3/'Disb. analysis (S.Βanks)'!H3</f>
        <v>0.1527823250457071</v>
      </c>
      <c r="I3" s="186">
        <f>+(B3+C3)/'Disb. analysis (S.Βanks)'!I3</f>
        <v>0.31738476782044905</v>
      </c>
    </row>
    <row r="4" spans="1:9" ht="13.2" x14ac:dyDescent="0.25">
      <c r="A4" s="150">
        <v>2026</v>
      </c>
      <c r="B4" s="151">
        <v>124500000</v>
      </c>
      <c r="C4" s="151">
        <v>20400000</v>
      </c>
      <c r="D4" s="176">
        <f>+B4/'Disb. analysis (MRKT)'!F4</f>
        <v>0.26592336280917594</v>
      </c>
      <c r="E4" s="177">
        <f>+C4/'Disb. analysis (MRKT)'!K4</f>
        <v>0.10802125981913978</v>
      </c>
      <c r="F4" s="178">
        <f>+(B4+C4)/'Disb. analysis (MRKT)'!L4</f>
        <v>0.22053729986812209</v>
      </c>
      <c r="G4" s="184">
        <f>+B4/'Disb. analysis (S.Βanks)'!G4</f>
        <v>0.34764004794536035</v>
      </c>
      <c r="H4" s="185">
        <f>+C4/'Disb. analysis (S.Βanks)'!H4</f>
        <v>0.14121555754238602</v>
      </c>
      <c r="I4" s="186">
        <f>+(B4+C4)/'Disb. analysis (S.Βanks)'!I4</f>
        <v>0.2883071148393615</v>
      </c>
    </row>
    <row r="5" spans="1:9" ht="13.2" x14ac:dyDescent="0.25">
      <c r="A5" s="150">
        <v>2027</v>
      </c>
      <c r="B5" s="151">
        <v>128000000</v>
      </c>
      <c r="C5" s="151">
        <v>21000000</v>
      </c>
      <c r="D5" s="176">
        <f>+B5/'Disb. analysis (MRKT)'!F5</f>
        <v>0.25128595587921188</v>
      </c>
      <c r="E5" s="177">
        <f>+C5/'Disb. analysis (MRKT)'!K5</f>
        <v>0.10882093701267882</v>
      </c>
      <c r="F5" s="178">
        <f>+(B5+C5)/'Disb. analysis (MRKT)'!L5</f>
        <v>0.21214270378406569</v>
      </c>
      <c r="G5" s="184">
        <f>+B5/'Disb. analysis (S.Βanks)'!G5</f>
        <v>0.32850465196821194</v>
      </c>
      <c r="H5" s="185">
        <f>+C5/'Disb. analysis (S.Βanks)'!H5</f>
        <v>0.14226097083351613</v>
      </c>
      <c r="I5" s="186">
        <f>+(B5+C5)/'Disb. analysis (S.Βanks)'!I5</f>
        <v>0.27733290875865152</v>
      </c>
    </row>
    <row r="6" spans="1:9" ht="13.2" x14ac:dyDescent="0.25">
      <c r="A6" s="150">
        <v>2028</v>
      </c>
      <c r="B6" s="151">
        <v>130000000</v>
      </c>
      <c r="C6" s="151">
        <v>23000000</v>
      </c>
      <c r="D6" s="179">
        <f>+B6/'Disb. analysis (MRKT)'!F6</f>
        <v>0.23549001055577812</v>
      </c>
      <c r="E6" s="180">
        <f>+C6/'Disb. analysis (MRKT)'!K6</f>
        <v>0.1191848357757911</v>
      </c>
      <c r="F6" s="181">
        <f>+(B6+C6)/'Disb. analysis (MRKT)'!L6</f>
        <v>0.20536417350070685</v>
      </c>
      <c r="G6" s="187">
        <f>+B6/'Disb. analysis (S.Βanks)'!G6</f>
        <v>0.30785470556421252</v>
      </c>
      <c r="H6" s="188">
        <f>+C6/'Disb. analysis (S.Βanks)'!H6</f>
        <v>0.15580963472242243</v>
      </c>
      <c r="I6" s="189">
        <f>+(B6+C6)/'Disb. analysis (S.Βanks)'!I6</f>
        <v>0.26847137599292403</v>
      </c>
    </row>
    <row r="7" spans="1:9" ht="13.2" x14ac:dyDescent="0.25">
      <c r="D7" s="153"/>
      <c r="G7" s="153"/>
    </row>
    <row r="10" spans="1:9" x14ac:dyDescent="0.25">
      <c r="A10" s="160" t="s">
        <v>177</v>
      </c>
      <c r="B10" s="169"/>
      <c r="C10" s="169"/>
    </row>
    <row r="11" spans="1:9" x14ac:dyDescent="0.25">
      <c r="A11" s="161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FAB8-72F1-40DE-9F9D-8B10DFBABC74}">
  <dimension ref="A2:R90"/>
  <sheetViews>
    <sheetView workbookViewId="0"/>
  </sheetViews>
  <sheetFormatPr defaultRowHeight="13.8" outlineLevelRow="1" x14ac:dyDescent="0.25"/>
  <cols>
    <col min="1" max="1" width="15.296875" customWidth="1"/>
    <col min="2" max="2" width="23" bestFit="1" customWidth="1"/>
    <col min="3" max="3" width="14.09765625" customWidth="1"/>
    <col min="4" max="4" width="17.796875" customWidth="1"/>
    <col min="5" max="5" width="17" customWidth="1"/>
    <col min="6" max="6" width="17.296875" customWidth="1"/>
    <col min="7" max="7" width="13.796875" customWidth="1"/>
    <col min="8" max="8" width="16.796875" customWidth="1"/>
    <col min="9" max="9" width="11.59765625" customWidth="1"/>
    <col min="10" max="10" width="13.69921875" customWidth="1"/>
    <col min="11" max="11" width="13.296875" customWidth="1"/>
    <col min="12" max="12" width="9.59765625" customWidth="1"/>
    <col min="13" max="13" width="13.09765625" customWidth="1"/>
    <col min="14" max="14" width="14.796875" bestFit="1" customWidth="1"/>
    <col min="15" max="15" width="23.5" bestFit="1" customWidth="1"/>
    <col min="16" max="16" width="41.69921875" bestFit="1" customWidth="1"/>
    <col min="17" max="18" width="9.59765625" bestFit="1" customWidth="1"/>
  </cols>
  <sheetData>
    <row r="2" spans="1:18" x14ac:dyDescent="0.25">
      <c r="B2" s="32" t="s">
        <v>54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8" x14ac:dyDescent="0.25">
      <c r="D3" s="55">
        <v>2024</v>
      </c>
      <c r="E3" s="55">
        <v>2030</v>
      </c>
      <c r="F3" s="55">
        <v>2030</v>
      </c>
      <c r="G3" s="55"/>
      <c r="H3" s="55"/>
      <c r="I3" s="55"/>
      <c r="J3" s="55">
        <v>2030</v>
      </c>
      <c r="K3" s="55"/>
      <c r="L3" s="55"/>
      <c r="M3" s="55"/>
      <c r="N3" s="55"/>
    </row>
    <row r="4" spans="1:18" ht="45" customHeight="1" x14ac:dyDescent="0.25">
      <c r="B4" s="88" t="s">
        <v>36</v>
      </c>
      <c r="C4" s="56" t="s">
        <v>12</v>
      </c>
      <c r="D4" s="56" t="s">
        <v>55</v>
      </c>
      <c r="E4" s="56" t="s">
        <v>55</v>
      </c>
      <c r="F4" s="56" t="s">
        <v>56</v>
      </c>
      <c r="G4" s="56" t="s">
        <v>57</v>
      </c>
      <c r="H4" s="56" t="s">
        <v>58</v>
      </c>
      <c r="I4" s="56" t="s">
        <v>59</v>
      </c>
      <c r="J4" s="56" t="s">
        <v>60</v>
      </c>
      <c r="K4" s="56" t="s">
        <v>61</v>
      </c>
      <c r="L4" s="56" t="s">
        <v>62</v>
      </c>
      <c r="M4" s="56" t="s">
        <v>63</v>
      </c>
      <c r="N4" s="56" t="s">
        <v>63</v>
      </c>
      <c r="O4" s="89" t="s">
        <v>33</v>
      </c>
      <c r="P4" s="7"/>
      <c r="Q4" s="7"/>
      <c r="R4" s="7"/>
    </row>
    <row r="5" spans="1:18" x14ac:dyDescent="0.25">
      <c r="B5" s="90" t="s">
        <v>64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7"/>
      <c r="Q5" s="7"/>
      <c r="R5" s="7"/>
    </row>
    <row r="6" spans="1:18" collapsed="1" x14ac:dyDescent="0.25">
      <c r="A6" t="str">
        <f>B6&amp;C6</f>
        <v>DealerNew Auto</v>
      </c>
      <c r="B6" s="33" t="s">
        <v>65</v>
      </c>
      <c r="C6" s="33" t="s">
        <v>66</v>
      </c>
      <c r="D6" s="48">
        <v>62</v>
      </c>
      <c r="E6" s="48">
        <v>74</v>
      </c>
      <c r="F6" s="91">
        <f>E6/12</f>
        <v>6.166666666666667</v>
      </c>
      <c r="G6" s="53">
        <f>360/60</f>
        <v>6</v>
      </c>
      <c r="H6" s="57">
        <f>E6/G6</f>
        <v>12.333333333333334</v>
      </c>
      <c r="I6" s="67">
        <v>0.9</v>
      </c>
      <c r="J6" s="92">
        <f>(E6)*I6</f>
        <v>66.600000000000009</v>
      </c>
      <c r="K6" s="67">
        <v>1</v>
      </c>
      <c r="L6" s="67"/>
      <c r="M6" s="57">
        <f>J6*K6</f>
        <v>66.600000000000009</v>
      </c>
      <c r="N6" s="87">
        <f>K6*L6</f>
        <v>0</v>
      </c>
      <c r="O6" s="33" t="s">
        <v>67</v>
      </c>
      <c r="P6" s="7"/>
      <c r="Q6" s="7"/>
      <c r="R6" s="7"/>
    </row>
    <row r="7" spans="1:18" x14ac:dyDescent="0.25">
      <c r="A7" t="str">
        <f t="shared" ref="A7:A15" si="0">B7&amp;C7</f>
        <v>DealerUsed Auto</v>
      </c>
      <c r="B7" s="33" t="s">
        <v>65</v>
      </c>
      <c r="C7" s="33" t="s">
        <v>68</v>
      </c>
      <c r="D7" s="48">
        <v>68</v>
      </c>
      <c r="E7" s="48">
        <v>90</v>
      </c>
      <c r="F7" s="91">
        <f>E7/12</f>
        <v>7.5</v>
      </c>
      <c r="G7" s="53">
        <f>365/45</f>
        <v>8.1111111111111107</v>
      </c>
      <c r="H7" s="57">
        <f t="shared" ref="H7:H11" si="1">E7/G7</f>
        <v>11.095890410958905</v>
      </c>
      <c r="I7" s="67">
        <v>0.9</v>
      </c>
      <c r="J7" s="92">
        <f t="shared" ref="J7:J17" si="2">(E7)*I7</f>
        <v>81</v>
      </c>
      <c r="K7" s="67">
        <v>1</v>
      </c>
      <c r="L7" s="67"/>
      <c r="M7" s="57">
        <f>J7*K7</f>
        <v>81</v>
      </c>
      <c r="N7" s="87">
        <f>K7*L7</f>
        <v>0</v>
      </c>
      <c r="O7" s="33" t="s">
        <v>67</v>
      </c>
      <c r="P7" s="7"/>
      <c r="Q7" s="7"/>
      <c r="R7" s="7"/>
    </row>
    <row r="8" spans="1:18" x14ac:dyDescent="0.25">
      <c r="A8" t="str">
        <f t="shared" si="0"/>
        <v>Independent dealersNew Auto</v>
      </c>
      <c r="B8" s="33" t="s">
        <v>69</v>
      </c>
      <c r="C8" s="33" t="s">
        <v>66</v>
      </c>
      <c r="D8" s="48">
        <f>85%*D6</f>
        <v>52.699999999999996</v>
      </c>
      <c r="E8" s="48">
        <f t="shared" ref="E8:E9" si="3">85%*E6</f>
        <v>62.9</v>
      </c>
      <c r="F8" s="91"/>
      <c r="G8" s="53">
        <f>360/60</f>
        <v>6</v>
      </c>
      <c r="H8" s="57">
        <f t="shared" si="1"/>
        <v>10.483333333333333</v>
      </c>
      <c r="I8" s="67">
        <v>0.9</v>
      </c>
      <c r="J8" s="92">
        <f t="shared" si="2"/>
        <v>56.61</v>
      </c>
      <c r="K8" s="67"/>
      <c r="L8" s="67"/>
      <c r="M8" s="57"/>
      <c r="N8" s="87"/>
      <c r="O8" s="33"/>
      <c r="P8" s="7"/>
      <c r="Q8" s="7"/>
      <c r="R8" s="7"/>
    </row>
    <row r="9" spans="1:18" x14ac:dyDescent="0.25">
      <c r="A9" t="str">
        <f t="shared" si="0"/>
        <v>Independent dealersUsed Auto</v>
      </c>
      <c r="B9" s="33" t="s">
        <v>69</v>
      </c>
      <c r="C9" s="33" t="s">
        <v>68</v>
      </c>
      <c r="D9" s="48">
        <f>85%*D7</f>
        <v>57.8</v>
      </c>
      <c r="E9" s="48">
        <f t="shared" si="3"/>
        <v>76.5</v>
      </c>
      <c r="F9" s="91"/>
      <c r="G9" s="53">
        <f>365/45</f>
        <v>8.1111111111111107</v>
      </c>
      <c r="H9" s="57">
        <f t="shared" si="1"/>
        <v>9.4315068493150687</v>
      </c>
      <c r="I9" s="67">
        <v>0.9</v>
      </c>
      <c r="J9" s="92">
        <f t="shared" si="2"/>
        <v>68.850000000000009</v>
      </c>
      <c r="K9" s="67"/>
      <c r="L9" s="67"/>
      <c r="M9" s="57"/>
      <c r="N9" s="87"/>
      <c r="O9" s="33"/>
      <c r="P9" s="7"/>
      <c r="Q9" s="7"/>
      <c r="R9" s="7"/>
    </row>
    <row r="10" spans="1:18" x14ac:dyDescent="0.25">
      <c r="A10" t="str">
        <f t="shared" si="0"/>
        <v>Dealers with OEMs captivesNew Auto</v>
      </c>
      <c r="B10" s="33" t="s">
        <v>70</v>
      </c>
      <c r="C10" s="33" t="s">
        <v>66</v>
      </c>
      <c r="D10" s="48">
        <f>D6-D8</f>
        <v>9.3000000000000043</v>
      </c>
      <c r="E10" s="48">
        <f t="shared" ref="E10:E11" si="4">E6-E8</f>
        <v>11.100000000000001</v>
      </c>
      <c r="F10" s="91"/>
      <c r="G10" s="53">
        <f>360/60</f>
        <v>6</v>
      </c>
      <c r="H10" s="57">
        <f t="shared" si="1"/>
        <v>1.8500000000000003</v>
      </c>
      <c r="I10" s="67">
        <v>0.9</v>
      </c>
      <c r="J10" s="92">
        <f t="shared" si="2"/>
        <v>9.990000000000002</v>
      </c>
      <c r="K10" s="67"/>
      <c r="L10" s="67"/>
      <c r="M10" s="57"/>
      <c r="N10" s="87"/>
      <c r="O10" s="33"/>
      <c r="P10" s="7"/>
      <c r="Q10" s="7"/>
      <c r="R10" s="7"/>
    </row>
    <row r="11" spans="1:18" x14ac:dyDescent="0.25">
      <c r="A11" t="str">
        <f t="shared" si="0"/>
        <v>Dealers with OEMs captivesUsed Auto</v>
      </c>
      <c r="B11" s="33" t="s">
        <v>70</v>
      </c>
      <c r="C11" s="33" t="s">
        <v>68</v>
      </c>
      <c r="D11" s="48">
        <f t="shared" ref="D11" si="5">D7-D9</f>
        <v>10.200000000000003</v>
      </c>
      <c r="E11" s="48">
        <f t="shared" si="4"/>
        <v>13.5</v>
      </c>
      <c r="F11" s="91"/>
      <c r="G11" s="53">
        <f>365/45</f>
        <v>8.1111111111111107</v>
      </c>
      <c r="H11" s="57">
        <f t="shared" si="1"/>
        <v>1.6643835616438356</v>
      </c>
      <c r="I11" s="67">
        <v>0.9</v>
      </c>
      <c r="J11" s="92">
        <f t="shared" si="2"/>
        <v>12.15</v>
      </c>
      <c r="K11" s="67"/>
      <c r="L11" s="67"/>
      <c r="M11" s="57"/>
      <c r="N11" s="87"/>
      <c r="O11" s="33"/>
      <c r="P11" s="7"/>
      <c r="Q11" s="7"/>
      <c r="R11" s="7"/>
    </row>
    <row r="12" spans="1:18" ht="14.4" x14ac:dyDescent="0.3">
      <c r="A12" t="str">
        <f t="shared" si="0"/>
        <v>LeaseCosNew Auto</v>
      </c>
      <c r="B12" s="33" t="s">
        <v>71</v>
      </c>
      <c r="C12" s="33" t="s">
        <v>66</v>
      </c>
      <c r="D12" s="33">
        <v>45</v>
      </c>
      <c r="E12" s="33">
        <v>54</v>
      </c>
      <c r="F12" s="91">
        <f>E12/12</f>
        <v>4.5</v>
      </c>
      <c r="G12" s="53"/>
      <c r="H12" s="57"/>
      <c r="I12" s="67">
        <v>0.85</v>
      </c>
      <c r="J12" s="61">
        <f t="shared" si="2"/>
        <v>45.9</v>
      </c>
      <c r="K12" s="67"/>
      <c r="L12" s="67">
        <v>0.2</v>
      </c>
      <c r="M12" s="57">
        <f t="shared" ref="M12:N17" si="6">J12*K12</f>
        <v>0</v>
      </c>
      <c r="N12" s="87">
        <f t="shared" si="6"/>
        <v>0</v>
      </c>
      <c r="O12" s="64" t="s">
        <v>72</v>
      </c>
      <c r="P12" s="7"/>
      <c r="Q12" s="7"/>
      <c r="R12" s="7"/>
    </row>
    <row r="13" spans="1:18" ht="14.4" x14ac:dyDescent="0.3">
      <c r="A13" t="str">
        <f t="shared" si="0"/>
        <v>LeaseCosUsed Auto</v>
      </c>
      <c r="B13" s="33" t="s">
        <v>71</v>
      </c>
      <c r="C13" s="33" t="s">
        <v>68</v>
      </c>
      <c r="D13" s="33">
        <v>0</v>
      </c>
      <c r="E13" s="33">
        <v>0</v>
      </c>
      <c r="F13" s="91">
        <f t="shared" ref="F13:F19" si="7">E13/12</f>
        <v>0</v>
      </c>
      <c r="G13" s="53"/>
      <c r="H13" s="57"/>
      <c r="I13" s="67">
        <v>0.85</v>
      </c>
      <c r="J13" s="92">
        <f t="shared" si="2"/>
        <v>0</v>
      </c>
      <c r="K13" s="67"/>
      <c r="L13" s="67">
        <v>0.2</v>
      </c>
      <c r="M13" s="57">
        <f t="shared" si="6"/>
        <v>0</v>
      </c>
      <c r="N13" s="87">
        <f t="shared" si="6"/>
        <v>0</v>
      </c>
      <c r="O13" s="64" t="s">
        <v>72</v>
      </c>
      <c r="P13" s="7"/>
      <c r="Q13" s="7"/>
      <c r="R13" s="7"/>
    </row>
    <row r="14" spans="1:18" ht="14.4" x14ac:dyDescent="0.3">
      <c r="A14" t="str">
        <f t="shared" si="0"/>
        <v>RACNew Auto</v>
      </c>
      <c r="B14" s="33" t="s">
        <v>73</v>
      </c>
      <c r="C14" s="33" t="s">
        <v>66</v>
      </c>
      <c r="D14" s="33">
        <v>26</v>
      </c>
      <c r="E14" s="33">
        <v>31</v>
      </c>
      <c r="F14" s="91">
        <f t="shared" si="7"/>
        <v>2.5833333333333335</v>
      </c>
      <c r="G14" s="53"/>
      <c r="H14" s="57"/>
      <c r="I14" s="67">
        <v>0.8</v>
      </c>
      <c r="J14" s="92">
        <f t="shared" si="2"/>
        <v>24.8</v>
      </c>
      <c r="K14" s="67"/>
      <c r="L14" s="67">
        <v>0.3</v>
      </c>
      <c r="M14" s="57">
        <f t="shared" si="6"/>
        <v>0</v>
      </c>
      <c r="N14" s="87">
        <f t="shared" si="6"/>
        <v>0</v>
      </c>
      <c r="O14" s="64"/>
      <c r="P14" s="7"/>
      <c r="Q14" s="7"/>
      <c r="R14" s="7"/>
    </row>
    <row r="15" spans="1:18" ht="14.4" x14ac:dyDescent="0.3">
      <c r="A15" t="str">
        <f t="shared" si="0"/>
        <v>RACUsed Auto</v>
      </c>
      <c r="B15" s="33" t="s">
        <v>73</v>
      </c>
      <c r="C15" s="33" t="s">
        <v>68</v>
      </c>
      <c r="D15" s="33">
        <v>14</v>
      </c>
      <c r="E15" s="33">
        <v>16</v>
      </c>
      <c r="F15" s="91">
        <f t="shared" si="7"/>
        <v>1.3333333333333333</v>
      </c>
      <c r="G15" s="53"/>
      <c r="H15" s="57"/>
      <c r="I15" s="67">
        <v>0.8</v>
      </c>
      <c r="J15" s="92">
        <f t="shared" si="2"/>
        <v>12.8</v>
      </c>
      <c r="K15" s="67"/>
      <c r="L15" s="67">
        <v>0.3</v>
      </c>
      <c r="M15" s="57">
        <f t="shared" si="6"/>
        <v>0</v>
      </c>
      <c r="N15" s="87">
        <f t="shared" si="6"/>
        <v>0</v>
      </c>
      <c r="O15" s="64"/>
      <c r="P15" s="7"/>
      <c r="Q15" s="7"/>
      <c r="R15" s="7"/>
    </row>
    <row r="16" spans="1:18" ht="14.4" hidden="1" outlineLevel="1" x14ac:dyDescent="0.3">
      <c r="A16" s="4" t="s">
        <v>74</v>
      </c>
      <c r="B16" s="33" t="s">
        <v>73</v>
      </c>
      <c r="C16" s="33" t="s">
        <v>66</v>
      </c>
      <c r="D16" s="33">
        <f>ROUND(30%*D14,0)</f>
        <v>8</v>
      </c>
      <c r="E16" s="33"/>
      <c r="F16" s="91">
        <f t="shared" si="7"/>
        <v>0</v>
      </c>
      <c r="G16" s="53">
        <f t="shared" ref="G16:G17" si="8">360/30</f>
        <v>12</v>
      </c>
      <c r="H16" s="57"/>
      <c r="I16" s="67">
        <v>0.35</v>
      </c>
      <c r="J16" s="92">
        <f t="shared" si="2"/>
        <v>0</v>
      </c>
      <c r="K16" s="67"/>
      <c r="L16" s="67"/>
      <c r="M16" s="87">
        <f t="shared" si="6"/>
        <v>0</v>
      </c>
      <c r="N16" s="87">
        <f t="shared" si="6"/>
        <v>0</v>
      </c>
      <c r="O16" s="33"/>
      <c r="P16" s="7"/>
      <c r="Q16" s="7"/>
      <c r="R16" s="7"/>
    </row>
    <row r="17" spans="1:18" ht="14.4" hidden="1" outlineLevel="1" x14ac:dyDescent="0.3">
      <c r="A17" s="4" t="s">
        <v>74</v>
      </c>
      <c r="B17" s="33" t="s">
        <v>73</v>
      </c>
      <c r="C17" s="33" t="s">
        <v>68</v>
      </c>
      <c r="D17" s="33">
        <f>ROUND(30%*D15,0)</f>
        <v>4</v>
      </c>
      <c r="E17" s="33"/>
      <c r="F17" s="91">
        <f t="shared" si="7"/>
        <v>0</v>
      </c>
      <c r="G17" s="53">
        <f t="shared" si="8"/>
        <v>12</v>
      </c>
      <c r="H17" s="57"/>
      <c r="I17" s="67">
        <v>0.35</v>
      </c>
      <c r="J17" s="92">
        <f t="shared" si="2"/>
        <v>0</v>
      </c>
      <c r="K17" s="67"/>
      <c r="L17" s="67"/>
      <c r="M17" s="87">
        <f t="shared" si="6"/>
        <v>0</v>
      </c>
      <c r="N17" s="87">
        <f t="shared" si="6"/>
        <v>0</v>
      </c>
      <c r="O17" s="33"/>
      <c r="P17" s="7"/>
      <c r="Q17" s="7"/>
      <c r="R17" s="7"/>
    </row>
    <row r="18" spans="1:18" hidden="1" outlineLevel="1" collapsed="1" x14ac:dyDescent="0.25">
      <c r="B18" s="33" t="s">
        <v>75</v>
      </c>
      <c r="C18" s="33" t="s">
        <v>66</v>
      </c>
      <c r="D18" s="33">
        <v>4</v>
      </c>
      <c r="E18" s="33">
        <v>4</v>
      </c>
      <c r="F18" s="91">
        <f t="shared" si="7"/>
        <v>0.33333333333333331</v>
      </c>
      <c r="G18" s="33"/>
      <c r="H18" s="57"/>
      <c r="I18" s="68">
        <v>0.2</v>
      </c>
      <c r="J18" s="92"/>
      <c r="K18" s="68"/>
      <c r="L18" s="68"/>
      <c r="M18" s="68"/>
      <c r="N18" s="68"/>
      <c r="O18" s="33"/>
      <c r="P18" s="7"/>
      <c r="Q18" s="7"/>
      <c r="R18" s="7"/>
    </row>
    <row r="19" spans="1:18" hidden="1" outlineLevel="1" x14ac:dyDescent="0.25">
      <c r="B19" s="34" t="s">
        <v>75</v>
      </c>
      <c r="C19" s="34" t="s">
        <v>68</v>
      </c>
      <c r="D19" s="34">
        <v>2</v>
      </c>
      <c r="E19" s="34">
        <v>2</v>
      </c>
      <c r="F19" s="93">
        <f t="shared" si="7"/>
        <v>0.16666666666666666</v>
      </c>
      <c r="G19" s="34"/>
      <c r="H19" s="57"/>
      <c r="I19" s="72">
        <v>0.2</v>
      </c>
      <c r="J19" s="92"/>
      <c r="K19" s="72"/>
      <c r="L19" s="72"/>
      <c r="M19" s="72"/>
      <c r="N19" s="72"/>
      <c r="O19" s="34"/>
      <c r="P19" s="7"/>
      <c r="Q19" s="7"/>
      <c r="R19" s="7"/>
    </row>
    <row r="20" spans="1:18" collapsed="1" x14ac:dyDescent="0.25">
      <c r="B20" s="74" t="s">
        <v>25</v>
      </c>
      <c r="C20" s="74"/>
      <c r="D20" s="94">
        <f>SUM(D12:D19)</f>
        <v>103</v>
      </c>
      <c r="E20" s="94">
        <f>SUM(E12:E19)</f>
        <v>107</v>
      </c>
      <c r="F20" s="95">
        <f>SUM(F12:F19)</f>
        <v>8.9166666666666679</v>
      </c>
      <c r="G20" s="94"/>
      <c r="H20" s="94">
        <f>SUM(H6:H19)</f>
        <v>46.858447488584481</v>
      </c>
      <c r="I20" s="94"/>
      <c r="J20" s="94">
        <f>SUM(J8:J19)</f>
        <v>231.10000000000005</v>
      </c>
      <c r="K20" s="94"/>
      <c r="L20" s="94"/>
      <c r="M20" s="94">
        <f>SUM(M12:M19)</f>
        <v>0</v>
      </c>
      <c r="N20" s="94">
        <f>SUM(N12:N19)</f>
        <v>0</v>
      </c>
      <c r="O20" s="96"/>
      <c r="P20" s="7"/>
      <c r="Q20" s="7"/>
      <c r="R20" s="7"/>
    </row>
    <row r="21" spans="1:18" x14ac:dyDescent="0.25">
      <c r="B21" s="3"/>
      <c r="C21" s="3"/>
      <c r="D21" s="13"/>
      <c r="E21" s="13"/>
      <c r="F21" s="13"/>
      <c r="G21" s="13"/>
      <c r="H21" s="13"/>
      <c r="I21" s="13"/>
      <c r="J21" s="13"/>
      <c r="K21" s="13"/>
      <c r="O21" s="7"/>
      <c r="P21" s="7"/>
      <c r="Q21" s="7"/>
      <c r="R21" s="7"/>
    </row>
    <row r="22" spans="1:18" hidden="1" outlineLevel="1" x14ac:dyDescent="0.25">
      <c r="B22" s="51">
        <v>2024</v>
      </c>
      <c r="C22" s="51" t="s">
        <v>76</v>
      </c>
      <c r="D22" s="51" t="s">
        <v>76</v>
      </c>
      <c r="E22" s="51" t="s">
        <v>77</v>
      </c>
      <c r="F22" s="51" t="s">
        <v>77</v>
      </c>
    </row>
    <row r="23" spans="1:18" hidden="1" outlineLevel="1" x14ac:dyDescent="0.25">
      <c r="B23" s="32" t="s">
        <v>2</v>
      </c>
      <c r="C23" s="32" t="s">
        <v>66</v>
      </c>
      <c r="D23" s="32" t="s">
        <v>68</v>
      </c>
      <c r="E23" s="32" t="s">
        <v>66</v>
      </c>
      <c r="F23" s="32" t="s">
        <v>68</v>
      </c>
      <c r="G23" s="89" t="s">
        <v>78</v>
      </c>
    </row>
    <row r="24" spans="1:18" hidden="1" outlineLevel="1" x14ac:dyDescent="0.25">
      <c r="B24" s="52" t="s">
        <v>5</v>
      </c>
      <c r="C24" s="51"/>
      <c r="D24" s="51"/>
      <c r="E24" s="51"/>
      <c r="F24" s="51"/>
      <c r="G24" s="51"/>
    </row>
    <row r="25" spans="1:18" ht="14.4" hidden="1" outlineLevel="1" x14ac:dyDescent="0.3">
      <c r="B25" s="33" t="s">
        <v>6</v>
      </c>
      <c r="C25" s="53">
        <v>15000</v>
      </c>
      <c r="D25" s="53">
        <v>9500</v>
      </c>
      <c r="E25" s="48">
        <f>C25/(1+30%)</f>
        <v>11538.461538461537</v>
      </c>
      <c r="F25" s="48">
        <f t="shared" ref="F25:F29" si="9">D25/(1+30%)</f>
        <v>7307.6923076923076</v>
      </c>
      <c r="G25" s="97" t="s">
        <v>79</v>
      </c>
    </row>
    <row r="26" spans="1:18" ht="14.4" hidden="1" outlineLevel="1" x14ac:dyDescent="0.3">
      <c r="B26" s="33" t="s">
        <v>80</v>
      </c>
      <c r="C26" s="53">
        <v>0</v>
      </c>
      <c r="D26" s="53">
        <v>5000</v>
      </c>
      <c r="E26" s="48">
        <f t="shared" ref="E26:E29" si="10">C26/(1+30%)</f>
        <v>0</v>
      </c>
      <c r="F26" s="48">
        <f t="shared" si="9"/>
        <v>3846.1538461538462</v>
      </c>
      <c r="G26" s="97" t="s">
        <v>79</v>
      </c>
    </row>
    <row r="27" spans="1:18" ht="14.4" hidden="1" outlineLevel="1" x14ac:dyDescent="0.3">
      <c r="B27" s="33" t="s">
        <v>81</v>
      </c>
      <c r="C27" s="53"/>
      <c r="D27" s="53"/>
      <c r="E27" s="48"/>
      <c r="F27" s="48"/>
      <c r="G27" s="97"/>
    </row>
    <row r="28" spans="1:18" ht="14.4" hidden="1" outlineLevel="1" x14ac:dyDescent="0.3">
      <c r="B28" s="33" t="s">
        <v>82</v>
      </c>
      <c r="C28" s="53">
        <v>25000</v>
      </c>
      <c r="D28" s="53">
        <v>13000</v>
      </c>
      <c r="E28" s="48">
        <f t="shared" si="10"/>
        <v>19230.76923076923</v>
      </c>
      <c r="F28" s="48">
        <f t="shared" si="9"/>
        <v>10000</v>
      </c>
      <c r="G28" s="97" t="s">
        <v>79</v>
      </c>
    </row>
    <row r="29" spans="1:18" ht="14.4" hidden="1" outlineLevel="1" x14ac:dyDescent="0.3">
      <c r="B29" s="33" t="s">
        <v>83</v>
      </c>
      <c r="C29" s="53"/>
      <c r="D29" s="53"/>
      <c r="E29" s="48">
        <f t="shared" si="10"/>
        <v>0</v>
      </c>
      <c r="F29" s="48">
        <f t="shared" si="9"/>
        <v>0</v>
      </c>
      <c r="G29" s="97" t="s">
        <v>79</v>
      </c>
    </row>
    <row r="30" spans="1:18" collapsed="1" x14ac:dyDescent="0.25"/>
    <row r="31" spans="1:18" x14ac:dyDescent="0.25">
      <c r="B31" s="32" t="s">
        <v>84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8" x14ac:dyDescent="0.25">
      <c r="C32" s="51">
        <v>2024</v>
      </c>
      <c r="D32" s="51"/>
      <c r="E32" s="51"/>
      <c r="F32" s="51"/>
      <c r="G32" s="51"/>
    </row>
    <row r="33" spans="1:18" x14ac:dyDescent="0.25">
      <c r="B33" s="12" t="s">
        <v>2</v>
      </c>
      <c r="C33" s="98" t="s">
        <v>12</v>
      </c>
      <c r="D33" s="98" t="s">
        <v>36</v>
      </c>
      <c r="E33" s="98"/>
      <c r="F33" s="98"/>
      <c r="G33" s="99" t="s">
        <v>33</v>
      </c>
    </row>
    <row r="34" spans="1:18" x14ac:dyDescent="0.25">
      <c r="B34" s="90" t="s">
        <v>85</v>
      </c>
      <c r="C34" s="51"/>
      <c r="D34" s="51" t="s">
        <v>71</v>
      </c>
      <c r="E34" s="51" t="s">
        <v>73</v>
      </c>
      <c r="F34" s="51" t="s">
        <v>69</v>
      </c>
      <c r="G34" s="51" t="s">
        <v>70</v>
      </c>
      <c r="H34" s="51"/>
      <c r="Q34" s="7"/>
      <c r="R34" s="7"/>
    </row>
    <row r="35" spans="1:18" ht="14.4" x14ac:dyDescent="0.3">
      <c r="A35" s="16" t="str">
        <f>B35&amp;C35</f>
        <v>Floor planNew Auto</v>
      </c>
      <c r="B35" s="33" t="s">
        <v>80</v>
      </c>
      <c r="C35" s="33" t="s">
        <v>66</v>
      </c>
      <c r="D35" s="67">
        <v>0</v>
      </c>
      <c r="E35" s="67">
        <v>0</v>
      </c>
      <c r="F35" s="68">
        <v>0.4</v>
      </c>
      <c r="G35" s="67">
        <v>0.7</v>
      </c>
      <c r="H35" s="4" t="s">
        <v>86</v>
      </c>
      <c r="R35" s="7"/>
    </row>
    <row r="36" spans="1:18" x14ac:dyDescent="0.25">
      <c r="A36" s="16" t="str">
        <f t="shared" ref="A36:A46" si="11">B36&amp;C36</f>
        <v>Floor planUsed Auto</v>
      </c>
      <c r="B36" s="33" t="s">
        <v>80</v>
      </c>
      <c r="C36" s="33" t="s">
        <v>68</v>
      </c>
      <c r="D36" s="68">
        <v>0</v>
      </c>
      <c r="E36" s="67">
        <v>0</v>
      </c>
      <c r="F36" s="68">
        <v>0</v>
      </c>
      <c r="G36" s="67">
        <v>0.4</v>
      </c>
      <c r="H36" s="33"/>
      <c r="Q36" s="7"/>
      <c r="R36" s="7"/>
    </row>
    <row r="37" spans="1:18" x14ac:dyDescent="0.25">
      <c r="A37" s="16" t="str">
        <f t="shared" si="11"/>
        <v>Stock financeNew Auto</v>
      </c>
      <c r="B37" s="33" t="s">
        <v>81</v>
      </c>
      <c r="C37" s="33" t="s">
        <v>66</v>
      </c>
      <c r="D37" s="67">
        <v>0</v>
      </c>
      <c r="E37" s="67">
        <v>0</v>
      </c>
      <c r="F37" s="68">
        <v>0.15</v>
      </c>
      <c r="G37" s="67">
        <v>0.05</v>
      </c>
      <c r="H37" s="33"/>
      <c r="Q37" s="7"/>
      <c r="R37" s="7"/>
    </row>
    <row r="38" spans="1:18" x14ac:dyDescent="0.25">
      <c r="A38" s="16" t="str">
        <f t="shared" si="11"/>
        <v>Stock financeUsed Auto</v>
      </c>
      <c r="B38" s="33" t="s">
        <v>81</v>
      </c>
      <c r="C38" s="33" t="s">
        <v>68</v>
      </c>
      <c r="D38" s="68">
        <v>0</v>
      </c>
      <c r="E38" s="67">
        <v>0</v>
      </c>
      <c r="F38" s="68">
        <v>0.25</v>
      </c>
      <c r="G38" s="67">
        <v>0.05</v>
      </c>
      <c r="H38" s="33"/>
      <c r="Q38" s="7"/>
      <c r="R38" s="7"/>
    </row>
    <row r="39" spans="1:18" x14ac:dyDescent="0.25">
      <c r="A39" s="16" t="str">
        <f t="shared" si="11"/>
        <v>LoanNew Auto</v>
      </c>
      <c r="B39" s="33" t="s">
        <v>38</v>
      </c>
      <c r="C39" s="33" t="s">
        <v>66</v>
      </c>
      <c r="D39" s="68">
        <v>0.3</v>
      </c>
      <c r="E39" s="67">
        <v>0.25</v>
      </c>
      <c r="F39" s="68">
        <v>0.15</v>
      </c>
      <c r="G39" s="68">
        <v>0.05</v>
      </c>
      <c r="H39" s="33"/>
      <c r="Q39" s="7"/>
      <c r="R39" s="7"/>
    </row>
    <row r="40" spans="1:18" x14ac:dyDescent="0.25">
      <c r="A40" s="16" t="str">
        <f t="shared" si="11"/>
        <v>LoanUsed Auto</v>
      </c>
      <c r="B40" s="33" t="s">
        <v>38</v>
      </c>
      <c r="C40" s="33" t="s">
        <v>68</v>
      </c>
      <c r="D40" s="68">
        <v>0</v>
      </c>
      <c r="E40" s="67">
        <v>0.4</v>
      </c>
      <c r="F40" s="68">
        <v>0.4</v>
      </c>
      <c r="G40" s="68">
        <v>0.3</v>
      </c>
      <c r="H40" s="33"/>
      <c r="J40" s="17"/>
      <c r="Q40" s="7"/>
      <c r="R40" s="7"/>
    </row>
    <row r="41" spans="1:18" x14ac:dyDescent="0.25">
      <c r="A41" s="16" t="str">
        <f t="shared" si="11"/>
        <v>Financial leaseNew Auto</v>
      </c>
      <c r="B41" s="33" t="s">
        <v>8</v>
      </c>
      <c r="C41" s="33" t="s">
        <v>66</v>
      </c>
      <c r="D41" s="68">
        <v>0.6</v>
      </c>
      <c r="E41" s="67">
        <v>0.5</v>
      </c>
      <c r="F41" s="68">
        <v>0.15</v>
      </c>
      <c r="G41" s="68">
        <v>0</v>
      </c>
      <c r="H41" s="33"/>
      <c r="Q41" s="7"/>
      <c r="R41" s="7"/>
    </row>
    <row r="42" spans="1:18" x14ac:dyDescent="0.25">
      <c r="A42" s="16" t="str">
        <f t="shared" si="11"/>
        <v>Financial leaseUsed Auto</v>
      </c>
      <c r="B42" s="33" t="s">
        <v>8</v>
      </c>
      <c r="C42" s="33" t="s">
        <v>68</v>
      </c>
      <c r="D42" s="68">
        <v>0</v>
      </c>
      <c r="E42" s="67">
        <v>0.2</v>
      </c>
      <c r="F42" s="68">
        <v>0</v>
      </c>
      <c r="G42" s="68">
        <v>0</v>
      </c>
      <c r="H42" s="33"/>
      <c r="Q42" s="7"/>
      <c r="R42" s="7"/>
    </row>
    <row r="43" spans="1:18" x14ac:dyDescent="0.25">
      <c r="A43" s="16" t="str">
        <f t="shared" si="11"/>
        <v>Operational leaseNew Auto</v>
      </c>
      <c r="B43" s="33" t="s">
        <v>9</v>
      </c>
      <c r="C43" s="33" t="s">
        <v>66</v>
      </c>
      <c r="D43" s="68">
        <v>0</v>
      </c>
      <c r="E43" s="67">
        <v>0</v>
      </c>
      <c r="F43" s="68">
        <v>0</v>
      </c>
      <c r="G43" s="68">
        <v>0</v>
      </c>
      <c r="H43" s="33"/>
      <c r="Q43" s="7"/>
      <c r="R43" s="7"/>
    </row>
    <row r="44" spans="1:18" x14ac:dyDescent="0.25">
      <c r="A44" s="16" t="str">
        <f t="shared" si="11"/>
        <v>Operational leaseUsed Auto</v>
      </c>
      <c r="B44" s="30" t="s">
        <v>9</v>
      </c>
      <c r="C44" s="30" t="s">
        <v>68</v>
      </c>
      <c r="D44" s="68">
        <v>0</v>
      </c>
      <c r="E44" s="67">
        <v>0</v>
      </c>
      <c r="F44" s="68">
        <v>0</v>
      </c>
      <c r="G44" s="68">
        <v>0</v>
      </c>
      <c r="H44" s="30"/>
      <c r="Q44" s="7"/>
      <c r="R44" s="7"/>
    </row>
    <row r="45" spans="1:18" x14ac:dyDescent="0.25">
      <c r="A45" s="16" t="str">
        <f t="shared" si="11"/>
        <v>Other fin productsNew Auto</v>
      </c>
      <c r="B45" s="33" t="s">
        <v>87</v>
      </c>
      <c r="C45" s="33" t="s">
        <v>66</v>
      </c>
      <c r="D45" s="68">
        <v>0.1</v>
      </c>
      <c r="E45" s="67">
        <v>0.25</v>
      </c>
      <c r="F45" s="68">
        <v>0.15</v>
      </c>
      <c r="G45" s="68">
        <v>0.2</v>
      </c>
      <c r="H45" s="33" t="s">
        <v>88</v>
      </c>
      <c r="Q45" s="7"/>
      <c r="R45" s="7"/>
    </row>
    <row r="46" spans="1:18" x14ac:dyDescent="0.25">
      <c r="A46" s="16" t="str">
        <f t="shared" si="11"/>
        <v>Other fin productsUsed Auto</v>
      </c>
      <c r="B46" s="11" t="s">
        <v>87</v>
      </c>
      <c r="C46" s="11" t="s">
        <v>68</v>
      </c>
      <c r="D46" s="6">
        <v>0</v>
      </c>
      <c r="E46" s="75">
        <v>0.4</v>
      </c>
      <c r="F46" s="72">
        <v>0.35</v>
      </c>
      <c r="G46" s="6">
        <v>0.25</v>
      </c>
      <c r="H46" s="11" t="s">
        <v>88</v>
      </c>
      <c r="Q46" s="7"/>
      <c r="R46" s="7"/>
    </row>
    <row r="47" spans="1:18" x14ac:dyDescent="0.25">
      <c r="B47" s="74" t="s">
        <v>25</v>
      </c>
      <c r="C47" s="74" t="s">
        <v>66</v>
      </c>
      <c r="D47" s="100">
        <f t="shared" ref="D47:F48" si="12">SUMIFS(D$35:D$46,$C$35:$C$46,$C47)</f>
        <v>0.99999999999999989</v>
      </c>
      <c r="E47" s="100">
        <f t="shared" si="12"/>
        <v>1</v>
      </c>
      <c r="F47" s="70">
        <f t="shared" si="12"/>
        <v>1</v>
      </c>
      <c r="G47" s="100">
        <f>SUMIFS(G$35:G$46,$C$35:$C$46,$C47)</f>
        <v>1</v>
      </c>
      <c r="H47" s="94"/>
      <c r="N47" s="94"/>
      <c r="O47" s="94"/>
      <c r="P47" s="29"/>
      <c r="Q47" s="7"/>
      <c r="R47" s="7"/>
    </row>
    <row r="48" spans="1:18" x14ac:dyDescent="0.25">
      <c r="B48" s="3" t="s">
        <v>25</v>
      </c>
      <c r="C48" s="74" t="s">
        <v>68</v>
      </c>
      <c r="D48" s="100">
        <f t="shared" si="12"/>
        <v>0</v>
      </c>
      <c r="E48" s="100">
        <f t="shared" si="12"/>
        <v>1</v>
      </c>
      <c r="F48" s="100">
        <f t="shared" si="12"/>
        <v>1</v>
      </c>
      <c r="G48" s="100">
        <f>SUMIFS(G$35:G$46,$C$35:$C$46,$C48)</f>
        <v>1</v>
      </c>
      <c r="H48" s="13"/>
      <c r="N48" s="13"/>
      <c r="O48" s="13"/>
      <c r="P48" s="2"/>
      <c r="Q48" s="7"/>
      <c r="R48" s="7"/>
    </row>
    <row r="50" spans="2:14" x14ac:dyDescent="0.25">
      <c r="B50" s="32" t="s">
        <v>89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</row>
    <row r="51" spans="2:14" x14ac:dyDescent="0.25">
      <c r="C51" s="51">
        <v>2024</v>
      </c>
      <c r="D51" s="51"/>
      <c r="E51" s="51">
        <v>2030</v>
      </c>
      <c r="F51" s="51">
        <v>2030</v>
      </c>
      <c r="G51" s="51"/>
      <c r="H51" s="51"/>
      <c r="I51" s="51"/>
      <c r="J51" s="51"/>
    </row>
    <row r="52" spans="2:14" s="10" customFormat="1" x14ac:dyDescent="0.25">
      <c r="B52" s="32" t="s">
        <v>90</v>
      </c>
      <c r="C52" s="32" t="s">
        <v>6</v>
      </c>
      <c r="D52" s="32"/>
      <c r="E52" s="32" t="s">
        <v>6</v>
      </c>
      <c r="F52" s="32"/>
      <c r="G52" s="32" t="s">
        <v>80</v>
      </c>
      <c r="H52" s="32"/>
      <c r="I52" s="32" t="s">
        <v>81</v>
      </c>
      <c r="J52" s="32"/>
    </row>
    <row r="53" spans="2:14" s="10" customFormat="1" x14ac:dyDescent="0.25">
      <c r="B53" s="9" t="s">
        <v>5</v>
      </c>
      <c r="C53" s="51" t="s">
        <v>66</v>
      </c>
      <c r="D53" s="51" t="s">
        <v>68</v>
      </c>
      <c r="E53" s="51" t="s">
        <v>66</v>
      </c>
      <c r="F53" s="51" t="s">
        <v>68</v>
      </c>
      <c r="G53" s="51" t="s">
        <v>66</v>
      </c>
      <c r="H53" s="51" t="s">
        <v>68</v>
      </c>
      <c r="I53" s="51" t="s">
        <v>66</v>
      </c>
      <c r="J53" s="51" t="s">
        <v>68</v>
      </c>
    </row>
    <row r="54" spans="2:14" s="10" customFormat="1" x14ac:dyDescent="0.25">
      <c r="B54" s="9"/>
      <c r="C54" s="51"/>
      <c r="D54" s="51"/>
      <c r="E54" s="51"/>
      <c r="F54" s="51"/>
      <c r="G54" s="51"/>
      <c r="H54" s="51"/>
      <c r="I54" s="51"/>
      <c r="J54" s="51"/>
    </row>
    <row r="55" spans="2:14" s="10" customFormat="1" x14ac:dyDescent="0.25">
      <c r="B55" s="33" t="s">
        <v>1</v>
      </c>
      <c r="C55" s="76">
        <v>15000</v>
      </c>
      <c r="D55" s="76">
        <v>9500</v>
      </c>
      <c r="E55" s="15">
        <v>17395.401273193354</v>
      </c>
      <c r="F55" s="15">
        <v>11017.087473022457</v>
      </c>
      <c r="G55" s="53"/>
      <c r="H55" s="53"/>
      <c r="I55" s="53"/>
      <c r="J55" s="53"/>
    </row>
    <row r="56" spans="2:14" s="10" customFormat="1" x14ac:dyDescent="0.25">
      <c r="B56" s="33" t="s">
        <v>91</v>
      </c>
      <c r="C56" s="101">
        <v>7.8E-2</v>
      </c>
      <c r="D56" s="101">
        <v>0.11700000000000001</v>
      </c>
      <c r="E56" s="101">
        <v>7.8E-2</v>
      </c>
      <c r="F56" s="101">
        <v>0.11700000000000001</v>
      </c>
      <c r="G56" s="102">
        <v>7.8E-2</v>
      </c>
      <c r="H56" s="102">
        <v>0.11700000000000001</v>
      </c>
      <c r="I56" s="102">
        <v>7.8E-2</v>
      </c>
      <c r="J56" s="102">
        <v>0.11700000000000001</v>
      </c>
    </row>
    <row r="57" spans="2:14" s="10" customFormat="1" x14ac:dyDescent="0.25">
      <c r="B57" s="33" t="s">
        <v>92</v>
      </c>
      <c r="C57" s="101">
        <v>3.9E-2</v>
      </c>
      <c r="D57" s="101">
        <v>0.04</v>
      </c>
      <c r="E57" s="101">
        <v>3.9E-2</v>
      </c>
      <c r="F57" s="101">
        <v>0.04</v>
      </c>
      <c r="G57" s="102">
        <v>3.9E-2</v>
      </c>
      <c r="H57" s="102">
        <v>0.04</v>
      </c>
      <c r="I57" s="102">
        <v>3.9E-2</v>
      </c>
      <c r="J57" s="102">
        <v>0.04</v>
      </c>
    </row>
    <row r="58" spans="2:14" s="10" customFormat="1" x14ac:dyDescent="0.25">
      <c r="B58" s="33" t="s">
        <v>93</v>
      </c>
      <c r="C58" s="101">
        <v>8.0000000000000002E-3</v>
      </c>
      <c r="D58" s="101">
        <v>8.9999999999999993E-3</v>
      </c>
      <c r="E58" s="101">
        <v>8.0000000000000002E-3</v>
      </c>
      <c r="F58" s="101">
        <v>8.9999999999999993E-3</v>
      </c>
      <c r="G58" s="102">
        <v>8.0000000000000002E-3</v>
      </c>
      <c r="H58" s="102">
        <v>8.9999999999999993E-3</v>
      </c>
      <c r="I58" s="102">
        <v>8.0000000000000002E-3</v>
      </c>
      <c r="J58" s="102">
        <v>8.9999999999999993E-3</v>
      </c>
    </row>
    <row r="59" spans="2:14" s="10" customFormat="1" x14ac:dyDescent="0.25">
      <c r="B59" s="34" t="s">
        <v>94</v>
      </c>
      <c r="C59" s="103">
        <f>4.22222222222222</f>
        <v>4.2222222222222197</v>
      </c>
      <c r="D59" s="103">
        <f t="shared" ref="D59:F59" si="13">4.22222222222222</f>
        <v>4.2222222222222197</v>
      </c>
      <c r="E59" s="103">
        <f>4.22222222222222</f>
        <v>4.2222222222222197</v>
      </c>
      <c r="F59" s="103">
        <f t="shared" si="13"/>
        <v>4.2222222222222197</v>
      </c>
      <c r="G59" s="103">
        <f>90/360</f>
        <v>0.25</v>
      </c>
      <c r="H59" s="103">
        <f>90/360</f>
        <v>0.25</v>
      </c>
      <c r="I59" s="103"/>
      <c r="J59" s="103"/>
    </row>
    <row r="60" spans="2:14" s="10" customFormat="1" x14ac:dyDescent="0.25">
      <c r="B60" s="5" t="s">
        <v>95</v>
      </c>
      <c r="C60" s="14">
        <f>C61/C59</f>
        <v>232.5</v>
      </c>
      <c r="D60" s="14">
        <f t="shared" ref="D60" si="14">D61/D59</f>
        <v>323.00000000000011</v>
      </c>
      <c r="E60" s="14">
        <f>E61/E59</f>
        <v>269.628719734497</v>
      </c>
      <c r="F60" s="14">
        <f t="shared" ref="F60" si="15">F61/F59</f>
        <v>374.58097408276365</v>
      </c>
      <c r="G60" s="14">
        <f>G61/G59</f>
        <v>0</v>
      </c>
      <c r="H60" s="14">
        <f>H61/H59</f>
        <v>0</v>
      </c>
      <c r="I60" s="14" t="e">
        <f>I61/I59</f>
        <v>#DIV/0!</v>
      </c>
      <c r="J60" s="14" t="e">
        <f t="shared" ref="J60" si="16">J61/J59</f>
        <v>#DIV/0!</v>
      </c>
    </row>
    <row r="61" spans="2:14" s="10" customFormat="1" x14ac:dyDescent="0.25">
      <c r="B61" s="74" t="s">
        <v>96</v>
      </c>
      <c r="C61" s="94">
        <f t="shared" ref="C61:D61" si="17">C55*(C56-C57-C58)*C59/2</f>
        <v>981.66666666666606</v>
      </c>
      <c r="D61" s="94">
        <f t="shared" si="17"/>
        <v>1363.7777777777774</v>
      </c>
      <c r="E61" s="94">
        <f t="shared" ref="E61:F61" si="18">E55*(E56-E57-E58)*E59/2</f>
        <v>1138.4323722123199</v>
      </c>
      <c r="F61" s="94">
        <f t="shared" si="18"/>
        <v>1581.56411279389</v>
      </c>
      <c r="G61" s="94">
        <f>G55*(G56-G57-G58)*G59/2</f>
        <v>0</v>
      </c>
      <c r="H61" s="94">
        <f>H55*(H56-H57-H58)*H59/2</f>
        <v>0</v>
      </c>
      <c r="I61" s="94">
        <f>I55*(I56-I57-I58)*I59/2</f>
        <v>0</v>
      </c>
      <c r="J61" s="94">
        <f>J55*(J56-J57-J58)*J59/2</f>
        <v>0</v>
      </c>
    </row>
    <row r="62" spans="2:14" s="10" customFormat="1" x14ac:dyDescent="0.25">
      <c r="B62" s="3"/>
      <c r="C62" s="13"/>
      <c r="D62" s="13"/>
      <c r="E62" s="13"/>
      <c r="F62" s="13"/>
      <c r="G62" s="13"/>
      <c r="H62" s="13"/>
    </row>
    <row r="63" spans="2:14" s="10" customFormat="1" x14ac:dyDescent="0.25">
      <c r="C63" s="51">
        <v>2024</v>
      </c>
      <c r="D63" s="51"/>
      <c r="E63" s="13"/>
      <c r="F63" s="13"/>
      <c r="G63" s="13"/>
      <c r="H63" s="13"/>
    </row>
    <row r="64" spans="2:14" s="10" customFormat="1" x14ac:dyDescent="0.25">
      <c r="B64" s="32" t="s">
        <v>90</v>
      </c>
      <c r="C64" s="32" t="s">
        <v>97</v>
      </c>
      <c r="D64" s="32"/>
      <c r="E64" s="13"/>
      <c r="F64" s="13"/>
      <c r="G64" s="13"/>
      <c r="H64" s="13"/>
    </row>
    <row r="65" spans="2:18" s="10" customFormat="1" x14ac:dyDescent="0.25">
      <c r="B65" s="52" t="s">
        <v>5</v>
      </c>
      <c r="C65" s="51" t="s">
        <v>66</v>
      </c>
      <c r="D65" s="51" t="s">
        <v>68</v>
      </c>
      <c r="E65" s="13"/>
      <c r="F65" s="13"/>
      <c r="G65" s="13"/>
      <c r="H65" s="13"/>
    </row>
    <row r="66" spans="2:18" s="10" customFormat="1" x14ac:dyDescent="0.25">
      <c r="B66" s="33" t="s">
        <v>98</v>
      </c>
      <c r="C66" s="104">
        <v>375</v>
      </c>
      <c r="D66" s="104">
        <v>200</v>
      </c>
      <c r="E66" s="13"/>
      <c r="F66" s="13"/>
      <c r="G66" s="13"/>
      <c r="H66" s="13"/>
    </row>
    <row r="67" spans="2:18" s="10" customFormat="1" x14ac:dyDescent="0.25">
      <c r="B67" s="33" t="s">
        <v>99</v>
      </c>
      <c r="C67" s="104">
        <v>375</v>
      </c>
      <c r="D67" s="104">
        <v>200</v>
      </c>
      <c r="E67" s="13"/>
      <c r="F67" s="13"/>
      <c r="G67" s="13"/>
      <c r="H67" s="13"/>
    </row>
    <row r="68" spans="2:18" s="10" customFormat="1" x14ac:dyDescent="0.25">
      <c r="B68" s="33" t="s">
        <v>100</v>
      </c>
      <c r="C68" s="104">
        <v>250</v>
      </c>
      <c r="D68" s="104">
        <v>150</v>
      </c>
      <c r="E68" s="13"/>
      <c r="F68" s="13"/>
      <c r="G68" s="13"/>
      <c r="H68" s="13"/>
    </row>
    <row r="69" spans="2:18" s="10" customFormat="1" x14ac:dyDescent="0.25">
      <c r="B69" s="34" t="s">
        <v>94</v>
      </c>
      <c r="C69" s="103">
        <v>3.5</v>
      </c>
      <c r="D69" s="103">
        <v>3.5</v>
      </c>
      <c r="E69" s="13"/>
      <c r="F69" s="13"/>
      <c r="G69" s="13"/>
      <c r="H69" s="13"/>
    </row>
    <row r="70" spans="2:18" s="10" customFormat="1" x14ac:dyDescent="0.25">
      <c r="B70" s="5" t="s">
        <v>95</v>
      </c>
      <c r="C70" s="14">
        <f>SUM(C66:C68)</f>
        <v>1000</v>
      </c>
      <c r="D70" s="14">
        <f>SUM(D66:D68)</f>
        <v>550</v>
      </c>
      <c r="E70" s="13"/>
      <c r="F70" s="13"/>
      <c r="G70" s="13"/>
      <c r="H70" s="13"/>
    </row>
    <row r="71" spans="2:18" s="10" customFormat="1" x14ac:dyDescent="0.25">
      <c r="B71" s="74" t="s">
        <v>96</v>
      </c>
      <c r="C71" s="94">
        <f>C70*C69</f>
        <v>3500</v>
      </c>
      <c r="D71" s="94">
        <f>D70*D69</f>
        <v>1925</v>
      </c>
      <c r="E71" s="13"/>
      <c r="F71" s="13"/>
      <c r="G71" s="13"/>
      <c r="H71" s="13"/>
    </row>
    <row r="72" spans="2:18" x14ac:dyDescent="0.25">
      <c r="B72" s="3"/>
      <c r="C72" s="3"/>
      <c r="D72" s="13"/>
      <c r="E72" s="13"/>
      <c r="F72" s="13"/>
      <c r="G72" s="13"/>
      <c r="H72" s="13"/>
      <c r="I72" s="13"/>
      <c r="J72" s="13"/>
      <c r="K72" s="13"/>
      <c r="O72" s="7"/>
      <c r="P72" s="7"/>
      <c r="Q72" s="7"/>
      <c r="R72" s="7"/>
    </row>
    <row r="73" spans="2:18" x14ac:dyDescent="0.25">
      <c r="B73" s="32" t="s">
        <v>101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</row>
    <row r="74" spans="2:18" x14ac:dyDescent="0.25">
      <c r="B74" s="105"/>
      <c r="C74" s="51">
        <v>2024</v>
      </c>
      <c r="D74" s="51" t="s">
        <v>102</v>
      </c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7"/>
      <c r="P74" s="7"/>
      <c r="Q74" s="7"/>
      <c r="R74" s="7"/>
    </row>
    <row r="75" spans="2:18" ht="41.4" x14ac:dyDescent="0.25">
      <c r="B75" s="12" t="s">
        <v>2</v>
      </c>
      <c r="C75" s="98" t="s">
        <v>12</v>
      </c>
      <c r="D75" s="32" t="s">
        <v>71</v>
      </c>
      <c r="E75" s="32" t="s">
        <v>73</v>
      </c>
      <c r="F75" s="32" t="s">
        <v>69</v>
      </c>
      <c r="G75" s="56" t="s">
        <v>70</v>
      </c>
      <c r="H75" s="56"/>
      <c r="I75" s="56" t="s">
        <v>58</v>
      </c>
      <c r="J75" s="56" t="s">
        <v>59</v>
      </c>
      <c r="K75" s="56" t="s">
        <v>60</v>
      </c>
      <c r="L75" s="56" t="s">
        <v>61</v>
      </c>
      <c r="M75" s="56" t="s">
        <v>63</v>
      </c>
      <c r="N75" s="89" t="s">
        <v>33</v>
      </c>
    </row>
    <row r="76" spans="2:18" x14ac:dyDescent="0.25">
      <c r="B76" s="90" t="s">
        <v>103</v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</row>
    <row r="77" spans="2:18" x14ac:dyDescent="0.25">
      <c r="B77" s="33" t="s">
        <v>80</v>
      </c>
      <c r="C77" s="33" t="s">
        <v>66</v>
      </c>
      <c r="D77" s="48">
        <f>INDEX($A$34:$G$46,MATCH($B77&amp;$C77,$A$34:$A$46,0),MATCH(D$75,$A$34:$G$34,0))*_xlfn.XLOOKUP(D$75&amp;$C77,$A$6:$A$15,$J$6:$J$15,0,0)</f>
        <v>0</v>
      </c>
      <c r="E77" s="48">
        <f t="shared" ref="E77:G88" si="19">INDEX($A$34:$G$46,MATCH($B77&amp;$C77,$A$34:$A$46,0),MATCH(E$75,$A$34:$G$34,0))*_xlfn.XLOOKUP(E$75&amp;$C77,$A$6:$A$15,$J$6:$J$15,0,0)</f>
        <v>0</v>
      </c>
      <c r="F77" s="48">
        <f t="shared" si="19"/>
        <v>22.644000000000002</v>
      </c>
      <c r="G77" s="48">
        <f t="shared" si="19"/>
        <v>6.9930000000000012</v>
      </c>
      <c r="H77" s="33"/>
      <c r="I77" s="33"/>
      <c r="J77" s="33"/>
      <c r="K77" s="33"/>
      <c r="L77" s="33"/>
      <c r="M77" s="33"/>
      <c r="N77" s="33" t="s">
        <v>72</v>
      </c>
    </row>
    <row r="78" spans="2:18" x14ac:dyDescent="0.25">
      <c r="B78" s="33" t="s">
        <v>80</v>
      </c>
      <c r="C78" s="33" t="s">
        <v>68</v>
      </c>
      <c r="D78" s="48">
        <f t="shared" ref="D78:D88" si="20">INDEX($A$34:$G$46,MATCH($B78&amp;$C78,$A$34:$A$46,0),MATCH(D$75,$A$34:$G$34,0))*_xlfn.XLOOKUP(D$75&amp;$C78,$A$6:$A$15,$J$6:$J$15,0,0)</f>
        <v>0</v>
      </c>
      <c r="E78" s="48">
        <f t="shared" si="19"/>
        <v>0</v>
      </c>
      <c r="F78" s="48">
        <f t="shared" si="19"/>
        <v>0</v>
      </c>
      <c r="G78" s="48">
        <f t="shared" si="19"/>
        <v>4.8600000000000003</v>
      </c>
      <c r="H78" s="33"/>
      <c r="I78" s="33"/>
      <c r="J78" s="33"/>
      <c r="K78" s="33"/>
      <c r="L78" s="33"/>
      <c r="M78" s="33"/>
      <c r="N78" s="33" t="s">
        <v>72</v>
      </c>
    </row>
    <row r="79" spans="2:18" x14ac:dyDescent="0.25">
      <c r="B79" s="33" t="s">
        <v>81</v>
      </c>
      <c r="C79" s="33" t="s">
        <v>66</v>
      </c>
      <c r="D79" s="48">
        <f t="shared" si="20"/>
        <v>0</v>
      </c>
      <c r="E79" s="48">
        <f t="shared" si="19"/>
        <v>0</v>
      </c>
      <c r="F79" s="48">
        <f t="shared" si="19"/>
        <v>8.4915000000000003</v>
      </c>
      <c r="G79" s="48">
        <f t="shared" si="19"/>
        <v>0.49950000000000011</v>
      </c>
      <c r="H79" s="33"/>
      <c r="I79" s="33"/>
      <c r="J79" s="33"/>
      <c r="K79" s="33"/>
      <c r="L79" s="33"/>
      <c r="M79" s="33"/>
      <c r="N79" s="33"/>
    </row>
    <row r="80" spans="2:18" x14ac:dyDescent="0.25">
      <c r="B80" s="33" t="s">
        <v>81</v>
      </c>
      <c r="C80" s="33" t="s">
        <v>68</v>
      </c>
      <c r="D80" s="48">
        <f t="shared" si="20"/>
        <v>0</v>
      </c>
      <c r="E80" s="48">
        <f t="shared" si="19"/>
        <v>0</v>
      </c>
      <c r="F80" s="48">
        <f t="shared" si="19"/>
        <v>17.212500000000002</v>
      </c>
      <c r="G80" s="48">
        <f t="shared" si="19"/>
        <v>0.60750000000000004</v>
      </c>
      <c r="H80" s="33"/>
      <c r="I80" s="33"/>
      <c r="J80" s="33"/>
      <c r="K80" s="33"/>
      <c r="L80" s="33"/>
      <c r="M80" s="33"/>
      <c r="N80" s="33"/>
    </row>
    <row r="81" spans="2:18" outlineLevel="1" x14ac:dyDescent="0.25">
      <c r="B81" s="33" t="s">
        <v>38</v>
      </c>
      <c r="C81" s="33" t="s">
        <v>66</v>
      </c>
      <c r="D81" s="48">
        <f t="shared" si="20"/>
        <v>13.77</v>
      </c>
      <c r="E81" s="48">
        <f t="shared" si="19"/>
        <v>6.2</v>
      </c>
      <c r="F81" s="48">
        <f t="shared" si="19"/>
        <v>8.4915000000000003</v>
      </c>
      <c r="G81" s="48">
        <f t="shared" si="19"/>
        <v>0.49950000000000011</v>
      </c>
      <c r="H81" s="33"/>
      <c r="I81" s="33"/>
      <c r="J81" s="33"/>
      <c r="K81" s="33"/>
      <c r="L81" s="33"/>
      <c r="M81" s="33"/>
      <c r="N81" s="33"/>
    </row>
    <row r="82" spans="2:18" outlineLevel="1" x14ac:dyDescent="0.25">
      <c r="B82" s="33" t="s">
        <v>38</v>
      </c>
      <c r="C82" s="33" t="s">
        <v>68</v>
      </c>
      <c r="D82" s="48">
        <f t="shared" si="20"/>
        <v>0</v>
      </c>
      <c r="E82" s="48">
        <f t="shared" si="19"/>
        <v>5.120000000000001</v>
      </c>
      <c r="F82" s="48">
        <f t="shared" si="19"/>
        <v>27.540000000000006</v>
      </c>
      <c r="G82" s="48">
        <f t="shared" si="19"/>
        <v>3.645</v>
      </c>
      <c r="H82" s="33"/>
      <c r="I82" s="33"/>
      <c r="J82" s="33"/>
      <c r="K82" s="33"/>
      <c r="L82" s="33"/>
      <c r="M82" s="33"/>
      <c r="N82" s="33"/>
    </row>
    <row r="83" spans="2:18" x14ac:dyDescent="0.25">
      <c r="B83" s="33" t="s">
        <v>8</v>
      </c>
      <c r="C83" s="33" t="s">
        <v>66</v>
      </c>
      <c r="D83" s="48">
        <f t="shared" si="20"/>
        <v>27.54</v>
      </c>
      <c r="E83" s="48">
        <f t="shared" si="19"/>
        <v>12.4</v>
      </c>
      <c r="F83" s="48">
        <f t="shared" si="19"/>
        <v>8.4915000000000003</v>
      </c>
      <c r="G83" s="48">
        <f t="shared" si="19"/>
        <v>0</v>
      </c>
      <c r="H83" s="33"/>
      <c r="I83" s="33"/>
      <c r="J83" s="33"/>
      <c r="K83" s="33"/>
      <c r="L83" s="33"/>
      <c r="M83" s="33"/>
      <c r="N83" s="33"/>
    </row>
    <row r="84" spans="2:18" x14ac:dyDescent="0.25">
      <c r="B84" s="33" t="s">
        <v>8</v>
      </c>
      <c r="C84" s="33" t="s">
        <v>68</v>
      </c>
      <c r="D84" s="48">
        <f t="shared" si="20"/>
        <v>0</v>
      </c>
      <c r="E84" s="48">
        <f t="shared" si="19"/>
        <v>2.5600000000000005</v>
      </c>
      <c r="F84" s="48">
        <f t="shared" si="19"/>
        <v>0</v>
      </c>
      <c r="G84" s="48">
        <f t="shared" si="19"/>
        <v>0</v>
      </c>
      <c r="H84" s="33"/>
      <c r="I84" s="33"/>
      <c r="J84" s="33"/>
      <c r="K84" s="33"/>
      <c r="L84" s="33"/>
      <c r="M84" s="33"/>
      <c r="N84" s="33"/>
    </row>
    <row r="85" spans="2:18" x14ac:dyDescent="0.25">
      <c r="B85" s="33" t="s">
        <v>9</v>
      </c>
      <c r="C85" s="33" t="s">
        <v>66</v>
      </c>
      <c r="D85" s="48">
        <f t="shared" si="20"/>
        <v>0</v>
      </c>
      <c r="E85" s="48">
        <f t="shared" si="19"/>
        <v>0</v>
      </c>
      <c r="F85" s="48">
        <f t="shared" si="19"/>
        <v>0</v>
      </c>
      <c r="G85" s="48">
        <f t="shared" si="19"/>
        <v>0</v>
      </c>
      <c r="H85" s="33"/>
      <c r="I85" s="33"/>
      <c r="J85" s="33"/>
      <c r="K85" s="33"/>
      <c r="L85" s="33"/>
      <c r="M85" s="33"/>
      <c r="N85" s="33"/>
    </row>
    <row r="86" spans="2:18" x14ac:dyDescent="0.25">
      <c r="B86" s="30" t="s">
        <v>9</v>
      </c>
      <c r="C86" s="30" t="s">
        <v>68</v>
      </c>
      <c r="D86" s="48">
        <f t="shared" si="20"/>
        <v>0</v>
      </c>
      <c r="E86" s="48">
        <f t="shared" si="19"/>
        <v>0</v>
      </c>
      <c r="F86" s="48">
        <f t="shared" si="19"/>
        <v>0</v>
      </c>
      <c r="G86" s="48">
        <f t="shared" si="19"/>
        <v>0</v>
      </c>
      <c r="H86" s="30"/>
      <c r="I86" s="30"/>
      <c r="J86" s="30"/>
      <c r="K86" s="30"/>
      <c r="L86" s="30"/>
      <c r="M86" s="30"/>
      <c r="N86" s="30"/>
    </row>
    <row r="87" spans="2:18" x14ac:dyDescent="0.25">
      <c r="B87" s="33" t="s">
        <v>87</v>
      </c>
      <c r="C87" s="33" t="s">
        <v>66</v>
      </c>
      <c r="D87" s="48">
        <f t="shared" si="20"/>
        <v>4.59</v>
      </c>
      <c r="E87" s="48">
        <f t="shared" si="19"/>
        <v>6.2</v>
      </c>
      <c r="F87" s="48">
        <f t="shared" si="19"/>
        <v>8.4915000000000003</v>
      </c>
      <c r="G87" s="48">
        <f t="shared" si="19"/>
        <v>1.9980000000000004</v>
      </c>
      <c r="H87" s="33"/>
      <c r="I87" s="33"/>
      <c r="J87" s="33"/>
      <c r="K87" s="33"/>
      <c r="L87" s="33"/>
      <c r="M87" s="33"/>
      <c r="N87" s="33"/>
      <c r="O87" s="10"/>
      <c r="P87" s="10"/>
      <c r="Q87" s="10"/>
      <c r="R87" s="10"/>
    </row>
    <row r="88" spans="2:18" x14ac:dyDescent="0.25">
      <c r="B88" s="11" t="s">
        <v>87</v>
      </c>
      <c r="C88" s="11" t="s">
        <v>68</v>
      </c>
      <c r="D88" s="48">
        <f t="shared" si="20"/>
        <v>0</v>
      </c>
      <c r="E88" s="48">
        <f t="shared" si="19"/>
        <v>5.120000000000001</v>
      </c>
      <c r="F88" s="48">
        <f t="shared" si="19"/>
        <v>24.0975</v>
      </c>
      <c r="G88" s="48">
        <f t="shared" si="19"/>
        <v>3.0375000000000001</v>
      </c>
      <c r="H88" s="11"/>
      <c r="I88" s="11"/>
      <c r="J88" s="11"/>
      <c r="K88" s="11"/>
      <c r="L88" s="11"/>
      <c r="M88" s="11"/>
      <c r="N88" s="11"/>
    </row>
    <row r="89" spans="2:18" x14ac:dyDescent="0.25">
      <c r="B89" s="74" t="s">
        <v>25</v>
      </c>
      <c r="C89" s="74" t="s">
        <v>66</v>
      </c>
      <c r="D89" s="94">
        <f>SUMIFS(D$77:D$88,$C$77:$C$88,$C89)</f>
        <v>45.900000000000006</v>
      </c>
      <c r="E89" s="94">
        <f t="shared" ref="E89:G90" si="21">SUMIFS(E$77:E$88,$C$77:$C$88,$C89)</f>
        <v>24.8</v>
      </c>
      <c r="F89" s="94">
        <f t="shared" si="21"/>
        <v>56.610000000000007</v>
      </c>
      <c r="G89" s="94">
        <f t="shared" si="21"/>
        <v>9.990000000000002</v>
      </c>
      <c r="H89" s="74"/>
      <c r="I89" s="74"/>
      <c r="J89" s="74"/>
      <c r="K89" s="74"/>
      <c r="L89" s="74"/>
      <c r="M89" s="74"/>
      <c r="N89" s="74"/>
    </row>
    <row r="90" spans="2:18" x14ac:dyDescent="0.25">
      <c r="B90" s="3" t="s">
        <v>25</v>
      </c>
      <c r="C90" s="74" t="s">
        <v>68</v>
      </c>
      <c r="D90" s="94">
        <f t="shared" ref="D90" si="22">SUMIFS(D$77:D$88,$C$77:$C$88,$C90)</f>
        <v>0</v>
      </c>
      <c r="E90" s="94">
        <f t="shared" si="21"/>
        <v>12.800000000000002</v>
      </c>
      <c r="F90" s="94">
        <f t="shared" si="21"/>
        <v>68.850000000000009</v>
      </c>
      <c r="G90" s="94">
        <f t="shared" si="21"/>
        <v>12.15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E5E3-1A0A-4DDB-BA70-C6FED997F77F}">
  <dimension ref="B2:L58"/>
  <sheetViews>
    <sheetView workbookViewId="0"/>
  </sheetViews>
  <sheetFormatPr defaultRowHeight="13.8" x14ac:dyDescent="0.25"/>
  <cols>
    <col min="1" max="1" width="6.296875" customWidth="1"/>
    <col min="2" max="2" width="16.09765625" customWidth="1"/>
    <col min="3" max="3" width="10.59765625" customWidth="1"/>
    <col min="4" max="5" width="12.59765625" customWidth="1"/>
    <col min="6" max="6" width="11.296875" customWidth="1"/>
    <col min="7" max="8" width="12.69921875" customWidth="1"/>
    <col min="9" max="9" width="12" customWidth="1"/>
    <col min="10" max="10" width="11.69921875" customWidth="1"/>
    <col min="11" max="11" width="23.09765625" customWidth="1"/>
  </cols>
  <sheetData>
    <row r="2" spans="2:12" x14ac:dyDescent="0.25">
      <c r="B2" s="106" t="s">
        <v>104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4" spans="2:12" ht="46.05" customHeight="1" x14ac:dyDescent="0.25">
      <c r="B4" s="56" t="s">
        <v>2</v>
      </c>
      <c r="C4" s="56" t="s">
        <v>105</v>
      </c>
      <c r="D4" s="56" t="s">
        <v>106</v>
      </c>
      <c r="E4" s="56" t="s">
        <v>107</v>
      </c>
      <c r="F4" s="56" t="s">
        <v>108</v>
      </c>
      <c r="G4" s="56" t="s">
        <v>109</v>
      </c>
      <c r="H4" s="56" t="s">
        <v>110</v>
      </c>
      <c r="I4" s="56" t="s">
        <v>11</v>
      </c>
      <c r="J4" s="56" t="s">
        <v>111</v>
      </c>
      <c r="K4" s="56" t="s">
        <v>112</v>
      </c>
      <c r="L4" s="107" t="s">
        <v>33</v>
      </c>
    </row>
    <row r="5" spans="2:12" x14ac:dyDescent="0.25">
      <c r="B5" s="108" t="s">
        <v>113</v>
      </c>
      <c r="C5" s="108"/>
      <c r="D5" s="108" t="s">
        <v>34</v>
      </c>
      <c r="E5" s="108" t="s">
        <v>34</v>
      </c>
      <c r="F5" s="108" t="s">
        <v>17</v>
      </c>
      <c r="G5" s="108" t="s">
        <v>34</v>
      </c>
      <c r="H5" s="108" t="s">
        <v>40</v>
      </c>
      <c r="I5" s="108" t="s">
        <v>40</v>
      </c>
      <c r="J5" s="108" t="s">
        <v>40</v>
      </c>
      <c r="K5" s="108"/>
      <c r="L5" s="51"/>
    </row>
    <row r="6" spans="2:12" x14ac:dyDescent="0.25">
      <c r="B6" s="33" t="s">
        <v>80</v>
      </c>
      <c r="C6" s="33" t="s">
        <v>29</v>
      </c>
      <c r="D6" s="33">
        <v>20</v>
      </c>
      <c r="E6" s="33"/>
      <c r="F6" s="33">
        <v>15</v>
      </c>
      <c r="G6" s="33"/>
      <c r="H6" s="33"/>
      <c r="I6" s="33"/>
      <c r="J6" s="33"/>
      <c r="K6" s="33"/>
      <c r="L6" s="33"/>
    </row>
    <row r="7" spans="2:12" x14ac:dyDescent="0.25">
      <c r="B7" s="33" t="s">
        <v>80</v>
      </c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2:12" x14ac:dyDescent="0.25">
      <c r="B8" s="33" t="s">
        <v>80</v>
      </c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2:12" x14ac:dyDescent="0.25">
      <c r="B9" s="33" t="s">
        <v>80</v>
      </c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2:12" x14ac:dyDescent="0.25">
      <c r="B10" s="33" t="s">
        <v>80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2:12" x14ac:dyDescent="0.25">
      <c r="B11" s="33" t="s">
        <v>80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2:12" x14ac:dyDescent="0.25">
      <c r="B12" s="33" t="s">
        <v>80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2:12" x14ac:dyDescent="0.25">
      <c r="B13" s="33" t="s">
        <v>80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</row>
    <row r="14" spans="2:12" x14ac:dyDescent="0.25">
      <c r="B14" s="33" t="s">
        <v>80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spans="2:12" x14ac:dyDescent="0.25">
      <c r="B15" s="33" t="s">
        <v>80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6" spans="2:12" x14ac:dyDescent="0.25">
      <c r="B16" s="33" t="s">
        <v>80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2:12" x14ac:dyDescent="0.25">
      <c r="B17" s="33" t="s">
        <v>80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2:12" x14ac:dyDescent="0.25">
      <c r="B18" s="33" t="s">
        <v>80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2:12" x14ac:dyDescent="0.25">
      <c r="B19" s="33" t="s">
        <v>80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2:12" x14ac:dyDescent="0.25">
      <c r="B20" s="33" t="s">
        <v>80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</row>
    <row r="21" spans="2:12" x14ac:dyDescent="0.25">
      <c r="B21" s="2"/>
    </row>
    <row r="23" spans="2:12" ht="41.4" x14ac:dyDescent="0.25">
      <c r="B23" s="56" t="s">
        <v>2</v>
      </c>
      <c r="C23" s="56" t="s">
        <v>114</v>
      </c>
      <c r="D23" s="56" t="s">
        <v>106</v>
      </c>
      <c r="E23" s="56" t="s">
        <v>107</v>
      </c>
      <c r="F23" s="56" t="s">
        <v>108</v>
      </c>
      <c r="G23" s="56" t="s">
        <v>109</v>
      </c>
      <c r="H23" s="56" t="s">
        <v>110</v>
      </c>
      <c r="I23" s="56" t="s">
        <v>11</v>
      </c>
      <c r="J23" s="56" t="s">
        <v>111</v>
      </c>
      <c r="K23" s="56" t="s">
        <v>115</v>
      </c>
      <c r="L23" s="107" t="s">
        <v>33</v>
      </c>
    </row>
    <row r="24" spans="2:12" x14ac:dyDescent="0.25">
      <c r="B24" s="108" t="s">
        <v>113</v>
      </c>
      <c r="C24" s="108"/>
      <c r="D24" s="108" t="s">
        <v>34</v>
      </c>
      <c r="E24" s="108" t="s">
        <v>34</v>
      </c>
      <c r="F24" s="108" t="s">
        <v>17</v>
      </c>
      <c r="G24" s="108" t="s">
        <v>34</v>
      </c>
      <c r="H24" s="108" t="s">
        <v>40</v>
      </c>
      <c r="I24" s="108" t="s">
        <v>40</v>
      </c>
      <c r="J24" s="108" t="s">
        <v>40</v>
      </c>
      <c r="K24" s="108"/>
      <c r="L24" s="51"/>
    </row>
    <row r="25" spans="2:12" x14ac:dyDescent="0.25">
      <c r="B25" s="33" t="s">
        <v>81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2:12" x14ac:dyDescent="0.25">
      <c r="B26" s="33" t="s">
        <v>81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</row>
    <row r="27" spans="2:12" x14ac:dyDescent="0.25">
      <c r="B27" s="33" t="s">
        <v>81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2:12" x14ac:dyDescent="0.25">
      <c r="B28" s="33" t="s">
        <v>81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2:12" x14ac:dyDescent="0.25">
      <c r="B29" s="33" t="s">
        <v>81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x14ac:dyDescent="0.25">
      <c r="B30" s="33" t="s">
        <v>81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1" spans="2:12" x14ac:dyDescent="0.25">
      <c r="B31" s="33" t="s">
        <v>81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spans="2:12" x14ac:dyDescent="0.25">
      <c r="B32" s="33" t="s">
        <v>81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2:12" x14ac:dyDescent="0.25">
      <c r="B33" s="33" t="s">
        <v>81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spans="2:12" x14ac:dyDescent="0.25">
      <c r="B34" s="33" t="s">
        <v>81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spans="2:12" x14ac:dyDescent="0.25">
      <c r="B35" s="33" t="s">
        <v>81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spans="2:12" x14ac:dyDescent="0.25">
      <c r="B36" s="33" t="s">
        <v>81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2:12" x14ac:dyDescent="0.25">
      <c r="B37" s="33" t="s">
        <v>81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spans="2:12" x14ac:dyDescent="0.25">
      <c r="B38" s="33" t="s">
        <v>81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</row>
    <row r="39" spans="2:12" x14ac:dyDescent="0.25">
      <c r="B39" s="33" t="s">
        <v>81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3" spans="2:12" ht="41.4" x14ac:dyDescent="0.25">
      <c r="B43" s="56" t="s">
        <v>2</v>
      </c>
      <c r="C43" s="56" t="s">
        <v>116</v>
      </c>
      <c r="D43" s="56" t="s">
        <v>106</v>
      </c>
      <c r="E43" s="56" t="s">
        <v>107</v>
      </c>
      <c r="F43" s="56" t="s">
        <v>108</v>
      </c>
      <c r="G43" s="56" t="s">
        <v>109</v>
      </c>
      <c r="H43" s="56" t="s">
        <v>110</v>
      </c>
      <c r="I43" s="56" t="s">
        <v>11</v>
      </c>
      <c r="J43" s="56" t="s">
        <v>111</v>
      </c>
      <c r="K43" s="56" t="s">
        <v>115</v>
      </c>
      <c r="L43" s="107" t="s">
        <v>33</v>
      </c>
    </row>
    <row r="44" spans="2:12" x14ac:dyDescent="0.25">
      <c r="B44" s="108" t="s">
        <v>113</v>
      </c>
      <c r="C44" s="108"/>
      <c r="D44" s="108" t="s">
        <v>34</v>
      </c>
      <c r="E44" s="108" t="s">
        <v>34</v>
      </c>
      <c r="F44" s="108" t="s">
        <v>17</v>
      </c>
      <c r="G44" s="108" t="s">
        <v>34</v>
      </c>
      <c r="H44" s="108" t="s">
        <v>40</v>
      </c>
      <c r="I44" s="108" t="s">
        <v>40</v>
      </c>
      <c r="J44" s="108" t="s">
        <v>40</v>
      </c>
      <c r="K44" s="108"/>
      <c r="L44" s="51"/>
    </row>
    <row r="45" spans="2:12" x14ac:dyDescent="0.25">
      <c r="B45" s="33" t="s">
        <v>117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2:12" x14ac:dyDescent="0.25">
      <c r="B46" s="33" t="s">
        <v>117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</row>
    <row r="47" spans="2:12" x14ac:dyDescent="0.25">
      <c r="B47" s="33" t="s">
        <v>117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</row>
    <row r="48" spans="2:12" x14ac:dyDescent="0.25">
      <c r="B48" s="33" t="s">
        <v>117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2:12" x14ac:dyDescent="0.25">
      <c r="B49" s="33" t="s">
        <v>117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2:12" x14ac:dyDescent="0.25">
      <c r="B50" s="33" t="s">
        <v>117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2:12" x14ac:dyDescent="0.25">
      <c r="B51" s="33" t="s">
        <v>117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2:12" x14ac:dyDescent="0.25">
      <c r="B52" s="33" t="s">
        <v>117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2:12" x14ac:dyDescent="0.25">
      <c r="B53" s="33" t="s">
        <v>117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2:12" x14ac:dyDescent="0.25">
      <c r="B54" s="33" t="s">
        <v>117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2:12" x14ac:dyDescent="0.25">
      <c r="B55" s="33" t="s">
        <v>117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2:12" x14ac:dyDescent="0.25">
      <c r="B56" s="33" t="s">
        <v>117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2:12" x14ac:dyDescent="0.25">
      <c r="B57" s="33" t="s">
        <v>117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2:12" x14ac:dyDescent="0.25">
      <c r="B58" s="33" t="s">
        <v>117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8686E0F17B98438C91AA640C188FFD" ma:contentTypeVersion="13" ma:contentTypeDescription="Creare un nuovo documento." ma:contentTypeScope="" ma:versionID="d82692f2b0ff85276e8310f2107ad088">
  <xsd:schema xmlns:xsd="http://www.w3.org/2001/XMLSchema" xmlns:xs="http://www.w3.org/2001/XMLSchema" xmlns:p="http://schemas.microsoft.com/office/2006/metadata/properties" xmlns:ns1="http://schemas.microsoft.com/sharepoint/v3" xmlns:ns2="68e55bdf-09da-4615-ad05-ac088d173743" xmlns:ns3="42e4a2d1-7a9a-46f4-96b1-e49f7be52138" targetNamespace="http://schemas.microsoft.com/office/2006/metadata/properties" ma:root="true" ma:fieldsID="fe09f734e01c274068f3812e7f4c97d1" ns1:_="" ns2:_="" ns3:_="">
    <xsd:import namespace="http://schemas.microsoft.com/sharepoint/v3"/>
    <xsd:import namespace="68e55bdf-09da-4615-ad05-ac088d173743"/>
    <xsd:import namespace="42e4a2d1-7a9a-46f4-96b1-e49f7be521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SourceSystemTaxHTField" minOccurs="0"/>
                <xsd:element ref="ns2:TaxCatchAll" minOccurs="0"/>
                <xsd:element ref="ns2:TaxCatchAllLabel" minOccurs="0"/>
                <xsd:element ref="ns1:DataSource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ourceSystemTaxHTField" ma:index="11" nillable="true" ma:taxonomy="true" ma:internalName="SourceSystemTaxHTField" ma:taxonomyFieldName="SourceSystem" ma:displayName="SourceSystem" ma:default="1;#SPE|e1155322-03d8-4904-a51c-d7d7cbd8ca84" ma:fieldId="{68c22041-dfe3-4104-9745-475326d7dc19}" ma:sspId="c9369470-76d8-40bb-9f83-c9dbb6c0fac8" ma:termSetId="14dc3a28-f268-42f7-8f59-1ae69d4ade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ataSourceTaxHTField" ma:index="15" nillable="true" ma:taxonomy="true" ma:internalName="DataSourceTaxHTField" ma:taxonomyFieldName="DataSource" ma:displayName="DataSource" ma:default="2;#Internal|0b10eabc-00d3-4553-8252-f6efa1cda259" ma:fieldId="{e59fb67a-8e6b-4297-9efb-d86ae4d35911}" ma:sspId="c9369470-76d8-40bb-9f83-c9dbb6c0fac8" ma:termSetId="36ddf51e-868c-4a6e-ae2e-8e285ecab4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55bdf-09da-4615-ad05-ac088d17374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e ID documento" ma:description="Valore dell'ID documento assegnato all'elemento." ma:indexed="true" ma:internalName="_dlc_DocId" ma:readOnly="true">
      <xsd:simpleType>
        <xsd:restriction base="dms:Text"/>
      </xsd:simpleType>
    </xsd:element>
    <xsd:element name="_dlc_DocIdUrl" ma:index="9" nillable="true" ma:displayName="ID documento" ma:description="Collegamento permanente al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2" nillable="true" ma:displayName="Taxonomy Catch All Column" ma:hidden="true" ma:list="{6b8d952e-3416-4953-abfd-23de153d5f96}" ma:internalName="TaxCatchAll" ma:showField="CatchAllData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6b8d952e-3416-4953-abfd-23de153d5f96}" ma:internalName="TaxCatchAllLabel" ma:readOnly="true" ma:showField="CatchAllDataLabel" ma:web="68e55bdf-09da-4615-ad05-ac088d173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4a2d1-7a9a-46f4-96b1-e49f7be521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18eb3a52-a9ad-454e-96a1-46bb4cd16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8e55bdf-09da-4615-ad05-ac088d173743">HJESJR6M7V5E-708027023-678</_dlc_DocId>
    <DataSourceTaxHTField xmlns="http://schemas.microsoft.com/sharepoint/v3">
      <Terms xmlns="http://schemas.microsoft.com/office/infopath/2007/PartnerControls"/>
    </DataSourceTaxHTField>
    <_dlc_DocIdUrl xmlns="68e55bdf-09da-4615-ad05-ac088d173743">
      <Url>https://mckinsey.sharepoint.com/sites/spe-int-g3shlooow/_layouts/15/DocIdRedir.aspx?ID=HJESJR6M7V5E-708027023-678</Url>
      <Description>HJESJR6M7V5E-708027023-678</Description>
    </_dlc_DocIdUrl>
    <SourceSystemTaxHTField xmlns="http://schemas.microsoft.com/sharepoint/v3">
      <Terms xmlns="http://schemas.microsoft.com/office/infopath/2007/PartnerControls"/>
    </SourceSystemTaxHTField>
    <lcf76f155ced4ddcb4097134ff3c332f xmlns="42e4a2d1-7a9a-46f4-96b1-e49f7be52138">
      <Terms xmlns="http://schemas.microsoft.com/office/infopath/2007/PartnerControls"/>
    </lcf76f155ced4ddcb4097134ff3c332f>
    <TaxCatchAll xmlns="68e55bdf-09da-4615-ad05-ac088d17374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23B7333-547B-4C34-8CBE-308DAFF60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e55bdf-09da-4615-ad05-ac088d173743"/>
    <ds:schemaRef ds:uri="42e4a2d1-7a9a-46f4-96b1-e49f7be521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EE4493-E691-4991-AD6E-43CC2F72E884}">
  <ds:schemaRefs>
    <ds:schemaRef ds:uri="http://schemas.microsoft.com/office/2006/metadata/properties"/>
    <ds:schemaRef ds:uri="http://schemas.microsoft.com/office/infopath/2007/PartnerControls"/>
    <ds:schemaRef ds:uri="68e55bdf-09da-4615-ad05-ac088d173743"/>
    <ds:schemaRef ds:uri="http://schemas.microsoft.com/sharepoint/v3"/>
    <ds:schemaRef ds:uri="42e4a2d1-7a9a-46f4-96b1-e49f7be52138"/>
  </ds:schemaRefs>
</ds:datastoreItem>
</file>

<file path=customXml/itemProps3.xml><?xml version="1.0" encoding="utf-8"?>
<ds:datastoreItem xmlns:ds="http://schemas.openxmlformats.org/officeDocument/2006/customXml" ds:itemID="{8E5EBACD-7A1D-4B6A-A5F8-5BC61B8BAD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C5A6B8-7E49-4790-BCC6-3E72FBEE3DF5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Business case on loan</vt:lpstr>
      <vt:lpstr>McKinsey</vt:lpstr>
      <vt:lpstr>sales analysis (MRKT)</vt:lpstr>
      <vt:lpstr>Disb. analysis (MRKT)</vt:lpstr>
      <vt:lpstr>Disb. analysis (S.Βanks)</vt:lpstr>
      <vt:lpstr>Disb. analysis (EUROBANK)</vt:lpstr>
      <vt:lpstr>B2B financing market</vt:lpstr>
      <vt:lpstr>B2B financing opportunity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Pouloupatis Vassileios</cp:lastModifiedBy>
  <cp:revision/>
  <dcterms:created xsi:type="dcterms:W3CDTF">2019-12-02T20:05:52Z</dcterms:created>
  <dcterms:modified xsi:type="dcterms:W3CDTF">2026-05-13T11:25:34Z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0x0101008A8686E0F17B98438C91AA640C188FFD</vt:lpwstr>
  </property>
  <property fmtid="{D5CDD505-2E9C-101B-9397-08002B2CF9AE}" pid="4" name="DataSource">
    <vt:lpwstr/>
  </property>
  <property fmtid="{D5CDD505-2E9C-101B-9397-08002B2CF9AE}" pid="5" name="_dlc_DocIdItemGuid">
    <vt:lpwstr>97d4a419-e767-4b24-84e6-f3c14a929cd7</vt:lpwstr>
  </property>
  <property fmtid="{D5CDD505-2E9C-101B-9397-08002B2CF9AE}" pid="6" name="SourceSystem">
    <vt:lpwstr/>
  </property>
  <property fmtid="{D5CDD505-2E9C-101B-9397-08002B2CF9AE}" pid="7" name="MSIP_Label_83303d7c-e5a3-4cc8-90eb-69bfd7570ac4_Enabled">
    <vt:lpwstr>True</vt:lpwstr>
  </property>
  <property fmtid="{D5CDD505-2E9C-101B-9397-08002B2CF9AE}" pid="8" name="MSIP_Label_83303d7c-e5a3-4cc8-90eb-69bfd7570ac4_SiteId">
    <vt:lpwstr>cc8936bc-9382-4fff-87cb-6f55999549e7</vt:lpwstr>
  </property>
  <property fmtid="{D5CDD505-2E9C-101B-9397-08002B2CF9AE}" pid="9" name="MSIP_Label_83303d7c-e5a3-4cc8-90eb-69bfd7570ac4_SetDate">
    <vt:lpwstr>2025-06-05T22:00:17Z</vt:lpwstr>
  </property>
  <property fmtid="{D5CDD505-2E9C-101B-9397-08002B2CF9AE}" pid="10" name="MSIP_Label_83303d7c-e5a3-4cc8-90eb-69bfd7570ac4_Name">
    <vt:lpwstr>Client Confidential</vt:lpwstr>
  </property>
  <property fmtid="{D5CDD505-2E9C-101B-9397-08002B2CF9AE}" pid="11" name="MSIP_Label_83303d7c-e5a3-4cc8-90eb-69bfd7570ac4_ActionId">
    <vt:lpwstr>76b821e4-18e6-4da8-94a7-b05de63524f3</vt:lpwstr>
  </property>
  <property fmtid="{D5CDD505-2E9C-101B-9397-08002B2CF9AE}" pid="12" name="MSIP_Label_83303d7c-e5a3-4cc8-90eb-69bfd7570ac4_Removed">
    <vt:lpwstr>False</vt:lpwstr>
  </property>
  <property fmtid="{D5CDD505-2E9C-101B-9397-08002B2CF9AE}" pid="13" name="MSIP_Label_83303d7c-e5a3-4cc8-90eb-69bfd7570ac4_Extended_MSFT_Method">
    <vt:lpwstr>Standard</vt:lpwstr>
  </property>
  <property fmtid="{D5CDD505-2E9C-101B-9397-08002B2CF9AE}" pid="14" name="Sensitivity">
    <vt:lpwstr>Client Confidential</vt:lpwstr>
  </property>
</Properties>
</file>