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OneDrive - Eurobank S.A\Backup 2025\Desktop\McKinsey\"/>
    </mc:Choice>
  </mc:AlternateContent>
  <xr:revisionPtr revIDLastSave="0" documentId="13_ncr:1_{5E648CCD-AAAD-49E1-84B5-792E627F6977}" xr6:coauthVersionLast="47" xr6:coauthVersionMax="47" xr10:uidLastSave="{00000000-0000-0000-0000-000000000000}"/>
  <bookViews>
    <workbookView xWindow="-108" yWindow="-108" windowWidth="23256" windowHeight="12456" tabRatio="776" activeTab="5" xr2:uid="{05028756-699B-4E76-A264-EBAB46C1D0C0}"/>
  </bookViews>
  <sheets>
    <sheet name="Rationale" sheetId="1" r:id="rId1"/>
    <sheet name="Leasing Business Unit" sheetId="2" r:id="rId2"/>
    <sheet name="Product head" sheetId="3" r:id="rId3"/>
    <sheet name="Process Collaboration " sheetId="4" r:id="rId4"/>
    <sheet name="Asset Mngt action plan" sheetId="5" r:id="rId5"/>
    <sheet name="Ender Leasing action plan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/>
  <c r="D14" i="2" l="1"/>
</calcChain>
</file>

<file path=xl/sharedStrings.xml><?xml version="1.0" encoding="utf-8"?>
<sst xmlns="http://schemas.openxmlformats.org/spreadsheetml/2006/main" count="131" uniqueCount="111">
  <si>
    <t>Leasing Business Unit</t>
  </si>
  <si>
    <t>FTEs</t>
  </si>
  <si>
    <t>Note</t>
  </si>
  <si>
    <t>Pricing</t>
  </si>
  <si>
    <t>Pricing Model Development</t>
  </si>
  <si>
    <t>De-Fleeting</t>
  </si>
  <si>
    <t>Remarketing</t>
  </si>
  <si>
    <t>Channel Mix Strategy, Resale Pricing</t>
  </si>
  <si>
    <t>Customer Service - Lease Contract</t>
  </si>
  <si>
    <t>Contract Terms, Invoicing, End of Lease</t>
  </si>
  <si>
    <t>Detailed job desc.</t>
  </si>
  <si>
    <t>Customer Service - Car Use</t>
  </si>
  <si>
    <t>Repairs, Replacement, Maintenance</t>
  </si>
  <si>
    <t>Road tax, fines, tolls, invoicing, contract terms, contract-end management (ensure smooth coordination with customers for return appointments and vehicle condition expectations).</t>
  </si>
  <si>
    <t xml:space="preserve">we will be face cases in which customer would like to (a) FL: buy the car earlier than the maturity date, (B) OL: buy the car at  the maturity date or anytime during the lease period </t>
  </si>
  <si>
    <t>Product/Strategy</t>
  </si>
  <si>
    <t>Project dev. / mngt, KPI monitoring, stakeholder alignment</t>
  </si>
  <si>
    <t xml:space="preserve">Recovery policy, repossession and legal actions </t>
  </si>
  <si>
    <t>Recovery Lead</t>
  </si>
  <si>
    <t>Monitor competitor pricing strategies and market positioning</t>
  </si>
  <si>
    <t>Monitor market trends that could impact pricing assumptions ( e.g. regulatory changes, EU promotions, etc.)</t>
  </si>
  <si>
    <t xml:space="preserve">Gather customer insights: interviews, surveys, behavioral data.
</t>
  </si>
  <si>
    <t xml:space="preserve">Identify needs of key segments: B2B fleet clients, SMEs, self-employed, private users.
</t>
  </si>
  <si>
    <t xml:space="preserve">Design product features: mileage plans, included services (insurance, maintenance), early exit terms, digital onboarding.
</t>
  </si>
  <si>
    <t>Define product vision, value proposition, and differentiations</t>
  </si>
  <si>
    <t xml:space="preserve">Work with operations and legal on T&amp;Cs, credit policy and documentation.
</t>
  </si>
  <si>
    <t xml:space="preserve">Work with developers to implement leasing offers
</t>
  </si>
  <si>
    <t>Sales (Dealer, SME)</t>
  </si>
  <si>
    <t>Credit/Underwriting</t>
  </si>
  <si>
    <t>Pricing ↔ Procurement: Alignment on vehicle purchase prices and discounts reflected in pricing models.</t>
  </si>
  <si>
    <t>Pricing ↔ RV Management: Continuous data exchange to ensure residual value assumptions are accurately integrated into pricing.</t>
  </si>
  <si>
    <t>Procurement ↔ Remarketing: Coordination to align vehicle procurement with remarketing strategies.</t>
  </si>
  <si>
    <t>SLA Management ↔ Customer Service (Car): Ensure SLAs cover agreed service levels and proper monitoring processes.</t>
  </si>
  <si>
    <t xml:space="preserve">De-Fleeting ↔ Remarketing: Seamless handover of vehicles for timely preparation and sale.
</t>
  </si>
  <si>
    <t>De-Fleeting ↔ Customer Service (Lease): Return process management and timely customer updates regarding charges and procedures.</t>
  </si>
  <si>
    <t xml:space="preserve">Asset Management </t>
  </si>
  <si>
    <t>A</t>
  </si>
  <si>
    <t>Legal repossession</t>
  </si>
  <si>
    <t xml:space="preserve">Define collection &amp; repossession process
</t>
  </si>
  <si>
    <t>Draft and approve repossession SLA with the partner</t>
  </si>
  <si>
    <t>B</t>
  </si>
  <si>
    <t xml:space="preserve">Accounting  treatment </t>
  </si>
  <si>
    <t>Loan business: IFRS 5 – Non-current Assets Held for Sale</t>
  </si>
  <si>
    <t>Leasing business: reporting the financial impact of lease agreements on a company's financial statements</t>
  </si>
  <si>
    <t>C</t>
  </si>
  <si>
    <t>Systems</t>
  </si>
  <si>
    <t xml:space="preserve">reporting interfaces </t>
  </si>
  <si>
    <t>accounting system</t>
  </si>
  <si>
    <t xml:space="preserve">Partner engagement / SLAs </t>
  </si>
  <si>
    <t>preliminary actions</t>
  </si>
  <si>
    <t>for asset recovery</t>
  </si>
  <si>
    <t>RFPs</t>
  </si>
  <si>
    <t>for asset storage</t>
  </si>
  <si>
    <t>Partner Selection</t>
  </si>
  <si>
    <t>for asset inspection</t>
  </si>
  <si>
    <t>SLA negotiating / drafting</t>
  </si>
  <si>
    <t>for asset re-marketing</t>
  </si>
  <si>
    <t>D</t>
  </si>
  <si>
    <t>Re-Marketing Channels</t>
  </si>
  <si>
    <t>3rd marketplaces / bulid APIs</t>
  </si>
  <si>
    <t>Own marketplace / build from scratch</t>
  </si>
  <si>
    <t>E</t>
  </si>
  <si>
    <t>Digital Infrastructure &amp; Workflow Automation</t>
  </si>
  <si>
    <t>Integrate with dealer / partner (communication infrastructure)</t>
  </si>
  <si>
    <t>F</t>
  </si>
  <si>
    <t>Data Analytics / Reporting (internal + regulatory)</t>
  </si>
  <si>
    <t>PowerBI dashboard for KPIs (repossession time, DTS, etc)</t>
  </si>
  <si>
    <t>Enhance current product management reporting for Loans / Build new for Leasing</t>
  </si>
  <si>
    <t>Financial Lease: Identification of requlatory reporting new needs</t>
  </si>
  <si>
    <t>enter Retail leasing market</t>
  </si>
  <si>
    <t xml:space="preserve">Prerequisites for Product Development </t>
  </si>
  <si>
    <t>Product bookkeeping: Agree P&amp;L, balance sheet treatment, depreciation, expenses with Group Finance</t>
  </si>
  <si>
    <t>Risk assessment: Client assessment, CPM, RV, regulatory presentation with risk committee of the bank</t>
  </si>
  <si>
    <t>Define operating lease value proposition: product specifications</t>
  </si>
  <si>
    <t>Draft operating lease commercial terms</t>
  </si>
  <si>
    <t>Draft operating lease agreement/contract</t>
  </si>
  <si>
    <t>Draft RFPs with dealers, inspectors/de-fleeting companies</t>
  </si>
  <si>
    <t>Draft SLA agreement (service, delivery, retrieval, inspection, SLA team &amp; Legal insurance)</t>
  </si>
  <si>
    <t>Design remarketing strategy</t>
  </si>
  <si>
    <t>Product Pricing and RV Models Development</t>
  </si>
  <si>
    <t>Build technical product pricing model per brand x model</t>
  </si>
  <si>
    <t>Build residual value (RV) model per brand x model</t>
  </si>
  <si>
    <t xml:space="preserve">Systems </t>
  </si>
  <si>
    <t>Acquire depreciation data from quoters</t>
  </si>
  <si>
    <t>lease origination and lease management system</t>
  </si>
  <si>
    <t>Recruitment &amp; Capability Building</t>
  </si>
  <si>
    <t>Hire core experts (pricing, product)</t>
  </si>
  <si>
    <t>Hire salesforce (dealer &amp; SME)</t>
  </si>
  <si>
    <t>Hire operations &amp; support (credit, contract customer service, collections)</t>
  </si>
  <si>
    <t>Hire operating lease roles (SLA team, remarketing)</t>
  </si>
  <si>
    <t>Partner &amp; Channel Development</t>
  </si>
  <si>
    <t>Train internal functions, incl. dealer salesforce and SME salesforce channel, remarketing team, etc.</t>
  </si>
  <si>
    <t>Engage &amp; train, monitor dealer (internal tool to be defined) network (financial lease)</t>
  </si>
  <si>
    <t>Interdepartmental  Interactions</t>
  </si>
  <si>
    <t xml:space="preserve">Vehicle Returns, Inspection, Reconditioning, </t>
  </si>
  <si>
    <t xml:space="preserve">Remarketing </t>
  </si>
  <si>
    <t xml:space="preserve">SMEs direct sales </t>
  </si>
  <si>
    <t xml:space="preserve">Pricing Model </t>
  </si>
  <si>
    <t>Build and manage the dealer relationship</t>
  </si>
  <si>
    <t>Task</t>
  </si>
  <si>
    <t>Sub-tasks</t>
  </si>
  <si>
    <t>in-house</t>
  </si>
  <si>
    <t>RV Modeling, Forecasting, Analytics (Post-repo car pricing, RV delta monitoring)</t>
  </si>
  <si>
    <t>outsourced</t>
  </si>
  <si>
    <t>Update loan agreements to include repossession terms - no action</t>
  </si>
  <si>
    <t>coordination of sales channels / partners</t>
  </si>
  <si>
    <t>Outsourcing aligned with practice</t>
  </si>
  <si>
    <t>Scalable, easy to grow by duplicating clusters</t>
  </si>
  <si>
    <t>Product /IB</t>
  </si>
  <si>
    <t>we are waiting a benchmark from Mckinsey (no. of FTEs / contracts)</t>
  </si>
  <si>
    <t>1 for b2b and one for auto loans (for auto loan the proposal is to have tailored made pricing)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</si>
</sst>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theme="1"/>
      <name val="Aptos Narrow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6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/>
    <xf numFmtId="0" fontId="5" fillId="0" borderId="0" xfId="0" applyFont="1"/>
    <xf numFmtId="0" fontId="0" fillId="6" borderId="0" xfId="0" applyFill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99060</xdr:rowOff>
    </xdr:from>
    <xdr:to>
      <xdr:col>5</xdr:col>
      <xdr:colOff>236220</xdr:colOff>
      <xdr:row>3</xdr:row>
      <xdr:rowOff>99060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DA108CF-927B-418F-963A-EDE4A000C9F1}"/>
            </a:ext>
          </a:extLst>
        </xdr:cNvPr>
        <xdr:cNvCxnSpPr/>
      </xdr:nvCxnSpPr>
      <xdr:spPr>
        <a:xfrm>
          <a:off x="9006840" y="647700"/>
          <a:ext cx="2209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6</xdr:row>
      <xdr:rowOff>91440</xdr:rowOff>
    </xdr:from>
    <xdr:to>
      <xdr:col>5</xdr:col>
      <xdr:colOff>236220</xdr:colOff>
      <xdr:row>6</xdr:row>
      <xdr:rowOff>91440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2364F27-BF2F-4E2B-A265-F0AFACECDC79}"/>
            </a:ext>
          </a:extLst>
        </xdr:cNvPr>
        <xdr:cNvCxnSpPr/>
      </xdr:nvCxnSpPr>
      <xdr:spPr>
        <a:xfrm>
          <a:off x="7330440" y="1188720"/>
          <a:ext cx="2209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14</xdr:row>
      <xdr:rowOff>22860</xdr:rowOff>
    </xdr:from>
    <xdr:to>
      <xdr:col>2</xdr:col>
      <xdr:colOff>220980</xdr:colOff>
      <xdr:row>14</xdr:row>
      <xdr:rowOff>190500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EF65202D-6A94-4C21-9D39-DA218F4F9BAB}"/>
            </a:ext>
          </a:extLst>
        </xdr:cNvPr>
        <xdr:cNvSpPr/>
      </xdr:nvSpPr>
      <xdr:spPr>
        <a:xfrm>
          <a:off x="6469380" y="2682240"/>
          <a:ext cx="175260" cy="1676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071F-6CCD-45CC-978C-74AD76362734}">
  <dimension ref="A2:A6"/>
  <sheetViews>
    <sheetView workbookViewId="0">
      <selection activeCell="A3" sqref="A3"/>
    </sheetView>
  </sheetViews>
  <sheetFormatPr defaultRowHeight="14.4" x14ac:dyDescent="0.3"/>
  <cols>
    <col min="1" max="1" width="128.88671875" bestFit="1" customWidth="1"/>
  </cols>
  <sheetData>
    <row r="2" spans="1:1" ht="17.399999999999999" x14ac:dyDescent="0.35">
      <c r="A2" s="20"/>
    </row>
    <row r="4" spans="1:1" ht="17.399999999999999" x14ac:dyDescent="0.35">
      <c r="A4" s="20" t="s">
        <v>107</v>
      </c>
    </row>
    <row r="6" spans="1:1" ht="17.399999999999999" x14ac:dyDescent="0.35">
      <c r="A6" s="20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C4E4-E799-473C-8DE7-50974BB8D227}">
  <dimension ref="A1:I19"/>
  <sheetViews>
    <sheetView workbookViewId="0">
      <selection activeCell="C20" sqref="C20"/>
    </sheetView>
  </sheetViews>
  <sheetFormatPr defaultRowHeight="14.4" x14ac:dyDescent="0.3"/>
  <cols>
    <col min="1" max="1" width="4.33203125" style="2" customWidth="1"/>
    <col min="2" max="2" width="29.33203125" style="2" bestFit="1" customWidth="1"/>
    <col min="3" max="3" width="52.109375" style="2" customWidth="1"/>
    <col min="4" max="5" width="10.44140625" style="2" bestFit="1" customWidth="1"/>
    <col min="6" max="6" width="4" style="2" customWidth="1"/>
    <col min="7" max="7" width="14.88671875" style="2" customWidth="1"/>
    <col min="8" max="8" width="8.88671875" style="2"/>
    <col min="9" max="9" width="148.33203125" style="2" bestFit="1" customWidth="1"/>
    <col min="10" max="16384" width="8.88671875" style="2"/>
  </cols>
  <sheetData>
    <row r="1" spans="1:9" x14ac:dyDescent="0.3">
      <c r="B1" s="1" t="s">
        <v>0</v>
      </c>
    </row>
    <row r="3" spans="1:9" x14ac:dyDescent="0.3">
      <c r="B3" s="3" t="s">
        <v>99</v>
      </c>
      <c r="C3" s="3" t="s">
        <v>100</v>
      </c>
      <c r="D3" s="14" t="s">
        <v>1</v>
      </c>
      <c r="E3" s="3" t="s">
        <v>2</v>
      </c>
    </row>
    <row r="4" spans="1:9" x14ac:dyDescent="0.3">
      <c r="A4" s="16">
        <v>1</v>
      </c>
      <c r="B4" s="2" t="s">
        <v>3</v>
      </c>
      <c r="C4" s="2" t="s">
        <v>97</v>
      </c>
      <c r="D4" s="17">
        <v>2</v>
      </c>
      <c r="E4" s="2" t="s">
        <v>101</v>
      </c>
      <c r="G4" s="4" t="s">
        <v>10</v>
      </c>
      <c r="H4" s="5"/>
      <c r="I4" s="6"/>
    </row>
    <row r="5" spans="1:9" x14ac:dyDescent="0.3">
      <c r="B5" s="21" t="s">
        <v>5</v>
      </c>
      <c r="C5" s="21" t="s">
        <v>94</v>
      </c>
      <c r="D5" s="22">
        <v>1</v>
      </c>
      <c r="E5" s="21" t="s">
        <v>103</v>
      </c>
      <c r="G5" s="2" t="s">
        <v>4</v>
      </c>
    </row>
    <row r="6" spans="1:9" x14ac:dyDescent="0.3">
      <c r="B6" s="21" t="s">
        <v>6</v>
      </c>
      <c r="C6" s="21" t="s">
        <v>7</v>
      </c>
      <c r="D6" s="22">
        <v>1</v>
      </c>
      <c r="E6" s="21" t="s">
        <v>103</v>
      </c>
      <c r="G6" s="2" t="s">
        <v>102</v>
      </c>
    </row>
    <row r="7" spans="1:9" x14ac:dyDescent="0.3">
      <c r="A7" s="16">
        <v>2</v>
      </c>
      <c r="B7" s="2" t="s">
        <v>8</v>
      </c>
      <c r="C7" s="2" t="s">
        <v>9</v>
      </c>
      <c r="D7" s="15">
        <v>1</v>
      </c>
      <c r="E7" s="2" t="s">
        <v>101</v>
      </c>
      <c r="G7" s="4" t="s">
        <v>10</v>
      </c>
      <c r="H7" s="5"/>
      <c r="I7" s="6"/>
    </row>
    <row r="8" spans="1:9" x14ac:dyDescent="0.3">
      <c r="A8" s="16"/>
      <c r="B8" s="21" t="s">
        <v>11</v>
      </c>
      <c r="C8" s="21" t="s">
        <v>12</v>
      </c>
      <c r="D8" s="22">
        <v>1</v>
      </c>
      <c r="E8" s="21" t="s">
        <v>103</v>
      </c>
      <c r="G8" s="2" t="s">
        <v>13</v>
      </c>
    </row>
    <row r="9" spans="1:9" x14ac:dyDescent="0.3">
      <c r="A9" s="16">
        <v>3</v>
      </c>
      <c r="B9" s="2" t="s">
        <v>95</v>
      </c>
      <c r="C9" s="2" t="s">
        <v>105</v>
      </c>
      <c r="D9" s="15">
        <v>1</v>
      </c>
      <c r="E9" s="2" t="s">
        <v>101</v>
      </c>
      <c r="G9" s="2" t="s">
        <v>14</v>
      </c>
    </row>
    <row r="10" spans="1:9" x14ac:dyDescent="0.3">
      <c r="A10" s="16"/>
      <c r="B10" s="21" t="s">
        <v>18</v>
      </c>
      <c r="C10" s="21" t="s">
        <v>17</v>
      </c>
      <c r="D10" s="22">
        <v>1</v>
      </c>
      <c r="E10" s="21" t="s">
        <v>103</v>
      </c>
    </row>
    <row r="11" spans="1:9" x14ac:dyDescent="0.3">
      <c r="A11" s="16">
        <v>4</v>
      </c>
      <c r="B11" s="2" t="s">
        <v>27</v>
      </c>
      <c r="C11" s="2" t="s">
        <v>98</v>
      </c>
      <c r="D11" s="17">
        <v>2</v>
      </c>
      <c r="E11" s="2" t="s">
        <v>101</v>
      </c>
    </row>
    <row r="12" spans="1:9" x14ac:dyDescent="0.3">
      <c r="A12" s="16">
        <v>5</v>
      </c>
      <c r="B12" s="2" t="s">
        <v>28</v>
      </c>
      <c r="C12" s="2" t="s">
        <v>96</v>
      </c>
      <c r="D12" s="17">
        <v>1</v>
      </c>
      <c r="E12" s="2" t="s">
        <v>101</v>
      </c>
    </row>
    <row r="13" spans="1:9" ht="15" thickBot="1" x14ac:dyDescent="0.35"/>
    <row r="14" spans="1:9" ht="15" thickBot="1" x14ac:dyDescent="0.35">
      <c r="D14" s="18">
        <f>+D12+D11+D7+D4+D9</f>
        <v>7</v>
      </c>
      <c r="E14" s="19" t="s">
        <v>101</v>
      </c>
    </row>
    <row r="16" spans="1:9" x14ac:dyDescent="0.3">
      <c r="D16" s="15"/>
    </row>
    <row r="17" spans="1:3" x14ac:dyDescent="0.3">
      <c r="C17"/>
    </row>
    <row r="18" spans="1:3" x14ac:dyDescent="0.3">
      <c r="A18" s="16">
        <v>1</v>
      </c>
      <c r="B18" s="2" t="s">
        <v>110</v>
      </c>
    </row>
    <row r="19" spans="1:3" x14ac:dyDescent="0.3">
      <c r="A19" s="16">
        <f>+A7</f>
        <v>2</v>
      </c>
      <c r="B19" s="2" t="s">
        <v>109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57FE-B8B8-4F33-A341-9F345A0864EF}">
  <dimension ref="A1:C11"/>
  <sheetViews>
    <sheetView workbookViewId="0">
      <selection activeCell="C21" sqref="C21"/>
    </sheetView>
  </sheetViews>
  <sheetFormatPr defaultRowHeight="14.4" x14ac:dyDescent="0.3"/>
  <cols>
    <col min="1" max="1" width="32.109375" bestFit="1" customWidth="1"/>
    <col min="2" max="2" width="47.6640625" bestFit="1" customWidth="1"/>
    <col min="3" max="3" width="96" customWidth="1"/>
  </cols>
  <sheetData>
    <row r="1" spans="1:3" s="2" customFormat="1" x14ac:dyDescent="0.3">
      <c r="A1" s="1" t="s">
        <v>108</v>
      </c>
    </row>
    <row r="2" spans="1:3" s="2" customFormat="1" x14ac:dyDescent="0.3"/>
    <row r="3" spans="1:3" s="2" customFormat="1" x14ac:dyDescent="0.3">
      <c r="A3" s="3" t="s">
        <v>99</v>
      </c>
      <c r="B3" s="3" t="s">
        <v>100</v>
      </c>
      <c r="C3" s="3" t="s">
        <v>10</v>
      </c>
    </row>
    <row r="4" spans="1:3" x14ac:dyDescent="0.3">
      <c r="A4" s="2" t="s">
        <v>15</v>
      </c>
      <c r="B4" s="2" t="s">
        <v>16</v>
      </c>
      <c r="C4" t="s">
        <v>19</v>
      </c>
    </row>
    <row r="5" spans="1:3" x14ac:dyDescent="0.3">
      <c r="B5" s="7"/>
      <c r="C5" t="s">
        <v>20</v>
      </c>
    </row>
    <row r="6" spans="1:3" x14ac:dyDescent="0.3">
      <c r="C6" t="s">
        <v>21</v>
      </c>
    </row>
    <row r="7" spans="1:3" x14ac:dyDescent="0.3">
      <c r="C7" t="s">
        <v>22</v>
      </c>
    </row>
    <row r="8" spans="1:3" x14ac:dyDescent="0.3">
      <c r="C8" t="s">
        <v>23</v>
      </c>
    </row>
    <row r="9" spans="1:3" x14ac:dyDescent="0.3">
      <c r="C9" t="s">
        <v>24</v>
      </c>
    </row>
    <row r="10" spans="1:3" x14ac:dyDescent="0.3">
      <c r="C10" t="s">
        <v>25</v>
      </c>
    </row>
    <row r="11" spans="1:3" x14ac:dyDescent="0.3">
      <c r="C1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FBCB-6554-4544-B823-87A27131827D}">
  <dimension ref="A1:A11"/>
  <sheetViews>
    <sheetView workbookViewId="0">
      <selection sqref="A1:A19"/>
    </sheetView>
  </sheetViews>
  <sheetFormatPr defaultRowHeight="14.4" x14ac:dyDescent="0.3"/>
  <cols>
    <col min="1" max="1" width="113.109375" bestFit="1" customWidth="1"/>
  </cols>
  <sheetData>
    <row r="1" spans="1:1" s="2" customFormat="1" x14ac:dyDescent="0.3">
      <c r="A1" s="8" t="s">
        <v>93</v>
      </c>
    </row>
    <row r="3" spans="1:1" x14ac:dyDescent="0.3">
      <c r="A3" t="s">
        <v>29</v>
      </c>
    </row>
    <row r="4" spans="1:1" x14ac:dyDescent="0.3">
      <c r="A4" t="s">
        <v>30</v>
      </c>
    </row>
    <row r="6" spans="1:1" x14ac:dyDescent="0.3">
      <c r="A6" t="s">
        <v>31</v>
      </c>
    </row>
    <row r="8" spans="1:1" x14ac:dyDescent="0.3">
      <c r="A8" t="s">
        <v>32</v>
      </c>
    </row>
    <row r="10" spans="1:1" x14ac:dyDescent="0.3">
      <c r="A10" t="s">
        <v>33</v>
      </c>
    </row>
    <row r="11" spans="1:1" x14ac:dyDescent="0.3">
      <c r="A11" s="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BB07-E724-4CC7-8CA8-8C5E37DD27BF}">
  <dimension ref="A1:D31"/>
  <sheetViews>
    <sheetView workbookViewId="0">
      <selection sqref="A1:B31"/>
    </sheetView>
  </sheetViews>
  <sheetFormatPr defaultRowHeight="14.4" x14ac:dyDescent="0.3"/>
  <cols>
    <col min="2" max="2" width="84.77734375" customWidth="1"/>
    <col min="3" max="3" width="3.6640625" customWidth="1"/>
    <col min="4" max="4" width="21.33203125" customWidth="1"/>
  </cols>
  <sheetData>
    <row r="1" spans="1:4" ht="15" thickBot="1" x14ac:dyDescent="0.35">
      <c r="B1" s="10" t="s">
        <v>35</v>
      </c>
    </row>
    <row r="2" spans="1:4" ht="15.6" thickTop="1" thickBot="1" x14ac:dyDescent="0.35">
      <c r="A2" s="11" t="s">
        <v>36</v>
      </c>
      <c r="B2" s="12" t="s">
        <v>37</v>
      </c>
    </row>
    <row r="3" spans="1:4" ht="15" thickTop="1" x14ac:dyDescent="0.3">
      <c r="A3">
        <v>1</v>
      </c>
      <c r="B3" t="s">
        <v>38</v>
      </c>
    </row>
    <row r="4" spans="1:4" x14ac:dyDescent="0.3">
      <c r="A4">
        <v>2</v>
      </c>
      <c r="B4" t="s">
        <v>39</v>
      </c>
    </row>
    <row r="5" spans="1:4" x14ac:dyDescent="0.3">
      <c r="A5">
        <v>3</v>
      </c>
      <c r="B5" s="9" t="s">
        <v>104</v>
      </c>
    </row>
    <row r="6" spans="1:4" ht="15" thickBot="1" x14ac:dyDescent="0.35"/>
    <row r="7" spans="1:4" ht="15.6" thickTop="1" thickBot="1" x14ac:dyDescent="0.35">
      <c r="A7" s="11" t="s">
        <v>40</v>
      </c>
      <c r="B7" s="12" t="s">
        <v>41</v>
      </c>
    </row>
    <row r="8" spans="1:4" ht="15" thickTop="1" x14ac:dyDescent="0.3">
      <c r="A8">
        <v>1</v>
      </c>
      <c r="B8" t="s">
        <v>42</v>
      </c>
    </row>
    <row r="9" spans="1:4" x14ac:dyDescent="0.3">
      <c r="A9">
        <v>2</v>
      </c>
      <c r="B9" t="s">
        <v>43</v>
      </c>
    </row>
    <row r="10" spans="1:4" ht="15" thickBot="1" x14ac:dyDescent="0.35"/>
    <row r="11" spans="1:4" ht="15.6" thickTop="1" thickBot="1" x14ac:dyDescent="0.35">
      <c r="A11" s="11" t="s">
        <v>44</v>
      </c>
      <c r="B11" s="13" t="s">
        <v>45</v>
      </c>
    </row>
    <row r="12" spans="1:4" ht="15" thickTop="1" x14ac:dyDescent="0.3">
      <c r="A12">
        <v>1</v>
      </c>
      <c r="B12" s="9" t="s">
        <v>46</v>
      </c>
    </row>
    <row r="13" spans="1:4" x14ac:dyDescent="0.3">
      <c r="A13">
        <v>2</v>
      </c>
      <c r="B13" s="9" t="s">
        <v>47</v>
      </c>
    </row>
    <row r="14" spans="1:4" ht="15" thickBot="1" x14ac:dyDescent="0.35">
      <c r="B14" s="9"/>
    </row>
    <row r="15" spans="1:4" ht="15.6" thickTop="1" thickBot="1" x14ac:dyDescent="0.35">
      <c r="A15" s="11" t="s">
        <v>44</v>
      </c>
      <c r="B15" s="12" t="s">
        <v>48</v>
      </c>
      <c r="D15" s="5" t="s">
        <v>49</v>
      </c>
    </row>
    <row r="16" spans="1:4" ht="15" thickTop="1" x14ac:dyDescent="0.3">
      <c r="A16">
        <v>1</v>
      </c>
      <c r="B16" t="s">
        <v>50</v>
      </c>
      <c r="D16" t="s">
        <v>51</v>
      </c>
    </row>
    <row r="17" spans="1:4" x14ac:dyDescent="0.3">
      <c r="A17">
        <v>2</v>
      </c>
      <c r="B17" t="s">
        <v>52</v>
      </c>
      <c r="D17" t="s">
        <v>53</v>
      </c>
    </row>
    <row r="18" spans="1:4" x14ac:dyDescent="0.3">
      <c r="A18">
        <v>3</v>
      </c>
      <c r="B18" t="s">
        <v>54</v>
      </c>
      <c r="D18" t="s">
        <v>55</v>
      </c>
    </row>
    <row r="19" spans="1:4" x14ac:dyDescent="0.3">
      <c r="A19">
        <v>4</v>
      </c>
      <c r="B19" t="s">
        <v>56</v>
      </c>
    </row>
    <row r="20" spans="1:4" ht="15" thickBot="1" x14ac:dyDescent="0.35"/>
    <row r="21" spans="1:4" ht="15.6" thickTop="1" thickBot="1" x14ac:dyDescent="0.35">
      <c r="A21" s="11" t="s">
        <v>57</v>
      </c>
      <c r="B21" s="12" t="s">
        <v>58</v>
      </c>
    </row>
    <row r="22" spans="1:4" ht="15" thickTop="1" x14ac:dyDescent="0.3">
      <c r="A22">
        <v>1</v>
      </c>
      <c r="B22" t="s">
        <v>59</v>
      </c>
    </row>
    <row r="23" spans="1:4" x14ac:dyDescent="0.3">
      <c r="A23">
        <v>2</v>
      </c>
      <c r="B23" t="s">
        <v>60</v>
      </c>
    </row>
    <row r="24" spans="1:4" ht="15" thickBot="1" x14ac:dyDescent="0.35"/>
    <row r="25" spans="1:4" ht="15.6" thickTop="1" thickBot="1" x14ac:dyDescent="0.35">
      <c r="A25" s="11" t="s">
        <v>61</v>
      </c>
      <c r="B25" s="12" t="s">
        <v>62</v>
      </c>
    </row>
    <row r="26" spans="1:4" ht="15" thickTop="1" x14ac:dyDescent="0.3">
      <c r="A26">
        <v>1</v>
      </c>
      <c r="B26" t="s">
        <v>63</v>
      </c>
    </row>
    <row r="27" spans="1:4" ht="15" thickBot="1" x14ac:dyDescent="0.35"/>
    <row r="28" spans="1:4" ht="15.6" thickTop="1" thickBot="1" x14ac:dyDescent="0.35">
      <c r="A28" s="11" t="s">
        <v>64</v>
      </c>
      <c r="B28" s="12" t="s">
        <v>65</v>
      </c>
    </row>
    <row r="29" spans="1:4" ht="15" thickTop="1" x14ac:dyDescent="0.3">
      <c r="A29">
        <v>1</v>
      </c>
      <c r="B29" t="s">
        <v>66</v>
      </c>
    </row>
    <row r="30" spans="1:4" x14ac:dyDescent="0.3">
      <c r="A30">
        <v>2</v>
      </c>
      <c r="B30" t="s">
        <v>67</v>
      </c>
    </row>
    <row r="31" spans="1:4" x14ac:dyDescent="0.3">
      <c r="A31">
        <v>3</v>
      </c>
      <c r="B31" t="s">
        <v>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2AAD-7E20-4388-8368-244017A331E9}">
  <dimension ref="A1:J30"/>
  <sheetViews>
    <sheetView tabSelected="1" workbookViewId="0">
      <selection activeCell="I9" sqref="I9:I21"/>
    </sheetView>
  </sheetViews>
  <sheetFormatPr defaultRowHeight="14.4" x14ac:dyDescent="0.3"/>
  <cols>
    <col min="2" max="2" width="83.44140625" customWidth="1"/>
    <col min="3" max="9" width="8.88671875" style="2"/>
    <col min="10" max="10" width="8.88671875" style="15"/>
    <col min="11" max="16384" width="8.88671875" style="2"/>
  </cols>
  <sheetData>
    <row r="1" spans="1:2" ht="15" thickBot="1" x14ac:dyDescent="0.35">
      <c r="B1" s="10" t="s">
        <v>69</v>
      </c>
    </row>
    <row r="2" spans="1:2" ht="15.6" thickTop="1" thickBot="1" x14ac:dyDescent="0.35">
      <c r="A2" s="11" t="s">
        <v>36</v>
      </c>
      <c r="B2" s="12" t="s">
        <v>70</v>
      </c>
    </row>
    <row r="3" spans="1:2" ht="29.4" thickTop="1" x14ac:dyDescent="0.3">
      <c r="A3">
        <v>1</v>
      </c>
      <c r="B3" s="9" t="s">
        <v>71</v>
      </c>
    </row>
    <row r="4" spans="1:2" ht="28.8" x14ac:dyDescent="0.3">
      <c r="A4">
        <v>2</v>
      </c>
      <c r="B4" s="9" t="s">
        <v>72</v>
      </c>
    </row>
    <row r="5" spans="1:2" x14ac:dyDescent="0.3">
      <c r="A5">
        <v>3</v>
      </c>
      <c r="B5" s="9" t="s">
        <v>73</v>
      </c>
    </row>
    <row r="6" spans="1:2" x14ac:dyDescent="0.3">
      <c r="A6">
        <v>4</v>
      </c>
      <c r="B6" s="9" t="s">
        <v>74</v>
      </c>
    </row>
    <row r="7" spans="1:2" x14ac:dyDescent="0.3">
      <c r="A7">
        <v>5</v>
      </c>
      <c r="B7" s="9" t="s">
        <v>75</v>
      </c>
    </row>
    <row r="8" spans="1:2" x14ac:dyDescent="0.3">
      <c r="A8">
        <v>6</v>
      </c>
      <c r="B8" s="9" t="s">
        <v>76</v>
      </c>
    </row>
    <row r="9" spans="1:2" x14ac:dyDescent="0.3">
      <c r="A9">
        <v>7</v>
      </c>
      <c r="B9" s="9" t="s">
        <v>77</v>
      </c>
    </row>
    <row r="10" spans="1:2" x14ac:dyDescent="0.3">
      <c r="A10">
        <v>8</v>
      </c>
      <c r="B10" s="9" t="s">
        <v>78</v>
      </c>
    </row>
    <row r="11" spans="1:2" ht="15" thickBot="1" x14ac:dyDescent="0.35"/>
    <row r="12" spans="1:2" ht="15.6" thickTop="1" thickBot="1" x14ac:dyDescent="0.35">
      <c r="A12" s="11" t="s">
        <v>40</v>
      </c>
      <c r="B12" s="12" t="s">
        <v>79</v>
      </c>
    </row>
    <row r="13" spans="1:2" ht="15" thickTop="1" x14ac:dyDescent="0.3">
      <c r="A13">
        <v>1</v>
      </c>
      <c r="B13" s="9" t="s">
        <v>80</v>
      </c>
    </row>
    <row r="14" spans="1:2" x14ac:dyDescent="0.3">
      <c r="A14">
        <v>2</v>
      </c>
      <c r="B14" s="9" t="s">
        <v>81</v>
      </c>
    </row>
    <row r="15" spans="1:2" ht="15" thickBot="1" x14ac:dyDescent="0.35"/>
    <row r="16" spans="1:2" ht="15.6" thickTop="1" thickBot="1" x14ac:dyDescent="0.35">
      <c r="A16" s="11" t="s">
        <v>44</v>
      </c>
      <c r="B16" s="13" t="s">
        <v>82</v>
      </c>
    </row>
    <row r="17" spans="1:2" ht="15" thickTop="1" x14ac:dyDescent="0.3">
      <c r="A17">
        <v>1</v>
      </c>
      <c r="B17" t="s">
        <v>83</v>
      </c>
    </row>
    <row r="18" spans="1:2" x14ac:dyDescent="0.3">
      <c r="A18">
        <v>2</v>
      </c>
      <c r="B18" s="9" t="s">
        <v>46</v>
      </c>
    </row>
    <row r="19" spans="1:2" x14ac:dyDescent="0.3">
      <c r="A19">
        <v>3</v>
      </c>
      <c r="B19" s="9" t="s">
        <v>47</v>
      </c>
    </row>
    <row r="20" spans="1:2" x14ac:dyDescent="0.3">
      <c r="A20">
        <v>4</v>
      </c>
      <c r="B20" t="s">
        <v>84</v>
      </c>
    </row>
    <row r="21" spans="1:2" ht="15" thickBot="1" x14ac:dyDescent="0.35"/>
    <row r="22" spans="1:2" ht="15.6" thickTop="1" thickBot="1" x14ac:dyDescent="0.35">
      <c r="A22" s="11" t="s">
        <v>57</v>
      </c>
      <c r="B22" s="13" t="s">
        <v>85</v>
      </c>
    </row>
    <row r="23" spans="1:2" ht="15" thickTop="1" x14ac:dyDescent="0.3">
      <c r="A23">
        <v>1</v>
      </c>
      <c r="B23" t="s">
        <v>86</v>
      </c>
    </row>
    <row r="24" spans="1:2" x14ac:dyDescent="0.3">
      <c r="A24">
        <v>2</v>
      </c>
      <c r="B24" t="s">
        <v>87</v>
      </c>
    </row>
    <row r="25" spans="1:2" x14ac:dyDescent="0.3">
      <c r="A25">
        <v>3</v>
      </c>
      <c r="B25" s="9" t="s">
        <v>88</v>
      </c>
    </row>
    <row r="26" spans="1:2" x14ac:dyDescent="0.3">
      <c r="A26">
        <v>4</v>
      </c>
      <c r="B26" t="s">
        <v>89</v>
      </c>
    </row>
    <row r="27" spans="1:2" ht="15" thickBot="1" x14ac:dyDescent="0.35"/>
    <row r="28" spans="1:2" ht="15.6" thickTop="1" thickBot="1" x14ac:dyDescent="0.35">
      <c r="A28" s="11" t="s">
        <v>61</v>
      </c>
      <c r="B28" s="13" t="s">
        <v>90</v>
      </c>
    </row>
    <row r="29" spans="1:2" ht="15" thickTop="1" x14ac:dyDescent="0.3">
      <c r="A29">
        <v>1</v>
      </c>
      <c r="B29" s="9" t="s">
        <v>91</v>
      </c>
    </row>
    <row r="30" spans="1:2" x14ac:dyDescent="0.3">
      <c r="A30">
        <v>2</v>
      </c>
      <c r="B3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Rationale</vt:lpstr>
      <vt:lpstr>Leasing Business Unit</vt:lpstr>
      <vt:lpstr>Product head</vt:lpstr>
      <vt:lpstr>Process Collaboration </vt:lpstr>
      <vt:lpstr>Asset Mngt action plan</vt:lpstr>
      <vt:lpstr>Ender Leasing 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2025-07-18T09:23:47Z</dcterms:created>
  <dcterms:modified xsi:type="dcterms:W3CDTF">2026-02-12T07:43:19Z</dcterms:modified>
</cp:coreProperties>
</file>