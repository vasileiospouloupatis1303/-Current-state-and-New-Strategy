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urobank-my.sharepoint.com/personal/vpouloupatis_eurobank_gr/Documents/Backup 2025/Desktop/McKinsey/"/>
    </mc:Choice>
  </mc:AlternateContent>
  <xr:revisionPtr revIDLastSave="0" documentId="13_ncr:1_{6E82EA2F-83F3-4993-91B3-037B00C44898}" xr6:coauthVersionLast="47" xr6:coauthVersionMax="47" xr10:uidLastSave="{00000000-0000-0000-0000-000000000000}"/>
  <bookViews>
    <workbookView xWindow="-108" yWindow="-108" windowWidth="23256" windowHeight="12456" tabRatio="786" firstSheet="1" activeTab="5" xr2:uid="{21252052-83E8-43D3-9642-6838CCCFE45F}"/>
  </bookViews>
  <sheets>
    <sheet name="2030 Market sizing exercise" sheetId="14" r:id="rId1"/>
    <sheet name="# of cars analysis" sheetId="16" r:id="rId2"/>
    <sheet name="2030 RAR per Car" sheetId="12" r:id="rId3"/>
    <sheet name="Summary" sheetId="9" r:id="rId4"/>
    <sheet name="Sheet3" sheetId="15" r:id="rId5"/>
    <sheet name="1. Increase used car financing" sheetId="5" r:id="rId6"/>
    <sheet name="4. Expand digital presence" sheetId="3" r:id="rId7"/>
    <sheet name="summary for tab 4." sheetId="18" r:id="rId8"/>
    <sheet name="p&amp;l" sheetId="17" r:id="rId9"/>
    <sheet name="B2B financing market" sheetId="8" r:id="rId10"/>
    <sheet name="B2B financing opportunity" sheetId="10" r:id="rId11"/>
  </sheets>
  <definedNames>
    <definedName name="_xlnm.Print_Area" localSheetId="2">'2030 RAR per Car'!$A$1:$P$23</definedName>
    <definedName name="_xlnm.Print_Area" localSheetId="3">Summary!$A$1:$R$25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9" l="1"/>
  <c r="G36" i="9"/>
  <c r="G29" i="9"/>
  <c r="G30" i="9"/>
  <c r="G31" i="9"/>
  <c r="G28" i="9"/>
  <c r="F35" i="9"/>
  <c r="F36" i="9"/>
  <c r="F33" i="9"/>
  <c r="F30" i="9"/>
  <c r="F31" i="9"/>
  <c r="F28" i="9"/>
  <c r="D27" i="9"/>
  <c r="K68" i="3"/>
  <c r="K33" i="3"/>
  <c r="K32" i="3"/>
  <c r="I164" i="3"/>
  <c r="I163" i="3"/>
  <c r="F13" i="16" l="1"/>
  <c r="G13" i="16"/>
  <c r="H13" i="16"/>
  <c r="D38" i="16"/>
  <c r="F38" i="16" s="1"/>
  <c r="G38" i="16" s="1"/>
  <c r="G61" i="16" s="1"/>
  <c r="H66" i="16" s="1"/>
  <c r="D37" i="16"/>
  <c r="F37" i="16" s="1"/>
  <c r="G37" i="16" s="1"/>
  <c r="G60" i="16" s="1"/>
  <c r="D10" i="16"/>
  <c r="G9" i="16" s="1"/>
  <c r="C10" i="16"/>
  <c r="F9" i="16" s="1"/>
  <c r="D4" i="16"/>
  <c r="C4" i="16"/>
  <c r="E9" i="16"/>
  <c r="E8" i="16"/>
  <c r="D30" i="16"/>
  <c r="F30" i="16" s="1"/>
  <c r="G30" i="16" s="1"/>
  <c r="D29" i="16"/>
  <c r="D28" i="16"/>
  <c r="F28" i="16" s="1"/>
  <c r="G28" i="16" s="1"/>
  <c r="G49" i="16" s="1"/>
  <c r="D27" i="16"/>
  <c r="F27" i="16" s="1"/>
  <c r="G27" i="16" s="1"/>
  <c r="G48" i="16" s="1"/>
  <c r="G15" i="16"/>
  <c r="G14" i="16"/>
  <c r="F15" i="16"/>
  <c r="F14" i="16"/>
  <c r="B19" i="16"/>
  <c r="E15" i="16"/>
  <c r="E16" i="16"/>
  <c r="E14" i="16"/>
  <c r="E3" i="16"/>
  <c r="E2" i="16"/>
  <c r="H14" i="16" l="1"/>
  <c r="H15" i="16"/>
  <c r="F8" i="16"/>
  <c r="G8" i="16"/>
  <c r="E4" i="16"/>
  <c r="E10" i="16"/>
  <c r="H8" i="16" s="1"/>
  <c r="H65" i="16"/>
  <c r="D31" i="16"/>
  <c r="F29" i="16"/>
  <c r="G29" i="16" s="1"/>
  <c r="G31" i="16" s="1"/>
  <c r="J11" i="9"/>
  <c r="J15" i="9" s="1"/>
  <c r="G34" i="9" s="1"/>
  <c r="I11" i="9"/>
  <c r="I15" i="9" s="1"/>
  <c r="I20" i="9" s="1"/>
  <c r="J10" i="9"/>
  <c r="I10" i="9"/>
  <c r="I14" i="9" s="1"/>
  <c r="I19" i="9" s="1"/>
  <c r="F11" i="9"/>
  <c r="F15" i="9" s="1"/>
  <c r="F10" i="9"/>
  <c r="F14" i="9" s="1"/>
  <c r="G11" i="9"/>
  <c r="G6" i="9"/>
  <c r="G10" i="9" s="1"/>
  <c r="G14" i="9" s="1"/>
  <c r="K21" i="3"/>
  <c r="J21" i="3"/>
  <c r="K20" i="3"/>
  <c r="J20" i="3"/>
  <c r="K15" i="3"/>
  <c r="J15" i="3"/>
  <c r="K14" i="3"/>
  <c r="J14" i="3"/>
  <c r="K7" i="3"/>
  <c r="K6" i="3"/>
  <c r="J6" i="3"/>
  <c r="K149" i="3"/>
  <c r="K147" i="3" s="1"/>
  <c r="J120" i="3"/>
  <c r="M122" i="3"/>
  <c r="L122" i="3"/>
  <c r="F31" i="16" l="1"/>
  <c r="E31" i="16" s="1"/>
  <c r="H9" i="16"/>
  <c r="J22" i="3"/>
  <c r="K22" i="3"/>
  <c r="J14" i="9"/>
  <c r="G33" i="9" s="1"/>
  <c r="K8" i="3"/>
  <c r="K16" i="3"/>
  <c r="J16" i="3"/>
  <c r="K145" i="3"/>
  <c r="K9" i="3" s="1"/>
  <c r="K23" i="3" l="1"/>
  <c r="K150" i="3"/>
  <c r="K146" i="3"/>
  <c r="K10" i="3" s="1"/>
  <c r="K9" i="15"/>
  <c r="K10" i="15" s="1"/>
  <c r="J9" i="15"/>
  <c r="J10" i="15" s="1"/>
  <c r="K17" i="15"/>
  <c r="K19" i="15" s="1"/>
  <c r="K20" i="15" s="1"/>
  <c r="J17" i="15"/>
  <c r="K18" i="15" s="1"/>
  <c r="K13" i="15"/>
  <c r="K14" i="15" s="1"/>
  <c r="J13" i="15"/>
  <c r="J14" i="15" s="1"/>
  <c r="K7" i="15"/>
  <c r="K8" i="15" s="1"/>
  <c r="J7" i="15"/>
  <c r="J8" i="15" s="1"/>
  <c r="J5" i="15"/>
  <c r="J6" i="15" s="1"/>
  <c r="K153" i="3" l="1"/>
  <c r="K24" i="3" s="1"/>
  <c r="K17" i="3"/>
  <c r="K151" i="3"/>
  <c r="K11" i="3"/>
  <c r="K12" i="3" s="1"/>
  <c r="J19" i="15"/>
  <c r="J20" i="15" s="1"/>
  <c r="J18" i="15"/>
  <c r="K27" i="15"/>
  <c r="J27" i="15"/>
  <c r="K154" i="3" l="1"/>
  <c r="K25" i="3" s="1"/>
  <c r="K26" i="3" s="1"/>
  <c r="K18" i="3"/>
  <c r="K19" i="3" s="1"/>
  <c r="K28" i="3" l="1"/>
  <c r="H31" i="5" l="1"/>
  <c r="G31" i="5"/>
  <c r="H29" i="5"/>
  <c r="G29" i="5"/>
  <c r="H66" i="5" l="1"/>
  <c r="I66" i="5" s="1"/>
  <c r="M107" i="3" l="1"/>
  <c r="L107" i="3"/>
  <c r="M99" i="3"/>
  <c r="L99" i="3"/>
  <c r="M147" i="3" l="1"/>
  <c r="M148" i="3" s="1"/>
  <c r="L147" i="3"/>
  <c r="L148" i="3" s="1"/>
  <c r="L40" i="3"/>
  <c r="M145" i="3" l="1"/>
  <c r="M9" i="3" s="1"/>
  <c r="L8" i="9" s="1"/>
  <c r="L145" i="3"/>
  <c r="L9" i="3" s="1"/>
  <c r="K8" i="9" s="1"/>
  <c r="M8" i="9" s="1"/>
  <c r="H63" i="5"/>
  <c r="I62" i="5"/>
  <c r="H62" i="5"/>
  <c r="H51" i="5"/>
  <c r="H52" i="5" s="1"/>
  <c r="H54" i="5" s="1"/>
  <c r="H55" i="5" s="1"/>
  <c r="G50" i="5"/>
  <c r="H27" i="5"/>
  <c r="G27" i="5"/>
  <c r="N8" i="9" l="1"/>
  <c r="H30" i="9"/>
  <c r="I30" i="9" s="1"/>
  <c r="L146" i="3"/>
  <c r="L151" i="3" s="1"/>
  <c r="L150" i="3"/>
  <c r="M146" i="3"/>
  <c r="M151" i="3" s="1"/>
  <c r="M150" i="3"/>
  <c r="I65" i="5"/>
  <c r="I67" i="5" s="1"/>
  <c r="I69" i="5" s="1"/>
  <c r="I70" i="5" s="1"/>
  <c r="I77" i="5"/>
  <c r="I80" i="5" s="1"/>
  <c r="I81" i="5" s="1"/>
  <c r="H65" i="5"/>
  <c r="H67" i="5" s="1"/>
  <c r="H69" i="5" s="1"/>
  <c r="H70" i="5" s="1"/>
  <c r="H77" i="5"/>
  <c r="H80" i="5" s="1"/>
  <c r="H81" i="5" s="1"/>
  <c r="H83" i="5" s="1"/>
  <c r="H84" i="5" s="1"/>
  <c r="G30" i="5"/>
  <c r="G32" i="5" s="1"/>
  <c r="H30" i="5"/>
  <c r="G38" i="5"/>
  <c r="H38" i="5"/>
  <c r="H28" i="5"/>
  <c r="H7" i="9" s="1"/>
  <c r="H11" i="9" l="1"/>
  <c r="F29" i="9"/>
  <c r="M17" i="3"/>
  <c r="L12" i="9" s="1"/>
  <c r="N12" i="9" s="1"/>
  <c r="M157" i="3"/>
  <c r="M154" i="3"/>
  <c r="M161" i="3" s="1"/>
  <c r="M158" i="3"/>
  <c r="L17" i="3"/>
  <c r="K12" i="9" s="1"/>
  <c r="M12" i="9" s="1"/>
  <c r="L157" i="3"/>
  <c r="L154" i="3"/>
  <c r="L161" i="3" s="1"/>
  <c r="L158" i="3"/>
  <c r="I68" i="5"/>
  <c r="L153" i="3"/>
  <c r="L160" i="3" s="1"/>
  <c r="M153" i="3"/>
  <c r="M160" i="3" s="1"/>
  <c r="M152" i="3"/>
  <c r="L152" i="3"/>
  <c r="H32" i="5"/>
  <c r="H33" i="5" s="1"/>
  <c r="H15" i="9" s="1"/>
  <c r="J22" i="15"/>
  <c r="I71" i="5"/>
  <c r="H40" i="5"/>
  <c r="I83" i="5"/>
  <c r="I84" i="5" s="1"/>
  <c r="H42" i="5" s="1"/>
  <c r="H39" i="5"/>
  <c r="G17" i="5"/>
  <c r="G48" i="5" s="1"/>
  <c r="F17" i="5"/>
  <c r="E17" i="5"/>
  <c r="D17" i="5"/>
  <c r="G10" i="5"/>
  <c r="G11" i="5" s="1"/>
  <c r="G12" i="5" s="1"/>
  <c r="F10" i="5"/>
  <c r="F11" i="5" s="1"/>
  <c r="F12" i="5" s="1"/>
  <c r="E10" i="5"/>
  <c r="E11" i="5" s="1"/>
  <c r="E12" i="5" s="1"/>
  <c r="D10" i="5"/>
  <c r="D11" i="5" s="1"/>
  <c r="D12" i="5" s="1"/>
  <c r="G8" i="5"/>
  <c r="F8" i="5"/>
  <c r="E8" i="5"/>
  <c r="D8" i="5"/>
  <c r="E6" i="5"/>
  <c r="F6" i="5" s="1"/>
  <c r="G6" i="5" s="1"/>
  <c r="M75" i="3"/>
  <c r="M73" i="3"/>
  <c r="M118" i="3"/>
  <c r="L119" i="3"/>
  <c r="J74" i="3"/>
  <c r="F34" i="9" l="1"/>
  <c r="H20" i="9"/>
  <c r="N158" i="3"/>
  <c r="N160" i="3"/>
  <c r="N161" i="3"/>
  <c r="N157" i="3"/>
  <c r="M155" i="3"/>
  <c r="M24" i="3"/>
  <c r="L16" i="9" s="1"/>
  <c r="L155" i="3"/>
  <c r="L24" i="3"/>
  <c r="K16" i="9" s="1"/>
  <c r="K22" i="15"/>
  <c r="D18" i="5"/>
  <c r="F18" i="5"/>
  <c r="E18" i="5"/>
  <c r="G18" i="5"/>
  <c r="M120" i="3"/>
  <c r="L120" i="3"/>
  <c r="A15" i="8"/>
  <c r="A14" i="8"/>
  <c r="A13" i="8"/>
  <c r="A12" i="8"/>
  <c r="A11" i="8"/>
  <c r="A10" i="8"/>
  <c r="A9" i="8"/>
  <c r="A8" i="8"/>
  <c r="A7" i="8"/>
  <c r="A6" i="8"/>
  <c r="J12" i="8"/>
  <c r="G11" i="8"/>
  <c r="G10" i="8"/>
  <c r="G9" i="8"/>
  <c r="G8" i="8"/>
  <c r="E9" i="8"/>
  <c r="J9" i="8" s="1"/>
  <c r="D9" i="8"/>
  <c r="D11" i="8" s="1"/>
  <c r="E8" i="8"/>
  <c r="D8" i="8"/>
  <c r="D10" i="8" s="1"/>
  <c r="A46" i="8"/>
  <c r="A45" i="8"/>
  <c r="A44" i="8"/>
  <c r="A43" i="8"/>
  <c r="A42" i="8"/>
  <c r="A41" i="8"/>
  <c r="A40" i="8"/>
  <c r="A39" i="8"/>
  <c r="A38" i="8"/>
  <c r="A37" i="8"/>
  <c r="A36" i="8"/>
  <c r="A35" i="8"/>
  <c r="F59" i="8"/>
  <c r="F61" i="8" s="1"/>
  <c r="F60" i="8" s="1"/>
  <c r="E59" i="8"/>
  <c r="E61" i="8" s="1"/>
  <c r="E60" i="8" s="1"/>
  <c r="H8" i="8" l="1"/>
  <c r="D83" i="8"/>
  <c r="D87" i="8"/>
  <c r="F86" i="8"/>
  <c r="H9" i="8"/>
  <c r="J8" i="8"/>
  <c r="F77" i="8" s="1"/>
  <c r="F80" i="8"/>
  <c r="E11" i="8"/>
  <c r="D85" i="8"/>
  <c r="F88" i="8"/>
  <c r="E10" i="8"/>
  <c r="F84" i="8"/>
  <c r="D77" i="8"/>
  <c r="D81" i="8"/>
  <c r="F78" i="8"/>
  <c r="D79" i="8"/>
  <c r="F82" i="8"/>
  <c r="M16" i="9"/>
  <c r="M21" i="9" s="1"/>
  <c r="K21" i="9"/>
  <c r="N16" i="9"/>
  <c r="H35" i="9"/>
  <c r="M156" i="3"/>
  <c r="L124" i="3"/>
  <c r="L128" i="3" s="1"/>
  <c r="L123" i="3"/>
  <c r="L6" i="3" s="1"/>
  <c r="K6" i="9" s="1"/>
  <c r="M6" i="9" s="1"/>
  <c r="M124" i="3"/>
  <c r="M128" i="3" s="1"/>
  <c r="M123" i="3"/>
  <c r="M6" i="3" s="1"/>
  <c r="L6" i="9" s="1"/>
  <c r="G49" i="5"/>
  <c r="G51" i="5" s="1"/>
  <c r="G52" i="5" s="1"/>
  <c r="H53" i="5" s="1"/>
  <c r="F48" i="8"/>
  <c r="E48" i="8"/>
  <c r="D48" i="8"/>
  <c r="F47" i="8"/>
  <c r="E47" i="8"/>
  <c r="D47" i="8"/>
  <c r="G48" i="8"/>
  <c r="G47" i="8"/>
  <c r="F81" i="8" l="1"/>
  <c r="F87" i="8"/>
  <c r="F85" i="8"/>
  <c r="F90" i="8"/>
  <c r="D89" i="8"/>
  <c r="J11" i="8"/>
  <c r="H11" i="8"/>
  <c r="J10" i="8"/>
  <c r="H10" i="8"/>
  <c r="F83" i="8"/>
  <c r="F79" i="8"/>
  <c r="N6" i="9"/>
  <c r="P6" i="9" s="1"/>
  <c r="H28" i="9"/>
  <c r="I28" i="9" s="1"/>
  <c r="I35" i="9"/>
  <c r="L35" i="9" s="1"/>
  <c r="O6" i="9"/>
  <c r="L127" i="3"/>
  <c r="L129" i="3" s="1"/>
  <c r="M127" i="3"/>
  <c r="M129" i="3" s="1"/>
  <c r="M125" i="3"/>
  <c r="M126" i="3" s="1"/>
  <c r="M131" i="3"/>
  <c r="L131" i="3"/>
  <c r="L125" i="3"/>
  <c r="G54" i="5"/>
  <c r="G55" i="5" s="1"/>
  <c r="G42" i="5" s="1"/>
  <c r="G40" i="5"/>
  <c r="G7" i="8"/>
  <c r="H7" i="8" s="1"/>
  <c r="J17" i="8"/>
  <c r="J16" i="8"/>
  <c r="J15" i="8"/>
  <c r="J14" i="8"/>
  <c r="J13" i="8"/>
  <c r="J7" i="8"/>
  <c r="J6" i="8"/>
  <c r="F19" i="8"/>
  <c r="F18" i="8"/>
  <c r="F7" i="8"/>
  <c r="F6" i="8"/>
  <c r="F17" i="8"/>
  <c r="F16" i="8"/>
  <c r="F15" i="8"/>
  <c r="F14" i="8"/>
  <c r="F13" i="8"/>
  <c r="F12" i="8"/>
  <c r="E20" i="8"/>
  <c r="F89" i="8" l="1"/>
  <c r="D80" i="8"/>
  <c r="D82" i="8"/>
  <c r="D86" i="8"/>
  <c r="D84" i="8"/>
  <c r="D78" i="8"/>
  <c r="D88" i="8"/>
  <c r="G79" i="8"/>
  <c r="G87" i="8"/>
  <c r="G77" i="8"/>
  <c r="G81" i="8"/>
  <c r="G85" i="8"/>
  <c r="G83" i="8"/>
  <c r="J20" i="8"/>
  <c r="G86" i="8"/>
  <c r="G80" i="8"/>
  <c r="G78" i="8"/>
  <c r="G84" i="8"/>
  <c r="G88" i="8"/>
  <c r="G82" i="8"/>
  <c r="E83" i="8"/>
  <c r="E87" i="8"/>
  <c r="E81" i="8"/>
  <c r="E77" i="8"/>
  <c r="E85" i="8"/>
  <c r="E79" i="8"/>
  <c r="E86" i="8"/>
  <c r="E80" i="8"/>
  <c r="E84" i="8"/>
  <c r="E82" i="8"/>
  <c r="E88" i="8"/>
  <c r="E78" i="8"/>
  <c r="J35" i="9"/>
  <c r="K35" i="9"/>
  <c r="H56" i="5"/>
  <c r="M130" i="3"/>
  <c r="M20" i="3" s="1"/>
  <c r="L14" i="9" s="1"/>
  <c r="M14" i="3"/>
  <c r="L10" i="9" s="1"/>
  <c r="N10" i="9" s="1"/>
  <c r="P10" i="9" s="1"/>
  <c r="L130" i="3"/>
  <c r="L20" i="3" s="1"/>
  <c r="K14" i="9" s="1"/>
  <c r="L14" i="3"/>
  <c r="K10" i="9" s="1"/>
  <c r="M10" i="9" s="1"/>
  <c r="L126" i="3"/>
  <c r="N7" i="8"/>
  <c r="N6" i="8"/>
  <c r="N17" i="8"/>
  <c r="N16" i="8"/>
  <c r="N15" i="8"/>
  <c r="N14" i="8"/>
  <c r="N13" i="8"/>
  <c r="N12" i="8"/>
  <c r="L74" i="3"/>
  <c r="M74" i="3" s="1"/>
  <c r="J57" i="3"/>
  <c r="L45" i="3"/>
  <c r="J47" i="3"/>
  <c r="K36" i="3"/>
  <c r="K38" i="3"/>
  <c r="L38" i="3" s="1"/>
  <c r="L47" i="3" s="1"/>
  <c r="L64" i="3" s="1"/>
  <c r="K37" i="3"/>
  <c r="L37" i="3" s="1"/>
  <c r="L46" i="3" s="1"/>
  <c r="J45" i="3"/>
  <c r="K45" i="3" s="1"/>
  <c r="M132" i="3" l="1"/>
  <c r="G89" i="8"/>
  <c r="E89" i="8"/>
  <c r="D90" i="8"/>
  <c r="E90" i="8"/>
  <c r="G90" i="8"/>
  <c r="M14" i="9"/>
  <c r="K19" i="9"/>
  <c r="N14" i="9"/>
  <c r="P14" i="9" s="1"/>
  <c r="H33" i="9"/>
  <c r="O10" i="9"/>
  <c r="L132" i="3"/>
  <c r="L63" i="3"/>
  <c r="L65" i="3" s="1"/>
  <c r="M76" i="3" s="1"/>
  <c r="K47" i="3"/>
  <c r="N20" i="8"/>
  <c r="J64" i="3"/>
  <c r="J66" i="3" s="1"/>
  <c r="J63" i="3"/>
  <c r="J65" i="3" s="1"/>
  <c r="J60" i="3"/>
  <c r="I33" i="9" l="1"/>
  <c r="O14" i="9"/>
  <c r="O19" i="9" s="1"/>
  <c r="M19" i="9"/>
  <c r="I32" i="16"/>
  <c r="I82" i="5"/>
  <c r="H41" i="5" s="1"/>
  <c r="H43" i="5" s="1"/>
  <c r="H44" i="5" s="1"/>
  <c r="I85" i="5"/>
  <c r="L60" i="3"/>
  <c r="L76" i="3"/>
  <c r="L84" i="3" s="1"/>
  <c r="L82" i="3"/>
  <c r="M82" i="3"/>
  <c r="L59" i="3"/>
  <c r="L66" i="3"/>
  <c r="L77" i="3" s="1"/>
  <c r="J33" i="9" l="1"/>
  <c r="K33" i="9"/>
  <c r="L33" i="9"/>
  <c r="I37" i="16"/>
  <c r="J32" i="16"/>
  <c r="L7" i="3"/>
  <c r="M87" i="3"/>
  <c r="L89" i="3"/>
  <c r="J24" i="15"/>
  <c r="J25" i="15" s="1"/>
  <c r="J28" i="15" s="1"/>
  <c r="L87" i="3"/>
  <c r="L83" i="3"/>
  <c r="M77" i="3"/>
  <c r="M78" i="3" s="1"/>
  <c r="M84" i="3"/>
  <c r="L78" i="3"/>
  <c r="M83" i="3"/>
  <c r="L93" i="3" l="1"/>
  <c r="L178" i="3" s="1"/>
  <c r="L32" i="3"/>
  <c r="L177" i="3"/>
  <c r="L33" i="3"/>
  <c r="L166" i="3"/>
  <c r="M91" i="3"/>
  <c r="M167" i="3" s="1"/>
  <c r="M166" i="3"/>
  <c r="K37" i="16"/>
  <c r="J37" i="16"/>
  <c r="G53" i="16"/>
  <c r="H53" i="16" s="1"/>
  <c r="L8" i="3"/>
  <c r="K7" i="9"/>
  <c r="M7" i="9" s="1"/>
  <c r="M88" i="3"/>
  <c r="M172" i="3" s="1"/>
  <c r="M10" i="3"/>
  <c r="L88" i="3"/>
  <c r="L10" i="3"/>
  <c r="M7" i="3"/>
  <c r="L91" i="3"/>
  <c r="L167" i="3" s="1"/>
  <c r="M89" i="3"/>
  <c r="K24" i="15"/>
  <c r="K25" i="15" s="1"/>
  <c r="K28" i="15" s="1"/>
  <c r="M85" i="3"/>
  <c r="L85" i="3"/>
  <c r="N167" i="3" l="1"/>
  <c r="N166" i="3"/>
  <c r="M101" i="3"/>
  <c r="M103" i="3" s="1"/>
  <c r="L106" i="3"/>
  <c r="L109" i="3" s="1"/>
  <c r="L110" i="3" s="1"/>
  <c r="L18" i="3"/>
  <c r="K13" i="9" s="1"/>
  <c r="M13" i="9" s="1"/>
  <c r="L68" i="3"/>
  <c r="L172" i="3"/>
  <c r="N172" i="3" s="1"/>
  <c r="M93" i="3"/>
  <c r="M178" i="3" s="1"/>
  <c r="N178" i="3" s="1"/>
  <c r="M177" i="3"/>
  <c r="N177" i="3" s="1"/>
  <c r="M18" i="3"/>
  <c r="L13" i="9" s="1"/>
  <c r="N13" i="9" s="1"/>
  <c r="M92" i="3"/>
  <c r="M173" i="3" s="1"/>
  <c r="M8" i="3"/>
  <c r="L7" i="9"/>
  <c r="L11" i="3"/>
  <c r="L12" i="3" s="1"/>
  <c r="L13" i="3" s="1"/>
  <c r="K9" i="9"/>
  <c r="M9" i="9" s="1"/>
  <c r="O7" i="9"/>
  <c r="M11" i="3"/>
  <c r="L9" i="9"/>
  <c r="L90" i="3"/>
  <c r="L15" i="3" s="1"/>
  <c r="L92" i="3"/>
  <c r="L173" i="3" s="1"/>
  <c r="L101" i="3"/>
  <c r="L103" i="3" s="1"/>
  <c r="M90" i="3"/>
  <c r="M15" i="3" s="1"/>
  <c r="D51" i="3"/>
  <c r="J46" i="3"/>
  <c r="N168" i="3" l="1"/>
  <c r="N7" i="9"/>
  <c r="P7" i="9" s="1"/>
  <c r="H29" i="9"/>
  <c r="I29" i="9" s="1"/>
  <c r="N9" i="9"/>
  <c r="H31" i="9"/>
  <c r="I31" i="9" s="1"/>
  <c r="L19" i="3"/>
  <c r="M106" i="3"/>
  <c r="M109" i="3" s="1"/>
  <c r="M110" i="3" s="1"/>
  <c r="M12" i="3"/>
  <c r="M13" i="3" s="1"/>
  <c r="N173" i="3"/>
  <c r="N174" i="3" s="1"/>
  <c r="N179" i="3"/>
  <c r="M19" i="3"/>
  <c r="M16" i="3"/>
  <c r="L11" i="9"/>
  <c r="N11" i="9" s="1"/>
  <c r="P11" i="9" s="1"/>
  <c r="L16" i="3"/>
  <c r="K11" i="9"/>
  <c r="M11" i="9" s="1"/>
  <c r="L102" i="3"/>
  <c r="L104" i="3" s="1"/>
  <c r="L105" i="3" s="1"/>
  <c r="L25" i="3"/>
  <c r="L94" i="3"/>
  <c r="L21" i="3" s="1"/>
  <c r="M102" i="3"/>
  <c r="M104" i="3" s="1"/>
  <c r="M105" i="3" s="1"/>
  <c r="M25" i="3"/>
  <c r="M94" i="3"/>
  <c r="M21" i="3" s="1"/>
  <c r="K46" i="3"/>
  <c r="J48" i="3"/>
  <c r="J49" i="3" s="1"/>
  <c r="D70" i="8"/>
  <c r="D71" i="8" s="1"/>
  <c r="C70" i="8"/>
  <c r="C71" i="8" s="1"/>
  <c r="J61" i="8"/>
  <c r="J60" i="8" s="1"/>
  <c r="I61" i="8"/>
  <c r="I60" i="8" s="1"/>
  <c r="H59" i="8"/>
  <c r="H61" i="8" s="1"/>
  <c r="H60" i="8" s="1"/>
  <c r="G59" i="8"/>
  <c r="G61" i="8" s="1"/>
  <c r="G60" i="8" s="1"/>
  <c r="D59" i="8"/>
  <c r="D61" i="8" s="1"/>
  <c r="D60" i="8" s="1"/>
  <c r="C59" i="8"/>
  <c r="C61" i="8" s="1"/>
  <c r="C60" i="8" s="1"/>
  <c r="F29" i="8"/>
  <c r="E29" i="8"/>
  <c r="F28" i="8"/>
  <c r="E28" i="8"/>
  <c r="F26" i="8"/>
  <c r="E26" i="8"/>
  <c r="F25" i="8"/>
  <c r="E25" i="8"/>
  <c r="G17" i="8"/>
  <c r="G16" i="8"/>
  <c r="G6" i="8"/>
  <c r="H6" i="8" s="1"/>
  <c r="H20" i="8" s="1"/>
  <c r="L22" i="3" l="1"/>
  <c r="K15" i="9"/>
  <c r="K20" i="9" s="1"/>
  <c r="L26" i="3"/>
  <c r="K17" i="9"/>
  <c r="O11" i="9"/>
  <c r="M22" i="3"/>
  <c r="M23" i="3" s="1"/>
  <c r="L15" i="9"/>
  <c r="H34" i="9" s="1"/>
  <c r="M26" i="3"/>
  <c r="M27" i="3" s="1"/>
  <c r="L17" i="9"/>
  <c r="L67" i="3"/>
  <c r="J77" i="3"/>
  <c r="J76" i="3"/>
  <c r="M14" i="8"/>
  <c r="M15" i="8"/>
  <c r="M6" i="8"/>
  <c r="M7" i="8"/>
  <c r="M13" i="8"/>
  <c r="I34" i="9" l="1"/>
  <c r="M17" i="9"/>
  <c r="M22" i="9" s="1"/>
  <c r="K22" i="9"/>
  <c r="N17" i="9"/>
  <c r="H36" i="9"/>
  <c r="L28" i="3"/>
  <c r="L29" i="3" s="1"/>
  <c r="L23" i="3"/>
  <c r="L27" i="3"/>
  <c r="I33" i="16"/>
  <c r="N15" i="9"/>
  <c r="M15" i="9"/>
  <c r="M20" i="9" s="1"/>
  <c r="M28" i="3"/>
  <c r="M29" i="3" s="1"/>
  <c r="J67" i="3"/>
  <c r="I36" i="9" l="1"/>
  <c r="K34" i="9"/>
  <c r="J34" i="9"/>
  <c r="L34" i="9"/>
  <c r="J33" i="16"/>
  <c r="O15" i="9"/>
  <c r="O20" i="9" s="1"/>
  <c r="N20" i="12" s="1"/>
  <c r="N21" i="12" s="1"/>
  <c r="P15" i="9"/>
  <c r="J78" i="3"/>
  <c r="J83" i="3" s="1"/>
  <c r="M12" i="8"/>
  <c r="L39" i="3"/>
  <c r="K36" i="9" l="1"/>
  <c r="J36" i="9"/>
  <c r="L36" i="9"/>
  <c r="I38" i="16"/>
  <c r="J84" i="3"/>
  <c r="J82" i="3"/>
  <c r="L48" i="3"/>
  <c r="L49" i="3" s="1"/>
  <c r="G54" i="16" l="1"/>
  <c r="H54" i="16" s="1"/>
  <c r="J38" i="16"/>
  <c r="K38" i="16"/>
  <c r="J7" i="3"/>
  <c r="J8" i="3" s="1"/>
  <c r="J85" i="3"/>
  <c r="D17" i="8"/>
  <c r="M17" i="8" s="1"/>
  <c r="D16" i="8"/>
  <c r="M86" i="3" l="1"/>
  <c r="L86" i="3"/>
  <c r="F20" i="8"/>
  <c r="D20" i="8"/>
  <c r="M16" i="8" l="1"/>
  <c r="M20" i="8" s="1"/>
  <c r="J140" i="3" l="1"/>
  <c r="K140" i="3" s="1"/>
  <c r="K142" i="3" s="1"/>
  <c r="K144" i="3" s="1"/>
  <c r="J144" i="3"/>
  <c r="J147" i="3" s="1"/>
  <c r="K148" i="3" s="1"/>
  <c r="K155" i="3" l="1"/>
  <c r="J145" i="3"/>
  <c r="J9" i="3" s="1"/>
  <c r="F8" i="9" s="1"/>
  <c r="G8" i="9" l="1"/>
  <c r="F12" i="9"/>
  <c r="F16" i="9" s="1"/>
  <c r="L156" i="3"/>
  <c r="J146" i="3"/>
  <c r="J10" i="3" s="1"/>
  <c r="F9" i="9" s="1"/>
  <c r="J150" i="3"/>
  <c r="K152" i="3"/>
  <c r="J17" i="3" l="1"/>
  <c r="G9" i="9"/>
  <c r="F13" i="9"/>
  <c r="F17" i="9" s="1"/>
  <c r="G12" i="9"/>
  <c r="O8" i="9"/>
  <c r="P8" i="9"/>
  <c r="J151" i="3"/>
  <c r="J152" i="3" s="1"/>
  <c r="J11" i="3"/>
  <c r="J12" i="3" s="1"/>
  <c r="J153" i="3"/>
  <c r="J24" i="3" l="1"/>
  <c r="J157" i="3"/>
  <c r="G16" i="9"/>
  <c r="P12" i="9"/>
  <c r="O12" i="9"/>
  <c r="I27" i="16" s="1"/>
  <c r="J27" i="16" s="1"/>
  <c r="G13" i="9"/>
  <c r="P9" i="9"/>
  <c r="O9" i="9"/>
  <c r="J154" i="3"/>
  <c r="J158" i="3" s="1"/>
  <c r="J18" i="3"/>
  <c r="J19" i="3" s="1"/>
  <c r="G17" i="9" l="1"/>
  <c r="O13" i="9"/>
  <c r="I28" i="16" s="1"/>
  <c r="J28" i="16" s="1"/>
  <c r="P13" i="9"/>
  <c r="O16" i="9"/>
  <c r="O21" i="9" s="1"/>
  <c r="P16" i="9"/>
  <c r="J155" i="3"/>
  <c r="J161" i="3" s="1"/>
  <c r="J162" i="3" s="1"/>
  <c r="J25" i="3"/>
  <c r="J26" i="3" s="1"/>
  <c r="O17" i="9" l="1"/>
  <c r="O22" i="9" s="1"/>
  <c r="P17" i="9"/>
  <c r="J28" i="3"/>
  <c r="K29" i="3" s="1"/>
  <c r="K27" i="3"/>
</calcChain>
</file>

<file path=xl/sharedStrings.xml><?xml version="1.0" encoding="utf-8"?>
<sst xmlns="http://schemas.openxmlformats.org/spreadsheetml/2006/main" count="1801" uniqueCount="320">
  <si>
    <t>Product</t>
  </si>
  <si>
    <t>UdM</t>
  </si>
  <si>
    <t>Auto loan</t>
  </si>
  <si>
    <t>%</t>
  </si>
  <si>
    <t>Car type</t>
  </si>
  <si>
    <t>New</t>
  </si>
  <si>
    <t>Used</t>
  </si>
  <si>
    <t>Notes</t>
  </si>
  <si>
    <t>RAR</t>
  </si>
  <si>
    <t>Opex</t>
  </si>
  <si>
    <t>Channel</t>
  </si>
  <si>
    <t>Bank</t>
  </si>
  <si>
    <t>Cash loan</t>
  </si>
  <si>
    <t>Operating lease</t>
  </si>
  <si>
    <t>Dealer</t>
  </si>
  <si>
    <t>Total</t>
  </si>
  <si>
    <t>o/w for auto</t>
  </si>
  <si>
    <t>Loan product</t>
  </si>
  <si>
    <t>UoM</t>
  </si>
  <si>
    <t>Average loan amount</t>
  </si>
  <si>
    <t>RAR per car</t>
  </si>
  <si>
    <t>C2C</t>
  </si>
  <si>
    <t>B2C</t>
  </si>
  <si>
    <t>Market share</t>
  </si>
  <si>
    <t>Segment</t>
  </si>
  <si>
    <t>€M</t>
  </si>
  <si>
    <t>Retail</t>
  </si>
  <si>
    <t>New Auto</t>
  </si>
  <si>
    <t>Used Auto</t>
  </si>
  <si>
    <t>Financial lease</t>
  </si>
  <si>
    <t>Operational lease</t>
  </si>
  <si>
    <t>in €</t>
  </si>
  <si>
    <t>RAC</t>
  </si>
  <si>
    <t>Floor plan</t>
  </si>
  <si>
    <t>Stock finance</t>
  </si>
  <si>
    <t>in %</t>
  </si>
  <si>
    <t>LeaseCos</t>
  </si>
  <si>
    <t>in k#</t>
  </si>
  <si>
    <t>Direct corp</t>
  </si>
  <si>
    <t>ERB Leasing</t>
  </si>
  <si>
    <t>small</t>
  </si>
  <si>
    <t>Other fin products</t>
  </si>
  <si>
    <t>Only Toyota, Mercedez and small syngelidis group brands have floor plan (only 1 brand)</t>
  </si>
  <si>
    <t>Loan</t>
  </si>
  <si>
    <t>€</t>
  </si>
  <si>
    <t>Item</t>
  </si>
  <si>
    <t>Leasing</t>
  </si>
  <si>
    <t># k</t>
  </si>
  <si>
    <t>Cardom</t>
  </si>
  <si>
    <t>Toyota</t>
  </si>
  <si>
    <t>Car.gr</t>
  </si>
  <si>
    <t>Car listings</t>
  </si>
  <si>
    <t>Marketplace</t>
  </si>
  <si>
    <t>2024-2030 CAGR</t>
  </si>
  <si>
    <t>k€</t>
  </si>
  <si>
    <t>k#</t>
  </si>
  <si>
    <t>#k</t>
  </si>
  <si>
    <t>Car sold to end customers, yearly</t>
  </si>
  <si>
    <t>Car sold to end customers, monthly</t>
  </si>
  <si>
    <t>Avg. Yearly stock, k#</t>
  </si>
  <si>
    <r>
      <t xml:space="preserve">Avg. Yearly stock, </t>
    </r>
    <r>
      <rPr>
        <sz val="11"/>
        <color theme="0"/>
        <rFont val="Arial"/>
        <family val="2"/>
        <scheme val="minor"/>
      </rPr>
      <t>k#</t>
    </r>
  </si>
  <si>
    <r>
      <t xml:space="preserve">Financing penetration, </t>
    </r>
    <r>
      <rPr>
        <sz val="11"/>
        <color theme="0"/>
        <rFont val="Arial"/>
        <family val="2"/>
        <scheme val="minor"/>
      </rPr>
      <t>%</t>
    </r>
  </si>
  <si>
    <r>
      <t>Car volumes financed,</t>
    </r>
    <r>
      <rPr>
        <sz val="11"/>
        <color theme="0"/>
        <rFont val="Arial"/>
        <family val="2"/>
        <scheme val="minor"/>
      </rPr>
      <t xml:space="preserve"> k#</t>
    </r>
  </si>
  <si>
    <t>notes</t>
  </si>
  <si>
    <t>Yearly target for retail, %</t>
  </si>
  <si>
    <r>
      <t>Yearly target for retail</t>
    </r>
    <r>
      <rPr>
        <sz val="11"/>
        <color theme="0"/>
        <rFont val="Arial"/>
        <family val="2"/>
        <scheme val="minor"/>
      </rPr>
      <t>, #k</t>
    </r>
  </si>
  <si>
    <t>Customer view</t>
  </si>
  <si>
    <t>Dealer view</t>
  </si>
  <si>
    <t>Considering 30%% markup</t>
  </si>
  <si>
    <t>Other</t>
  </si>
  <si>
    <t>Pricing component</t>
  </si>
  <si>
    <t>Average rate</t>
  </si>
  <si>
    <t>Average cost of fund</t>
  </si>
  <si>
    <t>Average cost of risk</t>
  </si>
  <si>
    <t>Average contract duration</t>
  </si>
  <si>
    <t>Total RAR per car</t>
  </si>
  <si>
    <t>Total RAR per contract</t>
  </si>
  <si>
    <t>Leasing RAR</t>
  </si>
  <si>
    <t>Services RAR</t>
  </si>
  <si>
    <t>UCS RAR</t>
  </si>
  <si>
    <t>1. Avg. yearly stock, by segment</t>
  </si>
  <si>
    <t>3. RAR per contract</t>
  </si>
  <si>
    <t>2. Product mix, %</t>
  </si>
  <si>
    <t>4. Total RAR for the B2B market</t>
  </si>
  <si>
    <t>Conversion rate</t>
  </si>
  <si>
    <t>k #</t>
  </si>
  <si>
    <t>Cars financed</t>
  </si>
  <si>
    <t>Total incremental</t>
  </si>
  <si>
    <t>Baseline</t>
  </si>
  <si>
    <t>2024-2030 organic growth in auto retail</t>
  </si>
  <si>
    <t>OEM</t>
  </si>
  <si>
    <t>TBI + Alphabank disbursements</t>
  </si>
  <si>
    <t>Avg. Loan amount</t>
  </si>
  <si>
    <t>Total market</t>
  </si>
  <si>
    <t>Yearly target for SB, %</t>
  </si>
  <si>
    <r>
      <t xml:space="preserve">Avg. stock Rotation, </t>
    </r>
    <r>
      <rPr>
        <sz val="11"/>
        <color theme="0"/>
        <rFont val="Arial"/>
        <family val="2"/>
        <scheme val="minor"/>
      </rPr>
      <t>per year</t>
    </r>
  </si>
  <si>
    <t>Assuming stable inventory; stock rotation: 365/days supply</t>
  </si>
  <si>
    <t>e.g., RRF</t>
  </si>
  <si>
    <t>Dealers with OEMs captives</t>
  </si>
  <si>
    <t>Independent dealers</t>
  </si>
  <si>
    <t>Number of cars financed, #</t>
  </si>
  <si>
    <t>Importer</t>
  </si>
  <si>
    <t>Number of dealers</t>
  </si>
  <si>
    <t>Total line value</t>
  </si>
  <si>
    <t>Yearly cars financed</t>
  </si>
  <si>
    <t>Assumption for selecting the importer</t>
  </si>
  <si>
    <t>Dealer Group</t>
  </si>
  <si>
    <t>Assumption for selecting the dealer</t>
  </si>
  <si>
    <t>Fleet financing</t>
  </si>
  <si>
    <t>Fleet Group</t>
  </si>
  <si>
    <t>B2B Financing Opportunities: Target Wholesalers for Eurobank by 2030</t>
  </si>
  <si>
    <t>Unit of measure</t>
  </si>
  <si>
    <t>#</t>
  </si>
  <si>
    <t>Avg. Car value</t>
  </si>
  <si>
    <t>Yearly number of cars sold</t>
  </si>
  <si>
    <t>Annual RAR</t>
  </si>
  <si>
    <t>All</t>
  </si>
  <si>
    <t>Min</t>
  </si>
  <si>
    <t>Max</t>
  </si>
  <si>
    <t>1. Digital marketplaces</t>
  </si>
  <si>
    <t>Notes/ source</t>
  </si>
  <si>
    <t>Market sizing exercise</t>
  </si>
  <si>
    <t>Car.gr business case</t>
  </si>
  <si>
    <t>All marketplaces business case</t>
  </si>
  <si>
    <t>Based on Mobile.de example</t>
  </si>
  <si>
    <t>2024 conversion rate</t>
  </si>
  <si>
    <t>2030 conversion rate</t>
  </si>
  <si>
    <t>ERB market share</t>
  </si>
  <si>
    <t>Assuming Car.gr will have 90% of B2C market</t>
  </si>
  <si>
    <t>2. OEMs D2C opportunity</t>
  </si>
  <si>
    <t>ERB RAR</t>
  </si>
  <si>
    <t>Loan disbusements</t>
  </si>
  <si>
    <t>Non financed</t>
  </si>
  <si>
    <t>Financed via dealers' channels</t>
  </si>
  <si>
    <t>Used car market</t>
  </si>
  <si>
    <t>O/w individuals' used car sales</t>
  </si>
  <si>
    <t>Share of cars sold via dealers' (B2C)</t>
  </si>
  <si>
    <t>Cars sold via dealers' channels (B2C)</t>
  </si>
  <si>
    <t>assuming 35% financing penetration</t>
  </si>
  <si>
    <t>ERB booking rate</t>
  </si>
  <si>
    <t>ERB used car applications disbursed</t>
  </si>
  <si>
    <t>ERB used car applications approved</t>
  </si>
  <si>
    <t>ERB used car Counteroffer &amp; Cancelled</t>
  </si>
  <si>
    <t>ERB used car applications rejected</t>
  </si>
  <si>
    <t>ERB MS, incl. captive banks</t>
  </si>
  <si>
    <t>ERB MS, excl. captive banks</t>
  </si>
  <si>
    <t>Used car market through dealers’ channels RAR, incl. captive banks</t>
  </si>
  <si>
    <t>Used car market through dealers’ channels RAR, excl. captive banks</t>
  </si>
  <si>
    <t>market sizing exercise</t>
  </si>
  <si>
    <t>ERB 2030 ambition in used car market</t>
  </si>
  <si>
    <t>ERB cars financed</t>
  </si>
  <si>
    <t>RAR per used car</t>
  </si>
  <si>
    <t>Loan disbursements</t>
  </si>
  <si>
    <t>Avg. loan amount</t>
  </si>
  <si>
    <t>Booking rate</t>
  </si>
  <si>
    <t>Based on preliminary testing of new AA models to Q1 2024 production (source: Credit policy team)</t>
  </si>
  <si>
    <t>ERB used auto loan applications/ financed cars via dealer channel</t>
  </si>
  <si>
    <t>Used cars financed via dealers’ channel (&lt;9 years at end of loan duration)</t>
  </si>
  <si>
    <t>without ballon</t>
  </si>
  <si>
    <t>with ballon</t>
  </si>
  <si>
    <t>Cars &lt;9 years at end of loan duration are 20% of the market, consistently with ERB received application volumes</t>
  </si>
  <si>
    <t xml:space="preserve">Uplift in demand, due to zero downpayment and lower monthly installments </t>
  </si>
  <si>
    <t>Slight uplift in booking rate expected from lower rejection rates, following DTI improvements - conditional on adjustments to balloon credit policy</t>
  </si>
  <si>
    <t>ERB Used cars financed via dealers’ channel</t>
  </si>
  <si>
    <t>Used cars financed via dealers’ channel, excl. cash loan</t>
  </si>
  <si>
    <t>Incremental RAR 2024-2030</t>
  </si>
  <si>
    <t>Summary of business cases</t>
  </si>
  <si>
    <t>Total RAR 2024-2030 (ERB ambition)</t>
  </si>
  <si>
    <t>Total RAR 2024-2030 of business cases</t>
  </si>
  <si>
    <t>o/w incremental RAR 2024-2030</t>
  </si>
  <si>
    <t>Business case 1: Introducing consumer lending AA models</t>
  </si>
  <si>
    <t>Business case 2: Launching Balloon financing</t>
  </si>
  <si>
    <t>Increase used car financing</t>
  </si>
  <si>
    <t>market sizing exercise, excludes cash loan</t>
  </si>
  <si>
    <t>for Steering Commitee slide considered 7-9 €M range</t>
  </si>
  <si>
    <t>Assuming Cardom will grow double vs. Car.gr as it is a newly established marketplace</t>
  </si>
  <si>
    <t>Adjustment for average listing rotation is not applied, as the total number of listings includes older inventory. It is assumed that Car.gr provides a comprehensive snapshot, reflecting the entire used car market.</t>
  </si>
  <si>
    <t>Avg. listing  rotation</t>
  </si>
  <si>
    <t>times per year</t>
  </si>
  <si>
    <t>Assuming C2C conversion rate will double from 2024 to 2030</t>
  </si>
  <si>
    <t>Marketplaces: listings per channel (istant)</t>
  </si>
  <si>
    <t>Marketplaces: listings per channel (yearly)</t>
  </si>
  <si>
    <t>Personal cash loan</t>
  </si>
  <si>
    <t>Consumer cash loan disbursements</t>
  </si>
  <si>
    <t>Eurobank</t>
  </si>
  <si>
    <t>From ERB 2024 customer survey - it is assumed applicable to total personal cash loan market</t>
  </si>
  <si>
    <t>Total market RAR</t>
  </si>
  <si>
    <t>3. D2C cash loan for auto</t>
  </si>
  <si>
    <t>Business case</t>
  </si>
  <si>
    <t>Independent dealers (B2C)</t>
  </si>
  <si>
    <t>Expand digital presence</t>
  </si>
  <si>
    <t>Eurobank RAR per car</t>
  </si>
  <si>
    <t>B2B</t>
  </si>
  <si>
    <t>Marketing fee</t>
  </si>
  <si>
    <t>Commission on loan</t>
  </si>
  <si>
    <t>Opex + Capex</t>
  </si>
  <si>
    <t>Opex business case</t>
  </si>
  <si>
    <t>2030 market sizing exercize</t>
  </si>
  <si>
    <t>o/w incremental 2024-2030</t>
  </si>
  <si>
    <t>Key figures for RAR and loan disbursements calculation</t>
  </si>
  <si>
    <r>
      <t xml:space="preserve">Considering -30% RAR vs. auto laon, as avg. Loan amount requested is </t>
    </r>
    <r>
      <rPr>
        <i/>
        <sz val="11"/>
        <color rgb="FF000000"/>
        <rFont val="Aptos Narrow"/>
        <family val="2"/>
      </rPr>
      <t>~</t>
    </r>
    <r>
      <rPr>
        <i/>
        <sz val="6.4"/>
        <color rgb="FF000000"/>
        <rFont val="Arial"/>
        <family val="2"/>
      </rPr>
      <t>30% less, due to final downpayment</t>
    </r>
  </si>
  <si>
    <r>
      <t xml:space="preserve">Business case 3: enhance conversion rate by reducing rejections to </t>
    </r>
    <r>
      <rPr>
        <b/>
        <sz val="11"/>
        <color theme="0"/>
        <rFont val="Aptos Narrow"/>
        <family val="2"/>
      </rPr>
      <t>~20%</t>
    </r>
  </si>
  <si>
    <t>As- is</t>
  </si>
  <si>
    <t>To-be</t>
  </si>
  <si>
    <t>Used cars financed via dealers’ channel (&gt;9 years at end of loan duration)</t>
  </si>
  <si>
    <t>Uplift in booking rate, by reducing rejections from 30% to 20% (enhancing bank risk appetite)</t>
  </si>
  <si>
    <t>Market growth new cars</t>
  </si>
  <si>
    <t>B2B opportunity</t>
  </si>
  <si>
    <t>50% new and 50 % used</t>
  </si>
  <si>
    <t>D2C</t>
  </si>
  <si>
    <t>C2C is used</t>
  </si>
  <si>
    <t>B2C is new</t>
  </si>
  <si>
    <t>B2C cars</t>
  </si>
  <si>
    <t>cars financed</t>
  </si>
  <si>
    <t>Used car finacing</t>
  </si>
  <si>
    <t>Digital presence (Car.gr + Cardom)</t>
  </si>
  <si>
    <t>Slight uplift in demand, due to higher acceptance rate</t>
  </si>
  <si>
    <t>Total ERB</t>
  </si>
  <si>
    <t>Share of digital financing</t>
  </si>
  <si>
    <t>B2C - digital</t>
  </si>
  <si>
    <t>Incremental ERB MS</t>
  </si>
  <si>
    <t>Assuming that by 2030 10%-15% of sales of Toyota will happen via digital channels; we assume incrase MS from 45% to 50% (+6-8 p.p.)</t>
  </si>
  <si>
    <t>2030 growth</t>
  </si>
  <si>
    <t>2024-30 growth</t>
  </si>
  <si>
    <t>Summary</t>
  </si>
  <si>
    <t>1. Increase used car financing</t>
  </si>
  <si>
    <t>2. Redesign end-to-end B2B offering </t>
  </si>
  <si>
    <t>4. Expand digital presence</t>
  </si>
  <si>
    <t>Min.</t>
  </si>
  <si>
    <t>Total 2030</t>
  </si>
  <si>
    <t>Incremental 2024-30</t>
  </si>
  <si>
    <t>New Cars</t>
  </si>
  <si>
    <t>Used Cars</t>
  </si>
  <si>
    <t>Σύνολο</t>
  </si>
  <si>
    <t>SME &amp; Corp.</t>
  </si>
  <si>
    <t>SME/Corp</t>
  </si>
  <si>
    <t>% fin. Penetration</t>
  </si>
  <si>
    <t>Car Type</t>
  </si>
  <si>
    <t># Sold 2030</t>
  </si>
  <si>
    <t>% Financed</t>
  </si>
  <si>
    <t># Financed</t>
  </si>
  <si>
    <t># of cars in k</t>
  </si>
  <si>
    <t>growth (%)</t>
  </si>
  <si>
    <t>95% (Leasing)</t>
  </si>
  <si>
    <t>Breakdown per Segment and Car Type (2030)</t>
  </si>
  <si>
    <t xml:space="preserve">Total </t>
  </si>
  <si>
    <t>% fin. Penetration per car type (2030)</t>
  </si>
  <si>
    <t>Total financed cars 2030</t>
  </si>
  <si>
    <t>New &amp; Used</t>
  </si>
  <si>
    <t>Avg. Financed Amount</t>
  </si>
  <si>
    <t xml:space="preserve">Car loans: 15k for new and 9,5 for used // Car Leases: 25k for new and 13 for used </t>
  </si>
  <si>
    <t>ERB MS (# cars)</t>
  </si>
  <si>
    <t>ERB # car financed</t>
  </si>
  <si>
    <t>including cash car loans</t>
  </si>
  <si>
    <t>only car loans</t>
  </si>
  <si>
    <t>avg. dis. Amount</t>
  </si>
  <si>
    <t>ERB disb. Amount</t>
  </si>
  <si>
    <t xml:space="preserve">ERB MS </t>
  </si>
  <si>
    <t>ERB</t>
  </si>
  <si>
    <t>MS</t>
  </si>
  <si>
    <t>MARKET</t>
  </si>
  <si>
    <t>Breakdown per Segment and Car Type (2024)</t>
  </si>
  <si>
    <t>Total financed cars 2024</t>
  </si>
  <si>
    <r>
      <t>ONLY CAR LOANS -</t>
    </r>
    <r>
      <rPr>
        <b/>
        <sz val="10"/>
        <color rgb="FFFFC000"/>
        <rFont val="Arial"/>
        <family val="2"/>
        <charset val="161"/>
        <scheme val="minor"/>
      </rPr>
      <t xml:space="preserve"> 2024</t>
    </r>
  </si>
  <si>
    <r>
      <t xml:space="preserve">ONLY CAR LOANS - </t>
    </r>
    <r>
      <rPr>
        <b/>
        <sz val="10"/>
        <color rgb="FFFFC000"/>
        <rFont val="Arial"/>
        <family val="2"/>
        <charset val="161"/>
        <scheme val="minor"/>
      </rPr>
      <t>2030</t>
    </r>
  </si>
  <si>
    <t xml:space="preserve"> Financed Amount</t>
  </si>
  <si>
    <t>Financed Amount</t>
  </si>
  <si>
    <t>Y1</t>
  </si>
  <si>
    <t>Y2</t>
  </si>
  <si>
    <t>Y3</t>
  </si>
  <si>
    <t>Y4</t>
  </si>
  <si>
    <t>Y5</t>
  </si>
  <si>
    <r>
      <rPr>
        <b/>
        <sz val="11"/>
        <color theme="1"/>
        <rFont val="Arial"/>
        <family val="2"/>
        <charset val="161"/>
        <scheme val="minor"/>
      </rPr>
      <t xml:space="preserve">New cars </t>
    </r>
    <r>
      <rPr>
        <sz val="11"/>
        <color theme="1"/>
        <rFont val="Arial"/>
        <family val="2"/>
        <charset val="161"/>
        <scheme val="minor"/>
      </rPr>
      <t>(# of cars and disbursed amounts)</t>
    </r>
  </si>
  <si>
    <t>Market # of New cars financed</t>
  </si>
  <si>
    <t>ERB # of New cars financed</t>
  </si>
  <si>
    <t>Market total disbursed amount New cars</t>
  </si>
  <si>
    <t>ERB total disbursed amount New cars</t>
  </si>
  <si>
    <r>
      <rPr>
        <b/>
        <sz val="11"/>
        <color theme="1"/>
        <rFont val="Arial"/>
        <family val="2"/>
        <charset val="161"/>
        <scheme val="minor"/>
      </rPr>
      <t xml:space="preserve">Used cars </t>
    </r>
    <r>
      <rPr>
        <sz val="11"/>
        <color theme="1"/>
        <rFont val="Arial"/>
        <family val="2"/>
        <charset val="161"/>
        <scheme val="minor"/>
      </rPr>
      <t>(# of cars and disbursed amounts)</t>
    </r>
  </si>
  <si>
    <t>Market # of Used cars financed</t>
  </si>
  <si>
    <t>ERB # of Used cars financed</t>
  </si>
  <si>
    <t>Market total disbursed amount Used cars</t>
  </si>
  <si>
    <t>ERB total disbursed amount Used cars</t>
  </si>
  <si>
    <t>Desc. Figures</t>
  </si>
  <si>
    <t xml:space="preserve">Desc. </t>
  </si>
  <si>
    <t>RAR New cars</t>
  </si>
  <si>
    <t>RAR Used cars</t>
  </si>
  <si>
    <t>Opex New cars</t>
  </si>
  <si>
    <t>Opex Used cars</t>
  </si>
  <si>
    <t>PBT Used cars</t>
  </si>
  <si>
    <t>PBT New cars</t>
  </si>
  <si>
    <t>capex New cars</t>
  </si>
  <si>
    <t>capex Used cars</t>
  </si>
  <si>
    <t>(RAR)</t>
  </si>
  <si>
    <r>
      <rPr>
        <b/>
        <sz val="11"/>
        <color theme="1"/>
        <rFont val="Arial"/>
        <family val="2"/>
        <charset val="161"/>
        <scheme val="minor"/>
      </rPr>
      <t xml:space="preserve"> </t>
    </r>
    <r>
      <rPr>
        <sz val="11"/>
        <color theme="1"/>
        <rFont val="Arial"/>
        <family val="2"/>
        <charset val="161"/>
        <scheme val="minor"/>
      </rPr>
      <t>(Opex)</t>
    </r>
  </si>
  <si>
    <r>
      <rPr>
        <b/>
        <sz val="11"/>
        <color theme="1"/>
        <rFont val="Arial"/>
        <family val="2"/>
        <charset val="161"/>
        <scheme val="minor"/>
      </rPr>
      <t xml:space="preserve"> </t>
    </r>
    <r>
      <rPr>
        <sz val="11"/>
        <color theme="1"/>
        <rFont val="Arial"/>
        <family val="2"/>
        <charset val="161"/>
        <scheme val="minor"/>
      </rPr>
      <t>(PBT)</t>
    </r>
  </si>
  <si>
    <t>(Capex)</t>
  </si>
  <si>
    <r>
      <t xml:space="preserve">Redesign end-to-end B2B offering - </t>
    </r>
    <r>
      <rPr>
        <b/>
        <sz val="11"/>
        <color rgb="FFFF0000"/>
        <rFont val="Arial"/>
        <family val="2"/>
        <charset val="161"/>
        <scheme val="minor"/>
      </rPr>
      <t>B2B</t>
    </r>
  </si>
  <si>
    <r>
      <t xml:space="preserve">Redesign end-to-end B2B offering - </t>
    </r>
    <r>
      <rPr>
        <b/>
        <sz val="11"/>
        <color rgb="FFFF0000"/>
        <rFont val="Arial"/>
        <family val="2"/>
        <charset val="161"/>
        <scheme val="minor"/>
      </rPr>
      <t>RETAIL</t>
    </r>
  </si>
  <si>
    <t>Enter retail leasing market</t>
  </si>
  <si>
    <t>car financed</t>
  </si>
  <si>
    <t xml:space="preserve">disbursed amount </t>
  </si>
  <si>
    <t>Market total</t>
  </si>
  <si>
    <t>weight new cars (%)</t>
  </si>
  <si>
    <t>weight used cars (%)</t>
  </si>
  <si>
    <t>weight total (%)</t>
  </si>
  <si>
    <t>Car.gr – Retail – Used – Total – Cars financed</t>
  </si>
  <si>
    <t>2024 → 2k</t>
  </si>
  <si>
    <t>2030 → 6k</t>
  </si>
  <si>
    <t>Car.gr – Retail – Auto loan – Used – B2C – Cars financed</t>
  </si>
  <si>
    <t>2024 → 1,1k</t>
  </si>
  <si>
    <t>2030 → 4k</t>
  </si>
  <si>
    <t>Car.gr – Retail – Cash loan – Used – C2C – Cars financed</t>
  </si>
  <si>
    <t>2024 → 0,9k</t>
  </si>
  <si>
    <t>2030 → 2k</t>
  </si>
  <si>
    <t>Disbursements</t>
  </si>
  <si>
    <t>USED CARS</t>
  </si>
  <si>
    <t>B2B KICK BACK</t>
  </si>
  <si>
    <t>DIGITAL EXPAND</t>
  </si>
  <si>
    <t>TOTAL</t>
  </si>
  <si>
    <t>M€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</si>
</sst>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_-* #,##0.0_-;\-* #,##0.0_-;_-* &quot;-&quot;??_-;_-@_-"/>
    <numFmt numFmtId="167" formatCode="_-* #,##0\ _€_-;\-* #,##0\ _€_-;_-* &quot;-&quot;??\ _€_-;_-@_-"/>
    <numFmt numFmtId="168" formatCode="_-* #,##0.00\ _€_-;\-* #,##0.00\ _€_-;_-* &quot;-&quot;??\ _€_-;_-@_-"/>
    <numFmt numFmtId="169" formatCode="#,##0.0"/>
    <numFmt numFmtId="170" formatCode="0.0"/>
    <numFmt numFmtId="171" formatCode="_-* #,##0\ _€_-;\-* #,##0\ _€_-;_-* &quot;-&quot;?\ _€_-;_-@_-"/>
    <numFmt numFmtId="172" formatCode="_-* #,##0.0\ _€_-;\-* #,##0.0\ _€_-;_-* &quot;-&quot;??\ _€_-;_-@_-"/>
    <numFmt numFmtId="173" formatCode="_-* #,##0.0\ _€_-;\-* #,##0.0\ _€_-;_-* &quot;-&quot;?\ _€_-;_-@_-"/>
    <numFmt numFmtId="174" formatCode="0.000"/>
    <numFmt numFmtId="175" formatCode="#,##0.0000"/>
    <numFmt numFmtId="176" formatCode="_-* #,##0.000_-;\-* #,##0.000_-;_-* &quot;-&quot;??_-;_-@_-"/>
    <numFmt numFmtId="177" formatCode="#,##0.000000"/>
  </numFmts>
  <fonts count="5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61"/>
      <scheme val="minor"/>
    </font>
    <font>
      <sz val="11"/>
      <color theme="1"/>
      <name val="Arial"/>
      <family val="2"/>
      <charset val="161"/>
      <scheme val="minor"/>
    </font>
    <font>
      <sz val="11"/>
      <color theme="1"/>
      <name val="Arial"/>
      <family val="2"/>
      <charset val="161"/>
      <scheme val="minor"/>
    </font>
    <font>
      <sz val="11"/>
      <color theme="1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3"/>
      <name val="Arial"/>
      <family val="2"/>
      <scheme val="minor"/>
    </font>
    <font>
      <sz val="11"/>
      <color rgb="FFC00000"/>
      <name val="Arial"/>
      <family val="2"/>
      <scheme val="minor"/>
    </font>
    <font>
      <sz val="11"/>
      <name val="Arial"/>
      <family val="2"/>
      <scheme val="minor"/>
    </font>
    <font>
      <u/>
      <sz val="11"/>
      <color theme="6"/>
      <name val="Arial"/>
      <family val="2"/>
      <scheme val="minor"/>
    </font>
    <font>
      <b/>
      <sz val="22"/>
      <name val="Georgia"/>
      <family val="2"/>
      <scheme val="major"/>
    </font>
    <font>
      <sz val="11"/>
      <color theme="3"/>
      <name val="Arial"/>
      <family val="2"/>
      <scheme val="minor"/>
    </font>
    <font>
      <sz val="11"/>
      <color rgb="FF0000FF"/>
      <name val="Arial"/>
      <family val="2"/>
      <scheme val="minor"/>
    </font>
    <font>
      <sz val="11"/>
      <color theme="1" tint="0.34998626667073579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3366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70C0"/>
      <name val="Arial"/>
      <family val="2"/>
      <scheme val="minor"/>
    </font>
    <font>
      <b/>
      <sz val="11"/>
      <color rgb="FF0000FF"/>
      <name val="Arial"/>
      <family val="2"/>
      <scheme val="minor"/>
    </font>
    <font>
      <i/>
      <sz val="11"/>
      <color rgb="FF000000"/>
      <name val="Arial"/>
      <family val="2"/>
      <scheme val="minor"/>
    </font>
    <font>
      <i/>
      <sz val="11"/>
      <color rgb="FFFF0000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i/>
      <sz val="11"/>
      <color rgb="FF003366"/>
      <name val="Arial"/>
      <family val="2"/>
      <scheme val="minor"/>
    </font>
    <font>
      <sz val="11"/>
      <color theme="0"/>
      <name val="Arial"/>
      <family val="2"/>
      <scheme val="minor"/>
    </font>
    <font>
      <i/>
      <sz val="11"/>
      <name val="Arial"/>
      <family val="2"/>
      <scheme val="minor"/>
    </font>
    <font>
      <b/>
      <sz val="11"/>
      <color theme="4"/>
      <name val="Arial"/>
      <family val="2"/>
      <scheme val="minor"/>
    </font>
    <font>
      <sz val="11"/>
      <color theme="0" tint="-0.34998626667073579"/>
      <name val="Arial"/>
      <family val="2"/>
      <scheme val="minor"/>
    </font>
    <font>
      <b/>
      <sz val="11"/>
      <color theme="0" tint="-0.34998626667073579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rgb="FF000000"/>
      <name val="Eurobank Sans"/>
      <charset val="161"/>
    </font>
    <font>
      <i/>
      <sz val="11"/>
      <color rgb="FF000000"/>
      <name val="Aptos Narrow"/>
      <family val="2"/>
    </font>
    <font>
      <i/>
      <sz val="6.4"/>
      <color rgb="FF000000"/>
      <name val="Arial"/>
      <family val="2"/>
    </font>
    <font>
      <b/>
      <sz val="11"/>
      <color theme="0"/>
      <name val="Aptos Narrow"/>
      <family val="2"/>
    </font>
    <font>
      <b/>
      <sz val="11"/>
      <color theme="1"/>
      <name val="Arial"/>
      <family val="2"/>
      <charset val="161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70C0"/>
      <name val="Arial"/>
      <family val="2"/>
      <scheme val="minor"/>
    </font>
    <font>
      <b/>
      <sz val="10"/>
      <color theme="1"/>
      <name val="Arial"/>
      <family val="2"/>
      <charset val="161"/>
      <scheme val="minor"/>
    </font>
    <font>
      <b/>
      <sz val="9"/>
      <color rgb="FF0070C0"/>
      <name val="Arial"/>
      <family val="2"/>
      <charset val="161"/>
      <scheme val="minor"/>
    </font>
    <font>
      <i/>
      <sz val="10"/>
      <color theme="1"/>
      <name val="Arial"/>
      <family val="2"/>
      <charset val="161"/>
      <scheme val="minor"/>
    </font>
    <font>
      <b/>
      <sz val="10"/>
      <color theme="0"/>
      <name val="Arial"/>
      <family val="2"/>
      <charset val="161"/>
      <scheme val="minor"/>
    </font>
    <font>
      <b/>
      <i/>
      <sz val="10"/>
      <color theme="1"/>
      <name val="Arial"/>
      <family val="2"/>
      <charset val="161"/>
      <scheme val="minor"/>
    </font>
    <font>
      <b/>
      <sz val="10"/>
      <color rgb="FFFFC000"/>
      <name val="Arial"/>
      <family val="2"/>
      <charset val="161"/>
      <scheme val="minor"/>
    </font>
    <font>
      <b/>
      <sz val="11"/>
      <color theme="0"/>
      <name val="Arial"/>
      <family val="2"/>
      <charset val="161"/>
      <scheme val="minor"/>
    </font>
    <font>
      <b/>
      <sz val="11"/>
      <color rgb="FFFF0000"/>
      <name val="Arial"/>
      <family val="2"/>
      <charset val="161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FFFF99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EAD3"/>
        <bgColor indexed="64"/>
      </patternFill>
    </fill>
    <fill>
      <patternFill patternType="solid">
        <fgColor rgb="FF91E7A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749992370372631"/>
        <bgColor indexed="64"/>
      </patternFill>
    </fill>
  </fills>
  <borders count="92">
    <border>
      <left/>
      <right/>
      <top/>
      <bottom/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7F7F7F"/>
      </bottom>
      <diagonal/>
    </border>
    <border>
      <left/>
      <right/>
      <top style="thick">
        <color rgb="FF4D4D4D"/>
      </top>
      <bottom style="thick">
        <color rgb="FF4D4D4D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 style="hair">
        <color auto="1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18" fillId="11" borderId="0" applyNumberFormat="0" applyAlignment="0" applyProtection="0">
      <alignment vertical="center"/>
    </xf>
    <xf numFmtId="0" fontId="13" fillId="0" borderId="0" applyNumberFormat="0" applyAlignment="0" applyProtection="0"/>
    <xf numFmtId="0" fontId="6" fillId="0" borderId="6" applyNumberFormat="0" applyAlignment="0" applyProtection="0"/>
    <xf numFmtId="0" fontId="10" fillId="8" borderId="0" applyNumberFormat="0" applyAlignment="0" applyProtection="0">
      <alignment vertical="center"/>
    </xf>
    <xf numFmtId="0" fontId="5" fillId="2" borderId="1" applyNumberFormat="0" applyProtection="0">
      <alignment vertical="center"/>
    </xf>
    <xf numFmtId="0" fontId="19" fillId="0" borderId="0" applyNumberFormat="0" applyAlignment="0" applyProtection="0">
      <alignment vertical="center"/>
    </xf>
    <xf numFmtId="0" fontId="4" fillId="10" borderId="0" applyNumberFormat="0" applyAlignment="0" applyProtection="0">
      <alignment vertical="center"/>
    </xf>
    <xf numFmtId="0" fontId="14" fillId="3" borderId="0" applyNumberFormat="0" applyBorder="0" applyAlignment="0" applyProtection="0"/>
    <xf numFmtId="0" fontId="7" fillId="4" borderId="2" applyNumberFormat="0" applyAlignment="0" applyProtection="0"/>
    <xf numFmtId="0" fontId="8" fillId="5" borderId="2" applyNumberFormat="0" applyAlignment="0" applyProtection="0"/>
    <xf numFmtId="0" fontId="9" fillId="0" borderId="3" applyNumberFormat="0" applyFill="0" applyAlignment="0" applyProtection="0"/>
    <xf numFmtId="0" fontId="10" fillId="6" borderId="4" applyNumberFormat="0" applyAlignment="0" applyProtection="0"/>
    <xf numFmtId="0" fontId="11" fillId="0" borderId="0" applyNumberFormat="0" applyFill="0" applyBorder="0" applyAlignment="0" applyProtection="0"/>
    <xf numFmtId="0" fontId="4" fillId="7" borderId="5" applyNumberFormat="0" applyFont="0" applyAlignment="0" applyProtection="0"/>
    <xf numFmtId="0" fontId="12" fillId="0" borderId="0" applyNumberFormat="0" applyFill="0" applyBorder="0" applyAlignment="0" applyProtection="0"/>
    <xf numFmtId="0" fontId="17" fillId="0" borderId="0" applyNumberFormat="0" applyAlignment="0" applyProtection="0"/>
    <xf numFmtId="0" fontId="6" fillId="9" borderId="0" applyNumberFormat="0" applyAlignment="0" applyProtection="0">
      <alignment vertical="center"/>
    </xf>
    <xf numFmtId="0" fontId="6" fillId="0" borderId="7" applyNumberFormat="0" applyAlignment="0" applyProtection="0"/>
    <xf numFmtId="0" fontId="15" fillId="0" borderId="0" applyNumberFormat="0" applyAlignment="0" applyProtection="0">
      <alignment vertical="center"/>
    </xf>
    <xf numFmtId="0" fontId="16" fillId="0" borderId="0" applyNumberFormat="0" applyAlignment="0" applyProtection="0">
      <alignment vertical="center"/>
    </xf>
    <xf numFmtId="0" fontId="11" fillId="0" borderId="0" applyNumberFormat="0" applyAlignment="0" applyProtection="0">
      <alignment vertical="center"/>
    </xf>
    <xf numFmtId="0" fontId="20" fillId="0" borderId="0" applyNumberFormat="0" applyAlignment="0" applyProtection="0">
      <alignment vertical="center"/>
    </xf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43" fontId="4" fillId="0" borderId="0" applyFont="0" applyFill="0" applyBorder="0" applyAlignment="0" applyProtection="0"/>
    <xf numFmtId="0" fontId="15" fillId="0" borderId="0"/>
    <xf numFmtId="0" fontId="4" fillId="0" borderId="0"/>
    <xf numFmtId="9" fontId="4" fillId="0" borderId="0" applyFont="0" applyFill="0" applyBorder="0" applyAlignment="0" applyProtection="0"/>
  </cellStyleXfs>
  <cellXfs count="682">
    <xf numFmtId="0" fontId="0" fillId="0" borderId="0" xfId="0"/>
    <xf numFmtId="0" fontId="21" fillId="0" borderId="0" xfId="0" applyFont="1"/>
    <xf numFmtId="0" fontId="22" fillId="15" borderId="10" xfId="0" applyFont="1" applyFill="1" applyBorder="1"/>
    <xf numFmtId="0" fontId="22" fillId="15" borderId="9" xfId="0" applyFont="1" applyFill="1" applyBorder="1"/>
    <xf numFmtId="0" fontId="22" fillId="15" borderId="12" xfId="0" applyFont="1" applyFill="1" applyBorder="1"/>
    <xf numFmtId="0" fontId="24" fillId="0" borderId="11" xfId="0" applyFont="1" applyBorder="1"/>
    <xf numFmtId="0" fontId="24" fillId="0" borderId="0" xfId="0" applyFont="1"/>
    <xf numFmtId="0" fontId="25" fillId="16" borderId="9" xfId="0" applyFont="1" applyFill="1" applyBorder="1"/>
    <xf numFmtId="0" fontId="10" fillId="17" borderId="10" xfId="0" applyFont="1" applyFill="1" applyBorder="1"/>
    <xf numFmtId="0" fontId="23" fillId="0" borderId="0" xfId="0" applyFont="1"/>
    <xf numFmtId="0" fontId="29" fillId="0" borderId="0" xfId="0" applyFont="1"/>
    <xf numFmtId="0" fontId="24" fillId="0" borderId="13" xfId="0" applyFont="1" applyBorder="1"/>
    <xf numFmtId="0" fontId="23" fillId="0" borderId="8" xfId="0" applyFont="1" applyBorder="1"/>
    <xf numFmtId="9" fontId="24" fillId="0" borderId="8" xfId="0" applyNumberFormat="1" applyFont="1" applyBorder="1"/>
    <xf numFmtId="0" fontId="23" fillId="0" borderId="13" xfId="0" applyFont="1" applyBorder="1"/>
    <xf numFmtId="0" fontId="24" fillId="0" borderId="12" xfId="0" applyFont="1" applyBorder="1"/>
    <xf numFmtId="0" fontId="22" fillId="0" borderId="0" xfId="0" applyFont="1"/>
    <xf numFmtId="167" fontId="0" fillId="0" borderId="0" xfId="0" applyNumberFormat="1"/>
    <xf numFmtId="9" fontId="24" fillId="0" borderId="12" xfId="0" applyNumberFormat="1" applyFont="1" applyBorder="1"/>
    <xf numFmtId="9" fontId="19" fillId="14" borderId="12" xfId="0" applyNumberFormat="1" applyFont="1" applyFill="1" applyBorder="1"/>
    <xf numFmtId="0" fontId="22" fillId="15" borderId="13" xfId="0" applyFont="1" applyFill="1" applyBorder="1"/>
    <xf numFmtId="0" fontId="22" fillId="15" borderId="16" xfId="0" applyFont="1" applyFill="1" applyBorder="1"/>
    <xf numFmtId="0" fontId="30" fillId="15" borderId="11" xfId="0" applyFont="1" applyFill="1" applyBorder="1"/>
    <xf numFmtId="0" fontId="30" fillId="15" borderId="0" xfId="0" applyFont="1" applyFill="1"/>
    <xf numFmtId="0" fontId="24" fillId="0" borderId="14" xfId="0" applyFont="1" applyBorder="1"/>
    <xf numFmtId="3" fontId="23" fillId="0" borderId="13" xfId="0" applyNumberFormat="1" applyFont="1" applyBorder="1"/>
    <xf numFmtId="3" fontId="23" fillId="2" borderId="13" xfId="0" applyNumberFormat="1" applyFont="1" applyFill="1" applyBorder="1"/>
    <xf numFmtId="0" fontId="0" fillId="18" borderId="0" xfId="0" applyFill="1"/>
    <xf numFmtId="0" fontId="30" fillId="15" borderId="13" xfId="0" applyFont="1" applyFill="1" applyBorder="1"/>
    <xf numFmtId="3" fontId="19" fillId="14" borderId="12" xfId="0" applyNumberFormat="1" applyFont="1" applyFill="1" applyBorder="1"/>
    <xf numFmtId="0" fontId="30" fillId="15" borderId="12" xfId="0" applyFont="1" applyFill="1" applyBorder="1"/>
    <xf numFmtId="1" fontId="24" fillId="0" borderId="12" xfId="0" applyNumberFormat="1" applyFont="1" applyBorder="1"/>
    <xf numFmtId="0" fontId="24" fillId="0" borderId="18" xfId="0" applyFont="1" applyBorder="1"/>
    <xf numFmtId="1" fontId="24" fillId="0" borderId="18" xfId="0" applyNumberFormat="1" applyFont="1" applyBorder="1"/>
    <xf numFmtId="9" fontId="24" fillId="0" borderId="18" xfId="0" applyNumberFormat="1" applyFont="1" applyBorder="1"/>
    <xf numFmtId="9" fontId="24" fillId="0" borderId="14" xfId="0" applyNumberFormat="1" applyFont="1" applyBorder="1"/>
    <xf numFmtId="0" fontId="24" fillId="0" borderId="8" xfId="0" applyFont="1" applyBorder="1"/>
    <xf numFmtId="0" fontId="22" fillId="0" borderId="11" xfId="0" applyFont="1" applyBorder="1"/>
    <xf numFmtId="0" fontId="27" fillId="0" borderId="12" xfId="0" applyFont="1" applyBorder="1"/>
    <xf numFmtId="9" fontId="19" fillId="14" borderId="14" xfId="0" applyNumberFormat="1" applyFont="1" applyFill="1" applyBorder="1"/>
    <xf numFmtId="0" fontId="11" fillId="0" borderId="0" xfId="0" applyFont="1"/>
    <xf numFmtId="166" fontId="24" fillId="0" borderId="18" xfId="25" applyNumberFormat="1" applyFont="1" applyFill="1" applyBorder="1"/>
    <xf numFmtId="9" fontId="19" fillId="14" borderId="18" xfId="0" applyNumberFormat="1" applyFont="1" applyFill="1" applyBorder="1"/>
    <xf numFmtId="0" fontId="24" fillId="0" borderId="22" xfId="0" applyFont="1" applyBorder="1"/>
    <xf numFmtId="165" fontId="24" fillId="0" borderId="18" xfId="25" applyNumberFormat="1" applyFont="1" applyFill="1" applyBorder="1"/>
    <xf numFmtId="0" fontId="22" fillId="15" borderId="18" xfId="0" applyFont="1" applyFill="1" applyBorder="1"/>
    <xf numFmtId="0" fontId="10" fillId="17" borderId="13" xfId="0" applyFont="1" applyFill="1" applyBorder="1"/>
    <xf numFmtId="0" fontId="10" fillId="17" borderId="18" xfId="0" applyFont="1" applyFill="1" applyBorder="1"/>
    <xf numFmtId="0" fontId="22" fillId="15" borderId="17" xfId="0" applyFont="1" applyFill="1" applyBorder="1"/>
    <xf numFmtId="165" fontId="24" fillId="0" borderId="18" xfId="0" applyNumberFormat="1" applyFont="1" applyBorder="1"/>
    <xf numFmtId="9" fontId="19" fillId="0" borderId="20" xfId="0" applyNumberFormat="1" applyFont="1" applyBorder="1"/>
    <xf numFmtId="9" fontId="19" fillId="14" borderId="20" xfId="0" applyNumberFormat="1" applyFont="1" applyFill="1" applyBorder="1"/>
    <xf numFmtId="3" fontId="24" fillId="0" borderId="18" xfId="0" applyNumberFormat="1" applyFont="1" applyBorder="1"/>
    <xf numFmtId="3" fontId="19" fillId="14" borderId="18" xfId="0" applyNumberFormat="1" applyFont="1" applyFill="1" applyBorder="1"/>
    <xf numFmtId="0" fontId="10" fillId="17" borderId="0" xfId="0" applyFont="1" applyFill="1"/>
    <xf numFmtId="0" fontId="10" fillId="17" borderId="19" xfId="0" applyFont="1" applyFill="1" applyBorder="1"/>
    <xf numFmtId="0" fontId="22" fillId="15" borderId="23" xfId="0" applyFont="1" applyFill="1" applyBorder="1"/>
    <xf numFmtId="3" fontId="19" fillId="14" borderId="14" xfId="0" applyNumberFormat="1" applyFont="1" applyFill="1" applyBorder="1"/>
    <xf numFmtId="0" fontId="23" fillId="0" borderId="24" xfId="0" applyFont="1" applyBorder="1"/>
    <xf numFmtId="0" fontId="24" fillId="0" borderId="24" xfId="0" applyFont="1" applyBorder="1"/>
    <xf numFmtId="0" fontId="28" fillId="0" borderId="18" xfId="0" applyFont="1" applyBorder="1"/>
    <xf numFmtId="169" fontId="24" fillId="0" borderId="18" xfId="0" applyNumberFormat="1" applyFont="1" applyBorder="1"/>
    <xf numFmtId="168" fontId="0" fillId="0" borderId="0" xfId="0" applyNumberFormat="1"/>
    <xf numFmtId="3" fontId="19" fillId="0" borderId="18" xfId="0" applyNumberFormat="1" applyFont="1" applyBorder="1"/>
    <xf numFmtId="0" fontId="10" fillId="17" borderId="11" xfId="0" applyFont="1" applyFill="1" applyBorder="1" applyAlignment="1">
      <alignment wrapText="1"/>
    </xf>
    <xf numFmtId="0" fontId="10" fillId="17" borderId="12" xfId="0" applyFont="1" applyFill="1" applyBorder="1" applyAlignment="1">
      <alignment wrapText="1"/>
    </xf>
    <xf numFmtId="0" fontId="10" fillId="17" borderId="18" xfId="0" applyFont="1" applyFill="1" applyBorder="1" applyAlignment="1">
      <alignment wrapText="1"/>
    </xf>
    <xf numFmtId="3" fontId="23" fillId="0" borderId="0" xfId="0" applyNumberFormat="1" applyFont="1"/>
    <xf numFmtId="0" fontId="33" fillId="19" borderId="12" xfId="0" applyFont="1" applyFill="1" applyBorder="1"/>
    <xf numFmtId="0" fontId="30" fillId="15" borderId="18" xfId="0" applyFont="1" applyFill="1" applyBorder="1"/>
    <xf numFmtId="0" fontId="28" fillId="0" borderId="12" xfId="0" applyFont="1" applyBorder="1"/>
    <xf numFmtId="164" fontId="19" fillId="0" borderId="18" xfId="0" applyNumberFormat="1" applyFont="1" applyBorder="1"/>
    <xf numFmtId="169" fontId="19" fillId="14" borderId="14" xfId="0" applyNumberFormat="1" applyFont="1" applyFill="1" applyBorder="1"/>
    <xf numFmtId="3" fontId="23" fillId="0" borderId="8" xfId="0" applyNumberFormat="1" applyFont="1" applyBorder="1"/>
    <xf numFmtId="164" fontId="11" fillId="0" borderId="18" xfId="0" applyNumberFormat="1" applyFont="1" applyBorder="1"/>
    <xf numFmtId="3" fontId="11" fillId="0" borderId="18" xfId="0" applyNumberFormat="1" applyFont="1" applyBorder="1"/>
    <xf numFmtId="0" fontId="33" fillId="19" borderId="13" xfId="0" applyFont="1" applyFill="1" applyBorder="1"/>
    <xf numFmtId="0" fontId="32" fillId="0" borderId="18" xfId="0" applyFont="1" applyBorder="1"/>
    <xf numFmtId="171" fontId="24" fillId="0" borderId="18" xfId="0" applyNumberFormat="1" applyFont="1" applyBorder="1"/>
    <xf numFmtId="164" fontId="0" fillId="0" borderId="0" xfId="0" applyNumberFormat="1"/>
    <xf numFmtId="10" fontId="0" fillId="0" borderId="0" xfId="0" applyNumberFormat="1"/>
    <xf numFmtId="0" fontId="10" fillId="17" borderId="23" xfId="0" applyFont="1" applyFill="1" applyBorder="1"/>
    <xf numFmtId="0" fontId="24" fillId="0" borderId="20" xfId="0" applyFont="1" applyBorder="1"/>
    <xf numFmtId="0" fontId="10" fillId="17" borderId="25" xfId="0" applyFont="1" applyFill="1" applyBorder="1" applyAlignment="1">
      <alignment wrapText="1"/>
    </xf>
    <xf numFmtId="0" fontId="10" fillId="17" borderId="25" xfId="0" applyFont="1" applyFill="1" applyBorder="1"/>
    <xf numFmtId="1" fontId="24" fillId="0" borderId="25" xfId="0" applyNumberFormat="1" applyFont="1" applyBorder="1"/>
    <xf numFmtId="0" fontId="24" fillId="0" borderId="25" xfId="0" applyFont="1" applyBorder="1"/>
    <xf numFmtId="0" fontId="28" fillId="0" borderId="0" xfId="0" applyFont="1"/>
    <xf numFmtId="165" fontId="19" fillId="0" borderId="25" xfId="0" applyNumberFormat="1" applyFont="1" applyBorder="1"/>
    <xf numFmtId="9" fontId="24" fillId="0" borderId="25" xfId="0" applyNumberFormat="1" applyFont="1" applyBorder="1"/>
    <xf numFmtId="0" fontId="10" fillId="17" borderId="27" xfId="0" applyFont="1" applyFill="1" applyBorder="1"/>
    <xf numFmtId="164" fontId="10" fillId="17" borderId="27" xfId="0" applyNumberFormat="1" applyFont="1" applyFill="1" applyBorder="1"/>
    <xf numFmtId="0" fontId="24" fillId="0" borderId="26" xfId="0" applyFont="1" applyBorder="1"/>
    <xf numFmtId="0" fontId="23" fillId="0" borderId="28" xfId="0" applyFont="1" applyBorder="1"/>
    <xf numFmtId="0" fontId="24" fillId="0" borderId="28" xfId="0" applyFont="1" applyBorder="1"/>
    <xf numFmtId="164" fontId="24" fillId="0" borderId="28" xfId="0" applyNumberFormat="1" applyFont="1" applyBorder="1"/>
    <xf numFmtId="171" fontId="24" fillId="0" borderId="26" xfId="0" applyNumberFormat="1" applyFont="1" applyBorder="1"/>
    <xf numFmtId="171" fontId="19" fillId="0" borderId="26" xfId="0" applyNumberFormat="1" applyFont="1" applyBorder="1"/>
    <xf numFmtId="170" fontId="24" fillId="0" borderId="26" xfId="0" applyNumberFormat="1" applyFont="1" applyBorder="1"/>
    <xf numFmtId="170" fontId="24" fillId="0" borderId="25" xfId="0" applyNumberFormat="1" applyFont="1" applyBorder="1"/>
    <xf numFmtId="9" fontId="24" fillId="0" borderId="26" xfId="0" applyNumberFormat="1" applyFont="1" applyBorder="1"/>
    <xf numFmtId="9" fontId="24" fillId="0" borderId="28" xfId="0" applyNumberFormat="1" applyFont="1" applyBorder="1"/>
    <xf numFmtId="9" fontId="19" fillId="14" borderId="28" xfId="0" applyNumberFormat="1" applyFont="1" applyFill="1" applyBorder="1"/>
    <xf numFmtId="9" fontId="19" fillId="0" borderId="28" xfId="0" applyNumberFormat="1" applyFont="1" applyBorder="1"/>
    <xf numFmtId="3" fontId="24" fillId="0" borderId="28" xfId="0" applyNumberFormat="1" applyFont="1" applyBorder="1"/>
    <xf numFmtId="0" fontId="22" fillId="15" borderId="28" xfId="0" applyFont="1" applyFill="1" applyBorder="1"/>
    <xf numFmtId="165" fontId="24" fillId="0" borderId="18" xfId="25" applyNumberFormat="1" applyFont="1" applyBorder="1"/>
    <xf numFmtId="170" fontId="34" fillId="0" borderId="18" xfId="0" applyNumberFormat="1" applyFont="1" applyBorder="1"/>
    <xf numFmtId="170" fontId="34" fillId="0" borderId="14" xfId="0" applyNumberFormat="1" applyFont="1" applyBorder="1"/>
    <xf numFmtId="3" fontId="35" fillId="0" borderId="13" xfId="0" applyNumberFormat="1" applyFont="1" applyBorder="1"/>
    <xf numFmtId="9" fontId="24" fillId="0" borderId="16" xfId="0" applyNumberFormat="1" applyFont="1" applyBorder="1"/>
    <xf numFmtId="9" fontId="23" fillId="0" borderId="13" xfId="0" applyNumberFormat="1" applyFont="1" applyBorder="1"/>
    <xf numFmtId="165" fontId="0" fillId="18" borderId="0" xfId="25" applyNumberFormat="1" applyFont="1" applyFill="1"/>
    <xf numFmtId="0" fontId="34" fillId="0" borderId="0" xfId="0" applyFont="1"/>
    <xf numFmtId="170" fontId="34" fillId="0" borderId="28" xfId="0" applyNumberFormat="1" applyFont="1" applyBorder="1"/>
    <xf numFmtId="169" fontId="24" fillId="0" borderId="28" xfId="0" applyNumberFormat="1" applyFont="1" applyBorder="1"/>
    <xf numFmtId="1" fontId="24" fillId="0" borderId="28" xfId="0" applyNumberFormat="1" applyFont="1" applyBorder="1"/>
    <xf numFmtId="165" fontId="0" fillId="0" borderId="0" xfId="25" applyNumberFormat="1" applyFont="1"/>
    <xf numFmtId="9" fontId="24" fillId="0" borderId="20" xfId="0" applyNumberFormat="1" applyFont="1" applyBorder="1"/>
    <xf numFmtId="9" fontId="24" fillId="0" borderId="24" xfId="0" applyNumberFormat="1" applyFont="1" applyBorder="1"/>
    <xf numFmtId="0" fontId="10" fillId="17" borderId="28" xfId="0" applyFont="1" applyFill="1" applyBorder="1" applyAlignment="1">
      <alignment wrapText="1"/>
    </xf>
    <xf numFmtId="0" fontId="24" fillId="0" borderId="29" xfId="0" applyFont="1" applyBorder="1"/>
    <xf numFmtId="0" fontId="10" fillId="21" borderId="28" xfId="0" applyFont="1" applyFill="1" applyBorder="1"/>
    <xf numFmtId="0" fontId="10" fillId="22" borderId="28" xfId="0" applyFont="1" applyFill="1" applyBorder="1"/>
    <xf numFmtId="0" fontId="22" fillId="15" borderId="28" xfId="0" applyFont="1" applyFill="1" applyBorder="1" applyAlignment="1">
      <alignment wrapText="1"/>
    </xf>
    <xf numFmtId="0" fontId="23" fillId="2" borderId="28" xfId="0" applyFont="1" applyFill="1" applyBorder="1"/>
    <xf numFmtId="0" fontId="23" fillId="2" borderId="18" xfId="0" applyFont="1" applyFill="1" applyBorder="1"/>
    <xf numFmtId="0" fontId="23" fillId="0" borderId="29" xfId="0" applyFont="1" applyBorder="1"/>
    <xf numFmtId="170" fontId="23" fillId="0" borderId="29" xfId="0" applyNumberFormat="1" applyFont="1" applyBorder="1"/>
    <xf numFmtId="0" fontId="10" fillId="17" borderId="29" xfId="0" applyFont="1" applyFill="1" applyBorder="1"/>
    <xf numFmtId="9" fontId="24" fillId="0" borderId="29" xfId="0" applyNumberFormat="1" applyFont="1" applyBorder="1"/>
    <xf numFmtId="0" fontId="23" fillId="0" borderId="26" xfId="0" applyFont="1" applyBorder="1"/>
    <xf numFmtId="0" fontId="23" fillId="0" borderId="25" xfId="0" applyFont="1" applyBorder="1"/>
    <xf numFmtId="170" fontId="23" fillId="0" borderId="25" xfId="0" applyNumberFormat="1" applyFont="1" applyBorder="1"/>
    <xf numFmtId="0" fontId="10" fillId="17" borderId="30" xfId="0" applyFont="1" applyFill="1" applyBorder="1"/>
    <xf numFmtId="170" fontId="10" fillId="17" borderId="30" xfId="0" applyNumberFormat="1" applyFont="1" applyFill="1" applyBorder="1"/>
    <xf numFmtId="9" fontId="10" fillId="17" borderId="30" xfId="0" applyNumberFormat="1" applyFont="1" applyFill="1" applyBorder="1"/>
    <xf numFmtId="9" fontId="19" fillId="0" borderId="30" xfId="25" applyNumberFormat="1" applyFont="1" applyFill="1" applyBorder="1"/>
    <xf numFmtId="0" fontId="24" fillId="0" borderId="21" xfId="0" applyFont="1" applyBorder="1"/>
    <xf numFmtId="0" fontId="24" fillId="0" borderId="30" xfId="0" applyFont="1" applyBorder="1"/>
    <xf numFmtId="9" fontId="24" fillId="0" borderId="30" xfId="0" applyNumberFormat="1" applyFont="1" applyBorder="1"/>
    <xf numFmtId="0" fontId="22" fillId="15" borderId="30" xfId="0" applyFont="1" applyFill="1" applyBorder="1"/>
    <xf numFmtId="0" fontId="22" fillId="15" borderId="21" xfId="0" applyFont="1" applyFill="1" applyBorder="1"/>
    <xf numFmtId="0" fontId="25" fillId="16" borderId="21" xfId="0" applyFont="1" applyFill="1" applyBorder="1"/>
    <xf numFmtId="166" fontId="24" fillId="0" borderId="20" xfId="25" applyNumberFormat="1" applyFont="1" applyFill="1" applyBorder="1"/>
    <xf numFmtId="0" fontId="22" fillId="15" borderId="32" xfId="0" applyFont="1" applyFill="1" applyBorder="1"/>
    <xf numFmtId="0" fontId="24" fillId="0" borderId="31" xfId="0" applyFont="1" applyBorder="1"/>
    <xf numFmtId="0" fontId="22" fillId="15" borderId="33" xfId="0" applyFont="1" applyFill="1" applyBorder="1" applyAlignment="1">
      <alignment horizontal="center"/>
    </xf>
    <xf numFmtId="0" fontId="22" fillId="15" borderId="35" xfId="0" applyFont="1" applyFill="1" applyBorder="1" applyAlignment="1">
      <alignment horizontal="center"/>
    </xf>
    <xf numFmtId="166" fontId="24" fillId="0" borderId="37" xfId="25" applyNumberFormat="1" applyFont="1" applyFill="1" applyBorder="1"/>
    <xf numFmtId="9" fontId="24" fillId="0" borderId="38" xfId="0" applyNumberFormat="1" applyFont="1" applyBorder="1"/>
    <xf numFmtId="166" fontId="24" fillId="0" borderId="31" xfId="0" applyNumberFormat="1" applyFont="1" applyBorder="1"/>
    <xf numFmtId="166" fontId="24" fillId="0" borderId="30" xfId="25" applyNumberFormat="1" applyFont="1" applyFill="1" applyBorder="1"/>
    <xf numFmtId="166" fontId="24" fillId="0" borderId="36" xfId="25" applyNumberFormat="1" applyFont="1" applyFill="1" applyBorder="1"/>
    <xf numFmtId="9" fontId="19" fillId="0" borderId="36" xfId="25" applyNumberFormat="1" applyFont="1" applyFill="1" applyBorder="1"/>
    <xf numFmtId="0" fontId="0" fillId="2" borderId="0" xfId="0" applyFill="1"/>
    <xf numFmtId="167" fontId="23" fillId="2" borderId="39" xfId="0" applyNumberFormat="1" applyFont="1" applyFill="1" applyBorder="1"/>
    <xf numFmtId="172" fontId="23" fillId="2" borderId="30" xfId="0" applyNumberFormat="1" applyFont="1" applyFill="1" applyBorder="1"/>
    <xf numFmtId="0" fontId="27" fillId="0" borderId="30" xfId="0" applyFont="1" applyBorder="1"/>
    <xf numFmtId="0" fontId="21" fillId="2" borderId="0" xfId="0" applyFont="1" applyFill="1"/>
    <xf numFmtId="0" fontId="22" fillId="15" borderId="12" xfId="0" applyFont="1" applyFill="1" applyBorder="1" applyAlignment="1">
      <alignment horizontal="right"/>
    </xf>
    <xf numFmtId="0" fontId="10" fillId="17" borderId="30" xfId="0" applyFont="1" applyFill="1" applyBorder="1" applyAlignment="1">
      <alignment horizontal="left"/>
    </xf>
    <xf numFmtId="0" fontId="23" fillId="2" borderId="0" xfId="0" applyFont="1" applyFill="1"/>
    <xf numFmtId="9" fontId="0" fillId="2" borderId="0" xfId="0" applyNumberFormat="1" applyFill="1"/>
    <xf numFmtId="0" fontId="24" fillId="2" borderId="18" xfId="0" applyFont="1" applyFill="1" applyBorder="1"/>
    <xf numFmtId="171" fontId="21" fillId="2" borderId="0" xfId="0" applyNumberFormat="1" applyFont="1" applyFill="1"/>
    <xf numFmtId="0" fontId="23" fillId="0" borderId="21" xfId="0" applyFont="1" applyBorder="1"/>
    <xf numFmtId="171" fontId="21" fillId="0" borderId="0" xfId="0" applyNumberFormat="1" applyFont="1"/>
    <xf numFmtId="0" fontId="23" fillId="0" borderId="30" xfId="0" applyFont="1" applyBorder="1"/>
    <xf numFmtId="0" fontId="26" fillId="14" borderId="30" xfId="0" applyFont="1" applyFill="1" applyBorder="1"/>
    <xf numFmtId="0" fontId="10" fillId="17" borderId="32" xfId="0" applyFont="1" applyFill="1" applyBorder="1"/>
    <xf numFmtId="164" fontId="24" fillId="0" borderId="24" xfId="0" applyNumberFormat="1" applyFont="1" applyBorder="1"/>
    <xf numFmtId="164" fontId="0" fillId="0" borderId="24" xfId="0" applyNumberFormat="1" applyBorder="1"/>
    <xf numFmtId="9" fontId="0" fillId="0" borderId="24" xfId="0" applyNumberFormat="1" applyBorder="1"/>
    <xf numFmtId="164" fontId="24" fillId="0" borderId="20" xfId="0" applyNumberFormat="1" applyFont="1" applyBorder="1"/>
    <xf numFmtId="170" fontId="23" fillId="2" borderId="28" xfId="0" applyNumberFormat="1" applyFont="1" applyFill="1" applyBorder="1"/>
    <xf numFmtId="9" fontId="24" fillId="2" borderId="29" xfId="0" applyNumberFormat="1" applyFont="1" applyFill="1" applyBorder="1"/>
    <xf numFmtId="170" fontId="24" fillId="0" borderId="20" xfId="0" applyNumberFormat="1" applyFont="1" applyBorder="1"/>
    <xf numFmtId="170" fontId="24" fillId="0" borderId="24" xfId="0" applyNumberFormat="1" applyFont="1" applyBorder="1"/>
    <xf numFmtId="3" fontId="24" fillId="0" borderId="24" xfId="0" applyNumberFormat="1" applyFont="1" applyBorder="1"/>
    <xf numFmtId="0" fontId="19" fillId="0" borderId="20" xfId="0" applyFont="1" applyBorder="1"/>
    <xf numFmtId="3" fontId="24" fillId="0" borderId="20" xfId="0" applyNumberFormat="1" applyFont="1" applyBorder="1"/>
    <xf numFmtId="171" fontId="19" fillId="0" borderId="24" xfId="0" applyNumberFormat="1" applyFont="1" applyBorder="1"/>
    <xf numFmtId="171" fontId="24" fillId="0" borderId="24" xfId="0" applyNumberFormat="1" applyFont="1" applyBorder="1"/>
    <xf numFmtId="0" fontId="32" fillId="0" borderId="24" xfId="0" applyFont="1" applyBorder="1"/>
    <xf numFmtId="0" fontId="24" fillId="0" borderId="15" xfId="0" applyFont="1" applyBorder="1"/>
    <xf numFmtId="171" fontId="24" fillId="0" borderId="15" xfId="0" applyNumberFormat="1" applyFont="1" applyBorder="1"/>
    <xf numFmtId="9" fontId="24" fillId="0" borderId="15" xfId="0" applyNumberFormat="1" applyFont="1" applyBorder="1"/>
    <xf numFmtId="0" fontId="28" fillId="0" borderId="15" xfId="0" applyFont="1" applyBorder="1"/>
    <xf numFmtId="165" fontId="24" fillId="0" borderId="24" xfId="0" applyNumberFormat="1" applyFont="1" applyBorder="1"/>
    <xf numFmtId="166" fontId="19" fillId="0" borderId="15" xfId="0" applyNumberFormat="1" applyFont="1" applyBorder="1"/>
    <xf numFmtId="0" fontId="23" fillId="0" borderId="20" xfId="0" applyFont="1" applyBorder="1"/>
    <xf numFmtId="170" fontId="23" fillId="0" borderId="20" xfId="0" applyNumberFormat="1" applyFont="1" applyBorder="1"/>
    <xf numFmtId="170" fontId="23" fillId="0" borderId="24" xfId="0" applyNumberFormat="1" applyFont="1" applyBorder="1"/>
    <xf numFmtId="9" fontId="19" fillId="0" borderId="24" xfId="0" applyNumberFormat="1" applyFont="1" applyBorder="1"/>
    <xf numFmtId="9" fontId="19" fillId="14" borderId="24" xfId="0" applyNumberFormat="1" applyFont="1" applyFill="1" applyBorder="1"/>
    <xf numFmtId="0" fontId="23" fillId="2" borderId="31" xfId="0" applyFont="1" applyFill="1" applyBorder="1"/>
    <xf numFmtId="0" fontId="24" fillId="0" borderId="0" xfId="26" applyFont="1" applyAlignment="1">
      <alignment horizontal="left"/>
    </xf>
    <xf numFmtId="0" fontId="24" fillId="0" borderId="30" xfId="26" applyFont="1" applyBorder="1" applyAlignment="1">
      <alignment horizontal="left"/>
    </xf>
    <xf numFmtId="0" fontId="24" fillId="0" borderId="30" xfId="27" applyFont="1" applyBorder="1"/>
    <xf numFmtId="0" fontId="24" fillId="0" borderId="20" xfId="26" applyFont="1" applyBorder="1" applyAlignment="1">
      <alignment horizontal="left"/>
    </xf>
    <xf numFmtId="0" fontId="24" fillId="0" borderId="24" xfId="26" applyFont="1" applyBorder="1" applyAlignment="1">
      <alignment horizontal="left"/>
    </xf>
    <xf numFmtId="0" fontId="24" fillId="0" borderId="24" xfId="27" applyFont="1" applyBorder="1"/>
    <xf numFmtId="9" fontId="24" fillId="0" borderId="30" xfId="27" applyNumberFormat="1" applyFont="1" applyBorder="1"/>
    <xf numFmtId="9" fontId="24" fillId="0" borderId="0" xfId="27" applyNumberFormat="1" applyFont="1"/>
    <xf numFmtId="0" fontId="24" fillId="0" borderId="31" xfId="26" applyFont="1" applyBorder="1" applyAlignment="1">
      <alignment horizontal="left"/>
    </xf>
    <xf numFmtId="0" fontId="24" fillId="0" borderId="31" xfId="27" applyFont="1" applyBorder="1"/>
    <xf numFmtId="0" fontId="22" fillId="15" borderId="33" xfId="0" applyFont="1" applyFill="1" applyBorder="1"/>
    <xf numFmtId="9" fontId="24" fillId="0" borderId="24" xfId="27" applyNumberFormat="1" applyFont="1" applyBorder="1"/>
    <xf numFmtId="0" fontId="10" fillId="17" borderId="30" xfId="26" applyFont="1" applyFill="1" applyBorder="1" applyAlignment="1">
      <alignment horizontal="left"/>
    </xf>
    <xf numFmtId="9" fontId="10" fillId="17" borderId="30" xfId="27" applyNumberFormat="1" applyFont="1" applyFill="1" applyBorder="1"/>
    <xf numFmtId="0" fontId="22" fillId="15" borderId="33" xfId="26" applyFont="1" applyFill="1" applyBorder="1" applyAlignment="1">
      <alignment horizontal="left"/>
    </xf>
    <xf numFmtId="9" fontId="22" fillId="15" borderId="33" xfId="27" applyNumberFormat="1" applyFont="1" applyFill="1" applyBorder="1"/>
    <xf numFmtId="9" fontId="19" fillId="14" borderId="30" xfId="0" applyNumberFormat="1" applyFont="1" applyFill="1" applyBorder="1"/>
    <xf numFmtId="0" fontId="19" fillId="0" borderId="20" xfId="27" applyFont="1" applyBorder="1"/>
    <xf numFmtId="0" fontId="19" fillId="0" borderId="30" xfId="27" applyFont="1" applyBorder="1"/>
    <xf numFmtId="0" fontId="27" fillId="0" borderId="20" xfId="0" applyFont="1" applyBorder="1"/>
    <xf numFmtId="0" fontId="23" fillId="2" borderId="24" xfId="0" applyFont="1" applyFill="1" applyBorder="1"/>
    <xf numFmtId="1" fontId="23" fillId="2" borderId="24" xfId="0" applyNumberFormat="1" applyFont="1" applyFill="1" applyBorder="1"/>
    <xf numFmtId="0" fontId="22" fillId="15" borderId="35" xfId="0" applyFont="1" applyFill="1" applyBorder="1"/>
    <xf numFmtId="9" fontId="24" fillId="0" borderId="37" xfId="0" applyNumberFormat="1" applyFont="1" applyBorder="1"/>
    <xf numFmtId="0" fontId="24" fillId="0" borderId="38" xfId="0" applyFont="1" applyBorder="1"/>
    <xf numFmtId="1" fontId="23" fillId="2" borderId="40" xfId="0" applyNumberFormat="1" applyFont="1" applyFill="1" applyBorder="1"/>
    <xf numFmtId="0" fontId="22" fillId="15" borderId="38" xfId="0" applyFont="1" applyFill="1" applyBorder="1"/>
    <xf numFmtId="0" fontId="24" fillId="0" borderId="37" xfId="0" applyFont="1" applyBorder="1"/>
    <xf numFmtId="1" fontId="24" fillId="0" borderId="38" xfId="0" applyNumberFormat="1" applyFont="1" applyBorder="1"/>
    <xf numFmtId="0" fontId="24" fillId="0" borderId="40" xfId="0" applyFont="1" applyBorder="1"/>
    <xf numFmtId="0" fontId="24" fillId="20" borderId="20" xfId="0" applyFont="1" applyFill="1" applyBorder="1"/>
    <xf numFmtId="0" fontId="24" fillId="20" borderId="30" xfId="0" applyFont="1" applyFill="1" applyBorder="1"/>
    <xf numFmtId="0" fontId="24" fillId="20" borderId="31" xfId="0" applyFont="1" applyFill="1" applyBorder="1"/>
    <xf numFmtId="1" fontId="23" fillId="2" borderId="8" xfId="0" applyNumberFormat="1" applyFont="1" applyFill="1" applyBorder="1"/>
    <xf numFmtId="0" fontId="22" fillId="15" borderId="34" xfId="0" applyFont="1" applyFill="1" applyBorder="1"/>
    <xf numFmtId="0" fontId="24" fillId="0" borderId="39" xfId="0" applyFont="1" applyBorder="1"/>
    <xf numFmtId="9" fontId="19" fillId="0" borderId="34" xfId="0" applyNumberFormat="1" applyFont="1" applyBorder="1"/>
    <xf numFmtId="1" fontId="23" fillId="0" borderId="24" xfId="0" applyNumberFormat="1" applyFont="1" applyBorder="1"/>
    <xf numFmtId="0" fontId="27" fillId="0" borderId="21" xfId="0" applyFont="1" applyBorder="1"/>
    <xf numFmtId="1" fontId="23" fillId="2" borderId="41" xfId="0" applyNumberFormat="1" applyFont="1" applyFill="1" applyBorder="1"/>
    <xf numFmtId="0" fontId="23" fillId="2" borderId="8" xfId="0" applyFont="1" applyFill="1" applyBorder="1"/>
    <xf numFmtId="1" fontId="24" fillId="0" borderId="31" xfId="0" applyNumberFormat="1" applyFont="1" applyBorder="1"/>
    <xf numFmtId="1" fontId="24" fillId="0" borderId="39" xfId="0" applyNumberFormat="1" applyFont="1" applyBorder="1"/>
    <xf numFmtId="170" fontId="24" fillId="0" borderId="38" xfId="0" applyNumberFormat="1" applyFont="1" applyBorder="1"/>
    <xf numFmtId="1" fontId="23" fillId="0" borderId="0" xfId="0" applyNumberFormat="1" applyFont="1"/>
    <xf numFmtId="9" fontId="19" fillId="14" borderId="38" xfId="0" applyNumberFormat="1" applyFont="1" applyFill="1" applyBorder="1"/>
    <xf numFmtId="9" fontId="19" fillId="14" borderId="34" xfId="0" applyNumberFormat="1" applyFont="1" applyFill="1" applyBorder="1"/>
    <xf numFmtId="1" fontId="23" fillId="0" borderId="40" xfId="0" applyNumberFormat="1" applyFont="1" applyBorder="1"/>
    <xf numFmtId="1" fontId="23" fillId="0" borderId="41" xfId="0" applyNumberFormat="1" applyFont="1" applyBorder="1"/>
    <xf numFmtId="0" fontId="27" fillId="0" borderId="8" xfId="0" applyFont="1" applyBorder="1"/>
    <xf numFmtId="0" fontId="24" fillId="0" borderId="33" xfId="0" applyFont="1" applyBorder="1"/>
    <xf numFmtId="0" fontId="27" fillId="0" borderId="18" xfId="0" applyFont="1" applyBorder="1"/>
    <xf numFmtId="9" fontId="32" fillId="0" borderId="20" xfId="0" applyNumberFormat="1" applyFont="1" applyBorder="1"/>
    <xf numFmtId="9" fontId="32" fillId="0" borderId="29" xfId="0" applyNumberFormat="1" applyFont="1" applyBorder="1"/>
    <xf numFmtId="170" fontId="10" fillId="17" borderId="43" xfId="0" applyNumberFormat="1" applyFont="1" applyFill="1" applyBorder="1"/>
    <xf numFmtId="0" fontId="10" fillId="17" borderId="43" xfId="0" applyFont="1" applyFill="1" applyBorder="1"/>
    <xf numFmtId="0" fontId="22" fillId="15" borderId="39" xfId="0" applyFont="1" applyFill="1" applyBorder="1"/>
    <xf numFmtId="9" fontId="19" fillId="14" borderId="39" xfId="0" applyNumberFormat="1" applyFont="1" applyFill="1" applyBorder="1"/>
    <xf numFmtId="9" fontId="19" fillId="14" borderId="33" xfId="0" applyNumberFormat="1" applyFont="1" applyFill="1" applyBorder="1"/>
    <xf numFmtId="9" fontId="24" fillId="0" borderId="39" xfId="0" applyNumberFormat="1" applyFont="1" applyBorder="1"/>
    <xf numFmtId="9" fontId="24" fillId="0" borderId="33" xfId="0" applyNumberFormat="1" applyFont="1" applyBorder="1"/>
    <xf numFmtId="9" fontId="0" fillId="0" borderId="40" xfId="0" applyNumberFormat="1" applyBorder="1"/>
    <xf numFmtId="170" fontId="23" fillId="0" borderId="37" xfId="0" applyNumberFormat="1" applyFont="1" applyBorder="1"/>
    <xf numFmtId="170" fontId="23" fillId="0" borderId="39" xfId="0" applyNumberFormat="1" applyFont="1" applyBorder="1"/>
    <xf numFmtId="170" fontId="23" fillId="0" borderId="33" xfId="0" applyNumberFormat="1" applyFont="1" applyBorder="1"/>
    <xf numFmtId="170" fontId="23" fillId="0" borderId="40" xfId="0" applyNumberFormat="1" applyFont="1" applyBorder="1"/>
    <xf numFmtId="9" fontId="19" fillId="14" borderId="37" xfId="0" applyNumberFormat="1" applyFont="1" applyFill="1" applyBorder="1"/>
    <xf numFmtId="9" fontId="19" fillId="14" borderId="40" xfId="0" applyNumberFormat="1" applyFont="1" applyFill="1" applyBorder="1"/>
    <xf numFmtId="171" fontId="24" fillId="0" borderId="39" xfId="0" applyNumberFormat="1" applyFont="1" applyBorder="1"/>
    <xf numFmtId="171" fontId="24" fillId="0" borderId="40" xfId="0" applyNumberFormat="1" applyFont="1" applyBorder="1"/>
    <xf numFmtId="3" fontId="24" fillId="0" borderId="37" xfId="0" applyNumberFormat="1" applyFont="1" applyBorder="1"/>
    <xf numFmtId="164" fontId="0" fillId="0" borderId="40" xfId="0" applyNumberFormat="1" applyBorder="1"/>
    <xf numFmtId="164" fontId="24" fillId="0" borderId="37" xfId="0" applyNumberFormat="1" applyFont="1" applyBorder="1"/>
    <xf numFmtId="164" fontId="24" fillId="0" borderId="39" xfId="0" applyNumberFormat="1" applyFont="1" applyBorder="1"/>
    <xf numFmtId="3" fontId="24" fillId="0" borderId="39" xfId="0" applyNumberFormat="1" applyFont="1" applyBorder="1"/>
    <xf numFmtId="3" fontId="24" fillId="0" borderId="40" xfId="0" applyNumberFormat="1" applyFont="1" applyBorder="1"/>
    <xf numFmtId="170" fontId="24" fillId="0" borderId="37" xfId="0" applyNumberFormat="1" applyFont="1" applyBorder="1"/>
    <xf numFmtId="170" fontId="24" fillId="0" borderId="39" xfId="0" applyNumberFormat="1" applyFont="1" applyBorder="1"/>
    <xf numFmtId="170" fontId="23" fillId="2" borderId="39" xfId="0" applyNumberFormat="1" applyFont="1" applyFill="1" applyBorder="1"/>
    <xf numFmtId="3" fontId="19" fillId="0" borderId="39" xfId="0" applyNumberFormat="1" applyFont="1" applyBorder="1"/>
    <xf numFmtId="166" fontId="24" fillId="0" borderId="39" xfId="0" applyNumberFormat="1" applyFont="1" applyBorder="1"/>
    <xf numFmtId="166" fontId="24" fillId="0" borderId="40" xfId="0" applyNumberFormat="1" applyFont="1" applyBorder="1"/>
    <xf numFmtId="169" fontId="24" fillId="0" borderId="42" xfId="0" applyNumberFormat="1" applyFont="1" applyBorder="1"/>
    <xf numFmtId="171" fontId="24" fillId="0" borderId="42" xfId="0" applyNumberFormat="1" applyFont="1" applyBorder="1"/>
    <xf numFmtId="171" fontId="21" fillId="2" borderId="44" xfId="0" applyNumberFormat="1" applyFont="1" applyFill="1" applyBorder="1"/>
    <xf numFmtId="0" fontId="22" fillId="15" borderId="43" xfId="0" applyFont="1" applyFill="1" applyBorder="1"/>
    <xf numFmtId="0" fontId="24" fillId="0" borderId="43" xfId="0" applyFont="1" applyBorder="1"/>
    <xf numFmtId="0" fontId="27" fillId="0" borderId="43" xfId="0" applyFont="1" applyBorder="1"/>
    <xf numFmtId="9" fontId="19" fillId="0" borderId="43" xfId="0" applyNumberFormat="1" applyFont="1" applyBorder="1"/>
    <xf numFmtId="3" fontId="6" fillId="2" borderId="28" xfId="0" applyNumberFormat="1" applyFont="1" applyFill="1" applyBorder="1"/>
    <xf numFmtId="9" fontId="19" fillId="0" borderId="39" xfId="0" applyNumberFormat="1" applyFont="1" applyBorder="1"/>
    <xf numFmtId="3" fontId="36" fillId="0" borderId="44" xfId="0" applyNumberFormat="1" applyFont="1" applyBorder="1"/>
    <xf numFmtId="0" fontId="25" fillId="16" borderId="43" xfId="0" applyFont="1" applyFill="1" applyBorder="1"/>
    <xf numFmtId="165" fontId="24" fillId="0" borderId="43" xfId="0" applyNumberFormat="1" applyFont="1" applyBorder="1"/>
    <xf numFmtId="0" fontId="23" fillId="2" borderId="31" xfId="0" applyFont="1" applyFill="1" applyBorder="1" applyAlignment="1">
      <alignment horizontal="left"/>
    </xf>
    <xf numFmtId="3" fontId="6" fillId="2" borderId="43" xfId="0" applyNumberFormat="1" applyFont="1" applyFill="1" applyBorder="1"/>
    <xf numFmtId="3" fontId="6" fillId="2" borderId="39" xfId="0" applyNumberFormat="1" applyFont="1" applyFill="1" applyBorder="1"/>
    <xf numFmtId="9" fontId="0" fillId="0" borderId="0" xfId="0" applyNumberFormat="1"/>
    <xf numFmtId="165" fontId="24" fillId="2" borderId="43" xfId="0" applyNumberFormat="1" applyFont="1" applyFill="1" applyBorder="1"/>
    <xf numFmtId="3" fontId="19" fillId="0" borderId="24" xfId="0" applyNumberFormat="1" applyFont="1" applyBorder="1"/>
    <xf numFmtId="3" fontId="19" fillId="0" borderId="40" xfId="0" applyNumberFormat="1" applyFont="1" applyBorder="1"/>
    <xf numFmtId="0" fontId="23" fillId="2" borderId="24" xfId="0" applyFont="1" applyFill="1" applyBorder="1" applyAlignment="1">
      <alignment horizontal="left"/>
    </xf>
    <xf numFmtId="3" fontId="6" fillId="2" borderId="24" xfId="0" applyNumberFormat="1" applyFont="1" applyFill="1" applyBorder="1"/>
    <xf numFmtId="167" fontId="23" fillId="2" borderId="40" xfId="0" applyNumberFormat="1" applyFont="1" applyFill="1" applyBorder="1"/>
    <xf numFmtId="165" fontId="24" fillId="2" borderId="24" xfId="0" applyNumberFormat="1" applyFont="1" applyFill="1" applyBorder="1"/>
    <xf numFmtId="0" fontId="23" fillId="2" borderId="8" xfId="0" applyFont="1" applyFill="1" applyBorder="1" applyAlignment="1">
      <alignment horizontal="left"/>
    </xf>
    <xf numFmtId="3" fontId="6" fillId="2" borderId="8" xfId="0" applyNumberFormat="1" applyFont="1" applyFill="1" applyBorder="1"/>
    <xf numFmtId="166" fontId="23" fillId="2" borderId="41" xfId="25" applyNumberFormat="1" applyFont="1" applyFill="1" applyBorder="1"/>
    <xf numFmtId="165" fontId="24" fillId="2" borderId="8" xfId="0" applyNumberFormat="1" applyFont="1" applyFill="1" applyBorder="1"/>
    <xf numFmtId="0" fontId="23" fillId="2" borderId="45" xfId="0" applyFont="1" applyFill="1" applyBorder="1"/>
    <xf numFmtId="166" fontId="23" fillId="2" borderId="45" xfId="25" applyNumberFormat="1" applyFont="1" applyFill="1" applyBorder="1"/>
    <xf numFmtId="0" fontId="22" fillId="15" borderId="43" xfId="0" applyFont="1" applyFill="1" applyBorder="1" applyAlignment="1">
      <alignment horizontal="right"/>
    </xf>
    <xf numFmtId="0" fontId="24" fillId="0" borderId="43" xfId="0" applyFont="1" applyBorder="1" applyAlignment="1">
      <alignment horizontal="right"/>
    </xf>
    <xf numFmtId="167" fontId="23" fillId="2" borderId="24" xfId="0" applyNumberFormat="1" applyFont="1" applyFill="1" applyBorder="1"/>
    <xf numFmtId="165" fontId="24" fillId="0" borderId="36" xfId="25" applyNumberFormat="1" applyFont="1" applyFill="1" applyBorder="1"/>
    <xf numFmtId="165" fontId="24" fillId="0" borderId="31" xfId="0" applyNumberFormat="1" applyFont="1" applyBorder="1"/>
    <xf numFmtId="165" fontId="24" fillId="0" borderId="43" xfId="25" applyNumberFormat="1" applyFont="1" applyFill="1" applyBorder="1"/>
    <xf numFmtId="165" fontId="23" fillId="2" borderId="45" xfId="25" applyNumberFormat="1" applyFont="1" applyFill="1" applyBorder="1"/>
    <xf numFmtId="0" fontId="10" fillId="17" borderId="45" xfId="0" applyFont="1" applyFill="1" applyBorder="1"/>
    <xf numFmtId="0" fontId="22" fillId="15" borderId="47" xfId="0" applyFont="1" applyFill="1" applyBorder="1"/>
    <xf numFmtId="0" fontId="10" fillId="17" borderId="48" xfId="0" applyFont="1" applyFill="1" applyBorder="1"/>
    <xf numFmtId="0" fontId="24" fillId="0" borderId="48" xfId="0" applyFont="1" applyBorder="1"/>
    <xf numFmtId="0" fontId="23" fillId="0" borderId="43" xfId="0" applyFont="1" applyBorder="1"/>
    <xf numFmtId="0" fontId="24" fillId="2" borderId="48" xfId="0" applyFont="1" applyFill="1" applyBorder="1"/>
    <xf numFmtId="0" fontId="27" fillId="0" borderId="48" xfId="0" applyFont="1" applyBorder="1"/>
    <xf numFmtId="0" fontId="23" fillId="0" borderId="48" xfId="0" applyFont="1" applyBorder="1"/>
    <xf numFmtId="0" fontId="22" fillId="15" borderId="48" xfId="0" applyFont="1" applyFill="1" applyBorder="1"/>
    <xf numFmtId="171" fontId="19" fillId="0" borderId="48" xfId="0" applyNumberFormat="1" applyFont="1" applyBorder="1"/>
    <xf numFmtId="171" fontId="24" fillId="0" borderId="48" xfId="0" applyNumberFormat="1" applyFont="1" applyBorder="1"/>
    <xf numFmtId="9" fontId="19" fillId="0" borderId="48" xfId="0" applyNumberFormat="1" applyFont="1" applyBorder="1"/>
    <xf numFmtId="3" fontId="24" fillId="0" borderId="48" xfId="0" applyNumberFormat="1" applyFont="1" applyBorder="1" applyAlignment="1">
      <alignment horizontal="right"/>
    </xf>
    <xf numFmtId="0" fontId="23" fillId="2" borderId="48" xfId="0" applyFont="1" applyFill="1" applyBorder="1"/>
    <xf numFmtId="171" fontId="23" fillId="2" borderId="48" xfId="0" applyNumberFormat="1" applyFont="1" applyFill="1" applyBorder="1"/>
    <xf numFmtId="3" fontId="23" fillId="2" borderId="48" xfId="0" applyNumberFormat="1" applyFont="1" applyFill="1" applyBorder="1" applyAlignment="1">
      <alignment horizontal="right"/>
    </xf>
    <xf numFmtId="3" fontId="24" fillId="0" borderId="48" xfId="0" applyNumberFormat="1" applyFont="1" applyBorder="1"/>
    <xf numFmtId="169" fontId="24" fillId="0" borderId="48" xfId="0" applyNumberFormat="1" applyFont="1" applyBorder="1" applyAlignment="1">
      <alignment horizontal="right"/>
    </xf>
    <xf numFmtId="173" fontId="19" fillId="0" borderId="48" xfId="0" applyNumberFormat="1" applyFont="1" applyBorder="1"/>
    <xf numFmtId="169" fontId="23" fillId="2" borderId="48" xfId="0" applyNumberFormat="1" applyFont="1" applyFill="1" applyBorder="1" applyAlignment="1">
      <alignment horizontal="right"/>
    </xf>
    <xf numFmtId="0" fontId="37" fillId="0" borderId="48" xfId="0" applyFont="1" applyBorder="1" applyAlignment="1">
      <alignment horizontal="left" vertical="center"/>
    </xf>
    <xf numFmtId="0" fontId="24" fillId="0" borderId="49" xfId="0" applyFont="1" applyBorder="1"/>
    <xf numFmtId="0" fontId="24" fillId="0" borderId="49" xfId="0" applyFont="1" applyBorder="1" applyAlignment="1">
      <alignment horizontal="left" vertical="top"/>
    </xf>
    <xf numFmtId="9" fontId="24" fillId="0" borderId="49" xfId="0" applyNumberFormat="1" applyFont="1" applyBorder="1"/>
    <xf numFmtId="9" fontId="24" fillId="0" borderId="50" xfId="0" applyNumberFormat="1" applyFont="1" applyBorder="1"/>
    <xf numFmtId="170" fontId="24" fillId="0" borderId="48" xfId="0" applyNumberFormat="1" applyFont="1" applyBorder="1"/>
    <xf numFmtId="1" fontId="23" fillId="0" borderId="49" xfId="0" applyNumberFormat="1" applyFont="1" applyBorder="1"/>
    <xf numFmtId="170" fontId="24" fillId="0" borderId="46" xfId="0" applyNumberFormat="1" applyFont="1" applyBorder="1"/>
    <xf numFmtId="1" fontId="24" fillId="0" borderId="30" xfId="0" applyNumberFormat="1" applyFont="1" applyBorder="1"/>
    <xf numFmtId="0" fontId="23" fillId="23" borderId="24" xfId="0" applyFont="1" applyFill="1" applyBorder="1"/>
    <xf numFmtId="1" fontId="23" fillId="23" borderId="24" xfId="0" applyNumberFormat="1" applyFont="1" applyFill="1" applyBorder="1"/>
    <xf numFmtId="1" fontId="23" fillId="23" borderId="40" xfId="0" applyNumberFormat="1" applyFont="1" applyFill="1" applyBorder="1"/>
    <xf numFmtId="1" fontId="23" fillId="23" borderId="8" xfId="0" applyNumberFormat="1" applyFont="1" applyFill="1" applyBorder="1"/>
    <xf numFmtId="0" fontId="23" fillId="23" borderId="8" xfId="0" applyFont="1" applyFill="1" applyBorder="1"/>
    <xf numFmtId="0" fontId="10" fillId="17" borderId="49" xfId="0" applyFont="1" applyFill="1" applyBorder="1"/>
    <xf numFmtId="0" fontId="10" fillId="17" borderId="55" xfId="0" applyFont="1" applyFill="1" applyBorder="1"/>
    <xf numFmtId="1" fontId="27" fillId="0" borderId="30" xfId="0" applyNumberFormat="1" applyFont="1" applyBorder="1"/>
    <xf numFmtId="0" fontId="23" fillId="23" borderId="0" xfId="0" applyFont="1" applyFill="1"/>
    <xf numFmtId="170" fontId="0" fillId="0" borderId="0" xfId="0" applyNumberFormat="1"/>
    <xf numFmtId="166" fontId="0" fillId="0" borderId="0" xfId="25" applyNumberFormat="1" applyFont="1"/>
    <xf numFmtId="165" fontId="21" fillId="0" borderId="0" xfId="25" applyNumberFormat="1" applyFont="1"/>
    <xf numFmtId="1" fontId="21" fillId="0" borderId="0" xfId="0" applyNumberFormat="1" applyFont="1"/>
    <xf numFmtId="165" fontId="4" fillId="0" borderId="0" xfId="25" applyNumberFormat="1" applyFont="1"/>
    <xf numFmtId="172" fontId="11" fillId="0" borderId="0" xfId="0" applyNumberFormat="1" applyFont="1"/>
    <xf numFmtId="165" fontId="21" fillId="0" borderId="0" xfId="25" applyNumberFormat="1" applyFont="1" applyFill="1"/>
    <xf numFmtId="166" fontId="21" fillId="0" borderId="0" xfId="25" applyNumberFormat="1" applyFont="1"/>
    <xf numFmtId="0" fontId="32" fillId="0" borderId="30" xfId="0" applyFont="1" applyBorder="1"/>
    <xf numFmtId="0" fontId="32" fillId="0" borderId="21" xfId="0" applyFont="1" applyBorder="1"/>
    <xf numFmtId="0" fontId="23" fillId="0" borderId="49" xfId="0" applyFont="1" applyBorder="1"/>
    <xf numFmtId="0" fontId="23" fillId="2" borderId="0" xfId="0" applyFont="1" applyFill="1" applyAlignment="1">
      <alignment horizontal="left"/>
    </xf>
    <xf numFmtId="3" fontId="6" fillId="2" borderId="0" xfId="0" applyNumberFormat="1" applyFont="1" applyFill="1"/>
    <xf numFmtId="166" fontId="23" fillId="2" borderId="0" xfId="25" applyNumberFormat="1" applyFont="1" applyFill="1" applyBorder="1"/>
    <xf numFmtId="165" fontId="24" fillId="2" borderId="0" xfId="0" applyNumberFormat="1" applyFont="1" applyFill="1"/>
    <xf numFmtId="3" fontId="6" fillId="0" borderId="0" xfId="0" applyNumberFormat="1" applyFont="1"/>
    <xf numFmtId="165" fontId="24" fillId="0" borderId="0" xfId="0" applyNumberFormat="1" applyFont="1"/>
    <xf numFmtId="0" fontId="24" fillId="0" borderId="8" xfId="0" applyFont="1" applyBorder="1" applyAlignment="1">
      <alignment horizontal="left"/>
    </xf>
    <xf numFmtId="0" fontId="23" fillId="0" borderId="0" xfId="0" applyFont="1" applyAlignment="1">
      <alignment horizontal="left"/>
    </xf>
    <xf numFmtId="166" fontId="23" fillId="2" borderId="44" xfId="25" applyNumberFormat="1" applyFont="1" applyFill="1" applyBorder="1"/>
    <xf numFmtId="165" fontId="24" fillId="0" borderId="49" xfId="0" applyNumberFormat="1" applyFont="1" applyBorder="1"/>
    <xf numFmtId="1" fontId="23" fillId="23" borderId="41" xfId="0" applyNumberFormat="1" applyFont="1" applyFill="1" applyBorder="1"/>
    <xf numFmtId="0" fontId="24" fillId="0" borderId="51" xfId="0" applyFont="1" applyBorder="1"/>
    <xf numFmtId="0" fontId="24" fillId="0" borderId="56" xfId="0" applyFont="1" applyBorder="1"/>
    <xf numFmtId="0" fontId="23" fillId="0" borderId="56" xfId="0" applyFont="1" applyBorder="1" applyAlignment="1">
      <alignment horizontal="left"/>
    </xf>
    <xf numFmtId="0" fontId="23" fillId="0" borderId="56" xfId="0" applyFont="1" applyBorder="1"/>
    <xf numFmtId="165" fontId="24" fillId="0" borderId="56" xfId="0" applyNumberFormat="1" applyFont="1" applyBorder="1"/>
    <xf numFmtId="0" fontId="24" fillId="0" borderId="49" xfId="0" applyFont="1" applyBorder="1" applyAlignment="1">
      <alignment horizontal="left"/>
    </xf>
    <xf numFmtId="3" fontId="24" fillId="0" borderId="49" xfId="0" applyNumberFormat="1" applyFont="1" applyBorder="1"/>
    <xf numFmtId="166" fontId="24" fillId="0" borderId="49" xfId="25" applyNumberFormat="1" applyFont="1" applyFill="1" applyBorder="1"/>
    <xf numFmtId="0" fontId="24" fillId="0" borderId="56" xfId="0" applyFont="1" applyBorder="1" applyAlignment="1">
      <alignment horizontal="left"/>
    </xf>
    <xf numFmtId="3" fontId="24" fillId="0" borderId="56" xfId="0" applyNumberFormat="1" applyFont="1" applyBorder="1"/>
    <xf numFmtId="166" fontId="24" fillId="0" borderId="56" xfId="25" applyNumberFormat="1" applyFont="1" applyFill="1" applyBorder="1"/>
    <xf numFmtId="3" fontId="19" fillId="14" borderId="0" xfId="0" applyNumberFormat="1" applyFont="1" applyFill="1"/>
    <xf numFmtId="3" fontId="19" fillId="14" borderId="49" xfId="0" applyNumberFormat="1" applyFont="1" applyFill="1" applyBorder="1"/>
    <xf numFmtId="166" fontId="23" fillId="2" borderId="50" xfId="25" applyNumberFormat="1" applyFont="1" applyFill="1" applyBorder="1"/>
    <xf numFmtId="166" fontId="24" fillId="0" borderId="50" xfId="25" applyNumberFormat="1" applyFont="1" applyFill="1" applyBorder="1"/>
    <xf numFmtId="166" fontId="24" fillId="0" borderId="57" xfId="25" applyNumberFormat="1" applyFont="1" applyFill="1" applyBorder="1"/>
    <xf numFmtId="3" fontId="24" fillId="0" borderId="58" xfId="0" applyNumberFormat="1" applyFont="1" applyBorder="1"/>
    <xf numFmtId="165" fontId="24" fillId="0" borderId="58" xfId="0" applyNumberFormat="1" applyFont="1" applyBorder="1"/>
    <xf numFmtId="166" fontId="23" fillId="0" borderId="44" xfId="25" applyNumberFormat="1" applyFont="1" applyFill="1" applyBorder="1"/>
    <xf numFmtId="166" fontId="23" fillId="0" borderId="54" xfId="25" applyNumberFormat="1" applyFont="1" applyFill="1" applyBorder="1"/>
    <xf numFmtId="1" fontId="24" fillId="0" borderId="49" xfId="0" applyNumberFormat="1" applyFont="1" applyBorder="1"/>
    <xf numFmtId="1" fontId="23" fillId="23" borderId="49" xfId="0" applyNumberFormat="1" applyFont="1" applyFill="1" applyBorder="1"/>
    <xf numFmtId="170" fontId="23" fillId="23" borderId="49" xfId="0" applyNumberFormat="1" applyFont="1" applyFill="1" applyBorder="1"/>
    <xf numFmtId="0" fontId="24" fillId="23" borderId="49" xfId="0" applyFont="1" applyFill="1" applyBorder="1"/>
    <xf numFmtId="167" fontId="23" fillId="0" borderId="0" xfId="0" applyNumberFormat="1" applyFont="1"/>
    <xf numFmtId="1" fontId="23" fillId="23" borderId="50" xfId="0" applyNumberFormat="1" applyFont="1" applyFill="1" applyBorder="1"/>
    <xf numFmtId="3" fontId="23" fillId="0" borderId="0" xfId="0" applyNumberFormat="1" applyFont="1" applyAlignment="1">
      <alignment horizontal="right"/>
    </xf>
    <xf numFmtId="9" fontId="24" fillId="0" borderId="56" xfId="0" applyNumberFormat="1" applyFont="1" applyBorder="1"/>
    <xf numFmtId="3" fontId="24" fillId="0" borderId="50" xfId="0" applyNumberFormat="1" applyFont="1" applyBorder="1"/>
    <xf numFmtId="0" fontId="27" fillId="0" borderId="49" xfId="0" applyFont="1" applyBorder="1"/>
    <xf numFmtId="0" fontId="23" fillId="2" borderId="49" xfId="0" applyFont="1" applyFill="1" applyBorder="1"/>
    <xf numFmtId="3" fontId="6" fillId="2" borderId="49" xfId="0" applyNumberFormat="1" applyFont="1" applyFill="1" applyBorder="1"/>
    <xf numFmtId="3" fontId="6" fillId="2" borderId="50" xfId="0" applyNumberFormat="1" applyFont="1" applyFill="1" applyBorder="1"/>
    <xf numFmtId="165" fontId="24" fillId="2" borderId="49" xfId="0" applyNumberFormat="1" applyFont="1" applyFill="1" applyBorder="1"/>
    <xf numFmtId="9" fontId="19" fillId="0" borderId="50" xfId="0" applyNumberFormat="1" applyFont="1" applyBorder="1"/>
    <xf numFmtId="3" fontId="19" fillId="0" borderId="50" xfId="0" applyNumberFormat="1" applyFont="1" applyBorder="1"/>
    <xf numFmtId="3" fontId="15" fillId="0" borderId="44" xfId="0" applyNumberFormat="1" applyFont="1" applyBorder="1"/>
    <xf numFmtId="3" fontId="24" fillId="0" borderId="41" xfId="0" applyNumberFormat="1" applyFont="1" applyBorder="1"/>
    <xf numFmtId="0" fontId="23" fillId="23" borderId="40" xfId="0" applyFont="1" applyFill="1" applyBorder="1"/>
    <xf numFmtId="0" fontId="24" fillId="0" borderId="49" xfId="0" applyFont="1" applyBorder="1" applyAlignment="1">
      <alignment horizontal="right"/>
    </xf>
    <xf numFmtId="165" fontId="24" fillId="0" borderId="50" xfId="25" applyNumberFormat="1" applyFont="1" applyFill="1" applyBorder="1"/>
    <xf numFmtId="165" fontId="24" fillId="0" borderId="49" xfId="25" applyNumberFormat="1" applyFont="1" applyFill="1" applyBorder="1"/>
    <xf numFmtId="3" fontId="24" fillId="0" borderId="49" xfId="0" applyNumberFormat="1" applyFont="1" applyBorder="1" applyAlignment="1">
      <alignment horizontal="right"/>
    </xf>
    <xf numFmtId="0" fontId="24" fillId="0" borderId="51" xfId="0" applyFont="1" applyBorder="1" applyAlignment="1">
      <alignment horizontal="right"/>
    </xf>
    <xf numFmtId="0" fontId="24" fillId="0" borderId="24" xfId="0" applyFont="1" applyBorder="1" applyAlignment="1">
      <alignment horizontal="right"/>
    </xf>
    <xf numFmtId="1" fontId="24" fillId="0" borderId="51" xfId="0" applyNumberFormat="1" applyFont="1" applyBorder="1"/>
    <xf numFmtId="3" fontId="23" fillId="0" borderId="49" xfId="0" applyNumberFormat="1" applyFont="1" applyBorder="1" applyAlignment="1">
      <alignment horizontal="right"/>
    </xf>
    <xf numFmtId="3" fontId="23" fillId="0" borderId="49" xfId="0" applyNumberFormat="1" applyFont="1" applyBorder="1"/>
    <xf numFmtId="1" fontId="24" fillId="0" borderId="43" xfId="0" applyNumberFormat="1" applyFont="1" applyBorder="1"/>
    <xf numFmtId="3" fontId="19" fillId="0" borderId="43" xfId="0" applyNumberFormat="1" applyFont="1" applyBorder="1"/>
    <xf numFmtId="3" fontId="15" fillId="0" borderId="0" xfId="0" applyNumberFormat="1" applyFont="1"/>
    <xf numFmtId="3" fontId="15" fillId="0" borderId="8" xfId="0" applyNumberFormat="1" applyFont="1" applyBorder="1"/>
    <xf numFmtId="0" fontId="23" fillId="0" borderId="18" xfId="0" applyFont="1" applyBorder="1"/>
    <xf numFmtId="0" fontId="27" fillId="0" borderId="20" xfId="0" applyFont="1" applyBorder="1" applyAlignment="1">
      <alignment horizontal="left"/>
    </xf>
    <xf numFmtId="0" fontId="24" fillId="0" borderId="43" xfId="0" applyFont="1" applyBorder="1" applyAlignment="1">
      <alignment horizontal="left"/>
    </xf>
    <xf numFmtId="0" fontId="24" fillId="0" borderId="43" xfId="0" applyFont="1" applyBorder="1" applyAlignment="1">
      <alignment horizontal="left" indent="2"/>
    </xf>
    <xf numFmtId="165" fontId="23" fillId="0" borderId="43" xfId="0" applyNumberFormat="1" applyFont="1" applyBorder="1"/>
    <xf numFmtId="165" fontId="23" fillId="0" borderId="43" xfId="0" applyNumberFormat="1" applyFont="1" applyBorder="1" applyAlignment="1">
      <alignment horizontal="right"/>
    </xf>
    <xf numFmtId="165" fontId="23" fillId="0" borderId="24" xfId="25" applyNumberFormat="1" applyFont="1" applyFill="1" applyBorder="1"/>
    <xf numFmtId="165" fontId="23" fillId="0" borderId="24" xfId="0" applyNumberFormat="1" applyFont="1" applyBorder="1" applyAlignment="1">
      <alignment horizontal="right"/>
    </xf>
    <xf numFmtId="0" fontId="23" fillId="23" borderId="49" xfId="0" applyFont="1" applyFill="1" applyBorder="1"/>
    <xf numFmtId="3" fontId="23" fillId="23" borderId="49" xfId="0" applyNumberFormat="1" applyFont="1" applyFill="1" applyBorder="1" applyAlignment="1">
      <alignment horizontal="right"/>
    </xf>
    <xf numFmtId="0" fontId="23" fillId="23" borderId="49" xfId="0" applyFont="1" applyFill="1" applyBorder="1" applyAlignment="1">
      <alignment horizontal="right"/>
    </xf>
    <xf numFmtId="1" fontId="23" fillId="23" borderId="21" xfId="0" applyNumberFormat="1" applyFont="1" applyFill="1" applyBorder="1"/>
    <xf numFmtId="165" fontId="24" fillId="23" borderId="0" xfId="0" applyNumberFormat="1" applyFont="1" applyFill="1"/>
    <xf numFmtId="165" fontId="23" fillId="23" borderId="0" xfId="25" applyNumberFormat="1" applyFont="1" applyFill="1" applyBorder="1"/>
    <xf numFmtId="3" fontId="24" fillId="23" borderId="0" xfId="0" applyNumberFormat="1" applyFont="1" applyFill="1"/>
    <xf numFmtId="1" fontId="23" fillId="23" borderId="51" xfId="0" applyNumberFormat="1" applyFont="1" applyFill="1" applyBorder="1"/>
    <xf numFmtId="0" fontId="24" fillId="24" borderId="51" xfId="0" applyFont="1" applyFill="1" applyBorder="1"/>
    <xf numFmtId="165" fontId="24" fillId="24" borderId="51" xfId="0" applyNumberFormat="1" applyFont="1" applyFill="1" applyBorder="1"/>
    <xf numFmtId="165" fontId="24" fillId="24" borderId="51" xfId="0" applyNumberFormat="1" applyFont="1" applyFill="1" applyBorder="1" applyAlignment="1">
      <alignment horizontal="right"/>
    </xf>
    <xf numFmtId="0" fontId="24" fillId="24" borderId="51" xfId="0" applyFont="1" applyFill="1" applyBorder="1" applyAlignment="1">
      <alignment horizontal="right"/>
    </xf>
    <xf numFmtId="0" fontId="24" fillId="24" borderId="43" xfId="0" applyFont="1" applyFill="1" applyBorder="1"/>
    <xf numFmtId="0" fontId="24" fillId="24" borderId="49" xfId="0" applyFont="1" applyFill="1" applyBorder="1"/>
    <xf numFmtId="3" fontId="24" fillId="24" borderId="43" xfId="0" applyNumberFormat="1" applyFont="1" applyFill="1" applyBorder="1" applyAlignment="1">
      <alignment horizontal="right"/>
    </xf>
    <xf numFmtId="0" fontId="24" fillId="24" borderId="43" xfId="0" applyFont="1" applyFill="1" applyBorder="1" applyAlignment="1">
      <alignment horizontal="right"/>
    </xf>
    <xf numFmtId="1" fontId="24" fillId="24" borderId="49" xfId="0" applyNumberFormat="1" applyFont="1" applyFill="1" applyBorder="1"/>
    <xf numFmtId="1" fontId="24" fillId="24" borderId="49" xfId="0" applyNumberFormat="1" applyFont="1" applyFill="1" applyBorder="1" applyAlignment="1">
      <alignment horizontal="right"/>
    </xf>
    <xf numFmtId="0" fontId="24" fillId="24" borderId="49" xfId="0" applyFont="1" applyFill="1" applyBorder="1" applyAlignment="1">
      <alignment horizontal="right"/>
    </xf>
    <xf numFmtId="1" fontId="24" fillId="24" borderId="49" xfId="25" applyNumberFormat="1" applyFont="1" applyFill="1" applyBorder="1"/>
    <xf numFmtId="166" fontId="24" fillId="24" borderId="49" xfId="25" applyNumberFormat="1" applyFont="1" applyFill="1" applyBorder="1"/>
    <xf numFmtId="1" fontId="23" fillId="25" borderId="49" xfId="0" applyNumberFormat="1" applyFont="1" applyFill="1" applyBorder="1"/>
    <xf numFmtId="0" fontId="23" fillId="25" borderId="49" xfId="0" applyFont="1" applyFill="1" applyBorder="1"/>
    <xf numFmtId="3" fontId="23" fillId="25" borderId="49" xfId="0" applyNumberFormat="1" applyFont="1" applyFill="1" applyBorder="1" applyAlignment="1">
      <alignment horizontal="right"/>
    </xf>
    <xf numFmtId="0" fontId="23" fillId="25" borderId="49" xfId="0" applyFont="1" applyFill="1" applyBorder="1" applyAlignment="1">
      <alignment horizontal="right"/>
    </xf>
    <xf numFmtId="1" fontId="23" fillId="25" borderId="21" xfId="0" applyNumberFormat="1" applyFont="1" applyFill="1" applyBorder="1"/>
    <xf numFmtId="1" fontId="24" fillId="25" borderId="21" xfId="0" applyNumberFormat="1" applyFont="1" applyFill="1" applyBorder="1"/>
    <xf numFmtId="3" fontId="24" fillId="25" borderId="21" xfId="0" applyNumberFormat="1" applyFont="1" applyFill="1" applyBorder="1"/>
    <xf numFmtId="165" fontId="24" fillId="25" borderId="21" xfId="0" applyNumberFormat="1" applyFont="1" applyFill="1" applyBorder="1"/>
    <xf numFmtId="1" fontId="23" fillId="25" borderId="24" xfId="0" applyNumberFormat="1" applyFont="1" applyFill="1" applyBorder="1"/>
    <xf numFmtId="0" fontId="23" fillId="25" borderId="24" xfId="0" applyFont="1" applyFill="1" applyBorder="1"/>
    <xf numFmtId="3" fontId="23" fillId="25" borderId="24" xfId="0" applyNumberFormat="1" applyFont="1" applyFill="1" applyBorder="1" applyAlignment="1">
      <alignment horizontal="right"/>
    </xf>
    <xf numFmtId="0" fontId="23" fillId="25" borderId="24" xfId="0" applyFont="1" applyFill="1" applyBorder="1" applyAlignment="1">
      <alignment horizontal="right"/>
    </xf>
    <xf numFmtId="0" fontId="24" fillId="25" borderId="8" xfId="0" applyFont="1" applyFill="1" applyBorder="1"/>
    <xf numFmtId="1" fontId="24" fillId="25" borderId="8" xfId="0" applyNumberFormat="1" applyFont="1" applyFill="1" applyBorder="1"/>
    <xf numFmtId="1" fontId="24" fillId="25" borderId="41" xfId="0" applyNumberFormat="1" applyFont="1" applyFill="1" applyBorder="1"/>
    <xf numFmtId="1" fontId="24" fillId="25" borderId="50" xfId="0" applyNumberFormat="1" applyFont="1" applyFill="1" applyBorder="1"/>
    <xf numFmtId="1" fontId="24" fillId="25" borderId="49" xfId="0" applyNumberFormat="1" applyFont="1" applyFill="1" applyBorder="1"/>
    <xf numFmtId="170" fontId="23" fillId="25" borderId="51" xfId="0" applyNumberFormat="1" applyFont="1" applyFill="1" applyBorder="1"/>
    <xf numFmtId="0" fontId="24" fillId="25" borderId="51" xfId="0" applyFont="1" applyFill="1" applyBorder="1"/>
    <xf numFmtId="0" fontId="24" fillId="25" borderId="24" xfId="0" applyFont="1" applyFill="1" applyBorder="1"/>
    <xf numFmtId="1" fontId="24" fillId="25" borderId="24" xfId="0" applyNumberFormat="1" applyFont="1" applyFill="1" applyBorder="1"/>
    <xf numFmtId="1" fontId="24" fillId="25" borderId="40" xfId="0" applyNumberFormat="1" applyFont="1" applyFill="1" applyBorder="1"/>
    <xf numFmtId="170" fontId="23" fillId="25" borderId="49" xfId="0" applyNumberFormat="1" applyFont="1" applyFill="1" applyBorder="1"/>
    <xf numFmtId="0" fontId="24" fillId="25" borderId="49" xfId="0" applyFont="1" applyFill="1" applyBorder="1"/>
    <xf numFmtId="3" fontId="24" fillId="0" borderId="59" xfId="0" applyNumberFormat="1" applyFont="1" applyBorder="1"/>
    <xf numFmtId="165" fontId="24" fillId="0" borderId="59" xfId="0" applyNumberFormat="1" applyFont="1" applyBorder="1"/>
    <xf numFmtId="0" fontId="23" fillId="0" borderId="53" xfId="0" applyFont="1" applyBorder="1"/>
    <xf numFmtId="0" fontId="23" fillId="0" borderId="53" xfId="0" applyFont="1" applyBorder="1" applyAlignment="1">
      <alignment horizontal="left"/>
    </xf>
    <xf numFmtId="3" fontId="19" fillId="14" borderId="53" xfId="0" applyNumberFormat="1" applyFont="1" applyFill="1" applyBorder="1"/>
    <xf numFmtId="1" fontId="24" fillId="0" borderId="24" xfId="0" applyNumberFormat="1" applyFont="1" applyBorder="1"/>
    <xf numFmtId="0" fontId="10" fillId="17" borderId="49" xfId="0" applyFont="1" applyFill="1" applyBorder="1" applyAlignment="1">
      <alignment wrapText="1"/>
    </xf>
    <xf numFmtId="0" fontId="24" fillId="20" borderId="49" xfId="0" applyFont="1" applyFill="1" applyBorder="1"/>
    <xf numFmtId="1" fontId="24" fillId="20" borderId="49" xfId="0" applyNumberFormat="1" applyFont="1" applyFill="1" applyBorder="1"/>
    <xf numFmtId="1" fontId="24" fillId="26" borderId="49" xfId="0" applyNumberFormat="1" applyFont="1" applyFill="1" applyBorder="1"/>
    <xf numFmtId="0" fontId="24" fillId="20" borderId="24" xfId="0" applyFont="1" applyFill="1" applyBorder="1"/>
    <xf numFmtId="165" fontId="24" fillId="0" borderId="51" xfId="25" applyNumberFormat="1" applyFont="1" applyFill="1" applyBorder="1"/>
    <xf numFmtId="165" fontId="24" fillId="0" borderId="24" xfId="25" applyNumberFormat="1" applyFont="1" applyFill="1" applyBorder="1"/>
    <xf numFmtId="165" fontId="24" fillId="0" borderId="43" xfId="0" applyNumberFormat="1" applyFont="1" applyBorder="1" applyAlignment="1">
      <alignment horizontal="right"/>
    </xf>
    <xf numFmtId="1" fontId="24" fillId="0" borderId="50" xfId="0" applyNumberFormat="1" applyFont="1" applyBorder="1"/>
    <xf numFmtId="1" fontId="24" fillId="0" borderId="40" xfId="0" applyNumberFormat="1" applyFont="1" applyBorder="1"/>
    <xf numFmtId="165" fontId="24" fillId="0" borderId="40" xfId="25" applyNumberFormat="1" applyFont="1" applyFill="1" applyBorder="1"/>
    <xf numFmtId="1" fontId="24" fillId="0" borderId="37" xfId="0" applyNumberFormat="1" applyFont="1" applyBorder="1"/>
    <xf numFmtId="0" fontId="24" fillId="0" borderId="50" xfId="0" applyFont="1" applyBorder="1"/>
    <xf numFmtId="0" fontId="24" fillId="20" borderId="50" xfId="0" applyFont="1" applyFill="1" applyBorder="1"/>
    <xf numFmtId="0" fontId="24" fillId="20" borderId="40" xfId="0" applyFont="1" applyFill="1" applyBorder="1"/>
    <xf numFmtId="0" fontId="24" fillId="20" borderId="61" xfId="0" applyFont="1" applyFill="1" applyBorder="1"/>
    <xf numFmtId="1" fontId="24" fillId="0" borderId="61" xfId="0" applyNumberFormat="1" applyFont="1" applyBorder="1"/>
    <xf numFmtId="0" fontId="24" fillId="20" borderId="62" xfId="0" applyFont="1" applyFill="1" applyBorder="1"/>
    <xf numFmtId="0" fontId="24" fillId="26" borderId="63" xfId="0" applyFont="1" applyFill="1" applyBorder="1"/>
    <xf numFmtId="0" fontId="24" fillId="26" borderId="61" xfId="0" applyFont="1" applyFill="1" applyBorder="1"/>
    <xf numFmtId="0" fontId="24" fillId="26" borderId="62" xfId="0" applyFont="1" applyFill="1" applyBorder="1"/>
    <xf numFmtId="17" fontId="0" fillId="0" borderId="0" xfId="0" applyNumberFormat="1"/>
    <xf numFmtId="1" fontId="24" fillId="0" borderId="57" xfId="0" applyNumberFormat="1" applyFont="1" applyBorder="1"/>
    <xf numFmtId="165" fontId="24" fillId="0" borderId="58" xfId="25" applyNumberFormat="1" applyFont="1" applyFill="1" applyBorder="1"/>
    <xf numFmtId="1" fontId="24" fillId="0" borderId="58" xfId="0" applyNumberFormat="1" applyFont="1" applyBorder="1"/>
    <xf numFmtId="1" fontId="24" fillId="0" borderId="60" xfId="0" applyNumberFormat="1" applyFont="1" applyBorder="1"/>
    <xf numFmtId="1" fontId="24" fillId="0" borderId="59" xfId="0" applyNumberFormat="1" applyFont="1" applyBorder="1"/>
    <xf numFmtId="165" fontId="24" fillId="0" borderId="59" xfId="25" applyNumberFormat="1" applyFont="1" applyFill="1" applyBorder="1"/>
    <xf numFmtId="1" fontId="24" fillId="0" borderId="52" xfId="0" applyNumberFormat="1" applyFont="1" applyBorder="1"/>
    <xf numFmtId="0" fontId="24" fillId="20" borderId="57" xfId="0" applyFont="1" applyFill="1" applyBorder="1"/>
    <xf numFmtId="0" fontId="24" fillId="20" borderId="64" xfId="0" applyFont="1" applyFill="1" applyBorder="1"/>
    <xf numFmtId="0" fontId="10" fillId="17" borderId="56" xfId="0" applyFont="1" applyFill="1" applyBorder="1"/>
    <xf numFmtId="0" fontId="10" fillId="17" borderId="56" xfId="0" applyFont="1" applyFill="1" applyBorder="1" applyAlignment="1">
      <alignment wrapText="1"/>
    </xf>
    <xf numFmtId="0" fontId="22" fillId="15" borderId="56" xfId="0" applyFont="1" applyFill="1" applyBorder="1"/>
    <xf numFmtId="0" fontId="10" fillId="17" borderId="57" xfId="0" applyFont="1" applyFill="1" applyBorder="1"/>
    <xf numFmtId="0" fontId="10" fillId="17" borderId="57" xfId="0" applyFont="1" applyFill="1" applyBorder="1" applyAlignment="1">
      <alignment wrapText="1"/>
    </xf>
    <xf numFmtId="165" fontId="24" fillId="0" borderId="60" xfId="25" applyNumberFormat="1" applyFont="1" applyFill="1" applyBorder="1" applyAlignment="1"/>
    <xf numFmtId="165" fontId="24" fillId="0" borderId="49" xfId="0" applyNumberFormat="1" applyFont="1" applyBorder="1" applyAlignment="1">
      <alignment horizontal="right"/>
    </xf>
    <xf numFmtId="3" fontId="24" fillId="0" borderId="53" xfId="0" applyNumberFormat="1" applyFont="1" applyBorder="1"/>
    <xf numFmtId="3" fontId="24" fillId="0" borderId="0" xfId="0" applyNumberFormat="1" applyFont="1"/>
    <xf numFmtId="1" fontId="0" fillId="0" borderId="0" xfId="0" applyNumberFormat="1"/>
    <xf numFmtId="0" fontId="24" fillId="0" borderId="59" xfId="0" applyFont="1" applyBorder="1"/>
    <xf numFmtId="0" fontId="24" fillId="0" borderId="62" xfId="0" applyFont="1" applyBorder="1"/>
    <xf numFmtId="0" fontId="24" fillId="0" borderId="60" xfId="0" applyFont="1" applyBorder="1"/>
    <xf numFmtId="165" fontId="24" fillId="0" borderId="59" xfId="25" applyNumberFormat="1" applyFont="1" applyFill="1" applyBorder="1" applyAlignment="1"/>
    <xf numFmtId="0" fontId="42" fillId="18" borderId="0" xfId="0" applyFont="1" applyFill="1"/>
    <xf numFmtId="0" fontId="43" fillId="18" borderId="0" xfId="0" applyFont="1" applyFill="1"/>
    <xf numFmtId="0" fontId="42" fillId="18" borderId="0" xfId="0" applyFont="1" applyFill="1" applyAlignment="1">
      <alignment horizontal="right"/>
    </xf>
    <xf numFmtId="0" fontId="43" fillId="18" borderId="0" xfId="0" applyFont="1" applyFill="1" applyAlignment="1">
      <alignment horizontal="right"/>
    </xf>
    <xf numFmtId="0" fontId="44" fillId="18" borderId="0" xfId="0" applyFont="1" applyFill="1"/>
    <xf numFmtId="0" fontId="42" fillId="16" borderId="0" xfId="0" applyFont="1" applyFill="1"/>
    <xf numFmtId="9" fontId="42" fillId="18" borderId="0" xfId="0" applyNumberFormat="1" applyFont="1" applyFill="1" applyAlignment="1">
      <alignment horizontal="right"/>
    </xf>
    <xf numFmtId="0" fontId="45" fillId="18" borderId="0" xfId="0" applyFont="1" applyFill="1"/>
    <xf numFmtId="0" fontId="45" fillId="18" borderId="0" xfId="0" applyFont="1" applyFill="1" applyAlignment="1">
      <alignment horizontal="right"/>
    </xf>
    <xf numFmtId="9" fontId="42" fillId="18" borderId="0" xfId="28" applyFont="1" applyFill="1" applyAlignment="1">
      <alignment horizontal="right"/>
    </xf>
    <xf numFmtId="0" fontId="46" fillId="18" borderId="0" xfId="0" applyFont="1" applyFill="1" applyAlignment="1">
      <alignment horizontal="center"/>
    </xf>
    <xf numFmtId="9" fontId="45" fillId="18" borderId="0" xfId="28" applyFont="1" applyFill="1" applyAlignment="1">
      <alignment horizontal="right"/>
    </xf>
    <xf numFmtId="1" fontId="42" fillId="18" borderId="0" xfId="0" applyNumberFormat="1" applyFont="1" applyFill="1" applyAlignment="1">
      <alignment horizontal="right"/>
    </xf>
    <xf numFmtId="0" fontId="47" fillId="16" borderId="0" xfId="0" applyFont="1" applyFill="1"/>
    <xf numFmtId="9" fontId="45" fillId="18" borderId="0" xfId="28" applyFont="1" applyFill="1" applyAlignment="1">
      <alignment horizontal="center"/>
    </xf>
    <xf numFmtId="3" fontId="42" fillId="18" borderId="0" xfId="0" applyNumberFormat="1" applyFont="1" applyFill="1"/>
    <xf numFmtId="3" fontId="45" fillId="18" borderId="0" xfId="0" applyNumberFormat="1" applyFont="1" applyFill="1" applyAlignment="1">
      <alignment horizontal="right"/>
    </xf>
    <xf numFmtId="1" fontId="24" fillId="0" borderId="0" xfId="0" applyNumberFormat="1" applyFont="1"/>
    <xf numFmtId="174" fontId="24" fillId="0" borderId="0" xfId="0" applyNumberFormat="1" applyFont="1"/>
    <xf numFmtId="0" fontId="42" fillId="16" borderId="68" xfId="0" applyFont="1" applyFill="1" applyBorder="1"/>
    <xf numFmtId="0" fontId="45" fillId="16" borderId="69" xfId="0" applyFont="1" applyFill="1" applyBorder="1"/>
    <xf numFmtId="0" fontId="48" fillId="27" borderId="0" xfId="0" applyFont="1" applyFill="1" applyAlignment="1">
      <alignment horizontal="center"/>
    </xf>
    <xf numFmtId="1" fontId="48" fillId="27" borderId="0" xfId="0" applyNumberFormat="1" applyFont="1" applyFill="1" applyAlignment="1">
      <alignment horizontal="center"/>
    </xf>
    <xf numFmtId="0" fontId="45" fillId="16" borderId="69" xfId="0" applyFont="1" applyFill="1" applyBorder="1" applyAlignment="1">
      <alignment horizontal="center"/>
    </xf>
    <xf numFmtId="9" fontId="47" fillId="18" borderId="0" xfId="28" applyFont="1" applyFill="1" applyAlignment="1">
      <alignment horizontal="center"/>
    </xf>
    <xf numFmtId="0" fontId="45" fillId="16" borderId="0" xfId="0" applyFont="1" applyFill="1"/>
    <xf numFmtId="0" fontId="42" fillId="16" borderId="71" xfId="0" applyFont="1" applyFill="1" applyBorder="1"/>
    <xf numFmtId="1" fontId="42" fillId="18" borderId="70" xfId="0" applyNumberFormat="1" applyFont="1" applyFill="1" applyBorder="1" applyAlignment="1">
      <alignment horizontal="center"/>
    </xf>
    <xf numFmtId="1" fontId="42" fillId="18" borderId="72" xfId="0" applyNumberFormat="1" applyFont="1" applyFill="1" applyBorder="1" applyAlignment="1">
      <alignment horizontal="center"/>
    </xf>
    <xf numFmtId="0" fontId="42" fillId="16" borderId="0" xfId="0" applyFont="1" applyFill="1" applyAlignment="1">
      <alignment horizontal="right"/>
    </xf>
    <xf numFmtId="3" fontId="0" fillId="0" borderId="0" xfId="0" applyNumberFormat="1"/>
    <xf numFmtId="9" fontId="0" fillId="0" borderId="0" xfId="28" applyFont="1"/>
    <xf numFmtId="0" fontId="42" fillId="28" borderId="0" xfId="0" applyFont="1" applyFill="1"/>
    <xf numFmtId="0" fontId="42" fillId="28" borderId="0" xfId="0" applyFont="1" applyFill="1" applyAlignment="1">
      <alignment horizontal="right"/>
    </xf>
    <xf numFmtId="9" fontId="42" fillId="28" borderId="0" xfId="0" applyNumberFormat="1" applyFont="1" applyFill="1" applyAlignment="1">
      <alignment horizontal="right"/>
    </xf>
    <xf numFmtId="1" fontId="42" fillId="28" borderId="0" xfId="0" applyNumberFormat="1" applyFont="1" applyFill="1" applyAlignment="1">
      <alignment horizontal="right"/>
    </xf>
    <xf numFmtId="3" fontId="42" fillId="28" borderId="0" xfId="0" applyNumberFormat="1" applyFont="1" applyFill="1"/>
    <xf numFmtId="9" fontId="47" fillId="28" borderId="0" xfId="28" applyFont="1" applyFill="1" applyAlignment="1">
      <alignment horizontal="center"/>
    </xf>
    <xf numFmtId="0" fontId="45" fillId="28" borderId="0" xfId="0" applyFont="1" applyFill="1" applyAlignment="1">
      <alignment horizontal="right"/>
    </xf>
    <xf numFmtId="0" fontId="45" fillId="16" borderId="65" xfId="0" applyFont="1" applyFill="1" applyBorder="1"/>
    <xf numFmtId="0" fontId="45" fillId="16" borderId="65" xfId="0" applyFont="1" applyFill="1" applyBorder="1" applyAlignment="1">
      <alignment horizontal="right"/>
    </xf>
    <xf numFmtId="0" fontId="49" fillId="16" borderId="65" xfId="0" applyFont="1" applyFill="1" applyBorder="1" applyAlignment="1">
      <alignment horizontal="center"/>
    </xf>
    <xf numFmtId="0" fontId="45" fillId="18" borderId="0" xfId="0" applyFont="1" applyFill="1" applyAlignment="1">
      <alignment horizontal="center"/>
    </xf>
    <xf numFmtId="0" fontId="45" fillId="23" borderId="0" xfId="0" applyFont="1" applyFill="1" applyAlignment="1">
      <alignment horizontal="center"/>
    </xf>
    <xf numFmtId="9" fontId="45" fillId="23" borderId="0" xfId="28" applyFont="1" applyFill="1" applyAlignment="1">
      <alignment horizontal="center"/>
    </xf>
    <xf numFmtId="0" fontId="45" fillId="23" borderId="65" xfId="0" applyFont="1" applyFill="1" applyBorder="1" applyAlignment="1">
      <alignment horizontal="left"/>
    </xf>
    <xf numFmtId="0" fontId="42" fillId="23" borderId="65" xfId="0" applyFont="1" applyFill="1" applyBorder="1"/>
    <xf numFmtId="9" fontId="42" fillId="18" borderId="0" xfId="28" applyFont="1" applyFill="1"/>
    <xf numFmtId="0" fontId="0" fillId="0" borderId="0" xfId="0" applyAlignment="1">
      <alignment horizontal="center"/>
    </xf>
    <xf numFmtId="0" fontId="51" fillId="29" borderId="0" xfId="0" applyFont="1" applyFill="1" applyAlignment="1">
      <alignment horizontal="center"/>
    </xf>
    <xf numFmtId="0" fontId="51" fillId="29" borderId="74" xfId="0" applyFont="1" applyFill="1" applyBorder="1" applyAlignment="1">
      <alignment horizontal="center"/>
    </xf>
    <xf numFmtId="0" fontId="3" fillId="18" borderId="75" xfId="0" applyFont="1" applyFill="1" applyBorder="1"/>
    <xf numFmtId="0" fontId="3" fillId="18" borderId="76" xfId="0" applyFont="1" applyFill="1" applyBorder="1"/>
    <xf numFmtId="0" fontId="3" fillId="18" borderId="64" xfId="0" applyFont="1" applyFill="1" applyBorder="1"/>
    <xf numFmtId="0" fontId="41" fillId="28" borderId="0" xfId="0" applyFont="1" applyFill="1" applyAlignment="1">
      <alignment horizontal="left"/>
    </xf>
    <xf numFmtId="0" fontId="41" fillId="28" borderId="0" xfId="0" applyFont="1" applyFill="1"/>
    <xf numFmtId="0" fontId="2" fillId="18" borderId="76" xfId="0" applyFont="1" applyFill="1" applyBorder="1"/>
    <xf numFmtId="0" fontId="3" fillId="20" borderId="64" xfId="0" applyFont="1" applyFill="1" applyBorder="1"/>
    <xf numFmtId="166" fontId="24" fillId="0" borderId="43" xfId="0" applyNumberFormat="1" applyFont="1" applyBorder="1"/>
    <xf numFmtId="166" fontId="24" fillId="0" borderId="50" xfId="0" applyNumberFormat="1" applyFont="1" applyBorder="1"/>
    <xf numFmtId="166" fontId="24" fillId="0" borderId="49" xfId="0" applyNumberFormat="1" applyFont="1" applyBorder="1"/>
    <xf numFmtId="166" fontId="23" fillId="0" borderId="39" xfId="0" applyNumberFormat="1" applyFont="1" applyBorder="1"/>
    <xf numFmtId="166" fontId="23" fillId="0" borderId="43" xfId="0" applyNumberFormat="1" applyFont="1" applyBorder="1"/>
    <xf numFmtId="166" fontId="24" fillId="0" borderId="39" xfId="25" applyNumberFormat="1" applyFont="1" applyFill="1" applyBorder="1"/>
    <xf numFmtId="166" fontId="24" fillId="0" borderId="43" xfId="25" applyNumberFormat="1" applyFont="1" applyFill="1" applyBorder="1"/>
    <xf numFmtId="166" fontId="23" fillId="0" borderId="40" xfId="25" applyNumberFormat="1" applyFont="1" applyFill="1" applyBorder="1"/>
    <xf numFmtId="166" fontId="23" fillId="0" borderId="24" xfId="25" applyNumberFormat="1" applyFont="1" applyFill="1" applyBorder="1"/>
    <xf numFmtId="166" fontId="24" fillId="24" borderId="52" xfId="0" applyNumberFormat="1" applyFont="1" applyFill="1" applyBorder="1"/>
    <xf numFmtId="166" fontId="24" fillId="24" borderId="51" xfId="0" applyNumberFormat="1" applyFont="1" applyFill="1" applyBorder="1"/>
    <xf numFmtId="166" fontId="24" fillId="24" borderId="50" xfId="0" applyNumberFormat="1" applyFont="1" applyFill="1" applyBorder="1"/>
    <xf numFmtId="166" fontId="24" fillId="24" borderId="43" xfId="0" applyNumberFormat="1" applyFont="1" applyFill="1" applyBorder="1"/>
    <xf numFmtId="166" fontId="23" fillId="25" borderId="50" xfId="0" applyNumberFormat="1" applyFont="1" applyFill="1" applyBorder="1"/>
    <xf numFmtId="166" fontId="23" fillId="25" borderId="49" xfId="0" applyNumberFormat="1" applyFont="1" applyFill="1" applyBorder="1"/>
    <xf numFmtId="166" fontId="24" fillId="24" borderId="49" xfId="0" applyNumberFormat="1" applyFont="1" applyFill="1" applyBorder="1"/>
    <xf numFmtId="166" fontId="24" fillId="24" borderId="50" xfId="25" applyNumberFormat="1" applyFont="1" applyFill="1" applyBorder="1"/>
    <xf numFmtId="166" fontId="23" fillId="25" borderId="34" xfId="25" applyNumberFormat="1" applyFont="1" applyFill="1" applyBorder="1"/>
    <xf numFmtId="166" fontId="23" fillId="25" borderId="21" xfId="25" applyNumberFormat="1" applyFont="1" applyFill="1" applyBorder="1"/>
    <xf numFmtId="166" fontId="23" fillId="25" borderId="40" xfId="0" applyNumberFormat="1" applyFont="1" applyFill="1" applyBorder="1"/>
    <xf numFmtId="166" fontId="23" fillId="25" borderId="24" xfId="0" applyNumberFormat="1" applyFont="1" applyFill="1" applyBorder="1"/>
    <xf numFmtId="166" fontId="23" fillId="23" borderId="44" xfId="25" applyNumberFormat="1" applyFont="1" applyFill="1" applyBorder="1"/>
    <xf numFmtId="166" fontId="23" fillId="23" borderId="0" xfId="25" applyNumberFormat="1" applyFont="1" applyFill="1" applyBorder="1"/>
    <xf numFmtId="166" fontId="23" fillId="23" borderId="50" xfId="0" applyNumberFormat="1" applyFont="1" applyFill="1" applyBorder="1"/>
    <xf numFmtId="166" fontId="23" fillId="23" borderId="49" xfId="0" applyNumberFormat="1" applyFont="1" applyFill="1" applyBorder="1"/>
    <xf numFmtId="166" fontId="24" fillId="0" borderId="37" xfId="0" applyNumberFormat="1" applyFont="1" applyBorder="1"/>
    <xf numFmtId="166" fontId="24" fillId="0" borderId="51" xfId="0" applyNumberFormat="1" applyFont="1" applyBorder="1"/>
    <xf numFmtId="166" fontId="23" fillId="0" borderId="50" xfId="0" applyNumberFormat="1" applyFont="1" applyBorder="1"/>
    <xf numFmtId="166" fontId="23" fillId="0" borderId="49" xfId="0" applyNumberFormat="1" applyFont="1" applyBorder="1"/>
    <xf numFmtId="166" fontId="23" fillId="2" borderId="46" xfId="25" applyNumberFormat="1" applyFont="1" applyFill="1" applyBorder="1"/>
    <xf numFmtId="166" fontId="23" fillId="2" borderId="8" xfId="25" applyNumberFormat="1" applyFont="1" applyFill="1" applyBorder="1"/>
    <xf numFmtId="43" fontId="23" fillId="23" borderId="50" xfId="0" applyNumberFormat="1" applyFont="1" applyFill="1" applyBorder="1"/>
    <xf numFmtId="43" fontId="23" fillId="23" borderId="49" xfId="0" applyNumberFormat="1" applyFont="1" applyFill="1" applyBorder="1"/>
    <xf numFmtId="176" fontId="0" fillId="0" borderId="0" xfId="0" applyNumberFormat="1"/>
    <xf numFmtId="4" fontId="19" fillId="14" borderId="49" xfId="0" applyNumberFormat="1" applyFont="1" applyFill="1" applyBorder="1"/>
    <xf numFmtId="4" fontId="24" fillId="0" borderId="50" xfId="0" applyNumberFormat="1" applyFont="1" applyBorder="1"/>
    <xf numFmtId="4" fontId="24" fillId="0" borderId="57" xfId="0" applyNumberFormat="1" applyFont="1" applyBorder="1"/>
    <xf numFmtId="4" fontId="19" fillId="14" borderId="0" xfId="0" applyNumberFormat="1" applyFont="1" applyFill="1"/>
    <xf numFmtId="4" fontId="24" fillId="0" borderId="44" xfId="0" applyNumberFormat="1" applyFont="1" applyBorder="1"/>
    <xf numFmtId="177" fontId="24" fillId="25" borderId="8" xfId="0" applyNumberFormat="1" applyFont="1" applyFill="1" applyBorder="1"/>
    <xf numFmtId="177" fontId="24" fillId="25" borderId="41" xfId="0" applyNumberFormat="1" applyFont="1" applyFill="1" applyBorder="1"/>
    <xf numFmtId="177" fontId="24" fillId="25" borderId="50" xfId="0" applyNumberFormat="1" applyFont="1" applyFill="1" applyBorder="1"/>
    <xf numFmtId="177" fontId="24" fillId="25" borderId="49" xfId="0" applyNumberFormat="1" applyFont="1" applyFill="1" applyBorder="1"/>
    <xf numFmtId="177" fontId="23" fillId="23" borderId="8" xfId="0" applyNumberFormat="1" applyFont="1" applyFill="1" applyBorder="1"/>
    <xf numFmtId="177" fontId="23" fillId="23" borderId="41" xfId="0" applyNumberFormat="1" applyFont="1" applyFill="1" applyBorder="1"/>
    <xf numFmtId="177" fontId="23" fillId="23" borderId="50" xfId="0" applyNumberFormat="1" applyFont="1" applyFill="1" applyBorder="1"/>
    <xf numFmtId="43" fontId="24" fillId="0" borderId="50" xfId="25" applyFont="1" applyFill="1" applyBorder="1"/>
    <xf numFmtId="43" fontId="24" fillId="0" borderId="49" xfId="25" applyFont="1" applyFill="1" applyBorder="1"/>
    <xf numFmtId="43" fontId="24" fillId="0" borderId="57" xfId="25" applyFont="1" applyFill="1" applyBorder="1"/>
    <xf numFmtId="43" fontId="24" fillId="0" borderId="56" xfId="25" applyFont="1" applyFill="1" applyBorder="1"/>
    <xf numFmtId="43" fontId="23" fillId="0" borderId="60" xfId="25" applyFont="1" applyFill="1" applyBorder="1"/>
    <xf numFmtId="43" fontId="23" fillId="0" borderId="59" xfId="25" applyFont="1" applyFill="1" applyBorder="1"/>
    <xf numFmtId="43" fontId="24" fillId="25" borderId="37" xfId="0" applyNumberFormat="1" applyFont="1" applyFill="1" applyBorder="1"/>
    <xf numFmtId="43" fontId="24" fillId="25" borderId="51" xfId="0" applyNumberFormat="1" applyFont="1" applyFill="1" applyBorder="1"/>
    <xf numFmtId="43" fontId="24" fillId="25" borderId="50" xfId="0" applyNumberFormat="1" applyFont="1" applyFill="1" applyBorder="1"/>
    <xf numFmtId="43" fontId="24" fillId="25" borderId="49" xfId="0" applyNumberFormat="1" applyFont="1" applyFill="1" applyBorder="1"/>
    <xf numFmtId="175" fontId="0" fillId="0" borderId="0" xfId="0" applyNumberFormat="1"/>
    <xf numFmtId="10" fontId="0" fillId="0" borderId="0" xfId="28" applyNumberFormat="1" applyFont="1"/>
    <xf numFmtId="174" fontId="0" fillId="0" borderId="0" xfId="0" applyNumberFormat="1"/>
    <xf numFmtId="0" fontId="41" fillId="0" borderId="15" xfId="0" applyFont="1" applyBorder="1" applyAlignment="1">
      <alignment horizontal="center"/>
    </xf>
    <xf numFmtId="0" fontId="41" fillId="0" borderId="77" xfId="0" applyFont="1" applyBorder="1" applyAlignment="1">
      <alignment horizontal="center"/>
    </xf>
    <xf numFmtId="0" fontId="41" fillId="0" borderId="42" xfId="0" applyFont="1" applyBorder="1" applyAlignment="1">
      <alignment horizontal="center"/>
    </xf>
    <xf numFmtId="0" fontId="24" fillId="16" borderId="57" xfId="0" applyFont="1" applyFill="1" applyBorder="1"/>
    <xf numFmtId="0" fontId="24" fillId="16" borderId="79" xfId="0" applyFont="1" applyFill="1" applyBorder="1"/>
    <xf numFmtId="0" fontId="24" fillId="16" borderId="60" xfId="0" applyFont="1" applyFill="1" applyBorder="1"/>
    <xf numFmtId="0" fontId="24" fillId="16" borderId="80" xfId="0" applyFont="1" applyFill="1" applyBorder="1"/>
    <xf numFmtId="0" fontId="24" fillId="16" borderId="52" xfId="0" applyFont="1" applyFill="1" applyBorder="1"/>
    <xf numFmtId="0" fontId="24" fillId="16" borderId="78" xfId="0" applyFont="1" applyFill="1" applyBorder="1"/>
    <xf numFmtId="3" fontId="0" fillId="16" borderId="84" xfId="0" applyNumberFormat="1" applyFill="1" applyBorder="1" applyAlignment="1">
      <alignment horizontal="center"/>
    </xf>
    <xf numFmtId="3" fontId="0" fillId="16" borderId="85" xfId="0" applyNumberFormat="1" applyFill="1" applyBorder="1" applyAlignment="1">
      <alignment horizontal="center"/>
    </xf>
    <xf numFmtId="3" fontId="0" fillId="16" borderId="87" xfId="0" applyNumberFormat="1" applyFill="1" applyBorder="1" applyAlignment="1">
      <alignment horizontal="center"/>
    </xf>
    <xf numFmtId="3" fontId="0" fillId="16" borderId="88" xfId="0" applyNumberFormat="1" applyFill="1" applyBorder="1" applyAlignment="1">
      <alignment horizontal="center"/>
    </xf>
    <xf numFmtId="3" fontId="0" fillId="16" borderId="90" xfId="0" applyNumberFormat="1" applyFill="1" applyBorder="1" applyAlignment="1">
      <alignment horizontal="center"/>
    </xf>
    <xf numFmtId="3" fontId="0" fillId="16" borderId="91" xfId="0" applyNumberFormat="1" applyFill="1" applyBorder="1" applyAlignment="1">
      <alignment horizontal="center"/>
    </xf>
    <xf numFmtId="0" fontId="41" fillId="18" borderId="82" xfId="0" applyFont="1" applyFill="1" applyBorder="1"/>
    <xf numFmtId="0" fontId="0" fillId="18" borderId="74" xfId="0" applyFill="1" applyBorder="1"/>
    <xf numFmtId="0" fontId="0" fillId="18" borderId="74" xfId="0" applyFill="1" applyBorder="1" applyAlignment="1">
      <alignment horizontal="center"/>
    </xf>
    <xf numFmtId="0" fontId="0" fillId="18" borderId="81" xfId="0" applyFill="1" applyBorder="1" applyAlignment="1">
      <alignment horizontal="center"/>
    </xf>
    <xf numFmtId="3" fontId="0" fillId="16" borderId="83" xfId="0" applyNumberFormat="1" applyFill="1" applyBorder="1" applyAlignment="1">
      <alignment horizontal="center"/>
    </xf>
    <xf numFmtId="3" fontId="0" fillId="16" borderId="86" xfId="0" applyNumberFormat="1" applyFill="1" applyBorder="1" applyAlignment="1">
      <alignment horizontal="center"/>
    </xf>
    <xf numFmtId="3" fontId="0" fillId="16" borderId="89" xfId="0" applyNumberFormat="1" applyFill="1" applyBorder="1" applyAlignment="1">
      <alignment horizontal="center"/>
    </xf>
    <xf numFmtId="0" fontId="0" fillId="0" borderId="77" xfId="0" applyBorder="1"/>
    <xf numFmtId="9" fontId="0" fillId="0" borderId="0" xfId="28" applyFont="1" applyAlignment="1">
      <alignment horizontal="center"/>
    </xf>
    <xf numFmtId="0" fontId="45" fillId="16" borderId="66" xfId="0" applyFont="1" applyFill="1" applyBorder="1" applyAlignment="1">
      <alignment horizontal="center"/>
    </xf>
    <xf numFmtId="0" fontId="41" fillId="0" borderId="67" xfId="0" applyFont="1" applyBorder="1" applyAlignment="1">
      <alignment horizontal="center"/>
    </xf>
    <xf numFmtId="0" fontId="22" fillId="15" borderId="39" xfId="0" applyFont="1" applyFill="1" applyBorder="1" applyAlignment="1">
      <alignment horizontal="center"/>
    </xf>
    <xf numFmtId="0" fontId="22" fillId="15" borderId="33" xfId="0" applyFont="1" applyFill="1" applyBorder="1" applyAlignment="1">
      <alignment horizontal="center"/>
    </xf>
    <xf numFmtId="0" fontId="22" fillId="15" borderId="43" xfId="0" applyFont="1" applyFill="1" applyBorder="1" applyAlignment="1">
      <alignment horizontal="center"/>
    </xf>
    <xf numFmtId="0" fontId="3" fillId="18" borderId="73" xfId="0" applyFont="1" applyFill="1" applyBorder="1" applyAlignment="1">
      <alignment horizontal="center" vertical="center" wrapText="1"/>
    </xf>
    <xf numFmtId="0" fontId="0" fillId="18" borderId="73" xfId="0" applyFill="1" applyBorder="1" applyAlignment="1">
      <alignment horizontal="center" vertical="center" wrapText="1"/>
    </xf>
    <xf numFmtId="0" fontId="6" fillId="20" borderId="42" xfId="0" applyFont="1" applyFill="1" applyBorder="1" applyAlignment="1">
      <alignment horizontal="center"/>
    </xf>
    <xf numFmtId="0" fontId="15" fillId="20" borderId="77" xfId="0" applyFont="1" applyFill="1" applyBorder="1" applyAlignment="1">
      <alignment horizontal="center"/>
    </xf>
    <xf numFmtId="0" fontId="2" fillId="18" borderId="73" xfId="0" applyFont="1" applyFill="1" applyBorder="1" applyAlignment="1">
      <alignment horizontal="center" vertical="center" wrapText="1"/>
    </xf>
  </cellXfs>
  <cellStyles count="29">
    <cellStyle name="Accent4" xfId="23" builtinId="41" customBuiltin="1"/>
    <cellStyle name="Accent6" xfId="24" builtinId="49" customBuiltin="1"/>
    <cellStyle name="Bad" xfId="8" builtinId="27" customBuiltin="1"/>
    <cellStyle name="Calculation" xfId="10" builtinId="22" hidden="1"/>
    <cellStyle name="Calculation" xfId="19" xr:uid="{BA044971-647E-4B43-BDF3-B9F90685EA06}"/>
    <cellStyle name="Check Cell" xfId="12" builtinId="23" hidden="1"/>
    <cellStyle name="Comma" xfId="25" builtinId="3"/>
    <cellStyle name="Explanatory Text" xfId="15" builtinId="53" hidden="1"/>
    <cellStyle name="Heading 1" xfId="2" builtinId="16" customBuiltin="1"/>
    <cellStyle name="Heading 2" xfId="3" builtinId="17" customBuiltin="1"/>
    <cellStyle name="Heading 3" xfId="4" builtinId="18" customBuiltin="1"/>
    <cellStyle name="Heading 4" xfId="17" builtinId="19" customBuiltin="1"/>
    <cellStyle name="Input" xfId="9" builtinId="20" hidden="1"/>
    <cellStyle name="Link" xfId="20" xr:uid="{F6F335AB-58A7-4135-B553-B7C2CE08F402}"/>
    <cellStyle name="Linked Cell" xfId="11" builtinId="24" hidden="1"/>
    <cellStyle name="Normal" xfId="0" builtinId="0"/>
    <cellStyle name="Normal 2" xfId="27" xr:uid="{FC2A6FD7-1274-4575-A7C4-A66FC8905765}"/>
    <cellStyle name="Normal 3" xfId="26" xr:uid="{F132A2AD-2181-4B21-9BE2-EE67BC1DBCF4}"/>
    <cellStyle name="Note" xfId="14" builtinId="10" hidden="1"/>
    <cellStyle name="Notes" xfId="22" xr:uid="{7BF13CA6-F5E1-45BE-8ABA-DF8882E10889}"/>
    <cellStyle name="Output" xfId="5" builtinId="21" hidden="1" customBuiltin="1"/>
    <cellStyle name="Output" xfId="1" xr:uid="{DDC8B129-E4EA-4CC9-B7C4-EEF8799DAD76}"/>
    <cellStyle name="Percent" xfId="28" builtinId="5"/>
    <cellStyle name="Raw Data" xfId="6" xr:uid="{6E154805-33DE-42D5-80BA-AF332D8E7637}"/>
    <cellStyle name="Title" xfId="16" builtinId="15" customBuiltin="1"/>
    <cellStyle name="Total" xfId="18" builtinId="25" customBuiltin="1"/>
    <cellStyle name="Variables" xfId="7" xr:uid="{F06CDAB5-849E-4246-87E8-405DA417694B}"/>
    <cellStyle name="Warning" xfId="21" xr:uid="{270F583D-5642-40BB-8274-77A9A43F50AB}"/>
    <cellStyle name="Warning Text" xfId="13" builtinId="11" hidden="1"/>
  </cellStyles>
  <dxfs count="18">
    <dxf>
      <fill>
        <patternFill>
          <bgColor rgb="FFE6E6E6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 style="thick">
          <color auto="1"/>
        </bottom>
        <vertical/>
        <horizontal/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</dxfs>
  <tableStyles count="7" defaultTableStyle="Firm Table 1" defaultPivotStyle="PivotStyleLight16">
    <tableStyle name="Firm Table 1" pivot="0" count="3" xr9:uid="{EBA62709-C567-4EE8-B22C-FB062E3CEA69}">
      <tableStyleElement type="wholeTable" dxfId="17"/>
      <tableStyleElement type="headerRow" dxfId="16"/>
      <tableStyleElement type="firstColumn" dxfId="15"/>
    </tableStyle>
    <tableStyle name="Firm Table 2" pivot="0" count="2" xr9:uid="{B876A247-FB3A-4EAD-8ABF-DECA13B726A4}">
      <tableStyleElement type="headerRow" dxfId="14"/>
      <tableStyleElement type="firstColumn" dxfId="13"/>
    </tableStyle>
    <tableStyle name="Firm Table 3" pivot="0" count="2" xr9:uid="{2B6AAF42-6E59-4306-B0DA-5849423BC35A}">
      <tableStyleElement type="headerRow" dxfId="12"/>
      <tableStyleElement type="firstColumn" dxfId="11"/>
    </tableStyle>
    <tableStyle name="Firm Table 4" pivot="0" count="3" xr9:uid="{32B30501-1584-4AD4-A03A-1FBBE68503FC}">
      <tableStyleElement type="wholeTable" dxfId="10"/>
      <tableStyleElement type="headerRow" dxfId="9"/>
      <tableStyleElement type="firstColumn" dxfId="8"/>
    </tableStyle>
    <tableStyle name="Firm Table 5" pivot="0" count="2" xr9:uid="{5186B738-23FD-49C9-A79F-52302289DB42}">
      <tableStyleElement type="headerRow" dxfId="7"/>
      <tableStyleElement type="firstColumn" dxfId="6"/>
    </tableStyle>
    <tableStyle name="Firm Table 6" pivot="0" count="3" xr9:uid="{5115FDC7-826F-425C-92C7-D20F38226ADA}">
      <tableStyleElement type="wholeTable" dxfId="5"/>
      <tableStyleElement type="headerRow" dxfId="4"/>
      <tableStyleElement type="firstColumn" dxfId="3"/>
    </tableStyle>
    <tableStyle name="Firm Table 7" pivot="0" count="3" xr9:uid="{084FD9DC-CC97-454E-8CBD-B2EE3CD956D6}">
      <tableStyleElement type="headerRow" dxfId="2"/>
      <tableStyleElement type="firstColumn" dxfId="1"/>
      <tableStyleElement type="secondRowStripe" dxfId="0"/>
    </tableStyle>
  </tableStyles>
  <colors>
    <mruColors>
      <color rgb="FF91E7A5"/>
      <color rgb="FFCCEAD3"/>
      <color rgb="FFFAA082"/>
      <color rgb="FFF9C7BF"/>
      <color rgb="FFE8F4E8"/>
      <color rgb="FF0000FF"/>
      <color rgb="FFF2F2F2"/>
      <color rgb="FFD0D0D0"/>
      <color rgb="FF7F7F7F"/>
      <color rgb="FF0080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11252</xdr:colOff>
      <xdr:row>2</xdr:row>
      <xdr:rowOff>29888</xdr:rowOff>
    </xdr:from>
    <xdr:to>
      <xdr:col>12</xdr:col>
      <xdr:colOff>632448</xdr:colOff>
      <xdr:row>27</xdr:row>
      <xdr:rowOff>24654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EE11A2-A9E9-4522-81CF-78FEA41A4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710" y="382666"/>
          <a:ext cx="7897238" cy="44044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32999</xdr:colOff>
      <xdr:row>113</xdr:row>
      <xdr:rowOff>95706</xdr:rowOff>
    </xdr:from>
    <xdr:to>
      <xdr:col>9</xdr:col>
      <xdr:colOff>413896</xdr:colOff>
      <xdr:row>114</xdr:row>
      <xdr:rowOff>71793</xdr:rowOff>
    </xdr:to>
    <xdr:sp macro="" textlink="">
      <xdr:nvSpPr>
        <xdr:cNvPr id="9" name="TextBox 122">
          <a:extLst>
            <a:ext uri="{FF2B5EF4-FFF2-40B4-BE49-F238E27FC236}">
              <a16:creationId xmlns:a16="http://schemas.microsoft.com/office/drawing/2014/main" id="{9CAEDCE1-DDC8-27E6-C0FA-3E9CA054B538}"/>
            </a:ext>
          </a:extLst>
        </xdr:cNvPr>
        <xdr:cNvSpPr txBox="1"/>
      </xdr:nvSpPr>
      <xdr:spPr>
        <a:xfrm>
          <a:off x="2971219" y="12537401"/>
          <a:ext cx="11993863" cy="159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="horz" wrap="square" lIns="0" tIns="0" rIns="0" bIns="0" rtlCol="0">
          <a:spAutoFit/>
        </a:bodyPr>
        <a:lstStyle>
          <a:defPPr>
            <a:defRPr lang="en-US"/>
          </a:defPPr>
          <a:lvl1pPr marL="0" lvl="0" indent="0" algn="l" defTabSz="914400" rtl="0" eaLnBrk="1" latinLnBrk="0" hangingPunct="1">
            <a:lnSpc>
              <a:spcPct val="100000"/>
            </a:lnSpc>
            <a:spcBef>
              <a:spcPts val="300"/>
            </a:spcBef>
            <a:spcAft>
              <a:spcPts val="300"/>
            </a:spcAft>
            <a:buFont typeface="Segoe UI" panose="020B0502040204020203" pitchFamily="34" charset="0"/>
            <a:buChar char="​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1pPr>
          <a:lvl2pPr marL="228600" lvl="1" indent="-225425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Font typeface="Wingdings" panose="05000000000000000000" pitchFamily="2" charset="2"/>
            <a:buChar char="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2pPr>
          <a:lvl3pPr marL="515938" lvl="2" indent="-287338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Font typeface="Arial" panose="020B0604020202020204" pitchFamily="34" charset="0"/>
            <a:buChar char="—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3pPr>
          <a:lvl4pPr marL="742950" lvl="3" indent="-182563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Font typeface="Arial" panose="020B0604020202020204" pitchFamily="34" charset="0"/>
            <a:buChar char="»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4pPr>
          <a:lvl5pPr marL="914400" lvl="4" indent="-136525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›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5pPr>
          <a:lvl6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6pPr>
          <a:lvl7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7pPr>
          <a:lvl8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8pPr>
          <a:lvl9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9pPr>
        </a:lstStyle>
        <a:p>
          <a:pPr>
            <a:buSzPct val="100000"/>
          </a:pPr>
          <a:r>
            <a:rPr lang="en-US" sz="1000" b="1">
              <a:solidFill>
                <a:srgbClr val="000000"/>
              </a:solidFill>
              <a:latin typeface="Arial" panose="020B0604020202020204" pitchFamily="34" charset="0"/>
              <a:sym typeface=""/>
            </a:rPr>
            <a:t>Integrate Eurobank car financing offering</a:t>
          </a:r>
          <a:r>
            <a:rPr lang="en-US" sz="1000">
              <a:solidFill>
                <a:srgbClr val="000000"/>
              </a:solidFill>
              <a:latin typeface="Arial" panose="020B0604020202020204" pitchFamily="34" charset="0"/>
              <a:sym typeface=""/>
            </a:rPr>
            <a:t> with OEM captives (e.g., Toyota) digital channels</a:t>
          </a:r>
        </a:p>
      </xdr:txBody>
    </xdr:sp>
    <xdr:clientData/>
  </xdr:twoCellAnchor>
  <xdr:twoCellAnchor>
    <xdr:from>
      <xdr:col>2</xdr:col>
      <xdr:colOff>10054</xdr:colOff>
      <xdr:row>31</xdr:row>
      <xdr:rowOff>103031</xdr:rowOff>
    </xdr:from>
    <xdr:to>
      <xdr:col>11</xdr:col>
      <xdr:colOff>398074</xdr:colOff>
      <xdr:row>32</xdr:row>
      <xdr:rowOff>79119</xdr:rowOff>
    </xdr:to>
    <xdr:sp macro="" textlink="">
      <xdr:nvSpPr>
        <xdr:cNvPr id="10" name="TextBox 123">
          <a:extLst>
            <a:ext uri="{FF2B5EF4-FFF2-40B4-BE49-F238E27FC236}">
              <a16:creationId xmlns:a16="http://schemas.microsoft.com/office/drawing/2014/main" id="{EE7829BF-A816-D579-9EBE-75959A56B732}"/>
            </a:ext>
          </a:extLst>
        </xdr:cNvPr>
        <xdr:cNvSpPr txBox="1"/>
      </xdr:nvSpPr>
      <xdr:spPr>
        <a:xfrm>
          <a:off x="394902" y="622576"/>
          <a:ext cx="12972566" cy="149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="horz" wrap="square" lIns="0" tIns="0" rIns="0" bIns="0" rtlCol="0">
          <a:spAutoFit/>
        </a:bodyPr>
        <a:lstStyle>
          <a:defPPr>
            <a:defRPr lang="en-US"/>
          </a:defPPr>
          <a:lvl1pPr marL="0" lvl="0" indent="0" algn="l" defTabSz="914400" rtl="0" eaLnBrk="1" latinLnBrk="0" hangingPunct="1">
            <a:lnSpc>
              <a:spcPct val="100000"/>
            </a:lnSpc>
            <a:spcBef>
              <a:spcPts val="300"/>
            </a:spcBef>
            <a:spcAft>
              <a:spcPts val="300"/>
            </a:spcAft>
            <a:buFont typeface="Segoe UI" panose="020B0502040204020203" pitchFamily="34" charset="0"/>
            <a:buChar char="​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1pPr>
          <a:lvl2pPr marL="228600" lvl="1" indent="-225425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Font typeface="Wingdings" panose="05000000000000000000" pitchFamily="2" charset="2"/>
            <a:buChar char="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2pPr>
          <a:lvl3pPr marL="515938" lvl="2" indent="-287338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Font typeface="Arial" panose="020B0604020202020204" pitchFamily="34" charset="0"/>
            <a:buChar char="—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3pPr>
          <a:lvl4pPr marL="742950" lvl="3" indent="-182563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Font typeface="Arial" panose="020B0604020202020204" pitchFamily="34" charset="0"/>
            <a:buChar char="»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4pPr>
          <a:lvl5pPr marL="914400" lvl="4" indent="-136525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›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5pPr>
          <a:lvl6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6pPr>
          <a:lvl7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7pPr>
          <a:lvl8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8pPr>
          <a:lvl9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9pPr>
        </a:lstStyle>
        <a:p>
          <a:pPr>
            <a:buSzPct val="100000"/>
          </a:pPr>
          <a:r>
            <a:rPr lang="en-US" sz="1000">
              <a:solidFill>
                <a:srgbClr val="000000"/>
              </a:solidFill>
              <a:latin typeface="Arial" panose="020B0604020202020204" pitchFamily="34" charset="0"/>
              <a:sym typeface=""/>
            </a:rPr>
            <a:t>Expand Loan availability </a:t>
          </a:r>
          <a:r>
            <a:rPr lang="en-US" sz="1000" b="1">
              <a:solidFill>
                <a:srgbClr val="000000"/>
              </a:solidFill>
              <a:latin typeface="Arial" panose="020B0604020202020204" pitchFamily="34" charset="0"/>
              <a:sym typeface=""/>
            </a:rPr>
            <a:t>via used cars marketplaces/ aggregators </a:t>
          </a:r>
          <a:r>
            <a:rPr lang="en-US" sz="1000">
              <a:solidFill>
                <a:srgbClr val="000000"/>
              </a:solidFill>
              <a:latin typeface="Arial" panose="020B0604020202020204" pitchFamily="34" charset="0"/>
              <a:sym typeface=""/>
            </a:rPr>
            <a:t>(e.g., Car.gr, </a:t>
          </a:r>
          <a:r>
            <a:rPr lang="en-US" sz="1000">
              <a:solidFill>
                <a:srgbClr val="0D0D0D"/>
              </a:solidFill>
              <a:latin typeface="Arial" panose="020B0604020202020204" pitchFamily="34" charset="0"/>
              <a:sym typeface=""/>
            </a:rPr>
            <a:t>Cardom)</a:t>
          </a:r>
        </a:p>
      </xdr:txBody>
    </xdr:sp>
    <xdr:clientData/>
  </xdr:twoCellAnchor>
  <xdr:twoCellAnchor editAs="oneCell">
    <xdr:from>
      <xdr:col>15</xdr:col>
      <xdr:colOff>519600</xdr:colOff>
      <xdr:row>68</xdr:row>
      <xdr:rowOff>151771</xdr:rowOff>
    </xdr:from>
    <xdr:to>
      <xdr:col>26</xdr:col>
      <xdr:colOff>61344</xdr:colOff>
      <xdr:row>97</xdr:row>
      <xdr:rowOff>24070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3DC4C8-84D7-4A7E-99D2-E50120566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60136" y="13214628"/>
          <a:ext cx="8930673" cy="5176063"/>
        </a:xfrm>
        <a:prstGeom prst="rect">
          <a:avLst/>
        </a:prstGeom>
      </xdr:spPr>
    </xdr:pic>
    <xdr:clientData/>
  </xdr:twoCellAnchor>
  <xdr:twoCellAnchor>
    <xdr:from>
      <xdr:col>2</xdr:col>
      <xdr:colOff>8132</xdr:colOff>
      <xdr:row>135</xdr:row>
      <xdr:rowOff>35103</xdr:rowOff>
    </xdr:from>
    <xdr:to>
      <xdr:col>16</xdr:col>
      <xdr:colOff>351906</xdr:colOff>
      <xdr:row>136</xdr:row>
      <xdr:rowOff>0</xdr:rowOff>
    </xdr:to>
    <xdr:sp macro="" textlink="">
      <xdr:nvSpPr>
        <xdr:cNvPr id="3" name="TextBox 63">
          <a:extLst>
            <a:ext uri="{FF2B5EF4-FFF2-40B4-BE49-F238E27FC236}">
              <a16:creationId xmlns:a16="http://schemas.microsoft.com/office/drawing/2014/main" id="{D0A35F67-BC8B-4655-B838-59F168485FEE}"/>
            </a:ext>
          </a:extLst>
        </xdr:cNvPr>
        <xdr:cNvSpPr txBox="1"/>
      </xdr:nvSpPr>
      <xdr:spPr>
        <a:xfrm>
          <a:off x="3818132" y="568503"/>
          <a:ext cx="15710774" cy="152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="horz" wrap="square" lIns="0" tIns="0" rIns="0" bIns="0" rtlCol="0">
          <a:spAutoFit/>
        </a:bodyPr>
        <a:lstStyle>
          <a:defPPr>
            <a:defRPr lang="en-US"/>
          </a:defPPr>
          <a:lvl1pPr marL="0" lvl="0" indent="0" algn="l" defTabSz="914400" rtl="0" eaLnBrk="1" latinLnBrk="0" hangingPunct="1">
            <a:lnSpc>
              <a:spcPct val="100000"/>
            </a:lnSpc>
            <a:spcBef>
              <a:spcPts val="300"/>
            </a:spcBef>
            <a:spcAft>
              <a:spcPts val="300"/>
            </a:spcAft>
            <a:buFont typeface="Segoe UI" panose="020B0502040204020203" pitchFamily="34" charset="0"/>
            <a:buChar char="​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1pPr>
          <a:lvl2pPr marL="228600" lvl="1" indent="-225425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Font typeface="Wingdings" panose="05000000000000000000" pitchFamily="2" charset="2"/>
            <a:buChar char="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2pPr>
          <a:lvl3pPr marL="515938" lvl="2" indent="-287338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Font typeface="Arial" panose="020B0604020202020204" pitchFamily="34" charset="0"/>
            <a:buChar char="—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3pPr>
          <a:lvl4pPr marL="742950" lvl="3" indent="-182563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Font typeface="Arial" panose="020B0604020202020204" pitchFamily="34" charset="0"/>
            <a:buChar char="»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4pPr>
          <a:lvl5pPr marL="914400" lvl="4" indent="-136525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›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5pPr>
          <a:lvl6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6pPr>
          <a:lvl7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7pPr>
          <a:lvl8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8pPr>
          <a:lvl9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9pPr>
        </a:lstStyle>
        <a:p>
          <a:pPr>
            <a:buSzPct val="100000"/>
          </a:pPr>
          <a:r>
            <a:rPr lang="en-US" sz="1000" b="1">
              <a:solidFill>
                <a:schemeClr val="tx1"/>
              </a:solidFill>
              <a:latin typeface="Arial" panose="020B0604020202020204" pitchFamily="34" charset="0"/>
              <a:sym typeface=""/>
            </a:rPr>
            <a:t>Offer a D2C cash loan for auto on direct channels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365356</xdr:colOff>
      <xdr:row>3</xdr:row>
      <xdr:rowOff>0</xdr:rowOff>
    </xdr:from>
    <xdr:to>
      <xdr:col>21</xdr:col>
      <xdr:colOff>174979</xdr:colOff>
      <xdr:row>18</xdr:row>
      <xdr:rowOff>119637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C73B5-5174-482E-8C0C-B0965FD7C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31443" y="174855"/>
          <a:ext cx="5773102" cy="3147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excel">
  <a:themeElements>
    <a:clrScheme name="Custom 24">
      <a:dk1>
        <a:srgbClr val="000000"/>
      </a:dk1>
      <a:lt1>
        <a:srgbClr val="FFFFFF"/>
      </a:lt1>
      <a:dk2>
        <a:srgbClr val="FFFFFF"/>
      </a:dk2>
      <a:lt2>
        <a:srgbClr val="FFFFFF"/>
      </a:lt2>
      <a:accent1>
        <a:srgbClr val="061F79"/>
      </a:accent1>
      <a:accent2>
        <a:srgbClr val="00A9F4"/>
      </a:accent2>
      <a:accent3>
        <a:srgbClr val="2251FF"/>
      </a:accent3>
      <a:accent4>
        <a:srgbClr val="99E6FF"/>
      </a:accent4>
      <a:accent5>
        <a:srgbClr val="0679C3"/>
      </a:accent5>
      <a:accent6>
        <a:srgbClr val="75F0E7"/>
      </a:accent6>
      <a:hlink>
        <a:srgbClr val="1F40E6"/>
      </a:hlink>
      <a:folHlink>
        <a:srgbClr val="8C5AC8"/>
      </a:folHlink>
    </a:clrScheme>
    <a:fontScheme name="Scheme White Fonts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Subtle Solids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/>
        </a:solidFill>
        <a:ln w="6350" cap="sq">
          <a:noFill/>
          <a:miter lim="800000"/>
        </a:ln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spcBef>
            <a:spcPts val="300"/>
          </a:spcBef>
          <a:spcAft>
            <a:spcPts val="300"/>
          </a:spcAft>
          <a:defRPr sz="1600" dirty="0" err="1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 cap="sq">
          <a:solidFill>
            <a:srgbClr val="000000"/>
          </a:solidFill>
          <a:miter lim="800000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ln w="6350">
          <a:noFill/>
          <a:miter lim="800000"/>
        </a:ln>
      </a:spPr>
      <a:bodyPr vert="horz" wrap="square" lIns="0" tIns="0" rIns="0" bIns="0" rtlCol="0">
        <a:noAutofit/>
      </a:bodyPr>
      <a:lstStyle>
        <a:defPPr algn="l">
          <a:spcBef>
            <a:spcPts val="300"/>
          </a:spcBef>
          <a:spcAft>
            <a:spcPts val="300"/>
          </a:spcAft>
          <a:buNone/>
          <a:defRPr sz="1600" dirty="0" smtClean="0"/>
        </a:defPPr>
      </a:lstStyle>
    </a:txDef>
  </a:objectDefaults>
  <a:extraClrSchemeLst>
    <a:extraClrScheme>
      <a:clrScheme name="Scheme White">
        <a:dk1>
          <a:srgbClr val="000000"/>
        </a:dk1>
        <a:lt1>
          <a:srgbClr val="FFFFFF"/>
        </a:lt1>
        <a:dk2>
          <a:srgbClr val="FFFFFF"/>
        </a:dk2>
        <a:lt2>
          <a:srgbClr val="FFFFFF"/>
        </a:lt2>
        <a:accent1>
          <a:srgbClr val="061F79"/>
        </a:accent1>
        <a:accent2>
          <a:srgbClr val="00A9F4"/>
        </a:accent2>
        <a:accent3>
          <a:srgbClr val="2251FF"/>
        </a:accent3>
        <a:accent4>
          <a:srgbClr val="99E6FF"/>
        </a:accent4>
        <a:accent5>
          <a:srgbClr val="0679C3"/>
        </a:accent5>
        <a:accent6>
          <a:srgbClr val="75F0E7"/>
        </a:accent6>
        <a:hlink>
          <a:srgbClr val="1F40E6"/>
        </a:hlink>
        <a:folHlink>
          <a:srgbClr val="8C5AC8"/>
        </a:folHlink>
      </a:clrScheme>
    </a:extraClrScheme>
  </a:extraClrSchemeLst>
  <a:custClrLst>
    <a:custClr name="Electric Blue 900">
      <a:srgbClr val="061F79"/>
    </a:custClr>
    <a:custClr name="Electric Blue 700">
      <a:srgbClr val="1537BA"/>
    </a:custClr>
    <a:custClr name="Electric Blue 500">
      <a:srgbClr val="2251FF"/>
    </a:custClr>
    <a:custClr name="Electric Blue 300">
      <a:srgbClr val="5E9DFF"/>
    </a:custClr>
    <a:custClr name="Electric Blue 200">
      <a:srgbClr val="99C4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Deep Blue 900">
      <a:srgbClr val="051C2C"/>
    </a:custClr>
    <a:custClr name="Electric Blue 800">
      <a:srgbClr val="0E2B99"/>
    </a:custClr>
    <a:custClr name="Electric Blue 500">
      <a:srgbClr val="2251FF"/>
    </a:custClr>
    <a:custClr name="Electric Blue 200">
      <a:srgbClr val="99C4FF"/>
    </a:custClr>
    <a:custClr name="Gray 10%">
      <a:srgbClr val="E6E6E6"/>
    </a:custClr>
    <a:custClr name="Crimson Red 300">
      <a:srgbClr val="F17E7E"/>
    </a:custClr>
    <a:custClr name="Crimson Red 500">
      <a:srgbClr val="E33B3B"/>
    </a:custClr>
    <a:custClr name="Crimson Red 700">
      <a:srgbClr val="B82525"/>
    </a:custClr>
    <a:custClr name="Crimson Red 900">
      <a:srgbClr val="8E0B0B"/>
    </a:custClr>
    <a:custClr name="Null">
      <a:srgbClr val="FEFFFF"/>
    </a:custClr>
    <a:custClr name="Marine Green 900">
      <a:srgbClr val="108980"/>
    </a:custClr>
    <a:custClr name="Marine Green 700">
      <a:srgbClr val="14B8AB"/>
    </a:custClr>
    <a:custClr name="Marine Green 500">
      <a:srgbClr val="0BDACB"/>
    </a:custClr>
    <a:custClr name="Marine Green 300">
      <a:srgbClr val="75F0E7"/>
    </a:custClr>
    <a:custClr name="Sand Neutral 300">
      <a:srgbClr val="E6D7BC"/>
    </a:custClr>
    <a:custClr name="Crimson Red 300">
      <a:srgbClr val="F17E7E"/>
    </a:custClr>
    <a:custClr name="Crimson Red 500">
      <a:srgbClr val="E33B3B"/>
    </a:custClr>
    <a:custClr name="Crimson Red 700">
      <a:srgbClr val="B82525"/>
    </a:custClr>
    <a:custClr name="Crimson Red 900">
      <a:srgbClr val="8E0B0B"/>
    </a:custClr>
    <a:custClr name="Null">
      <a:srgbClr val="FEFFFF"/>
    </a:custClr>
    <a:custClr name="Gray 70%">
      <a:srgbClr val="4D4D4D"/>
    </a:custClr>
    <a:custClr name="Gray 54%">
      <a:srgbClr val="757575"/>
    </a:custClr>
    <a:custClr name="Gray 30%">
      <a:srgbClr val="B3B3B3"/>
    </a:custClr>
    <a:custClr name="Gray 20%">
      <a:srgbClr val="CCCCCC"/>
    </a:custClr>
    <a:custClr name="Gray 10%">
      <a:srgbClr val="E6E6E6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Marine Green 500">
      <a:srgbClr val="0BDACB"/>
    </a:custClr>
    <a:custClr name="Amber Yellow 500">
      <a:srgbClr val="FFA800"/>
    </a:custClr>
    <a:custClr name="Crimson Red 500">
      <a:srgbClr val="E33B3B"/>
    </a:custClr>
    <a:custClr name="Deep Blue 900">
      <a:srgbClr val="051C2C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</a:custClrLst>
  <a:extLst>
    <a:ext uri="{05A4C25C-085E-4340-85A3-A5531E510DB2}">
      <thm15:themeFamily xmlns:thm15="http://schemas.microsoft.com/office/thememl/2012/main" name="mck" id="{5C06EE14-FD0C-4D84-95B7-A7A2283B4F1A}" vid="{E155375D-59B9-41EA-8544-0CDF30FD128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793DB-088A-4BFD-B12E-09D41683EA67}">
  <sheetPr>
    <tabColor theme="4"/>
  </sheetPr>
  <dimension ref="B2:P2"/>
  <sheetViews>
    <sheetView showGridLines="0" view="pageBreakPreview" zoomScaleNormal="63" zoomScaleSheetLayoutView="100" workbookViewId="0"/>
  </sheetViews>
  <sheetFormatPr defaultRowHeight="13.8" x14ac:dyDescent="0.25"/>
  <sheetData>
    <row r="2" spans="2:16" x14ac:dyDescent="0.25">
      <c r="B2" s="349" t="s">
        <v>197</v>
      </c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50"/>
      <c r="O2" s="350"/>
      <c r="P2" s="350"/>
    </row>
  </sheetData>
  <pageMargins left="0.7" right="0.7" top="0.75" bottom="0.75" header="0.3" footer="0.3"/>
  <pageSetup paperSize="9"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D64A-DB01-4A2A-A3F5-2FA131B0AF88}">
  <sheetPr>
    <tabColor theme="4"/>
  </sheetPr>
  <dimension ref="A1:L66"/>
  <sheetViews>
    <sheetView topLeftCell="A3" workbookViewId="0">
      <selection activeCell="I27" sqref="I27"/>
    </sheetView>
  </sheetViews>
  <sheetFormatPr defaultRowHeight="13.2" x14ac:dyDescent="0.25"/>
  <cols>
    <col min="1" max="1" width="11.5" style="531" customWidth="1"/>
    <col min="2" max="2" width="14.69921875" style="531" customWidth="1"/>
    <col min="3" max="3" width="10.3984375" style="533" customWidth="1"/>
    <col min="4" max="4" width="14.09765625" style="533" bestFit="1" customWidth="1"/>
    <col min="5" max="5" width="9.69921875" style="533" bestFit="1" customWidth="1"/>
    <col min="6" max="6" width="17.5" style="531" bestFit="1" customWidth="1"/>
    <col min="7" max="7" width="18.796875" style="531" bestFit="1" customWidth="1"/>
    <col min="8" max="8" width="13.59765625" style="531" bestFit="1" customWidth="1"/>
    <col min="9" max="9" width="15.3984375" style="531" bestFit="1" customWidth="1"/>
    <col min="10" max="10" width="13.5" style="531" bestFit="1" customWidth="1"/>
    <col min="11" max="11" width="14.69921875" style="531" customWidth="1"/>
    <col min="12" max="16384" width="8.796875" style="531"/>
  </cols>
  <sheetData>
    <row r="1" spans="1:12" ht="13.8" thickBot="1" x14ac:dyDescent="0.3">
      <c r="A1" s="541" t="s">
        <v>241</v>
      </c>
      <c r="B1" s="570" t="s">
        <v>237</v>
      </c>
      <c r="C1" s="571">
        <v>2024</v>
      </c>
      <c r="D1" s="571">
        <v>2030</v>
      </c>
      <c r="E1" s="571" t="s">
        <v>242</v>
      </c>
    </row>
    <row r="2" spans="1:12" ht="13.8" thickTop="1" x14ac:dyDescent="0.25">
      <c r="B2" s="531" t="s">
        <v>231</v>
      </c>
      <c r="C2" s="533">
        <v>137</v>
      </c>
      <c r="D2" s="533">
        <v>165</v>
      </c>
      <c r="E2" s="540">
        <f>+D2/C2-1</f>
        <v>0.20437956204379559</v>
      </c>
    </row>
    <row r="3" spans="1:12" x14ac:dyDescent="0.25">
      <c r="B3" s="531" t="s">
        <v>232</v>
      </c>
      <c r="C3" s="533">
        <v>150</v>
      </c>
      <c r="D3" s="533">
        <v>200</v>
      </c>
      <c r="E3" s="540">
        <f t="shared" ref="E3:E4" si="0">+D3/C3-1</f>
        <v>0.33333333333333326</v>
      </c>
    </row>
    <row r="4" spans="1:12" x14ac:dyDescent="0.25">
      <c r="B4" s="532" t="s">
        <v>245</v>
      </c>
      <c r="C4" s="534">
        <f>+C3+C2</f>
        <v>287</v>
      </c>
      <c r="D4" s="534">
        <f>+D3+D2</f>
        <v>365</v>
      </c>
      <c r="E4" s="542">
        <f t="shared" si="0"/>
        <v>0.27177700348432055</v>
      </c>
    </row>
    <row r="6" spans="1:12" x14ac:dyDescent="0.25">
      <c r="B6" s="535" t="s">
        <v>261</v>
      </c>
    </row>
    <row r="7" spans="1:12" ht="13.8" thickBot="1" x14ac:dyDescent="0.3">
      <c r="B7" s="570" t="s">
        <v>24</v>
      </c>
      <c r="C7" s="571" t="s">
        <v>231</v>
      </c>
      <c r="D7" s="571" t="s">
        <v>232</v>
      </c>
      <c r="E7" s="571" t="s">
        <v>15</v>
      </c>
      <c r="F7" s="572" t="s">
        <v>302</v>
      </c>
      <c r="G7" s="572" t="s">
        <v>303</v>
      </c>
      <c r="H7" s="572" t="s">
        <v>304</v>
      </c>
    </row>
    <row r="8" spans="1:12" ht="13.8" thickTop="1" x14ac:dyDescent="0.25">
      <c r="B8" s="563" t="s">
        <v>26</v>
      </c>
      <c r="C8" s="564">
        <v>62</v>
      </c>
      <c r="D8" s="564">
        <v>135</v>
      </c>
      <c r="E8" s="569">
        <f>+D8+C8</f>
        <v>197</v>
      </c>
      <c r="F8" s="568">
        <f>+C8/C10</f>
        <v>0.45255474452554745</v>
      </c>
      <c r="G8" s="568">
        <f>+D8/D10</f>
        <v>0.9</v>
      </c>
      <c r="H8" s="568">
        <f>+E8/E10</f>
        <v>0.68641114982578399</v>
      </c>
    </row>
    <row r="9" spans="1:12" x14ac:dyDescent="0.25">
      <c r="B9" s="531" t="s">
        <v>234</v>
      </c>
      <c r="C9" s="533">
        <v>75</v>
      </c>
      <c r="D9" s="533">
        <v>15</v>
      </c>
      <c r="E9" s="539">
        <f t="shared" ref="E9" si="1">+D9+C9</f>
        <v>90</v>
      </c>
      <c r="F9" s="555">
        <f>+C9/C10</f>
        <v>0.54744525547445255</v>
      </c>
      <c r="G9" s="555">
        <f>+D9/D10</f>
        <v>0.1</v>
      </c>
      <c r="H9" s="555">
        <f>+E9/E10</f>
        <v>0.31358885017421601</v>
      </c>
      <c r="K9" s="578"/>
      <c r="L9" s="578"/>
    </row>
    <row r="10" spans="1:12" x14ac:dyDescent="0.25">
      <c r="B10" s="532" t="s">
        <v>15</v>
      </c>
      <c r="C10" s="534">
        <f>+C9+C8</f>
        <v>137</v>
      </c>
      <c r="D10" s="534">
        <f t="shared" ref="D10:E10" si="2">+D9+D8</f>
        <v>150</v>
      </c>
      <c r="E10" s="534">
        <f t="shared" si="2"/>
        <v>287</v>
      </c>
      <c r="K10" s="578"/>
      <c r="L10" s="578"/>
    </row>
    <row r="11" spans="1:12" x14ac:dyDescent="0.25">
      <c r="B11" s="532"/>
      <c r="C11" s="534"/>
      <c r="D11" s="534"/>
      <c r="E11" s="539"/>
    </row>
    <row r="12" spans="1:12" x14ac:dyDescent="0.25">
      <c r="B12" s="535" t="s">
        <v>244</v>
      </c>
    </row>
    <row r="13" spans="1:12" ht="13.8" thickBot="1" x14ac:dyDescent="0.3">
      <c r="B13" s="570" t="s">
        <v>24</v>
      </c>
      <c r="C13" s="571" t="s">
        <v>231</v>
      </c>
      <c r="D13" s="571" t="s">
        <v>232</v>
      </c>
      <c r="E13" s="571" t="s">
        <v>15</v>
      </c>
      <c r="F13" s="572" t="str">
        <f>+F7</f>
        <v>weight new cars (%)</v>
      </c>
      <c r="G13" s="572" t="str">
        <f>+G7</f>
        <v>weight used cars (%)</v>
      </c>
      <c r="H13" s="572" t="str">
        <f>+H7</f>
        <v>weight total (%)</v>
      </c>
    </row>
    <row r="14" spans="1:12" ht="13.8" thickTop="1" x14ac:dyDescent="0.25">
      <c r="B14" s="563" t="s">
        <v>26</v>
      </c>
      <c r="C14" s="564">
        <v>75</v>
      </c>
      <c r="D14" s="564">
        <v>170</v>
      </c>
      <c r="E14" s="569">
        <f>+D14+C14</f>
        <v>245</v>
      </c>
      <c r="F14" s="568">
        <f>+C14/C16</f>
        <v>0.45454545454545453</v>
      </c>
      <c r="G14" s="568">
        <f>+D14/D16</f>
        <v>0.85</v>
      </c>
      <c r="H14" s="568">
        <f>+E14/E16</f>
        <v>0.67123287671232879</v>
      </c>
    </row>
    <row r="15" spans="1:12" x14ac:dyDescent="0.25">
      <c r="B15" s="531" t="s">
        <v>234</v>
      </c>
      <c r="C15" s="533">
        <v>90</v>
      </c>
      <c r="D15" s="533">
        <v>30</v>
      </c>
      <c r="E15" s="539">
        <f t="shared" ref="E15:E16" si="3">+D15+C15</f>
        <v>120</v>
      </c>
      <c r="F15" s="555">
        <f>+C15/C16</f>
        <v>0.54545454545454541</v>
      </c>
      <c r="G15" s="555">
        <f>+D15/D16</f>
        <v>0.15</v>
      </c>
      <c r="H15" s="555">
        <f>+E15/E16</f>
        <v>0.32876712328767121</v>
      </c>
    </row>
    <row r="16" spans="1:12" x14ac:dyDescent="0.25">
      <c r="B16" s="532" t="s">
        <v>15</v>
      </c>
      <c r="C16" s="534">
        <v>165</v>
      </c>
      <c r="D16" s="534">
        <v>200</v>
      </c>
      <c r="E16" s="539">
        <f t="shared" si="3"/>
        <v>365</v>
      </c>
    </row>
    <row r="18" spans="2:10" x14ac:dyDescent="0.25">
      <c r="B18" s="535" t="s">
        <v>246</v>
      </c>
    </row>
    <row r="19" spans="2:10" ht="13.8" thickBot="1" x14ac:dyDescent="0.3">
      <c r="B19" s="570" t="str">
        <f>+B1</f>
        <v>Car Type</v>
      </c>
      <c r="C19" s="571" t="s">
        <v>24</v>
      </c>
      <c r="D19" s="571" t="s">
        <v>236</v>
      </c>
    </row>
    <row r="20" spans="2:10" ht="13.8" thickTop="1" x14ac:dyDescent="0.25">
      <c r="B20" s="563" t="s">
        <v>231</v>
      </c>
      <c r="C20" s="564" t="s">
        <v>26</v>
      </c>
      <c r="D20" s="565">
        <v>0.6</v>
      </c>
    </row>
    <row r="21" spans="2:10" x14ac:dyDescent="0.25">
      <c r="B21" s="563" t="s">
        <v>232</v>
      </c>
      <c r="C21" s="564" t="s">
        <v>26</v>
      </c>
      <c r="D21" s="565">
        <v>0.35</v>
      </c>
    </row>
    <row r="22" spans="2:10" x14ac:dyDescent="0.25">
      <c r="B22" s="531" t="s">
        <v>231</v>
      </c>
      <c r="C22" s="533" t="s">
        <v>235</v>
      </c>
      <c r="D22" s="533" t="s">
        <v>243</v>
      </c>
    </row>
    <row r="23" spans="2:10" x14ac:dyDescent="0.25">
      <c r="B23" s="531" t="s">
        <v>232</v>
      </c>
      <c r="C23" s="533" t="s">
        <v>235</v>
      </c>
      <c r="D23" s="537">
        <v>0.2</v>
      </c>
    </row>
    <row r="24" spans="2:10" x14ac:dyDescent="0.25">
      <c r="I24" s="556">
        <v>2030</v>
      </c>
      <c r="J24" s="536"/>
    </row>
    <row r="25" spans="2:10" ht="13.8" x14ac:dyDescent="0.25">
      <c r="B25" s="535" t="s">
        <v>247</v>
      </c>
      <c r="I25" s="672" t="s">
        <v>253</v>
      </c>
      <c r="J25" s="673"/>
    </row>
    <row r="26" spans="2:10" ht="13.8" thickBot="1" x14ac:dyDescent="0.3">
      <c r="B26" s="570" t="s">
        <v>24</v>
      </c>
      <c r="C26" s="571" t="s">
        <v>237</v>
      </c>
      <c r="D26" s="571" t="s">
        <v>238</v>
      </c>
      <c r="E26" s="571" t="s">
        <v>239</v>
      </c>
      <c r="F26" s="571" t="s">
        <v>240</v>
      </c>
      <c r="G26" s="571" t="s">
        <v>249</v>
      </c>
      <c r="I26" s="557" t="s">
        <v>252</v>
      </c>
      <c r="J26" s="551" t="s">
        <v>251</v>
      </c>
    </row>
    <row r="27" spans="2:10" ht="13.8" thickTop="1" x14ac:dyDescent="0.25">
      <c r="B27" s="563" t="s">
        <v>26</v>
      </c>
      <c r="C27" s="564" t="s">
        <v>5</v>
      </c>
      <c r="D27" s="564">
        <f>+C14</f>
        <v>75</v>
      </c>
      <c r="E27" s="565">
        <v>0.6</v>
      </c>
      <c r="F27" s="566">
        <f>+E27*D27</f>
        <v>45</v>
      </c>
      <c r="G27" s="567">
        <f>+F27*15</f>
        <v>675</v>
      </c>
      <c r="I27" s="558">
        <f>+Summary!O10+Summary!O12</f>
        <v>15.349916925345164</v>
      </c>
      <c r="J27" s="545">
        <f>+I27/F27</f>
        <v>0.3411092650076703</v>
      </c>
    </row>
    <row r="28" spans="2:10" x14ac:dyDescent="0.25">
      <c r="B28" s="563" t="s">
        <v>26</v>
      </c>
      <c r="C28" s="564" t="s">
        <v>6</v>
      </c>
      <c r="D28" s="564">
        <f>+D14</f>
        <v>170</v>
      </c>
      <c r="E28" s="565">
        <v>0.35</v>
      </c>
      <c r="F28" s="566">
        <f t="shared" ref="F28:F30" si="4">+E28*D28</f>
        <v>59.499999999999993</v>
      </c>
      <c r="G28" s="567">
        <f>+F28*9.5</f>
        <v>565.24999999999989</v>
      </c>
      <c r="I28" s="558">
        <f>+Summary!O11+Summary!O13</f>
        <v>19.358669268426397</v>
      </c>
      <c r="J28" s="545">
        <f>+I28/F28</f>
        <v>0.32535578602397308</v>
      </c>
    </row>
    <row r="29" spans="2:10" x14ac:dyDescent="0.25">
      <c r="B29" s="531" t="s">
        <v>234</v>
      </c>
      <c r="C29" s="533" t="s">
        <v>5</v>
      </c>
      <c r="D29" s="533">
        <f>+C15</f>
        <v>90</v>
      </c>
      <c r="E29" s="537">
        <v>0.95</v>
      </c>
      <c r="F29" s="543">
        <f t="shared" si="4"/>
        <v>85.5</v>
      </c>
      <c r="G29" s="546">
        <f>+F29*25</f>
        <v>2137.5</v>
      </c>
      <c r="I29" s="556">
        <v>2030</v>
      </c>
      <c r="J29" s="536"/>
    </row>
    <row r="30" spans="2:10" ht="13.8" x14ac:dyDescent="0.25">
      <c r="B30" s="531" t="s">
        <v>234</v>
      </c>
      <c r="C30" s="533" t="s">
        <v>6</v>
      </c>
      <c r="D30" s="533">
        <f>+D15</f>
        <v>30</v>
      </c>
      <c r="E30" s="537">
        <v>0.2</v>
      </c>
      <c r="F30" s="543">
        <f t="shared" si="4"/>
        <v>6</v>
      </c>
      <c r="G30" s="546">
        <f>+F30*13</f>
        <v>78</v>
      </c>
      <c r="I30" s="672" t="s">
        <v>254</v>
      </c>
      <c r="J30" s="673"/>
    </row>
    <row r="31" spans="2:10" ht="13.8" thickBot="1" x14ac:dyDescent="0.3">
      <c r="B31" s="538" t="s">
        <v>233</v>
      </c>
      <c r="C31" s="539" t="s">
        <v>248</v>
      </c>
      <c r="D31" s="539">
        <f>SUM(D27:D30)</f>
        <v>365</v>
      </c>
      <c r="E31" s="542">
        <f>+F31/D31</f>
        <v>0.53698630136986303</v>
      </c>
      <c r="F31" s="539">
        <f>SUM(F27:F30)</f>
        <v>196</v>
      </c>
      <c r="G31" s="547">
        <f>SUM(G27:G30)</f>
        <v>3455.75</v>
      </c>
      <c r="H31" s="547"/>
      <c r="I31" s="550" t="s">
        <v>252</v>
      </c>
      <c r="J31" s="554" t="s">
        <v>251</v>
      </c>
    </row>
    <row r="32" spans="2:10" ht="13.8" thickTop="1" x14ac:dyDescent="0.25">
      <c r="I32" s="559">
        <f>+Summary!O10</f>
        <v>13.937309382106831</v>
      </c>
      <c r="J32" s="545">
        <f>+I32/F27</f>
        <v>0.30971798626904068</v>
      </c>
    </row>
    <row r="33" spans="2:11" x14ac:dyDescent="0.25">
      <c r="B33" s="544" t="s">
        <v>250</v>
      </c>
      <c r="C33" s="560"/>
      <c r="D33" s="560"/>
      <c r="E33" s="560"/>
      <c r="F33" s="536"/>
      <c r="G33" s="536"/>
      <c r="I33" s="558">
        <f>+Summary!O11</f>
        <v>10.633893190075838</v>
      </c>
      <c r="J33" s="545">
        <f>+I33/F28</f>
        <v>0.17872089395085444</v>
      </c>
    </row>
    <row r="34" spans="2:11" x14ac:dyDescent="0.25">
      <c r="I34" s="556">
        <v>2030</v>
      </c>
      <c r="J34" s="536"/>
    </row>
    <row r="35" spans="2:11" ht="13.8" x14ac:dyDescent="0.25">
      <c r="B35" s="535" t="s">
        <v>262</v>
      </c>
      <c r="I35" s="672" t="s">
        <v>254</v>
      </c>
      <c r="J35" s="673"/>
    </row>
    <row r="36" spans="2:11" ht="13.8" thickBot="1" x14ac:dyDescent="0.3">
      <c r="B36" s="570" t="s">
        <v>24</v>
      </c>
      <c r="C36" s="571" t="s">
        <v>237</v>
      </c>
      <c r="D36" s="571" t="s">
        <v>238</v>
      </c>
      <c r="E36" s="571" t="s">
        <v>239</v>
      </c>
      <c r="F36" s="571" t="s">
        <v>240</v>
      </c>
      <c r="G36" s="571" t="s">
        <v>249</v>
      </c>
      <c r="I36" s="550" t="s">
        <v>256</v>
      </c>
      <c r="J36" s="554" t="s">
        <v>257</v>
      </c>
      <c r="K36" s="552" t="s">
        <v>255</v>
      </c>
    </row>
    <row r="37" spans="2:11" ht="13.8" thickTop="1" x14ac:dyDescent="0.25">
      <c r="B37" s="563" t="s">
        <v>26</v>
      </c>
      <c r="C37" s="564" t="s">
        <v>5</v>
      </c>
      <c r="D37" s="564">
        <f>+C8</f>
        <v>62</v>
      </c>
      <c r="E37" s="565">
        <v>0.5</v>
      </c>
      <c r="F37" s="566">
        <f>+E37*D37</f>
        <v>31</v>
      </c>
      <c r="G37" s="567">
        <f>+F37*15</f>
        <v>465</v>
      </c>
      <c r="I37" s="559">
        <f>+I32*Summary!O19</f>
        <v>218.04371816638383</v>
      </c>
      <c r="J37" s="545">
        <f>+I37/G27</f>
        <v>0.32302773061686491</v>
      </c>
      <c r="K37" s="553">
        <f>+I37/I32</f>
        <v>15.64460630014538</v>
      </c>
    </row>
    <row r="38" spans="2:11" x14ac:dyDescent="0.25">
      <c r="B38" s="563" t="s">
        <v>26</v>
      </c>
      <c r="C38" s="564" t="s">
        <v>6</v>
      </c>
      <c r="D38" s="564">
        <f>+D8</f>
        <v>135</v>
      </c>
      <c r="E38" s="565">
        <v>0.2</v>
      </c>
      <c r="F38" s="566">
        <f t="shared" ref="F38" si="5">+E38*D38</f>
        <v>27</v>
      </c>
      <c r="G38" s="567">
        <f>+F38*8.5</f>
        <v>229.5</v>
      </c>
      <c r="I38" s="558">
        <f>+I33*Summary!O20</f>
        <v>116.28029061508265</v>
      </c>
      <c r="J38" s="545">
        <f>+I38/G28</f>
        <v>0.20571479984977031</v>
      </c>
      <c r="K38" s="553">
        <f>+I38/I33</f>
        <v>10.934874794830751</v>
      </c>
    </row>
    <row r="39" spans="2:11" x14ac:dyDescent="0.25">
      <c r="E39" s="531"/>
    </row>
    <row r="40" spans="2:11" x14ac:dyDescent="0.25">
      <c r="E40" s="531"/>
    </row>
    <row r="41" spans="2:11" x14ac:dyDescent="0.25">
      <c r="E41" s="531"/>
    </row>
    <row r="42" spans="2:11" x14ac:dyDescent="0.25">
      <c r="E42" s="531"/>
    </row>
    <row r="44" spans="2:11" x14ac:dyDescent="0.25">
      <c r="E44" s="531"/>
    </row>
    <row r="45" spans="2:11" ht="13.8" thickBot="1" x14ac:dyDescent="0.3">
      <c r="E45" s="576" t="s">
        <v>264</v>
      </c>
      <c r="F45" s="577"/>
      <c r="G45" s="577"/>
    </row>
    <row r="46" spans="2:11" ht="13.8" thickTop="1" x14ac:dyDescent="0.25">
      <c r="G46" s="573" t="s">
        <v>260</v>
      </c>
    </row>
    <row r="47" spans="2:11" ht="13.8" thickBot="1" x14ac:dyDescent="0.3">
      <c r="E47" s="570" t="s">
        <v>24</v>
      </c>
      <c r="F47" s="571" t="s">
        <v>237</v>
      </c>
      <c r="G47" s="571" t="s">
        <v>265</v>
      </c>
    </row>
    <row r="48" spans="2:11" ht="13.8" thickTop="1" x14ac:dyDescent="0.25">
      <c r="E48" s="531" t="s">
        <v>26</v>
      </c>
      <c r="F48" s="533" t="s">
        <v>5</v>
      </c>
      <c r="G48" s="546">
        <f>+G27</f>
        <v>675</v>
      </c>
    </row>
    <row r="49" spans="5:8" x14ac:dyDescent="0.25">
      <c r="E49" s="531" t="s">
        <v>26</v>
      </c>
      <c r="F49" s="533" t="s">
        <v>6</v>
      </c>
      <c r="G49" s="546">
        <f>+G28</f>
        <v>565.24999999999989</v>
      </c>
    </row>
    <row r="51" spans="5:8" x14ac:dyDescent="0.25">
      <c r="G51" s="573" t="s">
        <v>258</v>
      </c>
    </row>
    <row r="52" spans="5:8" ht="13.8" thickBot="1" x14ac:dyDescent="0.3">
      <c r="E52" s="570" t="s">
        <v>24</v>
      </c>
      <c r="F52" s="571" t="s">
        <v>237</v>
      </c>
      <c r="G52" s="571" t="s">
        <v>266</v>
      </c>
      <c r="H52" s="574" t="s">
        <v>259</v>
      </c>
    </row>
    <row r="53" spans="5:8" ht="13.8" thickTop="1" x14ac:dyDescent="0.25">
      <c r="E53" s="531" t="s">
        <v>26</v>
      </c>
      <c r="F53" s="533" t="s">
        <v>5</v>
      </c>
      <c r="G53" s="546">
        <f>+I37</f>
        <v>218.04371816638383</v>
      </c>
      <c r="H53" s="575">
        <f>+G53/G48</f>
        <v>0.32302773061686491</v>
      </c>
    </row>
    <row r="54" spans="5:8" x14ac:dyDescent="0.25">
      <c r="E54" s="531" t="s">
        <v>26</v>
      </c>
      <c r="F54" s="533" t="s">
        <v>6</v>
      </c>
      <c r="G54" s="546">
        <f>+I38</f>
        <v>116.28029061508265</v>
      </c>
      <c r="H54" s="575">
        <f>+G54/G49</f>
        <v>0.20571479984977031</v>
      </c>
    </row>
    <row r="57" spans="5:8" ht="13.8" thickBot="1" x14ac:dyDescent="0.3">
      <c r="E57" s="576" t="s">
        <v>263</v>
      </c>
      <c r="F57" s="577"/>
      <c r="G57" s="577"/>
    </row>
    <row r="58" spans="5:8" ht="13.8" thickTop="1" x14ac:dyDescent="0.25">
      <c r="G58" s="573" t="s">
        <v>260</v>
      </c>
    </row>
    <row r="59" spans="5:8" ht="13.8" thickBot="1" x14ac:dyDescent="0.3">
      <c r="E59" s="570" t="s">
        <v>24</v>
      </c>
      <c r="F59" s="571" t="s">
        <v>237</v>
      </c>
      <c r="G59" s="571" t="s">
        <v>265</v>
      </c>
    </row>
    <row r="60" spans="5:8" ht="13.8" thickTop="1" x14ac:dyDescent="0.25">
      <c r="E60" s="531" t="s">
        <v>26</v>
      </c>
      <c r="F60" s="533" t="s">
        <v>5</v>
      </c>
      <c r="G60" s="546">
        <f>+G37</f>
        <v>465</v>
      </c>
    </row>
    <row r="61" spans="5:8" x14ac:dyDescent="0.25">
      <c r="E61" s="531" t="s">
        <v>26</v>
      </c>
      <c r="F61" s="533" t="s">
        <v>6</v>
      </c>
      <c r="G61" s="546">
        <f>+G38</f>
        <v>229.5</v>
      </c>
    </row>
    <row r="63" spans="5:8" x14ac:dyDescent="0.25">
      <c r="G63" s="573" t="s">
        <v>258</v>
      </c>
    </row>
    <row r="64" spans="5:8" ht="13.8" thickBot="1" x14ac:dyDescent="0.3">
      <c r="E64" s="570" t="s">
        <v>24</v>
      </c>
      <c r="F64" s="571" t="s">
        <v>237</v>
      </c>
      <c r="G64" s="571" t="s">
        <v>265</v>
      </c>
      <c r="H64" s="574" t="s">
        <v>259</v>
      </c>
    </row>
    <row r="65" spans="5:8" ht="13.8" thickTop="1" x14ac:dyDescent="0.25">
      <c r="E65" s="531" t="s">
        <v>26</v>
      </c>
      <c r="F65" s="533" t="s">
        <v>5</v>
      </c>
      <c r="G65" s="546">
        <v>130</v>
      </c>
      <c r="H65" s="575">
        <f>+G65/G60</f>
        <v>0.27956989247311825</v>
      </c>
    </row>
    <row r="66" spans="5:8" x14ac:dyDescent="0.25">
      <c r="E66" s="531" t="s">
        <v>26</v>
      </c>
      <c r="F66" s="533" t="s">
        <v>6</v>
      </c>
      <c r="G66" s="546">
        <v>30</v>
      </c>
      <c r="H66" s="575">
        <f>+G66/G61</f>
        <v>0.13071895424836602</v>
      </c>
    </row>
  </sheetData>
  <mergeCells count="3">
    <mergeCell ref="I25:J25"/>
    <mergeCell ref="I30:J30"/>
    <mergeCell ref="I35:J35"/>
  </mergeCells>
  <pageMargins left="0.7" right="0.7" top="0.75" bottom="0.75" header="0.3" footer="0.3"/>
  <ignoredErrors>
    <ignoredError sqref="E31" formula="1"/>
    <ignoredError sqref="H65:H66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2DC6E-0E08-4C88-BA7B-FAA41891E7A8}">
  <sheetPr>
    <tabColor theme="4"/>
  </sheetPr>
  <dimension ref="B2:V21"/>
  <sheetViews>
    <sheetView showGridLines="0" view="pageBreakPreview" zoomScale="89" zoomScaleNormal="57" workbookViewId="0">
      <selection activeCell="F17" sqref="F17:G17"/>
    </sheetView>
  </sheetViews>
  <sheetFormatPr defaultRowHeight="13.8" x14ac:dyDescent="0.25"/>
  <cols>
    <col min="2" max="2" width="21.296875" bestFit="1" customWidth="1"/>
    <col min="3" max="3" width="9.19921875" bestFit="1" customWidth="1"/>
    <col min="4" max="4" width="9.69921875" bestFit="1" customWidth="1"/>
    <col min="5" max="6" width="5.3984375" bestFit="1" customWidth="1"/>
    <col min="7" max="7" width="19.3984375" bestFit="1" customWidth="1"/>
    <col min="8" max="8" width="21.296875" customWidth="1"/>
    <col min="9" max="9" width="14.796875" bestFit="1" customWidth="1"/>
    <col min="10" max="10" width="9.19921875" bestFit="1" customWidth="1"/>
    <col min="11" max="11" width="9.69921875" bestFit="1" customWidth="1"/>
    <col min="12" max="13" width="5.3984375" bestFit="1" customWidth="1"/>
    <col min="14" max="14" width="19.3984375" bestFit="1" customWidth="1"/>
  </cols>
  <sheetData>
    <row r="2" spans="2:22" x14ac:dyDescent="0.25">
      <c r="B2" s="317" t="s">
        <v>199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</row>
    <row r="4" spans="2:22" x14ac:dyDescent="0.25">
      <c r="B4" s="315" t="s">
        <v>19</v>
      </c>
      <c r="C4" s="315">
        <v>2024</v>
      </c>
      <c r="D4" s="315"/>
      <c r="E4" s="315"/>
      <c r="F4" s="315"/>
      <c r="G4" s="315"/>
      <c r="H4" s="317"/>
      <c r="I4" s="317">
        <v>2030</v>
      </c>
      <c r="J4" s="317"/>
      <c r="K4" s="317"/>
      <c r="L4" s="317"/>
      <c r="M4" s="315"/>
      <c r="N4" s="315"/>
    </row>
    <row r="5" spans="2:22" x14ac:dyDescent="0.25">
      <c r="B5" s="316" t="s">
        <v>0</v>
      </c>
      <c r="C5" s="316" t="s">
        <v>5</v>
      </c>
      <c r="D5" s="316" t="s">
        <v>6</v>
      </c>
      <c r="E5" s="27"/>
      <c r="F5" s="27"/>
      <c r="G5" s="27"/>
      <c r="H5" s="27"/>
      <c r="I5" s="316" t="s">
        <v>0</v>
      </c>
      <c r="J5" s="316" t="s">
        <v>5</v>
      </c>
      <c r="K5" s="316" t="s">
        <v>6</v>
      </c>
    </row>
    <row r="6" spans="2:22" x14ac:dyDescent="0.25">
      <c r="B6" s="30" t="s">
        <v>31</v>
      </c>
      <c r="C6" s="4"/>
      <c r="D6" s="4"/>
      <c r="E6" s="27"/>
      <c r="F6" s="27"/>
      <c r="G6" s="27"/>
      <c r="H6" s="27"/>
      <c r="I6" s="30" t="s">
        <v>31</v>
      </c>
      <c r="J6" s="4"/>
      <c r="K6" s="4"/>
    </row>
    <row r="7" spans="2:22" x14ac:dyDescent="0.25">
      <c r="B7" s="15" t="s">
        <v>2</v>
      </c>
      <c r="C7" s="29">
        <v>15000</v>
      </c>
      <c r="D7" s="29">
        <v>9500</v>
      </c>
      <c r="E7" s="27"/>
      <c r="F7" s="27"/>
      <c r="G7" s="27"/>
      <c r="H7" s="27"/>
      <c r="I7" s="15" t="s">
        <v>2</v>
      </c>
      <c r="J7" s="29">
        <v>17395.401273193354</v>
      </c>
      <c r="K7" s="29">
        <v>11017.087473022457</v>
      </c>
    </row>
    <row r="8" spans="2:22" x14ac:dyDescent="0.25">
      <c r="B8" s="15" t="s">
        <v>12</v>
      </c>
      <c r="C8" s="29">
        <v>5000</v>
      </c>
      <c r="D8" s="29">
        <v>5000</v>
      </c>
      <c r="E8" s="27"/>
      <c r="F8" s="27"/>
      <c r="G8" s="27"/>
      <c r="H8" s="27"/>
      <c r="I8" s="15" t="s">
        <v>12</v>
      </c>
      <c r="J8" s="29">
        <v>5798.4670910644509</v>
      </c>
      <c r="K8" s="29">
        <v>5798.4670910644509</v>
      </c>
    </row>
    <row r="9" spans="2:22" x14ac:dyDescent="0.25">
      <c r="B9" s="15" t="s">
        <v>29</v>
      </c>
      <c r="C9" s="29">
        <v>25000</v>
      </c>
      <c r="D9" s="29">
        <v>13000</v>
      </c>
      <c r="E9" s="27"/>
      <c r="F9" s="27"/>
      <c r="G9" s="27"/>
      <c r="H9" s="27"/>
      <c r="I9" s="15" t="s">
        <v>29</v>
      </c>
      <c r="J9" s="29">
        <v>28992.335455322256</v>
      </c>
      <c r="K9" s="29">
        <v>15076.014436767573</v>
      </c>
    </row>
    <row r="10" spans="2:22" x14ac:dyDescent="0.25">
      <c r="B10" s="15" t="s">
        <v>30</v>
      </c>
      <c r="C10" s="29">
        <v>25000</v>
      </c>
      <c r="D10" s="29">
        <v>13000</v>
      </c>
      <c r="E10" s="27"/>
      <c r="F10" s="27"/>
      <c r="G10" s="27"/>
      <c r="H10" s="27"/>
      <c r="I10" s="15" t="s">
        <v>30</v>
      </c>
      <c r="J10" s="29">
        <v>28992.335455322256</v>
      </c>
      <c r="K10" s="29">
        <v>15076.014436767573</v>
      </c>
    </row>
    <row r="13" spans="2:22" x14ac:dyDescent="0.25">
      <c r="B13" s="134" t="s">
        <v>191</v>
      </c>
      <c r="C13" s="161">
        <v>2024</v>
      </c>
      <c r="D13" s="134"/>
      <c r="H13" s="27"/>
      <c r="I13" s="134" t="s">
        <v>20</v>
      </c>
      <c r="J13" s="161">
        <v>2030</v>
      </c>
      <c r="K13" s="134"/>
      <c r="P13" s="27"/>
      <c r="Q13" s="27"/>
      <c r="R13" s="27"/>
      <c r="S13" s="27"/>
      <c r="T13" s="27"/>
      <c r="U13" s="27"/>
      <c r="V13" s="27"/>
    </row>
    <row r="14" spans="2:22" x14ac:dyDescent="0.25">
      <c r="B14" s="141" t="s">
        <v>0</v>
      </c>
      <c r="C14" s="141" t="s">
        <v>4</v>
      </c>
      <c r="D14" s="141"/>
      <c r="H14" s="27"/>
      <c r="I14" s="141" t="s">
        <v>0</v>
      </c>
      <c r="J14" s="141" t="s">
        <v>4</v>
      </c>
      <c r="K14" s="141"/>
      <c r="P14" s="27"/>
      <c r="Q14" s="27"/>
      <c r="R14" s="27"/>
      <c r="S14" s="27"/>
      <c r="T14" s="27"/>
      <c r="U14" s="27"/>
      <c r="V14" s="27"/>
    </row>
    <row r="15" spans="2:22" x14ac:dyDescent="0.25">
      <c r="B15" s="28" t="s">
        <v>31</v>
      </c>
      <c r="C15" s="20" t="s">
        <v>5</v>
      </c>
      <c r="D15" s="20" t="s">
        <v>6</v>
      </c>
      <c r="H15" s="27"/>
      <c r="I15" s="28" t="s">
        <v>31</v>
      </c>
      <c r="J15" s="20" t="s">
        <v>5</v>
      </c>
      <c r="K15" s="20" t="s">
        <v>6</v>
      </c>
      <c r="P15" s="27"/>
      <c r="Q15" s="27"/>
      <c r="R15" s="27"/>
      <c r="S15" s="27"/>
      <c r="T15" s="27"/>
      <c r="U15" s="27"/>
      <c r="V15" s="27"/>
    </row>
    <row r="16" spans="2:22" x14ac:dyDescent="0.25">
      <c r="B16" s="32" t="s">
        <v>2</v>
      </c>
      <c r="C16" s="53">
        <v>981.66666666666606</v>
      </c>
      <c r="D16" s="53">
        <v>1363.7777777777774</v>
      </c>
      <c r="H16" s="27"/>
      <c r="I16" s="32" t="s">
        <v>2</v>
      </c>
      <c r="J16" s="53">
        <v>1138.4323722123199</v>
      </c>
      <c r="K16" s="53">
        <v>1581.56411279389</v>
      </c>
      <c r="P16" s="27"/>
      <c r="S16" s="27"/>
      <c r="T16" s="27"/>
      <c r="U16" s="27"/>
      <c r="V16" s="27"/>
    </row>
    <row r="17" spans="2:22" x14ac:dyDescent="0.25">
      <c r="B17" s="32" t="s">
        <v>12</v>
      </c>
      <c r="C17" s="53">
        <v>717.7777777777776</v>
      </c>
      <c r="D17" s="53">
        <v>717.7777777777776</v>
      </c>
      <c r="F17" s="562"/>
      <c r="G17" s="562"/>
      <c r="H17" s="27"/>
      <c r="I17" s="32" t="s">
        <v>12</v>
      </c>
      <c r="J17" s="53">
        <v>832.40216462836315</v>
      </c>
      <c r="K17" s="53">
        <v>832.40216462836315</v>
      </c>
      <c r="P17" s="27"/>
      <c r="S17" s="27"/>
      <c r="T17" s="27"/>
      <c r="U17" s="27"/>
      <c r="V17" s="27"/>
    </row>
    <row r="18" spans="2:22" x14ac:dyDescent="0.25">
      <c r="B18" s="32" t="s">
        <v>29</v>
      </c>
      <c r="C18" s="53">
        <v>1750</v>
      </c>
      <c r="D18" s="53">
        <v>962.5</v>
      </c>
      <c r="H18" s="27"/>
      <c r="I18" s="32" t="s">
        <v>29</v>
      </c>
      <c r="J18" s="53">
        <v>2029.4634818725578</v>
      </c>
      <c r="K18" s="53">
        <v>1116.2049150299067</v>
      </c>
      <c r="P18" s="27"/>
      <c r="S18" s="27"/>
      <c r="T18" s="27"/>
      <c r="U18" s="27"/>
      <c r="V18" s="27"/>
    </row>
    <row r="19" spans="2:22" x14ac:dyDescent="0.25">
      <c r="B19" s="24" t="s">
        <v>30</v>
      </c>
      <c r="C19" s="57">
        <v>3500</v>
      </c>
      <c r="D19" s="57">
        <v>1925</v>
      </c>
      <c r="H19" s="27"/>
      <c r="I19" s="32" t="s">
        <v>30</v>
      </c>
      <c r="J19" s="53">
        <v>4058.9269637451157</v>
      </c>
      <c r="K19" s="53">
        <v>2232.4098300598134</v>
      </c>
      <c r="N19" s="561">
        <v>8500</v>
      </c>
      <c r="P19" s="27"/>
      <c r="S19" s="27"/>
      <c r="T19" s="27"/>
      <c r="U19" s="27"/>
      <c r="V19" s="27"/>
    </row>
    <row r="20" spans="2:22" x14ac:dyDescent="0.25">
      <c r="N20" s="561">
        <f>+Summary!O20*1000</f>
        <v>10934.874794830752</v>
      </c>
    </row>
    <row r="21" spans="2:22" x14ac:dyDescent="0.25">
      <c r="N21" s="562">
        <f>+N20/N19-1</f>
        <v>0.28645585821538266</v>
      </c>
    </row>
  </sheetData>
  <pageMargins left="0.7" right="0.7" top="0.75" bottom="0.75" header="0.3" footer="0.3"/>
  <pageSetup paperSize="9" scale="35" orientation="portrait" r:id="rId1"/>
  <colBreaks count="1" manualBreakCount="1">
    <brk id="16" max="2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CC6C-E4C3-4286-9193-80811EB843E8}">
  <sheetPr>
    <tabColor theme="4"/>
  </sheetPr>
  <dimension ref="B2:R39"/>
  <sheetViews>
    <sheetView showGridLines="0" zoomScale="80" zoomScaleNormal="80" zoomScaleSheetLayoutView="80" workbookViewId="0">
      <pane xSplit="5" ySplit="5" topLeftCell="F6" activePane="bottomRight" state="frozen"/>
      <selection activeCell="V117" sqref="V117:V119"/>
      <selection pane="topRight" activeCell="V117" sqref="V117:V119"/>
      <selection pane="bottomLeft" activeCell="V117" sqref="V117:V119"/>
      <selection pane="bottomRight" activeCell="K32" sqref="K32"/>
    </sheetView>
  </sheetViews>
  <sheetFormatPr defaultRowHeight="13.8" outlineLevelRow="1" x14ac:dyDescent="0.25"/>
  <cols>
    <col min="2" max="2" width="21.5" customWidth="1"/>
    <col min="3" max="3" width="4" customWidth="1"/>
    <col min="4" max="4" width="9.09765625" bestFit="1" customWidth="1"/>
    <col min="5" max="5" width="8.296875" customWidth="1"/>
    <col min="6" max="7" width="15.8984375" customWidth="1"/>
    <col min="8" max="8" width="15.19921875" customWidth="1"/>
    <col min="9" max="10" width="18" customWidth="1"/>
    <col min="11" max="12" width="15.8984375" customWidth="1"/>
    <col min="13" max="13" width="14.296875" customWidth="1"/>
    <col min="14" max="14" width="11" customWidth="1"/>
  </cols>
  <sheetData>
    <row r="2" spans="2:18" ht="14.4" x14ac:dyDescent="0.3">
      <c r="F2" s="87"/>
    </row>
    <row r="3" spans="2:18" x14ac:dyDescent="0.25">
      <c r="B3" s="84" t="s">
        <v>26</v>
      </c>
      <c r="C3" s="349"/>
      <c r="D3" s="349"/>
      <c r="E3" s="349"/>
      <c r="F3" s="84" t="s">
        <v>88</v>
      </c>
      <c r="G3" s="84"/>
      <c r="H3" s="519" t="s">
        <v>230</v>
      </c>
      <c r="I3" s="519"/>
      <c r="J3" s="519"/>
      <c r="K3" s="519"/>
      <c r="L3" s="519"/>
      <c r="M3" s="519"/>
      <c r="N3" s="519"/>
      <c r="O3" s="517" t="s">
        <v>229</v>
      </c>
      <c r="P3" s="517"/>
    </row>
    <row r="4" spans="2:18" ht="41.4" x14ac:dyDescent="0.25">
      <c r="B4" s="83"/>
      <c r="C4" s="486" t="s">
        <v>18</v>
      </c>
      <c r="D4" s="486" t="s">
        <v>0</v>
      </c>
      <c r="E4" s="486" t="s">
        <v>4</v>
      </c>
      <c r="F4" s="83">
        <v>2024</v>
      </c>
      <c r="G4" s="83" t="s">
        <v>89</v>
      </c>
      <c r="H4" s="518" t="s">
        <v>225</v>
      </c>
      <c r="I4" s="518" t="s">
        <v>226</v>
      </c>
      <c r="J4" s="518"/>
      <c r="K4" s="518" t="s">
        <v>227</v>
      </c>
      <c r="L4" s="518"/>
      <c r="M4" s="518" t="s">
        <v>87</v>
      </c>
      <c r="N4" s="518"/>
      <c r="O4" s="520" t="s">
        <v>229</v>
      </c>
      <c r="P4" s="517"/>
    </row>
    <row r="5" spans="2:18" x14ac:dyDescent="0.25">
      <c r="B5" s="486"/>
      <c r="C5" s="486"/>
      <c r="D5" s="486"/>
      <c r="E5" s="486"/>
      <c r="F5" s="486"/>
      <c r="G5" s="486"/>
      <c r="H5" s="518"/>
      <c r="I5" s="518" t="s">
        <v>228</v>
      </c>
      <c r="J5" s="518" t="s">
        <v>118</v>
      </c>
      <c r="K5" s="518" t="s">
        <v>228</v>
      </c>
      <c r="L5" s="518" t="s">
        <v>118</v>
      </c>
      <c r="M5" s="518" t="s">
        <v>117</v>
      </c>
      <c r="N5" s="518" t="s">
        <v>118</v>
      </c>
      <c r="O5" s="521" t="s">
        <v>117</v>
      </c>
      <c r="P5" s="518" t="s">
        <v>118</v>
      </c>
    </row>
    <row r="6" spans="2:18" outlineLevel="1" x14ac:dyDescent="0.25">
      <c r="B6" s="86" t="s">
        <v>8</v>
      </c>
      <c r="C6" s="336" t="s">
        <v>25</v>
      </c>
      <c r="D6" s="336" t="s">
        <v>2</v>
      </c>
      <c r="E6" s="336" t="s">
        <v>5</v>
      </c>
      <c r="F6" s="85">
        <v>10</v>
      </c>
      <c r="G6" s="85">
        <f>35%*(35)-F6</f>
        <v>2.25</v>
      </c>
      <c r="H6" s="501"/>
      <c r="I6" s="498">
        <v>1.5</v>
      </c>
      <c r="J6" s="336">
        <v>2</v>
      </c>
      <c r="K6" s="403">
        <f>'4. Expand digital presence'!L6</f>
        <v>0.51975000000000005</v>
      </c>
      <c r="L6" s="381">
        <f>'4. Expand digital presence'!M6</f>
        <v>0.7796249999999999</v>
      </c>
      <c r="M6" s="494">
        <f>H6+I6+K6</f>
        <v>2.0197500000000002</v>
      </c>
      <c r="N6" s="381">
        <f>H6+J6+L6</f>
        <v>2.7796249999999998</v>
      </c>
      <c r="O6" s="508">
        <f t="shared" ref="O6:O13" si="0">M6+$G6+$F6</f>
        <v>14.26975</v>
      </c>
      <c r="P6" s="395">
        <f t="shared" ref="P6:P13" si="1">N6+$G6+$F6</f>
        <v>15.029624999999999</v>
      </c>
    </row>
    <row r="7" spans="2:18" outlineLevel="1" x14ac:dyDescent="0.25">
      <c r="B7" s="86" t="s">
        <v>8</v>
      </c>
      <c r="C7" s="336" t="s">
        <v>25</v>
      </c>
      <c r="D7" s="336" t="s">
        <v>2</v>
      </c>
      <c r="E7" s="336" t="s">
        <v>6</v>
      </c>
      <c r="F7" s="395">
        <v>4.3</v>
      </c>
      <c r="G7" s="488"/>
      <c r="H7" s="502">
        <f>'1. Increase used car financing'!H28</f>
        <v>8</v>
      </c>
      <c r="I7" s="498">
        <v>1.5</v>
      </c>
      <c r="J7" s="336">
        <v>2</v>
      </c>
      <c r="K7" s="403">
        <f>'4. Expand digital presence'!L7</f>
        <v>2.3315021503918532</v>
      </c>
      <c r="L7" s="381">
        <f>'4. Expand digital presence'!M7</f>
        <v>3.1457945338558044</v>
      </c>
      <c r="M7" s="494">
        <f t="shared" ref="M7:M17" si="2">H7+I7+K7</f>
        <v>11.831502150391852</v>
      </c>
      <c r="N7" s="381">
        <f t="shared" ref="N7:N17" si="3">H7+J7+L7</f>
        <v>13.145794533855804</v>
      </c>
      <c r="O7" s="508">
        <f t="shared" si="0"/>
        <v>16.131502150391853</v>
      </c>
      <c r="P7" s="395">
        <f t="shared" si="1"/>
        <v>17.445794533855803</v>
      </c>
    </row>
    <row r="8" spans="2:18" outlineLevel="1" x14ac:dyDescent="0.25">
      <c r="B8" s="86" t="s">
        <v>8</v>
      </c>
      <c r="C8" s="336" t="s">
        <v>25</v>
      </c>
      <c r="D8" s="336" t="s">
        <v>12</v>
      </c>
      <c r="E8" s="336" t="s">
        <v>5</v>
      </c>
      <c r="F8" s="381">
        <f>'4. Expand digital presence'!J9</f>
        <v>0.78811999999999982</v>
      </c>
      <c r="G8" s="381">
        <f>'4. Expand digital presence'!K9-F8</f>
        <v>0.11188000000000009</v>
      </c>
      <c r="H8" s="501"/>
      <c r="I8" s="499"/>
      <c r="J8" s="487"/>
      <c r="K8" s="494">
        <f>'4. Expand digital presence'!L9-'4. Expand digital presence'!K9</f>
        <v>0.15000000000000013</v>
      </c>
      <c r="L8" s="395">
        <f>'4. Expand digital presence'!M9-'4. Expand digital presence'!K9</f>
        <v>0.30000000000000004</v>
      </c>
      <c r="M8" s="494">
        <f t="shared" si="2"/>
        <v>0.15000000000000013</v>
      </c>
      <c r="N8" s="395">
        <f t="shared" si="3"/>
        <v>0.30000000000000004</v>
      </c>
      <c r="O8" s="508">
        <f t="shared" si="0"/>
        <v>1.05</v>
      </c>
      <c r="P8" s="395">
        <f t="shared" si="1"/>
        <v>1.2</v>
      </c>
    </row>
    <row r="9" spans="2:18" outlineLevel="1" x14ac:dyDescent="0.25">
      <c r="B9" s="59" t="s">
        <v>8</v>
      </c>
      <c r="C9" s="59" t="s">
        <v>25</v>
      </c>
      <c r="D9" s="59" t="s">
        <v>12</v>
      </c>
      <c r="E9" s="59" t="s">
        <v>6</v>
      </c>
      <c r="F9" s="179">
        <f>'4. Expand digital presence'!J10</f>
        <v>4.4660133333333318</v>
      </c>
      <c r="G9" s="179">
        <f>'4. Expand digital presence'!K10-F9</f>
        <v>0.63398666666666781</v>
      </c>
      <c r="H9" s="503"/>
      <c r="I9" s="500"/>
      <c r="J9" s="490"/>
      <c r="K9" s="495">
        <f>'4. Expand digital presence'!L10-'4. Expand digital presence'!K10</f>
        <v>1.4493295585324217</v>
      </c>
      <c r="L9" s="485">
        <f>'4. Expand digital presence'!M10-'4. Expand digital presence'!K10</f>
        <v>2.3992178182878252</v>
      </c>
      <c r="M9" s="511">
        <f t="shared" si="2"/>
        <v>1.4493295585324217</v>
      </c>
      <c r="N9" s="512">
        <f t="shared" si="3"/>
        <v>2.3992178182878252</v>
      </c>
      <c r="O9" s="511">
        <f t="shared" si="0"/>
        <v>6.5493295585324214</v>
      </c>
      <c r="P9" s="512">
        <f t="shared" si="1"/>
        <v>7.4992178182878249</v>
      </c>
      <c r="Q9" s="356"/>
      <c r="R9" s="356"/>
    </row>
    <row r="10" spans="2:18" x14ac:dyDescent="0.25">
      <c r="B10" s="375" t="s">
        <v>86</v>
      </c>
      <c r="C10" s="375" t="s">
        <v>55</v>
      </c>
      <c r="D10" s="375" t="s">
        <v>2</v>
      </c>
      <c r="E10" s="375" t="s">
        <v>5</v>
      </c>
      <c r="F10" s="420">
        <f>F6/INDEX('2030 RAR per Car'!$B$15:$G$19,MATCH($D10,'2030 RAR per Car'!$B$15:$B$19,0),MATCH($E10,'2030 RAR per Car'!$B$15:$G$15,0))*1000</f>
        <v>10.1867572156197</v>
      </c>
      <c r="G10" s="420">
        <f>G6/INDEX('2030 RAR per Car'!$I$15:$K$19,MATCH($D10,'2030 RAR per Car'!$I$15:$I$19,0),MATCH($E10,'2030 RAR per Car'!$I$15:$K$15,0))*1000</f>
        <v>1.9764019847991203</v>
      </c>
      <c r="H10" s="504"/>
      <c r="I10" s="497">
        <f>I6/INDEX('2030 RAR per Car'!$I$15:$K$19,MATCH($D10,'2030 RAR per Car'!$I$15:$I$19,0),MATCH($E10,'2030 RAR per Car'!$I$15:$K$15,0))*1000</f>
        <v>1.3176013231994135</v>
      </c>
      <c r="J10" s="420">
        <f>J6/INDEX('2030 RAR per Car'!$I$15:$K$19,MATCH($D10,'2030 RAR per Car'!$I$15:$I$19,0),MATCH($E10,'2030 RAR per Car'!$I$15:$K$15,0))*1000</f>
        <v>1.7568017642658846</v>
      </c>
      <c r="K10" s="149">
        <f>'4. Expand digital presence'!L14-'4. Expand digital presence'!$K14</f>
        <v>0.45654885848859678</v>
      </c>
      <c r="L10" s="491">
        <f>'4. Expand digital presence'!M14-'4. Expand digital presence'!$K14</f>
        <v>0.68482328773289514</v>
      </c>
      <c r="M10" s="497">
        <f t="shared" si="2"/>
        <v>1.7741501816880103</v>
      </c>
      <c r="N10" s="509">
        <f t="shared" si="3"/>
        <v>2.4416250519987797</v>
      </c>
      <c r="O10" s="497">
        <f t="shared" si="0"/>
        <v>13.937309382106831</v>
      </c>
      <c r="P10" s="510">
        <f t="shared" si="1"/>
        <v>14.6047842524176</v>
      </c>
    </row>
    <row r="11" spans="2:18" x14ac:dyDescent="0.25">
      <c r="B11" s="336" t="s">
        <v>86</v>
      </c>
      <c r="C11" s="336" t="s">
        <v>55</v>
      </c>
      <c r="D11" s="336" t="s">
        <v>2</v>
      </c>
      <c r="E11" s="336" t="s">
        <v>6</v>
      </c>
      <c r="F11" s="395">
        <f>F7/INDEX('2030 RAR per Car'!$B$15:$G$19,MATCH($D11,'2030 RAR per Car'!$B$15:$B$19,0),MATCH($E11,'2030 RAR per Car'!$B$15:$G$15,0))*1000</f>
        <v>3.1530063548965299</v>
      </c>
      <c r="G11" s="489">
        <f>G7/INDEX('2030 RAR per Car'!$I$15:$K$19,MATCH($D11,'2030 RAR per Car'!$I$15:$I$19,0),MATCH($E11,'2030 RAR per Car'!$I$15:$K$15,0))*1000</f>
        <v>0</v>
      </c>
      <c r="H11" s="502">
        <f>H7/INDEX('2030 RAR per Car'!$I$15:$K$19,MATCH($D11,'2030 RAR per Car'!$I$15:$I$19,0),MATCH($E11,'2030 RAR per Car'!$I$15:$K$15,0))*1000</f>
        <v>5.0582837175457351</v>
      </c>
      <c r="I11" s="494">
        <f>I7/INDEX('2030 RAR per Car'!$I$15:$K$19,MATCH($D11,'2030 RAR per Car'!$I$15:$I$19,0),MATCH($E11,'2030 RAR per Car'!$I$15:$K$15,0))*1000</f>
        <v>0.94842819703982528</v>
      </c>
      <c r="J11" s="395">
        <f>J7/INDEX('2030 RAR per Car'!$I$15:$K$19,MATCH($D11,'2030 RAR per Car'!$I$15:$I$19,0),MATCH($E11,'2030 RAR per Car'!$I$15:$K$15,0))*1000</f>
        <v>1.2645709293864338</v>
      </c>
      <c r="K11" s="415">
        <f>'4. Expand digital presence'!L15-'4. Expand digital presence'!$K15</f>
        <v>1.4741749205937473</v>
      </c>
      <c r="L11" s="416">
        <f>'4. Expand digital presence'!M15-'4. Expand digital presence'!$K15</f>
        <v>1.989040158668399</v>
      </c>
      <c r="M11" s="494">
        <f t="shared" si="2"/>
        <v>7.4808868351793079</v>
      </c>
      <c r="N11" s="416">
        <f t="shared" si="3"/>
        <v>8.3118948056005681</v>
      </c>
      <c r="O11" s="508">
        <f t="shared" si="0"/>
        <v>10.633893190075838</v>
      </c>
      <c r="P11" s="395">
        <f t="shared" si="1"/>
        <v>11.464901160497098</v>
      </c>
    </row>
    <row r="12" spans="2:18" outlineLevel="1" x14ac:dyDescent="0.25">
      <c r="B12" s="336" t="s">
        <v>86</v>
      </c>
      <c r="C12" s="336" t="s">
        <v>55</v>
      </c>
      <c r="D12" s="336" t="s">
        <v>12</v>
      </c>
      <c r="E12" s="336" t="s">
        <v>5</v>
      </c>
      <c r="F12" s="395">
        <f>F8/INDEX('2030 RAR per Car'!$B$15:$G$19,MATCH($D12,'2030 RAR per Car'!$B$15:$B$19,0),MATCH($E12,'2030 RAR per Car'!$B$15:$G$15,0))*1000</f>
        <v>1.0980000000000001</v>
      </c>
      <c r="G12" s="395">
        <f>G8/INDEX('2030 RAR per Car'!$I$15:$K$19,MATCH($D12,'2030 RAR per Car'!$I$15:$I$19,0),MATCH($E12,'2030 RAR per Car'!$I$15:$K$15,0))*1000</f>
        <v>0.13440618580076663</v>
      </c>
      <c r="H12" s="505"/>
      <c r="I12" s="499"/>
      <c r="J12" s="487"/>
      <c r="K12" s="415">
        <f>'4. Expand digital presence'!L17-'4. Expand digital presence'!$K17</f>
        <v>0.18020135743756693</v>
      </c>
      <c r="L12" s="416">
        <f>'4. Expand digital presence'!M17-'4. Expand digital presence'!$K17</f>
        <v>0.36040271487513387</v>
      </c>
      <c r="M12" s="494">
        <f t="shared" si="2"/>
        <v>0.18020135743756693</v>
      </c>
      <c r="N12" s="416">
        <f t="shared" si="3"/>
        <v>0.36040271487513387</v>
      </c>
      <c r="O12" s="508">
        <f t="shared" si="0"/>
        <v>1.4126075432383336</v>
      </c>
      <c r="P12" s="395">
        <f t="shared" si="1"/>
        <v>1.5928089006759005</v>
      </c>
    </row>
    <row r="13" spans="2:18" outlineLevel="1" x14ac:dyDescent="0.25">
      <c r="B13" s="59" t="s">
        <v>86</v>
      </c>
      <c r="C13" s="59" t="s">
        <v>55</v>
      </c>
      <c r="D13" s="59" t="s">
        <v>12</v>
      </c>
      <c r="E13" s="59" t="s">
        <v>6</v>
      </c>
      <c r="F13" s="485">
        <f>F9/INDEX('2030 RAR per Car'!$B$15:$G$19,MATCH($D13,'2030 RAR per Car'!$B$15:$B$19,0),MATCH($E13,'2030 RAR per Car'!$B$15:$G$15,0))*1000</f>
        <v>6.2219999999999995</v>
      </c>
      <c r="G13" s="485">
        <f>G9/INDEX('2030 RAR per Car'!$I$15:$K$19,MATCH($D13,'2030 RAR per Car'!$I$15:$I$19,0),MATCH($E13,'2030 RAR per Car'!$I$15:$K$15,0))*1000</f>
        <v>0.76163505287101152</v>
      </c>
      <c r="H13" s="506"/>
      <c r="I13" s="500"/>
      <c r="J13" s="490"/>
      <c r="K13" s="496">
        <f>'4. Expand digital presence'!L18-'4. Expand digital presence'!$K18</f>
        <v>1.7411410254795454</v>
      </c>
      <c r="L13" s="492">
        <f>'4. Expand digital presence'!M18-'4. Expand digital presence'!$K18</f>
        <v>2.8822820509590903</v>
      </c>
      <c r="M13" s="511">
        <f t="shared" si="2"/>
        <v>1.7411410254795454</v>
      </c>
      <c r="N13" s="513">
        <f t="shared" si="3"/>
        <v>2.8822820509590903</v>
      </c>
      <c r="O13" s="511">
        <f t="shared" si="0"/>
        <v>8.7247760783505566</v>
      </c>
      <c r="P13" s="512">
        <f t="shared" si="1"/>
        <v>9.8659171038301015</v>
      </c>
      <c r="Q13" s="356"/>
      <c r="R13" s="356"/>
    </row>
    <row r="14" spans="2:18" outlineLevel="1" x14ac:dyDescent="0.25">
      <c r="B14" s="375" t="s">
        <v>152</v>
      </c>
      <c r="C14" s="375" t="s">
        <v>25</v>
      </c>
      <c r="D14" s="375" t="s">
        <v>2</v>
      </c>
      <c r="E14" s="375" t="s">
        <v>5</v>
      </c>
      <c r="F14" s="420">
        <f>F10*INDEX('2030 RAR per Car'!$B$5:$D$10,MATCH($D14,'2030 RAR per Car'!$B$5:$B$10,0),MATCH($E14,'2030 RAR per Car'!$B$5:$D$5,0))/1000</f>
        <v>152.80135823429549</v>
      </c>
      <c r="G14" s="420">
        <f>G10*INDEX('2030 RAR per Car'!$I$5:$K$10,MATCH($D14,'2030 RAR per Car'!$I$5:$I$10,0),MATCH($E14,'2030 RAR per Car'!$I$5:$K$5,0))/1000</f>
        <v>34.38030560271649</v>
      </c>
      <c r="H14" s="516"/>
      <c r="I14" s="514">
        <f>I10*INDEX('2030 RAR per Car'!$I$5:$K$10,MATCH($D14,'2030 RAR per Car'!$I$5:$I$10,0),MATCH($E14,'2030 RAR per Car'!$I$5:$K$5,0))/1000</f>
        <v>22.920203735144327</v>
      </c>
      <c r="J14" s="420">
        <f>J10*INDEX('2030 RAR per Car'!$I$5:$K$10,MATCH($D14,'2030 RAR per Car'!$I$5:$I$10,0),MATCH($E14,'2030 RAR per Car'!$I$5:$K$5,0))/1000</f>
        <v>30.560271646859103</v>
      </c>
      <c r="K14" s="497">
        <f>'4. Expand digital presence'!L20-'4. Expand digital presence'!$K20</f>
        <v>7.9418505942275086</v>
      </c>
      <c r="L14" s="420">
        <f>'4. Expand digital presence'!M20-'4. Expand digital presence'!$K20</f>
        <v>11.912775891341264</v>
      </c>
      <c r="M14" s="497">
        <f t="shared" si="2"/>
        <v>30.862054329371837</v>
      </c>
      <c r="N14" s="510">
        <f t="shared" si="3"/>
        <v>42.473047538200369</v>
      </c>
      <c r="O14" s="497">
        <f>M14+$G14+$F14</f>
        <v>218.04371816638383</v>
      </c>
      <c r="P14" s="510">
        <f t="shared" ref="P14:P17" si="4">N14+$G14+$F14</f>
        <v>229.65471137521234</v>
      </c>
    </row>
    <row r="15" spans="2:18" outlineLevel="1" x14ac:dyDescent="0.25">
      <c r="B15" s="336" t="s">
        <v>152</v>
      </c>
      <c r="C15" s="336" t="s">
        <v>25</v>
      </c>
      <c r="D15" s="336" t="s">
        <v>2</v>
      </c>
      <c r="E15" s="336" t="s">
        <v>6</v>
      </c>
      <c r="F15" s="395">
        <f>F11*INDEX('2030 RAR per Car'!$B$5:$D$10,MATCH($D15,'2030 RAR per Car'!$B$5:$B$10,0),MATCH($E15,'2030 RAR per Car'!$B$5:$D$5,0))/1000</f>
        <v>29.953560371517032</v>
      </c>
      <c r="G15" s="488"/>
      <c r="H15" s="502">
        <f>'1. Increase used car financing'!H33</f>
        <v>59.636699784179655</v>
      </c>
      <c r="I15" s="508">
        <f>I11*INDEX('2030 RAR per Car'!$I$5:$K$10,MATCH($D15,'2030 RAR per Car'!$I$5:$I$10,0),MATCH($E15,'2030 RAR per Car'!$I$5:$K$5,0))/1000</f>
        <v>10.448916408668735</v>
      </c>
      <c r="J15" s="395">
        <f>J11*INDEX('2030 RAR per Car'!$I$5:$K$10,MATCH($D15,'2030 RAR per Car'!$I$5:$I$10,0),MATCH($E15,'2030 RAR per Car'!$I$5:$K$5,0))/1000</f>
        <v>13.931888544891645</v>
      </c>
      <c r="K15" s="494">
        <f>'4. Expand digital presence'!L21-'4. Expand digital presence'!$K21</f>
        <v>16.24111405071725</v>
      </c>
      <c r="L15" s="395">
        <f>'4. Expand digital presence'!M21-'4. Expand digital presence'!$K21</f>
        <v>21.137597372060565</v>
      </c>
      <c r="M15" s="494">
        <f t="shared" si="2"/>
        <v>86.326730243565635</v>
      </c>
      <c r="N15" s="395">
        <f t="shared" si="3"/>
        <v>94.706185701131872</v>
      </c>
      <c r="O15" s="508">
        <f t="shared" ref="O15:O17" si="5">M15+$G15+$F15</f>
        <v>116.28029061508266</v>
      </c>
      <c r="P15" s="395">
        <f t="shared" si="4"/>
        <v>124.6597460726489</v>
      </c>
    </row>
    <row r="16" spans="2:18" outlineLevel="1" x14ac:dyDescent="0.25">
      <c r="B16" s="336" t="s">
        <v>152</v>
      </c>
      <c r="C16" s="336" t="s">
        <v>25</v>
      </c>
      <c r="D16" s="336" t="s">
        <v>12</v>
      </c>
      <c r="E16" s="336" t="s">
        <v>5</v>
      </c>
      <c r="F16" s="395">
        <f>F12*INDEX('2030 RAR per Car'!$B$5:$D$10,MATCH($D16,'2030 RAR per Car'!$B$5:$B$10,0),MATCH($E16,'2030 RAR per Car'!$B$5:$D$5,0))/1000</f>
        <v>5.49</v>
      </c>
      <c r="G16" s="395">
        <f>G12*INDEX('2030 RAR per Car'!$I$5:$K$10,MATCH($D16,'2030 RAR per Car'!$I$5:$I$10,0),MATCH($E16,'2030 RAR per Car'!$I$5:$K$5,0))/1000</f>
        <v>0.7793498452012394</v>
      </c>
      <c r="H16" s="501"/>
      <c r="I16" s="515"/>
      <c r="J16" s="487"/>
      <c r="K16" s="508">
        <f>'4. Expand digital presence'!L24-'4. Expand digital presence'!$K24</f>
        <v>1.0448916408668749</v>
      </c>
      <c r="L16" s="395">
        <f>'4. Expand digital presence'!M24-'4. Expand digital presence'!$K24</f>
        <v>2.0897832817337481</v>
      </c>
      <c r="M16" s="508">
        <f t="shared" si="2"/>
        <v>1.0448916408668749</v>
      </c>
      <c r="N16" s="395">
        <f t="shared" si="3"/>
        <v>2.0897832817337481</v>
      </c>
      <c r="O16" s="508">
        <f t="shared" si="5"/>
        <v>7.3142414860681146</v>
      </c>
      <c r="P16" s="395">
        <f t="shared" si="4"/>
        <v>8.3591331269349887</v>
      </c>
    </row>
    <row r="17" spans="2:18" ht="15" customHeight="1" outlineLevel="1" x14ac:dyDescent="0.25">
      <c r="B17" s="527" t="s">
        <v>152</v>
      </c>
      <c r="C17" s="527" t="s">
        <v>25</v>
      </c>
      <c r="D17" s="527" t="s">
        <v>12</v>
      </c>
      <c r="E17" s="527" t="s">
        <v>6</v>
      </c>
      <c r="F17" s="512">
        <f>F13*INDEX('2030 RAR per Car'!$B$5:$D$10,MATCH($D17,'2030 RAR per Car'!$B$5:$B$10,0),MATCH($E17,'2030 RAR per Car'!$B$5:$D$5,0))/1000</f>
        <v>31.109999999999996</v>
      </c>
      <c r="G17" s="512">
        <f>G13*INDEX('2030 RAR per Car'!$I$5:$K$10,MATCH($D17,'2030 RAR per Car'!$I$5:$I$10,0),MATCH($E17,'2030 RAR per Car'!$I$5:$K$5,0))/1000</f>
        <v>4.4163157894736935</v>
      </c>
      <c r="H17" s="528"/>
      <c r="I17" s="529"/>
      <c r="J17" s="527"/>
      <c r="K17" s="522">
        <f>'4. Expand digital presence'!L25-'4. Expand digital presence'!$K25</f>
        <v>10.095948937145366</v>
      </c>
      <c r="L17" s="530">
        <f>'4. Expand digital presence'!M25-'4. Expand digital presence'!$K25</f>
        <v>16.712817619652036</v>
      </c>
      <c r="M17" s="522">
        <f t="shared" si="2"/>
        <v>10.095948937145366</v>
      </c>
      <c r="N17" s="530">
        <f t="shared" si="3"/>
        <v>16.712817619652036</v>
      </c>
      <c r="O17" s="522">
        <f t="shared" si="5"/>
        <v>45.622264726619051</v>
      </c>
      <c r="P17" s="530">
        <f t="shared" si="4"/>
        <v>52.239133409125728</v>
      </c>
      <c r="Q17" s="356"/>
      <c r="R17" s="356"/>
    </row>
    <row r="19" spans="2:18" x14ac:dyDescent="0.25">
      <c r="B19" s="6"/>
      <c r="H19" s="62"/>
      <c r="I19" s="647">
        <f>+I14/I10</f>
        <v>17.395401273193354</v>
      </c>
      <c r="J19" s="62"/>
      <c r="K19" s="549">
        <f>+K14/K10</f>
        <v>17.395401273193354</v>
      </c>
      <c r="L19" s="62"/>
      <c r="M19" s="549">
        <f>+M14/M10</f>
        <v>17.395401273193354</v>
      </c>
      <c r="N19" s="62"/>
      <c r="O19" s="549">
        <f>+O14/O10</f>
        <v>15.64460630014538</v>
      </c>
    </row>
    <row r="20" spans="2:18" x14ac:dyDescent="0.25">
      <c r="H20" s="647">
        <f>+H15/H11</f>
        <v>11.789908023015208</v>
      </c>
      <c r="I20" s="647">
        <f>+I15/I11</f>
        <v>11.017087473022459</v>
      </c>
      <c r="K20" s="549">
        <f>+K15/K11</f>
        <v>11.017087473022459</v>
      </c>
      <c r="M20" s="549">
        <f t="shared" ref="M20:M22" si="6">+M15/M11</f>
        <v>11.539638567664081</v>
      </c>
      <c r="O20" s="549">
        <f t="shared" ref="O20:O22" si="7">+O15/O11</f>
        <v>10.934874794830751</v>
      </c>
    </row>
    <row r="21" spans="2:18" x14ac:dyDescent="0.25">
      <c r="F21" s="507"/>
      <c r="K21" s="549">
        <f t="shared" ref="K21:K22" si="8">+K16/K12</f>
        <v>5.7984670910644551</v>
      </c>
      <c r="M21" s="549">
        <f t="shared" si="6"/>
        <v>5.7984670910644551</v>
      </c>
      <c r="O21" s="549">
        <f t="shared" si="7"/>
        <v>5.1778298375078577</v>
      </c>
    </row>
    <row r="22" spans="2:18" x14ac:dyDescent="0.25">
      <c r="K22" s="549">
        <f t="shared" si="8"/>
        <v>5.7984670910644569</v>
      </c>
      <c r="M22" s="549">
        <f t="shared" si="6"/>
        <v>5.7984670910644569</v>
      </c>
      <c r="O22" s="549">
        <f t="shared" si="7"/>
        <v>5.2290470628610182</v>
      </c>
    </row>
    <row r="23" spans="2:18" x14ac:dyDescent="0.25">
      <c r="K23" s="294"/>
      <c r="L23" s="80"/>
      <c r="M23" s="294"/>
      <c r="O23" s="548"/>
    </row>
    <row r="24" spans="2:18" x14ac:dyDescent="0.25">
      <c r="K24" s="294"/>
      <c r="L24" s="646"/>
      <c r="M24" s="80"/>
    </row>
    <row r="25" spans="2:18" x14ac:dyDescent="0.25">
      <c r="L25" s="294"/>
      <c r="M25" s="294"/>
    </row>
    <row r="26" spans="2:18" x14ac:dyDescent="0.25">
      <c r="D26" s="650" t="s">
        <v>319</v>
      </c>
      <c r="E26" s="670"/>
      <c r="F26" s="650" t="s">
        <v>315</v>
      </c>
      <c r="G26" s="648" t="s">
        <v>316</v>
      </c>
      <c r="H26" s="648" t="s">
        <v>317</v>
      </c>
      <c r="I26" s="649" t="s">
        <v>318</v>
      </c>
      <c r="M26" s="294"/>
    </row>
    <row r="27" spans="2:18" x14ac:dyDescent="0.25">
      <c r="D27" s="663" t="str">
        <f>+B8</f>
        <v>RAR</v>
      </c>
      <c r="E27" s="664"/>
      <c r="F27" s="664"/>
      <c r="G27" s="665"/>
      <c r="H27" s="665"/>
      <c r="I27" s="666"/>
      <c r="J27" s="579"/>
    </row>
    <row r="28" spans="2:18" x14ac:dyDescent="0.25">
      <c r="D28" s="655" t="s">
        <v>2</v>
      </c>
      <c r="E28" s="656" t="s">
        <v>5</v>
      </c>
      <c r="F28" s="667">
        <f>+H6</f>
        <v>0</v>
      </c>
      <c r="G28" s="657">
        <f>+J6</f>
        <v>2</v>
      </c>
      <c r="H28" s="657">
        <f>+L6</f>
        <v>0.7796249999999999</v>
      </c>
      <c r="I28" s="658">
        <f>SUM(F28:H28)</f>
        <v>2.7796249999999998</v>
      </c>
      <c r="J28" s="579"/>
      <c r="K28" s="294"/>
      <c r="L28" s="294"/>
    </row>
    <row r="29" spans="2:18" x14ac:dyDescent="0.25">
      <c r="D29" s="651" t="s">
        <v>2</v>
      </c>
      <c r="E29" s="652" t="s">
        <v>6</v>
      </c>
      <c r="F29" s="668">
        <f>+H7</f>
        <v>8</v>
      </c>
      <c r="G29" s="659">
        <f t="shared" ref="G29:G31" si="9">+J7</f>
        <v>2</v>
      </c>
      <c r="H29" s="659">
        <f t="shared" ref="H29:H31" si="10">+L7</f>
        <v>3.1457945338558044</v>
      </c>
      <c r="I29" s="660">
        <f t="shared" ref="I29:I31" si="11">SUM(F29:H29)</f>
        <v>13.145794533855804</v>
      </c>
      <c r="J29" s="579"/>
      <c r="K29" s="294"/>
      <c r="L29" s="294"/>
    </row>
    <row r="30" spans="2:18" x14ac:dyDescent="0.25">
      <c r="D30" s="651" t="s">
        <v>12</v>
      </c>
      <c r="E30" s="652" t="s">
        <v>5</v>
      </c>
      <c r="F30" s="668">
        <f>+H8</f>
        <v>0</v>
      </c>
      <c r="G30" s="659">
        <f t="shared" si="9"/>
        <v>0</v>
      </c>
      <c r="H30" s="659">
        <f t="shared" si="10"/>
        <v>0.30000000000000004</v>
      </c>
      <c r="I30" s="660">
        <f t="shared" si="11"/>
        <v>0.30000000000000004</v>
      </c>
      <c r="J30" s="579"/>
    </row>
    <row r="31" spans="2:18" x14ac:dyDescent="0.25">
      <c r="D31" s="653" t="s">
        <v>12</v>
      </c>
      <c r="E31" s="654" t="s">
        <v>6</v>
      </c>
      <c r="F31" s="669">
        <f>+H9</f>
        <v>0</v>
      </c>
      <c r="G31" s="661">
        <f t="shared" si="9"/>
        <v>0</v>
      </c>
      <c r="H31" s="661">
        <f t="shared" si="10"/>
        <v>2.3992178182878252</v>
      </c>
      <c r="I31" s="662">
        <f t="shared" si="11"/>
        <v>2.3992178182878252</v>
      </c>
      <c r="J31" s="579"/>
    </row>
    <row r="32" spans="2:18" x14ac:dyDescent="0.25">
      <c r="D32" s="663" t="s">
        <v>314</v>
      </c>
      <c r="E32" s="664"/>
      <c r="F32" s="665"/>
      <c r="G32" s="665"/>
      <c r="H32" s="665"/>
      <c r="I32" s="666"/>
      <c r="J32" s="579"/>
    </row>
    <row r="33" spans="4:12" x14ac:dyDescent="0.25">
      <c r="D33" s="655" t="s">
        <v>2</v>
      </c>
      <c r="E33" s="656" t="s">
        <v>5</v>
      </c>
      <c r="F33" s="667">
        <f>+H14</f>
        <v>0</v>
      </c>
      <c r="G33" s="657">
        <f>+J14</f>
        <v>30.560271646859103</v>
      </c>
      <c r="H33" s="657">
        <f>+L14</f>
        <v>11.912775891341264</v>
      </c>
      <c r="I33" s="658">
        <f t="shared" ref="I33:I36" si="12">SUM(F33:H33)</f>
        <v>42.473047538200369</v>
      </c>
      <c r="J33" s="671">
        <f>+F33/$I$33</f>
        <v>0</v>
      </c>
      <c r="K33" s="671">
        <f>+G33/$I$33</f>
        <v>0.71952151819040333</v>
      </c>
      <c r="L33" s="671">
        <f t="shared" ref="L33" si="13">+H33/$I$33</f>
        <v>0.28047848180959661</v>
      </c>
    </row>
    <row r="34" spans="4:12" x14ac:dyDescent="0.25">
      <c r="D34" s="651" t="s">
        <v>2</v>
      </c>
      <c r="E34" s="652" t="s">
        <v>6</v>
      </c>
      <c r="F34" s="668">
        <f>+H15</f>
        <v>59.636699784179655</v>
      </c>
      <c r="G34" s="659">
        <f t="shared" ref="G34:G36" si="14">+J15</f>
        <v>13.931888544891645</v>
      </c>
      <c r="H34" s="659">
        <f t="shared" ref="H34:H36" si="15">+L15</f>
        <v>21.137597372060565</v>
      </c>
      <c r="I34" s="660">
        <f t="shared" si="12"/>
        <v>94.706185701131872</v>
      </c>
      <c r="J34" s="671">
        <f>+F34/$I$34</f>
        <v>0.6297022664641736</v>
      </c>
      <c r="K34" s="671">
        <f t="shared" ref="K34:L34" si="16">+G34/$I$34</f>
        <v>0.14710642648894201</v>
      </c>
      <c r="L34" s="671">
        <f t="shared" si="16"/>
        <v>0.22319130704688428</v>
      </c>
    </row>
    <row r="35" spans="4:12" x14ac:dyDescent="0.25">
      <c r="D35" s="651" t="s">
        <v>12</v>
      </c>
      <c r="E35" s="652" t="s">
        <v>5</v>
      </c>
      <c r="F35" s="668">
        <f>+H16</f>
        <v>0</v>
      </c>
      <c r="G35" s="659">
        <f t="shared" si="14"/>
        <v>0</v>
      </c>
      <c r="H35" s="659">
        <f t="shared" si="15"/>
        <v>2.0897832817337481</v>
      </c>
      <c r="I35" s="660">
        <f t="shared" si="12"/>
        <v>2.0897832817337481</v>
      </c>
      <c r="J35" s="671">
        <f>+F35/$I$35</f>
        <v>0</v>
      </c>
      <c r="K35" s="671">
        <f t="shared" ref="K35:L35" si="17">+G35/$I$35</f>
        <v>0</v>
      </c>
      <c r="L35" s="671">
        <f t="shared" si="17"/>
        <v>1</v>
      </c>
    </row>
    <row r="36" spans="4:12" x14ac:dyDescent="0.25">
      <c r="D36" s="653" t="s">
        <v>12</v>
      </c>
      <c r="E36" s="654" t="s">
        <v>6</v>
      </c>
      <c r="F36" s="669">
        <f>+H17</f>
        <v>0</v>
      </c>
      <c r="G36" s="661">
        <f t="shared" si="14"/>
        <v>0</v>
      </c>
      <c r="H36" s="661">
        <f t="shared" si="15"/>
        <v>16.712817619652036</v>
      </c>
      <c r="I36" s="662">
        <f t="shared" si="12"/>
        <v>16.712817619652036</v>
      </c>
      <c r="J36" s="671">
        <f>+F36/$I$36</f>
        <v>0</v>
      </c>
      <c r="K36" s="671">
        <f t="shared" ref="K36:L36" si="18">+G36/$I$36</f>
        <v>0</v>
      </c>
      <c r="L36" s="671">
        <f t="shared" si="18"/>
        <v>1</v>
      </c>
    </row>
    <row r="37" spans="4:12" x14ac:dyDescent="0.25">
      <c r="K37" s="561"/>
    </row>
    <row r="38" spans="4:12" x14ac:dyDescent="0.25">
      <c r="K38" s="561"/>
    </row>
    <row r="39" spans="4:12" x14ac:dyDescent="0.25">
      <c r="F39" s="562"/>
    </row>
  </sheetData>
  <pageMargins left="0.7" right="0.7" top="0.75" bottom="0.75" header="0.3" footer="0.3"/>
  <pageSetup paperSize="9" scale="35" orientation="portrait" r:id="rId1"/>
  <ignoredErrors>
    <ignoredError sqref="J34:L3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6DDB-23D3-4E66-B283-547B7B366A9A}">
  <dimension ref="B3:X28"/>
  <sheetViews>
    <sheetView zoomScale="66" workbookViewId="0">
      <selection activeCell="H30" sqref="H30"/>
    </sheetView>
  </sheetViews>
  <sheetFormatPr defaultRowHeight="13.8" x14ac:dyDescent="0.25"/>
  <cols>
    <col min="2" max="4" width="15.3984375" customWidth="1"/>
    <col min="5" max="5" width="19.796875" bestFit="1" customWidth="1"/>
    <col min="10" max="10" width="7.296875" customWidth="1"/>
    <col min="13" max="13" width="21.69921875" bestFit="1" customWidth="1"/>
  </cols>
  <sheetData>
    <row r="3" spans="2:24" x14ac:dyDescent="0.25">
      <c r="B3" s="1" t="s">
        <v>5</v>
      </c>
      <c r="C3" s="1"/>
      <c r="D3" s="1"/>
      <c r="E3" t="s">
        <v>206</v>
      </c>
      <c r="J3">
        <v>35</v>
      </c>
    </row>
    <row r="4" spans="2:24" x14ac:dyDescent="0.25">
      <c r="B4" s="1"/>
      <c r="C4" s="1"/>
      <c r="D4" s="1"/>
      <c r="J4" s="294">
        <v>0.35</v>
      </c>
    </row>
    <row r="5" spans="2:24" x14ac:dyDescent="0.25">
      <c r="B5" s="1"/>
      <c r="C5" s="1"/>
      <c r="D5" s="1"/>
      <c r="E5" t="s">
        <v>8</v>
      </c>
      <c r="J5">
        <f>J4*J3</f>
        <v>12.25</v>
      </c>
    </row>
    <row r="6" spans="2:24" x14ac:dyDescent="0.25">
      <c r="B6" s="1"/>
      <c r="C6" s="1"/>
      <c r="D6" s="1"/>
      <c r="E6" t="s">
        <v>86</v>
      </c>
      <c r="J6" s="356">
        <f>(J5*1000)/'2030 RAR per Car'!J16</f>
        <v>10.760410806128544</v>
      </c>
    </row>
    <row r="7" spans="2:24" ht="14.4" x14ac:dyDescent="0.3">
      <c r="B7" s="1" t="s">
        <v>207</v>
      </c>
      <c r="C7" s="1"/>
      <c r="D7" s="1"/>
      <c r="E7" s="335" t="s">
        <v>8</v>
      </c>
      <c r="F7" s="318" t="s">
        <v>25</v>
      </c>
      <c r="J7" s="318">
        <f>3*50%</f>
        <v>1.5</v>
      </c>
      <c r="K7" s="331">
        <f>50%*4</f>
        <v>2</v>
      </c>
      <c r="L7" s="337"/>
      <c r="M7" s="321" t="s">
        <v>208</v>
      </c>
      <c r="N7" s="318"/>
      <c r="O7" s="335"/>
      <c r="P7" s="318"/>
      <c r="Q7" s="322"/>
      <c r="R7" s="322"/>
      <c r="S7" s="322"/>
      <c r="T7" s="342">
        <v>3</v>
      </c>
      <c r="U7" s="340">
        <v>4</v>
      </c>
      <c r="V7" s="318"/>
      <c r="W7" s="322"/>
      <c r="X7" s="318"/>
    </row>
    <row r="8" spans="2:24" x14ac:dyDescent="0.25">
      <c r="B8" s="1"/>
      <c r="C8" t="s">
        <v>5</v>
      </c>
      <c r="D8" s="1"/>
      <c r="E8" t="s">
        <v>86</v>
      </c>
      <c r="F8" s="318" t="s">
        <v>25</v>
      </c>
      <c r="J8" s="355">
        <f>J7*1000/'2030 RAR per Car'!J16</f>
        <v>1.3176013231994135</v>
      </c>
      <c r="K8" s="355">
        <f>K7*1000/'2030 RAR per Car'!J16</f>
        <v>1.7568017642658846</v>
      </c>
    </row>
    <row r="9" spans="2:24" x14ac:dyDescent="0.25">
      <c r="B9" s="1"/>
      <c r="C9" t="s">
        <v>6</v>
      </c>
      <c r="D9" s="1"/>
      <c r="E9" s="335" t="s">
        <v>8</v>
      </c>
      <c r="F9" s="318" t="s">
        <v>25</v>
      </c>
      <c r="J9" s="318">
        <f>3*50%</f>
        <v>1.5</v>
      </c>
      <c r="K9" s="331">
        <f>50%*4</f>
        <v>2</v>
      </c>
    </row>
    <row r="10" spans="2:24" x14ac:dyDescent="0.25">
      <c r="B10" s="1"/>
      <c r="C10" t="s">
        <v>6</v>
      </c>
      <c r="D10" s="1"/>
      <c r="E10" t="s">
        <v>86</v>
      </c>
      <c r="F10" s="318" t="s">
        <v>25</v>
      </c>
      <c r="J10" s="355">
        <f>J9*1000/'2030 RAR per Car'!K16</f>
        <v>0.94842819703982528</v>
      </c>
      <c r="K10" s="359">
        <f>K9*1000/'2030 RAR per Car'!K16</f>
        <v>1.2645709293864338</v>
      </c>
    </row>
    <row r="11" spans="2:24" x14ac:dyDescent="0.25">
      <c r="B11" s="1"/>
      <c r="C11" s="1"/>
      <c r="D11" s="1"/>
      <c r="J11" s="355"/>
      <c r="K11" s="355"/>
    </row>
    <row r="12" spans="2:24" x14ac:dyDescent="0.25">
      <c r="B12" s="1" t="s">
        <v>209</v>
      </c>
      <c r="C12" s="1" t="s">
        <v>15</v>
      </c>
      <c r="D12" t="s">
        <v>12</v>
      </c>
      <c r="E12" s="335" t="s">
        <v>8</v>
      </c>
      <c r="F12" s="318" t="s">
        <v>25</v>
      </c>
      <c r="J12" s="357">
        <v>2</v>
      </c>
      <c r="K12" s="357">
        <v>3</v>
      </c>
    </row>
    <row r="13" spans="2:24" x14ac:dyDescent="0.25">
      <c r="B13" s="1"/>
      <c r="C13" s="1" t="s">
        <v>5</v>
      </c>
      <c r="D13" t="s">
        <v>12</v>
      </c>
      <c r="E13" s="335" t="s">
        <v>8</v>
      </c>
      <c r="F13" s="318" t="s">
        <v>25</v>
      </c>
      <c r="J13" s="355">
        <f>15%*J12</f>
        <v>0.3</v>
      </c>
      <c r="K13" s="355">
        <f>15%*K12</f>
        <v>0.44999999999999996</v>
      </c>
    </row>
    <row r="14" spans="2:24" x14ac:dyDescent="0.25">
      <c r="B14" s="1" t="s">
        <v>209</v>
      </c>
      <c r="C14" s="1" t="s">
        <v>5</v>
      </c>
      <c r="D14" t="s">
        <v>12</v>
      </c>
      <c r="E14" t="s">
        <v>213</v>
      </c>
      <c r="F14" t="s">
        <v>55</v>
      </c>
      <c r="J14" s="358">
        <f>J13*1000/'2030 RAR per Car'!J16</f>
        <v>0.26352026463988271</v>
      </c>
      <c r="K14" s="358">
        <f>K13*1000/'2030 RAR per Car'!J16</f>
        <v>0.39528039695982403</v>
      </c>
      <c r="M14" t="s">
        <v>212</v>
      </c>
    </row>
    <row r="15" spans="2:24" x14ac:dyDescent="0.25">
      <c r="M15" s="1" t="s">
        <v>211</v>
      </c>
    </row>
    <row r="16" spans="2:24" x14ac:dyDescent="0.25">
      <c r="B16" t="s">
        <v>49</v>
      </c>
      <c r="C16" s="1" t="s">
        <v>15</v>
      </c>
      <c r="D16" t="s">
        <v>2</v>
      </c>
      <c r="E16" s="335" t="s">
        <v>8</v>
      </c>
      <c r="F16" s="318" t="s">
        <v>25</v>
      </c>
      <c r="J16" s="1">
        <v>1</v>
      </c>
      <c r="K16" s="1">
        <v>2</v>
      </c>
    </row>
    <row r="17" spans="2:13" x14ac:dyDescent="0.25">
      <c r="C17" s="1" t="s">
        <v>5</v>
      </c>
      <c r="D17" t="s">
        <v>2</v>
      </c>
      <c r="E17" s="335" t="s">
        <v>8</v>
      </c>
      <c r="F17" s="318" t="s">
        <v>25</v>
      </c>
      <c r="J17">
        <f>70%*J16</f>
        <v>0.7</v>
      </c>
      <c r="K17">
        <f>70%*K16</f>
        <v>1.4</v>
      </c>
    </row>
    <row r="18" spans="2:13" x14ac:dyDescent="0.25">
      <c r="C18" s="1" t="s">
        <v>5</v>
      </c>
      <c r="D18" t="s">
        <v>2</v>
      </c>
      <c r="E18" t="s">
        <v>213</v>
      </c>
      <c r="F18" t="s">
        <v>55</v>
      </c>
      <c r="J18" s="354">
        <f>J17*1000/'2030 RAR per Car'!J16</f>
        <v>0.61488061749305967</v>
      </c>
      <c r="K18" s="353">
        <f>J17*1000/'2030 RAR per Car'!J16</f>
        <v>0.61488061749305967</v>
      </c>
    </row>
    <row r="19" spans="2:13" x14ac:dyDescent="0.25">
      <c r="C19" s="1" t="s">
        <v>6</v>
      </c>
      <c r="D19" t="s">
        <v>2</v>
      </c>
      <c r="E19" s="335" t="s">
        <v>8</v>
      </c>
      <c r="F19" s="318" t="s">
        <v>25</v>
      </c>
      <c r="J19">
        <f>J16-J17</f>
        <v>0.30000000000000004</v>
      </c>
      <c r="K19">
        <f>K16-K17</f>
        <v>0.60000000000000009</v>
      </c>
    </row>
    <row r="20" spans="2:13" x14ac:dyDescent="0.25">
      <c r="C20" s="1" t="s">
        <v>6</v>
      </c>
      <c r="D20" t="s">
        <v>2</v>
      </c>
      <c r="E20" t="s">
        <v>213</v>
      </c>
      <c r="F20" t="s">
        <v>55</v>
      </c>
      <c r="J20" s="354">
        <f>J19*1000/'2030 RAR per Car'!K16</f>
        <v>0.1896856394079651</v>
      </c>
      <c r="K20" s="353">
        <f>K19*1000/'2030 RAR per Car'!K16</f>
        <v>0.37937127881593019</v>
      </c>
    </row>
    <row r="21" spans="2:13" x14ac:dyDescent="0.25">
      <c r="C21" s="1"/>
      <c r="J21" s="354"/>
      <c r="K21" s="353"/>
    </row>
    <row r="22" spans="2:13" x14ac:dyDescent="0.25">
      <c r="B22" t="s">
        <v>214</v>
      </c>
      <c r="C22" s="1"/>
      <c r="E22" t="s">
        <v>213</v>
      </c>
      <c r="F22" t="s">
        <v>55</v>
      </c>
      <c r="J22" s="360">
        <f>'1. Increase used car financing'!H30</f>
        <v>8</v>
      </c>
      <c r="K22" s="360">
        <f>J22</f>
        <v>8</v>
      </c>
    </row>
    <row r="23" spans="2:13" x14ac:dyDescent="0.25">
      <c r="C23" s="1"/>
      <c r="J23" s="354"/>
      <c r="K23" s="353"/>
    </row>
    <row r="24" spans="2:13" x14ac:dyDescent="0.25">
      <c r="B24" t="s">
        <v>215</v>
      </c>
      <c r="C24" s="1"/>
      <c r="E24" s="335" t="s">
        <v>8</v>
      </c>
      <c r="F24" s="318" t="s">
        <v>25</v>
      </c>
      <c r="J24" s="354">
        <f>'4. Expand digital presence'!L82+'4. Expand digital presence'!L84</f>
        <v>2.1087521503918532</v>
      </c>
      <c r="K24" s="354">
        <f>'4. Expand digital presence'!M82+'4. Expand digital presence'!M84</f>
        <v>2.8116695338558046</v>
      </c>
    </row>
    <row r="25" spans="2:13" x14ac:dyDescent="0.25">
      <c r="C25" s="1"/>
      <c r="E25" t="s">
        <v>213</v>
      </c>
      <c r="F25" t="s">
        <v>55</v>
      </c>
      <c r="J25" s="354">
        <f>J24*1000/'2030 RAR per Car'!K16</f>
        <v>1.3333333333333333</v>
      </c>
      <c r="K25" s="353">
        <f>K24*1000/'2030 RAR per Car'!K16</f>
        <v>1.7777777777777779</v>
      </c>
    </row>
    <row r="26" spans="2:13" x14ac:dyDescent="0.25">
      <c r="C26" s="1"/>
      <c r="J26" s="354"/>
      <c r="K26" s="353"/>
    </row>
    <row r="27" spans="2:13" x14ac:dyDescent="0.25">
      <c r="B27" s="1" t="s">
        <v>15</v>
      </c>
      <c r="C27" s="1" t="s">
        <v>5</v>
      </c>
      <c r="J27" s="17">
        <f>J6+J8+J17</f>
        <v>12.778012129327957</v>
      </c>
      <c r="K27" s="17">
        <f>J6+K8+K17</f>
        <v>13.917212570394428</v>
      </c>
      <c r="M27" s="1" t="s">
        <v>210</v>
      </c>
    </row>
    <row r="28" spans="2:13" x14ac:dyDescent="0.25">
      <c r="C28" s="1" t="s">
        <v>6</v>
      </c>
      <c r="J28" s="17">
        <f>J25+J22+J20+J10</f>
        <v>10.471447169781126</v>
      </c>
      <c r="K28" s="17">
        <f>K25+K22+K20+K10</f>
        <v>11.421719985980141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17B80-52DF-4C58-BEFB-5B38DD48A19F}">
  <sheetPr>
    <tabColor theme="4" tint="0.59999389629810485"/>
  </sheetPr>
  <dimension ref="B3:L86"/>
  <sheetViews>
    <sheetView showGridLines="0" tabSelected="1" zoomScale="70" zoomScaleNormal="70" workbookViewId="0">
      <selection activeCell="F94" sqref="F94"/>
    </sheetView>
  </sheetViews>
  <sheetFormatPr defaultRowHeight="13.8" x14ac:dyDescent="0.25"/>
  <cols>
    <col min="2" max="2" width="55.796875" bestFit="1" customWidth="1"/>
    <col min="3" max="3" width="8.69921875" customWidth="1"/>
    <col min="4" max="4" width="16.296875" customWidth="1"/>
    <col min="5" max="5" width="16.19921875" bestFit="1" customWidth="1"/>
    <col min="6" max="6" width="11.19921875" customWidth="1"/>
    <col min="7" max="7" width="15.796875" customWidth="1"/>
    <col min="8" max="8" width="17.5" customWidth="1"/>
    <col min="9" max="9" width="11.19921875" bestFit="1" customWidth="1"/>
    <col min="10" max="10" width="86.69921875" bestFit="1" customWidth="1"/>
    <col min="11" max="11" width="20.59765625" customWidth="1"/>
    <col min="12" max="12" width="10.19921875" customWidth="1"/>
    <col min="13" max="15" width="5.09765625" bestFit="1" customWidth="1"/>
    <col min="16" max="16" width="13" customWidth="1"/>
    <col min="18" max="18" width="39.5" bestFit="1" customWidth="1"/>
  </cols>
  <sheetData>
    <row r="3" spans="2:11" x14ac:dyDescent="0.25">
      <c r="B3" s="134" t="s">
        <v>172</v>
      </c>
      <c r="C3" s="134"/>
      <c r="D3" s="134"/>
      <c r="E3" s="134"/>
      <c r="F3" s="134"/>
      <c r="G3" s="134"/>
      <c r="H3" s="134"/>
      <c r="I3" s="134"/>
      <c r="J3" s="134"/>
      <c r="K3" s="134"/>
    </row>
    <row r="5" spans="2:11" x14ac:dyDescent="0.25">
      <c r="B5" s="47" t="s">
        <v>134</v>
      </c>
      <c r="C5" s="47"/>
      <c r="D5" s="47"/>
      <c r="E5" s="47"/>
      <c r="F5" s="47"/>
      <c r="G5" s="47"/>
      <c r="H5" s="47"/>
      <c r="I5" s="47"/>
      <c r="J5" s="47"/>
      <c r="K5" s="47"/>
    </row>
    <row r="6" spans="2:11" x14ac:dyDescent="0.25">
      <c r="B6" s="207" t="s">
        <v>45</v>
      </c>
      <c r="C6" s="207" t="s">
        <v>18</v>
      </c>
      <c r="D6" s="207">
        <v>2021</v>
      </c>
      <c r="E6" s="207">
        <f>D6+1</f>
        <v>2022</v>
      </c>
      <c r="F6" s="207">
        <f t="shared" ref="F6:G6" si="0">E6+1</f>
        <v>2023</v>
      </c>
      <c r="G6" s="207">
        <f t="shared" si="0"/>
        <v>2024</v>
      </c>
      <c r="H6" s="223"/>
      <c r="I6" s="7" t="s">
        <v>7</v>
      </c>
      <c r="J6" s="7"/>
      <c r="K6" s="7"/>
    </row>
    <row r="7" spans="2:11" x14ac:dyDescent="0.25">
      <c r="B7" s="205" t="s">
        <v>134</v>
      </c>
      <c r="C7" s="146" t="s">
        <v>112</v>
      </c>
      <c r="D7" s="206">
        <v>130000</v>
      </c>
      <c r="E7" s="206">
        <v>140000</v>
      </c>
      <c r="F7" s="206">
        <v>140000</v>
      </c>
      <c r="G7" s="206">
        <v>150000</v>
      </c>
      <c r="H7" s="221"/>
      <c r="I7" s="139"/>
      <c r="J7" s="139"/>
      <c r="K7" s="139"/>
    </row>
    <row r="8" spans="2:11" x14ac:dyDescent="0.25">
      <c r="B8" s="198" t="s">
        <v>135</v>
      </c>
      <c r="C8" s="139" t="s">
        <v>112</v>
      </c>
      <c r="D8" s="199">
        <f>90%*D7</f>
        <v>117000</v>
      </c>
      <c r="E8" s="199">
        <f t="shared" ref="E8:G8" si="1">90%*E7</f>
        <v>126000</v>
      </c>
      <c r="F8" s="199">
        <f t="shared" si="1"/>
        <v>126000</v>
      </c>
      <c r="G8" s="199">
        <f t="shared" si="1"/>
        <v>135000</v>
      </c>
      <c r="H8" s="221"/>
      <c r="I8" s="139"/>
      <c r="J8" s="139"/>
      <c r="K8" s="139"/>
    </row>
    <row r="9" spans="2:11" x14ac:dyDescent="0.25">
      <c r="B9" s="198" t="s">
        <v>136</v>
      </c>
      <c r="C9" s="139" t="s">
        <v>3</v>
      </c>
      <c r="D9" s="213">
        <v>0.45</v>
      </c>
      <c r="E9" s="213">
        <v>0.45</v>
      </c>
      <c r="F9" s="213">
        <v>0.45</v>
      </c>
      <c r="G9" s="213">
        <v>0.45</v>
      </c>
      <c r="H9" s="221"/>
      <c r="I9" s="139"/>
      <c r="J9" s="139"/>
      <c r="K9" s="139"/>
    </row>
    <row r="10" spans="2:11" x14ac:dyDescent="0.25">
      <c r="B10" s="198" t="s">
        <v>137</v>
      </c>
      <c r="C10" s="139" t="s">
        <v>112</v>
      </c>
      <c r="D10" s="199">
        <f>D9*D7</f>
        <v>58500</v>
      </c>
      <c r="E10" s="199">
        <f t="shared" ref="E10:G10" si="2">E9*E7</f>
        <v>63000</v>
      </c>
      <c r="F10" s="199">
        <f t="shared" si="2"/>
        <v>63000</v>
      </c>
      <c r="G10" s="199">
        <f t="shared" si="2"/>
        <v>67500</v>
      </c>
      <c r="H10" s="221"/>
      <c r="I10" s="139"/>
      <c r="J10" s="139"/>
      <c r="K10" s="139"/>
    </row>
    <row r="11" spans="2:11" ht="14.4" x14ac:dyDescent="0.3">
      <c r="B11" s="198" t="s">
        <v>133</v>
      </c>
      <c r="C11" s="139" t="s">
        <v>112</v>
      </c>
      <c r="D11" s="199">
        <f>35%*D10</f>
        <v>20475</v>
      </c>
      <c r="E11" s="199">
        <f>35%*E10</f>
        <v>22050</v>
      </c>
      <c r="F11" s="199">
        <f>35%*F10</f>
        <v>22050</v>
      </c>
      <c r="G11" s="199">
        <f>35%*G10</f>
        <v>23625</v>
      </c>
      <c r="H11" s="221"/>
      <c r="I11" s="158" t="s">
        <v>138</v>
      </c>
      <c r="J11" s="158"/>
      <c r="K11" s="158"/>
    </row>
    <row r="12" spans="2:11" x14ac:dyDescent="0.25">
      <c r="B12" s="201" t="s">
        <v>132</v>
      </c>
      <c r="C12" s="59" t="s">
        <v>112</v>
      </c>
      <c r="D12" s="202">
        <f>D10-D11</f>
        <v>38025</v>
      </c>
      <c r="E12" s="202">
        <f>E10-E11</f>
        <v>40950</v>
      </c>
      <c r="F12" s="202">
        <f>F10-F11</f>
        <v>40950</v>
      </c>
      <c r="G12" s="202">
        <f>G10-G11</f>
        <v>43875</v>
      </c>
      <c r="H12" s="226"/>
      <c r="I12" s="59"/>
      <c r="J12" s="59"/>
      <c r="K12" s="59"/>
    </row>
    <row r="13" spans="2:11" x14ac:dyDescent="0.25">
      <c r="B13" s="200" t="s">
        <v>140</v>
      </c>
      <c r="C13" s="82" t="s">
        <v>112</v>
      </c>
      <c r="D13" s="214">
        <v>4657</v>
      </c>
      <c r="E13" s="214">
        <v>4081</v>
      </c>
      <c r="F13" s="214">
        <v>3643</v>
      </c>
      <c r="G13" s="214">
        <v>3291</v>
      </c>
      <c r="H13" s="224"/>
      <c r="I13" s="82"/>
      <c r="J13" s="82"/>
      <c r="K13" s="82"/>
    </row>
    <row r="14" spans="2:11" x14ac:dyDescent="0.25">
      <c r="B14" s="198" t="s">
        <v>141</v>
      </c>
      <c r="C14" s="139" t="s">
        <v>112</v>
      </c>
      <c r="D14" s="215">
        <v>786</v>
      </c>
      <c r="E14" s="215">
        <v>627</v>
      </c>
      <c r="F14" s="215">
        <v>543</v>
      </c>
      <c r="G14" s="215">
        <v>467</v>
      </c>
      <c r="H14" s="221"/>
      <c r="I14" s="139"/>
      <c r="J14" s="139"/>
      <c r="K14" s="139"/>
    </row>
    <row r="15" spans="2:11" x14ac:dyDescent="0.25">
      <c r="B15" s="198" t="s">
        <v>142</v>
      </c>
      <c r="C15" s="139" t="s">
        <v>112</v>
      </c>
      <c r="D15" s="215">
        <v>2389</v>
      </c>
      <c r="E15" s="215">
        <v>1952</v>
      </c>
      <c r="F15" s="215">
        <v>2229</v>
      </c>
      <c r="G15" s="215">
        <v>2188</v>
      </c>
      <c r="H15" s="221"/>
      <c r="I15" s="139"/>
      <c r="J15" s="139"/>
      <c r="K15" s="139"/>
    </row>
    <row r="16" spans="2:11" x14ac:dyDescent="0.25">
      <c r="B16" s="198" t="s">
        <v>143</v>
      </c>
      <c r="C16" s="139" t="s">
        <v>112</v>
      </c>
      <c r="D16" s="215">
        <v>2375</v>
      </c>
      <c r="E16" s="215">
        <v>2667</v>
      </c>
      <c r="F16" s="215">
        <v>2886</v>
      </c>
      <c r="G16" s="215">
        <v>2952</v>
      </c>
      <c r="H16" s="221"/>
      <c r="I16" s="139"/>
      <c r="J16" s="139"/>
      <c r="K16" s="139"/>
    </row>
    <row r="17" spans="2:11" x14ac:dyDescent="0.25">
      <c r="B17" s="198" t="s">
        <v>139</v>
      </c>
      <c r="C17" s="139" t="s">
        <v>3</v>
      </c>
      <c r="D17" s="203">
        <f>D13/SUM(D13:D16)</f>
        <v>0.45625551092387578</v>
      </c>
      <c r="E17" s="203">
        <f t="shared" ref="E17" si="3">E13/SUM(E13:E16)</f>
        <v>0.43754690682963437</v>
      </c>
      <c r="F17" s="203">
        <f t="shared" ref="F17" si="4">F13/SUM(F13:F16)</f>
        <v>0.39167831415976778</v>
      </c>
      <c r="G17" s="203">
        <f t="shared" ref="G17" si="5">G13/SUM(G13:G16)</f>
        <v>0.36985839514497643</v>
      </c>
      <c r="H17" s="221"/>
      <c r="I17" s="139"/>
      <c r="J17" s="139"/>
      <c r="K17" s="139"/>
    </row>
    <row r="18" spans="2:11" x14ac:dyDescent="0.25">
      <c r="B18" s="201" t="s">
        <v>156</v>
      </c>
      <c r="C18" s="59" t="s">
        <v>3</v>
      </c>
      <c r="D18" s="208">
        <f>SUM(D13:D16)/D11</f>
        <v>0.49851037851037849</v>
      </c>
      <c r="E18" s="208">
        <f>SUM(E13:E16)/E11</f>
        <v>0.42299319727891155</v>
      </c>
      <c r="F18" s="208">
        <f>SUM(F13:F16)/F11</f>
        <v>0.42181405895691609</v>
      </c>
      <c r="G18" s="208">
        <f>SUM(G13:G16)/G11</f>
        <v>0.37663492063492066</v>
      </c>
      <c r="H18" s="226"/>
      <c r="I18" s="59"/>
      <c r="J18" s="59"/>
      <c r="K18" s="59"/>
    </row>
    <row r="19" spans="2:11" x14ac:dyDescent="0.25">
      <c r="B19" s="197"/>
      <c r="C19" s="6"/>
      <c r="D19" s="204"/>
      <c r="E19" s="204"/>
      <c r="F19" s="204"/>
      <c r="G19" s="204"/>
      <c r="H19" s="6"/>
      <c r="I19" s="6"/>
      <c r="J19" s="6"/>
      <c r="K19" s="6"/>
    </row>
    <row r="20" spans="2:11" x14ac:dyDescent="0.25">
      <c r="B20" s="197"/>
      <c r="C20" s="6"/>
      <c r="D20" s="204"/>
      <c r="E20" s="204"/>
      <c r="F20" s="204"/>
      <c r="G20" s="204"/>
      <c r="H20" s="6"/>
      <c r="I20" s="6"/>
    </row>
    <row r="21" spans="2:11" x14ac:dyDescent="0.25">
      <c r="B21" s="209" t="s">
        <v>149</v>
      </c>
      <c r="C21" s="134"/>
      <c r="D21" s="210"/>
      <c r="E21" s="210"/>
      <c r="F21" s="210"/>
      <c r="G21" s="210"/>
      <c r="H21" s="134"/>
      <c r="I21" s="134"/>
      <c r="J21" s="134"/>
      <c r="K21" s="134"/>
    </row>
    <row r="22" spans="2:11" x14ac:dyDescent="0.25">
      <c r="B22" s="211"/>
      <c r="C22" s="207"/>
      <c r="D22" s="212"/>
      <c r="E22" s="212"/>
      <c r="F22" s="212"/>
      <c r="G22" s="207">
        <v>2024</v>
      </c>
      <c r="H22" s="223">
        <v>2030</v>
      </c>
      <c r="I22" s="7" t="s">
        <v>7</v>
      </c>
      <c r="J22" s="7"/>
      <c r="K22" s="7"/>
    </row>
    <row r="23" spans="2:11" ht="14.4" x14ac:dyDescent="0.3">
      <c r="B23" s="200" t="s">
        <v>146</v>
      </c>
      <c r="C23" s="82" t="s">
        <v>25</v>
      </c>
      <c r="D23" s="227"/>
      <c r="E23" s="227"/>
      <c r="F23" s="227"/>
      <c r="G23" s="82">
        <v>27</v>
      </c>
      <c r="H23" s="224">
        <v>45</v>
      </c>
      <c r="I23" s="216" t="s">
        <v>148</v>
      </c>
      <c r="J23" s="216"/>
      <c r="K23" s="216"/>
    </row>
    <row r="24" spans="2:11" ht="14.4" x14ac:dyDescent="0.3">
      <c r="B24" s="139" t="s">
        <v>144</v>
      </c>
      <c r="C24" s="139" t="s">
        <v>3</v>
      </c>
      <c r="D24" s="228"/>
      <c r="E24" s="228"/>
      <c r="F24" s="228"/>
      <c r="G24" s="140">
        <v>0.13</v>
      </c>
      <c r="H24" s="150">
        <v>0.26</v>
      </c>
      <c r="I24" s="216" t="s">
        <v>148</v>
      </c>
      <c r="J24" s="216"/>
      <c r="K24" s="216"/>
    </row>
    <row r="25" spans="2:11" ht="14.4" x14ac:dyDescent="0.3">
      <c r="B25" s="200" t="s">
        <v>147</v>
      </c>
      <c r="C25" s="82" t="s">
        <v>25</v>
      </c>
      <c r="D25" s="227"/>
      <c r="E25" s="227"/>
      <c r="F25" s="227"/>
      <c r="G25" s="82">
        <v>24</v>
      </c>
      <c r="H25" s="224">
        <v>40</v>
      </c>
      <c r="I25" s="216" t="s">
        <v>148</v>
      </c>
      <c r="J25" s="216"/>
      <c r="K25" s="216"/>
    </row>
    <row r="26" spans="2:11" ht="14.4" x14ac:dyDescent="0.3">
      <c r="B26" s="139" t="s">
        <v>145</v>
      </c>
      <c r="C26" s="139" t="s">
        <v>3</v>
      </c>
      <c r="D26" s="228"/>
      <c r="E26" s="228"/>
      <c r="F26" s="228"/>
      <c r="G26" s="140">
        <v>0.15</v>
      </c>
      <c r="H26" s="150">
        <v>0.3</v>
      </c>
      <c r="I26" s="216" t="s">
        <v>148</v>
      </c>
      <c r="J26" s="216"/>
      <c r="K26" s="216"/>
    </row>
    <row r="27" spans="2:11" x14ac:dyDescent="0.25">
      <c r="B27" s="217" t="s">
        <v>130</v>
      </c>
      <c r="C27" s="217" t="s">
        <v>25</v>
      </c>
      <c r="D27" s="217"/>
      <c r="E27" s="217"/>
      <c r="F27" s="217"/>
      <c r="G27" s="218">
        <f>ROUND(G26*G25,0)</f>
        <v>4</v>
      </c>
      <c r="H27" s="222">
        <f>ROUND(H26*H25,0)</f>
        <v>12</v>
      </c>
      <c r="I27" s="217"/>
      <c r="J27" s="217"/>
      <c r="K27" s="217"/>
    </row>
    <row r="28" spans="2:11" x14ac:dyDescent="0.25">
      <c r="B28" s="217" t="s">
        <v>169</v>
      </c>
      <c r="C28" s="217" t="s">
        <v>25</v>
      </c>
      <c r="D28" s="217"/>
      <c r="E28" s="217"/>
      <c r="F28" s="217"/>
      <c r="G28" s="218"/>
      <c r="H28" s="230">
        <f>H27-G27</f>
        <v>8</v>
      </c>
      <c r="I28" s="230"/>
      <c r="J28" s="237"/>
      <c r="K28" s="237"/>
    </row>
    <row r="29" spans="2:11" ht="14.4" x14ac:dyDescent="0.3">
      <c r="B29" s="82" t="s">
        <v>151</v>
      </c>
      <c r="C29" s="82" t="s">
        <v>54</v>
      </c>
      <c r="D29" s="227"/>
      <c r="E29" s="227"/>
      <c r="F29" s="227"/>
      <c r="G29" s="144">
        <f>'2030 RAR per Car'!D16/1000</f>
        <v>1.3637777777777773</v>
      </c>
      <c r="H29" s="149">
        <f>'2030 RAR per Car'!K16/1000</f>
        <v>1.58156411279389</v>
      </c>
      <c r="I29" s="216" t="s">
        <v>148</v>
      </c>
      <c r="J29" s="82"/>
      <c r="K29" s="82"/>
    </row>
    <row r="30" spans="2:11" x14ac:dyDescent="0.25">
      <c r="B30" s="139" t="s">
        <v>150</v>
      </c>
      <c r="C30" s="139" t="s">
        <v>56</v>
      </c>
      <c r="D30" s="228"/>
      <c r="E30" s="228"/>
      <c r="F30" s="228"/>
      <c r="G30" s="343">
        <f>ROUND(G27/G29,0)</f>
        <v>3</v>
      </c>
      <c r="H30" s="225">
        <f>ROUND(H27/H29,0)</f>
        <v>8</v>
      </c>
      <c r="I30" s="139"/>
      <c r="J30" s="139"/>
      <c r="K30" s="139"/>
    </row>
    <row r="31" spans="2:11" ht="14.4" x14ac:dyDescent="0.3">
      <c r="B31" s="139" t="s">
        <v>153</v>
      </c>
      <c r="C31" s="139" t="s">
        <v>54</v>
      </c>
      <c r="D31" s="228"/>
      <c r="E31" s="228"/>
      <c r="F31" s="228"/>
      <c r="G31" s="343">
        <f>'2030 RAR per Car'!D7/1000</f>
        <v>9.5</v>
      </c>
      <c r="H31" s="225">
        <f>'2030 RAR per Car'!K7/1000</f>
        <v>11.017087473022457</v>
      </c>
      <c r="I31" s="216" t="s">
        <v>148</v>
      </c>
      <c r="J31" s="139"/>
      <c r="K31" s="139"/>
    </row>
    <row r="32" spans="2:11" x14ac:dyDescent="0.25">
      <c r="B32" s="344" t="s">
        <v>152</v>
      </c>
      <c r="C32" s="344" t="s">
        <v>25</v>
      </c>
      <c r="D32" s="344"/>
      <c r="E32" s="344"/>
      <c r="F32" s="344"/>
      <c r="G32" s="345">
        <f>G30*G31</f>
        <v>28.5</v>
      </c>
      <c r="H32" s="346">
        <f>H30*H31</f>
        <v>88.136699784179655</v>
      </c>
      <c r="I32" s="344"/>
      <c r="J32" s="344"/>
      <c r="K32" s="344"/>
    </row>
    <row r="33" spans="2:11" x14ac:dyDescent="0.25">
      <c r="B33" s="344" t="s">
        <v>198</v>
      </c>
      <c r="C33" s="344" t="s">
        <v>25</v>
      </c>
      <c r="D33" s="344"/>
      <c r="E33" s="344"/>
      <c r="F33" s="344"/>
      <c r="G33" s="345"/>
      <c r="H33" s="347">
        <f>H32-G32</f>
        <v>59.636699784179655</v>
      </c>
      <c r="I33" s="347"/>
      <c r="J33" s="348"/>
      <c r="K33" s="348"/>
    </row>
    <row r="34" spans="2:11" x14ac:dyDescent="0.25">
      <c r="B34" s="9"/>
      <c r="C34" s="9"/>
      <c r="D34" s="9"/>
      <c r="E34" s="9"/>
      <c r="F34" s="9"/>
      <c r="G34" s="241"/>
      <c r="H34" s="241"/>
      <c r="I34" s="241"/>
      <c r="J34" s="9"/>
      <c r="K34" s="9"/>
    </row>
    <row r="35" spans="2:11" x14ac:dyDescent="0.25">
      <c r="B35" s="9"/>
      <c r="C35" s="9"/>
      <c r="D35" s="9"/>
      <c r="E35" s="9"/>
      <c r="F35" s="9"/>
      <c r="G35" s="241"/>
      <c r="H35" s="241"/>
      <c r="I35" s="9"/>
      <c r="J35" s="9"/>
      <c r="K35" s="9"/>
    </row>
    <row r="36" spans="2:11" x14ac:dyDescent="0.25">
      <c r="B36" s="134" t="s">
        <v>166</v>
      </c>
      <c r="C36" s="134"/>
      <c r="D36" s="134"/>
      <c r="E36" s="134"/>
      <c r="F36" s="134"/>
      <c r="G36" s="134"/>
      <c r="H36" s="134"/>
      <c r="I36" s="134"/>
      <c r="J36" s="134"/>
      <c r="K36" s="134"/>
    </row>
    <row r="37" spans="2:11" x14ac:dyDescent="0.25">
      <c r="B37" s="207" t="s">
        <v>45</v>
      </c>
      <c r="C37" s="207" t="s">
        <v>18</v>
      </c>
      <c r="D37" s="141"/>
      <c r="E37" s="141"/>
      <c r="F37" s="141"/>
      <c r="G37" s="207">
        <v>2024</v>
      </c>
      <c r="H37" s="148">
        <v>2030</v>
      </c>
      <c r="I37" s="7" t="s">
        <v>7</v>
      </c>
      <c r="J37" s="7"/>
      <c r="K37" s="7"/>
    </row>
    <row r="38" spans="2:11" x14ac:dyDescent="0.25">
      <c r="B38" s="58" t="s">
        <v>167</v>
      </c>
      <c r="C38" s="58" t="s">
        <v>25</v>
      </c>
      <c r="D38" s="58"/>
      <c r="E38" s="58"/>
      <c r="F38" s="58"/>
      <c r="G38" s="234">
        <f>G27</f>
        <v>4</v>
      </c>
      <c r="H38" s="244">
        <f>H27</f>
        <v>12</v>
      </c>
      <c r="I38" s="58"/>
      <c r="J38" s="58"/>
      <c r="K38" s="58"/>
    </row>
    <row r="39" spans="2:11" ht="14.4" x14ac:dyDescent="0.3">
      <c r="B39" s="58" t="s">
        <v>169</v>
      </c>
      <c r="C39" s="58"/>
      <c r="D39" s="58"/>
      <c r="E39" s="58"/>
      <c r="F39" s="58"/>
      <c r="G39" s="234"/>
      <c r="H39" s="245">
        <f>H38-G38</f>
        <v>8</v>
      </c>
      <c r="I39" s="246" t="s">
        <v>174</v>
      </c>
      <c r="J39" s="12"/>
      <c r="K39" s="12"/>
    </row>
    <row r="40" spans="2:11" x14ac:dyDescent="0.25">
      <c r="B40" s="217" t="s">
        <v>168</v>
      </c>
      <c r="C40" s="217"/>
      <c r="D40" s="217"/>
      <c r="E40" s="217"/>
      <c r="F40" s="217"/>
      <c r="G40" s="218">
        <f>G52+G67+G81</f>
        <v>4.0913333333333322</v>
      </c>
      <c r="H40" s="236">
        <f>H52+I67-H67+I81-H81</f>
        <v>12.907820563969452</v>
      </c>
      <c r="I40" s="237"/>
      <c r="J40" s="237"/>
      <c r="K40" s="237"/>
    </row>
    <row r="41" spans="2:11" x14ac:dyDescent="0.25">
      <c r="B41" s="217" t="s">
        <v>169</v>
      </c>
      <c r="C41" s="217" t="s">
        <v>25</v>
      </c>
      <c r="D41" s="217"/>
      <c r="E41" s="217"/>
      <c r="F41" s="217"/>
      <c r="G41" s="218"/>
      <c r="H41" s="236">
        <f>H53+I68+I82</f>
        <v>8.8164872306361168</v>
      </c>
      <c r="I41" s="230"/>
      <c r="J41" s="237"/>
      <c r="K41" s="237"/>
    </row>
    <row r="42" spans="2:11" x14ac:dyDescent="0.25">
      <c r="B42" s="344" t="s">
        <v>152</v>
      </c>
      <c r="C42" s="344" t="s">
        <v>25</v>
      </c>
      <c r="D42" s="344"/>
      <c r="E42" s="344"/>
      <c r="F42" s="344"/>
      <c r="G42" s="345">
        <f>G55+G70+G84</f>
        <v>28.5</v>
      </c>
      <c r="H42" s="346">
        <f>H55+I70-H70+I84-H84</f>
        <v>89.238408531481895</v>
      </c>
      <c r="I42" s="344"/>
      <c r="J42" s="344"/>
      <c r="K42" s="344"/>
    </row>
    <row r="43" spans="2:11" x14ac:dyDescent="0.25">
      <c r="B43" s="344" t="s">
        <v>198</v>
      </c>
      <c r="C43" s="344" t="s">
        <v>25</v>
      </c>
      <c r="D43" s="344"/>
      <c r="E43" s="344"/>
      <c r="F43" s="344"/>
      <c r="G43" s="345"/>
      <c r="H43" s="347">
        <f>H42-G42</f>
        <v>60.738408531481895</v>
      </c>
      <c r="I43" s="347"/>
      <c r="J43" s="348"/>
      <c r="K43" s="348"/>
    </row>
    <row r="44" spans="2:11" x14ac:dyDescent="0.25">
      <c r="H44" s="526">
        <f>+H43/('2030 RAR per Car'!D7/1000)</f>
        <v>6.3935166875244098</v>
      </c>
    </row>
    <row r="46" spans="2:11" x14ac:dyDescent="0.25">
      <c r="B46" s="134" t="s">
        <v>170</v>
      </c>
      <c r="C46" s="134"/>
      <c r="D46" s="134"/>
      <c r="E46" s="134"/>
      <c r="F46" s="134"/>
      <c r="G46" s="134"/>
      <c r="H46" s="134"/>
      <c r="I46" s="134"/>
      <c r="J46" s="134"/>
      <c r="K46" s="134"/>
    </row>
    <row r="47" spans="2:11" x14ac:dyDescent="0.25">
      <c r="B47" s="141"/>
      <c r="C47" s="141"/>
      <c r="D47" s="141"/>
      <c r="E47" s="141"/>
      <c r="F47" s="141"/>
      <c r="G47" s="207">
        <v>2024</v>
      </c>
      <c r="H47" s="219">
        <v>2030</v>
      </c>
      <c r="I47" s="7" t="s">
        <v>7</v>
      </c>
      <c r="J47" s="7"/>
      <c r="K47" s="7"/>
    </row>
    <row r="48" spans="2:11" ht="14.4" x14ac:dyDescent="0.3">
      <c r="B48" s="82" t="s">
        <v>154</v>
      </c>
      <c r="C48" s="82" t="s">
        <v>3</v>
      </c>
      <c r="D48" s="227"/>
      <c r="E48" s="227"/>
      <c r="F48" s="227"/>
      <c r="G48" s="118">
        <f>G17</f>
        <v>0.36985839514497643</v>
      </c>
      <c r="H48" s="220">
        <v>0.45</v>
      </c>
      <c r="I48" s="158" t="s">
        <v>155</v>
      </c>
      <c r="J48" s="139"/>
      <c r="K48" s="139"/>
    </row>
    <row r="49" spans="2:12" x14ac:dyDescent="0.25">
      <c r="B49" s="139" t="s">
        <v>156</v>
      </c>
      <c r="C49" s="139" t="s">
        <v>3</v>
      </c>
      <c r="D49" s="228"/>
      <c r="E49" s="228"/>
      <c r="F49" s="228"/>
      <c r="G49" s="140">
        <f>G18</f>
        <v>0.37663492063492066</v>
      </c>
      <c r="H49" s="150">
        <v>0.4</v>
      </c>
      <c r="I49" s="139"/>
      <c r="J49" s="139"/>
      <c r="K49" s="139"/>
    </row>
    <row r="50" spans="2:12" ht="14.4" x14ac:dyDescent="0.3">
      <c r="B50" s="139" t="s">
        <v>164</v>
      </c>
      <c r="C50" s="139" t="s">
        <v>55</v>
      </c>
      <c r="D50" s="228"/>
      <c r="E50" s="228"/>
      <c r="F50" s="228"/>
      <c r="G50" s="139">
        <f>G25-3</f>
        <v>21</v>
      </c>
      <c r="H50" s="221">
        <v>28</v>
      </c>
      <c r="I50" s="216" t="s">
        <v>173</v>
      </c>
      <c r="J50" s="139"/>
      <c r="K50" s="139"/>
    </row>
    <row r="51" spans="2:12" x14ac:dyDescent="0.25">
      <c r="B51" s="139" t="s">
        <v>163</v>
      </c>
      <c r="C51" s="139" t="s">
        <v>55</v>
      </c>
      <c r="D51" s="228"/>
      <c r="E51" s="228"/>
      <c r="F51" s="228"/>
      <c r="G51" s="139">
        <f>ROUND(G50*G49*G48,0)</f>
        <v>3</v>
      </c>
      <c r="H51" s="221">
        <f>ROUND(H50*H49*H48,0)</f>
        <v>5</v>
      </c>
      <c r="I51" s="139"/>
      <c r="J51" s="139"/>
      <c r="K51" s="139"/>
    </row>
    <row r="52" spans="2:12" x14ac:dyDescent="0.25">
      <c r="B52" s="217" t="s">
        <v>130</v>
      </c>
      <c r="C52" s="217" t="s">
        <v>25</v>
      </c>
      <c r="D52" s="217"/>
      <c r="E52" s="217"/>
      <c r="F52" s="217"/>
      <c r="G52" s="218">
        <f>G51*G29</f>
        <v>4.0913333333333322</v>
      </c>
      <c r="H52" s="222">
        <f>H51*H29</f>
        <v>7.9078205639694499</v>
      </c>
      <c r="I52" s="217"/>
      <c r="J52" s="217"/>
      <c r="K52" s="217"/>
    </row>
    <row r="53" spans="2:12" x14ac:dyDescent="0.25">
      <c r="B53" s="217" t="s">
        <v>165</v>
      </c>
      <c r="C53" s="217" t="s">
        <v>25</v>
      </c>
      <c r="D53" s="217"/>
      <c r="E53" s="217"/>
      <c r="F53" s="217"/>
      <c r="G53" s="218"/>
      <c r="H53" s="230">
        <f>H52-G52</f>
        <v>3.8164872306361177</v>
      </c>
      <c r="I53" s="230"/>
      <c r="J53" s="237"/>
      <c r="K53" s="237"/>
    </row>
    <row r="54" spans="2:12" x14ac:dyDescent="0.25">
      <c r="B54" s="139" t="s">
        <v>150</v>
      </c>
      <c r="C54" s="139" t="s">
        <v>56</v>
      </c>
      <c r="D54" s="228"/>
      <c r="E54" s="228"/>
      <c r="F54" s="228"/>
      <c r="G54" s="343">
        <f>ROUND(G52/G29,0)</f>
        <v>3</v>
      </c>
      <c r="H54" s="225">
        <f>ROUND(H52/H29,0)</f>
        <v>5</v>
      </c>
      <c r="I54" s="139"/>
      <c r="J54" s="139"/>
      <c r="K54" s="139"/>
    </row>
    <row r="55" spans="2:12" x14ac:dyDescent="0.25">
      <c r="B55" s="344" t="s">
        <v>152</v>
      </c>
      <c r="C55" s="344" t="s">
        <v>25</v>
      </c>
      <c r="D55" s="344"/>
      <c r="E55" s="344"/>
      <c r="F55" s="344"/>
      <c r="G55" s="345">
        <f>G54*G31</f>
        <v>28.5</v>
      </c>
      <c r="H55" s="346">
        <f>H54*H31</f>
        <v>55.085437365112284</v>
      </c>
      <c r="I55" s="344"/>
      <c r="J55" s="344"/>
      <c r="K55" s="344"/>
    </row>
    <row r="56" spans="2:12" x14ac:dyDescent="0.25">
      <c r="B56" s="344" t="s">
        <v>198</v>
      </c>
      <c r="C56" s="344" t="s">
        <v>25</v>
      </c>
      <c r="D56" s="344"/>
      <c r="E56" s="344"/>
      <c r="F56" s="344"/>
      <c r="G56" s="345"/>
      <c r="H56" s="347">
        <f>H55-G55</f>
        <v>26.585437365112284</v>
      </c>
      <c r="I56" s="347"/>
      <c r="J56" s="348"/>
      <c r="K56" s="348"/>
    </row>
    <row r="57" spans="2:12" x14ac:dyDescent="0.25">
      <c r="H57" s="353"/>
    </row>
    <row r="59" spans="2:12" x14ac:dyDescent="0.25">
      <c r="B59" s="134" t="s">
        <v>171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</row>
    <row r="60" spans="2:12" x14ac:dyDescent="0.25">
      <c r="B60" s="141"/>
      <c r="C60" s="141"/>
      <c r="D60" s="141"/>
      <c r="E60" s="141"/>
      <c r="F60" s="141"/>
      <c r="G60" s="141"/>
      <c r="H60" s="219">
        <v>2030</v>
      </c>
      <c r="I60" s="219">
        <v>2030</v>
      </c>
      <c r="J60" s="7" t="s">
        <v>7</v>
      </c>
      <c r="K60" s="7"/>
      <c r="L60" s="7"/>
    </row>
    <row r="61" spans="2:12" x14ac:dyDescent="0.25">
      <c r="B61" s="142" t="s">
        <v>45</v>
      </c>
      <c r="C61" s="142" t="s">
        <v>18</v>
      </c>
      <c r="D61" s="142"/>
      <c r="E61" s="142"/>
      <c r="F61" s="142"/>
      <c r="G61" s="142"/>
      <c r="H61" s="231" t="s">
        <v>158</v>
      </c>
      <c r="I61" s="231" t="s">
        <v>159</v>
      </c>
      <c r="J61" s="143"/>
      <c r="K61" s="143"/>
      <c r="L61" s="143"/>
    </row>
    <row r="62" spans="2:12" x14ac:dyDescent="0.25">
      <c r="B62" s="146" t="s">
        <v>157</v>
      </c>
      <c r="C62" s="146" t="s">
        <v>85</v>
      </c>
      <c r="D62" s="229"/>
      <c r="E62" s="229"/>
      <c r="F62" s="229"/>
      <c r="G62" s="229"/>
      <c r="H62" s="232">
        <f>ROUND(20%*H50,0)</f>
        <v>6</v>
      </c>
      <c r="I62" s="232">
        <f>ROUND(20%*H50,0)</f>
        <v>6</v>
      </c>
      <c r="J62" s="146" t="s">
        <v>160</v>
      </c>
      <c r="K62" s="146"/>
      <c r="L62" s="146"/>
    </row>
    <row r="63" spans="2:12" ht="14.4" x14ac:dyDescent="0.3">
      <c r="B63" s="139" t="s">
        <v>156</v>
      </c>
      <c r="C63" s="139" t="s">
        <v>3</v>
      </c>
      <c r="D63" s="228"/>
      <c r="E63" s="228"/>
      <c r="F63" s="228"/>
      <c r="G63" s="228"/>
      <c r="H63" s="150">
        <f>H49</f>
        <v>0.4</v>
      </c>
      <c r="I63" s="242">
        <v>0.6</v>
      </c>
      <c r="J63" s="158" t="s">
        <v>161</v>
      </c>
      <c r="K63" s="139"/>
      <c r="L63" s="139"/>
    </row>
    <row r="64" spans="2:12" ht="14.4" x14ac:dyDescent="0.3">
      <c r="B64" s="82" t="s">
        <v>154</v>
      </c>
      <c r="C64" s="139" t="s">
        <v>3</v>
      </c>
      <c r="D64" s="228"/>
      <c r="E64" s="228"/>
      <c r="F64" s="228"/>
      <c r="G64" s="228"/>
      <c r="H64" s="233">
        <v>0.62</v>
      </c>
      <c r="I64" s="243">
        <v>0.65</v>
      </c>
      <c r="J64" s="235" t="s">
        <v>162</v>
      </c>
      <c r="K64" s="138"/>
      <c r="L64" s="138"/>
    </row>
    <row r="65" spans="2:12" x14ac:dyDescent="0.25">
      <c r="B65" s="139" t="s">
        <v>163</v>
      </c>
      <c r="C65" s="139" t="s">
        <v>55</v>
      </c>
      <c r="D65" s="228"/>
      <c r="E65" s="228"/>
      <c r="F65" s="228"/>
      <c r="G65" s="228"/>
      <c r="H65" s="239">
        <f>H62*H63*H64</f>
        <v>1.4880000000000002</v>
      </c>
      <c r="I65" s="239">
        <f>I62*I63*I64</f>
        <v>2.34</v>
      </c>
      <c r="J65" s="238"/>
      <c r="K65" s="146"/>
      <c r="L65" s="146"/>
    </row>
    <row r="66" spans="2:12" ht="14.4" x14ac:dyDescent="0.3">
      <c r="B66" s="82" t="s">
        <v>151</v>
      </c>
      <c r="C66" s="82" t="s">
        <v>54</v>
      </c>
      <c r="D66" s="228"/>
      <c r="E66" s="228"/>
      <c r="F66" s="228"/>
      <c r="G66" s="228"/>
      <c r="H66" s="240">
        <f>H29</f>
        <v>1.58156411279389</v>
      </c>
      <c r="I66" s="240">
        <f>H66*0.7</f>
        <v>1.1070948789557229</v>
      </c>
      <c r="J66" s="351" t="s">
        <v>200</v>
      </c>
      <c r="K66" s="139"/>
      <c r="L66" s="139"/>
    </row>
    <row r="67" spans="2:12" x14ac:dyDescent="0.25">
      <c r="B67" s="217" t="s">
        <v>130</v>
      </c>
      <c r="C67" s="217" t="s">
        <v>25</v>
      </c>
      <c r="D67" s="217"/>
      <c r="E67" s="217"/>
      <c r="F67" s="217"/>
      <c r="G67" s="217"/>
      <c r="H67" s="236">
        <f>ROUND(H66*H65,0)</f>
        <v>2</v>
      </c>
      <c r="I67" s="236">
        <f>ROUND(I66*I65,0)</f>
        <v>3</v>
      </c>
      <c r="J67" s="230"/>
      <c r="K67" s="237"/>
      <c r="L67" s="237"/>
    </row>
    <row r="68" spans="2:12" x14ac:dyDescent="0.25">
      <c r="B68" s="217" t="s">
        <v>165</v>
      </c>
      <c r="C68" s="217" t="s">
        <v>25</v>
      </c>
      <c r="D68" s="217"/>
      <c r="E68" s="217"/>
      <c r="F68" s="217"/>
      <c r="G68" s="217"/>
      <c r="H68" s="236"/>
      <c r="I68" s="236">
        <f>I67-H67</f>
        <v>1</v>
      </c>
      <c r="J68" s="230"/>
      <c r="K68" s="237"/>
      <c r="L68" s="237"/>
    </row>
    <row r="69" spans="2:12" x14ac:dyDescent="0.25">
      <c r="B69" s="139" t="s">
        <v>150</v>
      </c>
      <c r="C69" s="139" t="s">
        <v>56</v>
      </c>
      <c r="D69" s="228"/>
      <c r="E69" s="228"/>
      <c r="F69" s="228"/>
      <c r="G69" s="228"/>
      <c r="H69" s="343">
        <f>ROUND(H67/H66,0)</f>
        <v>1</v>
      </c>
      <c r="I69" s="225">
        <f>ROUND(I67/I66,0)</f>
        <v>3</v>
      </c>
      <c r="J69" s="139"/>
      <c r="K69" s="139"/>
      <c r="L69" s="139"/>
    </row>
    <row r="70" spans="2:12" x14ac:dyDescent="0.25">
      <c r="B70" s="344" t="s">
        <v>152</v>
      </c>
      <c r="C70" s="344" t="s">
        <v>25</v>
      </c>
      <c r="D70" s="344"/>
      <c r="E70" s="344"/>
      <c r="F70" s="344"/>
      <c r="G70" s="344"/>
      <c r="H70" s="345">
        <f>H69*H31</f>
        <v>11.017087473022457</v>
      </c>
      <c r="I70" s="346">
        <f>I69*H31*0.7</f>
        <v>23.135883693347157</v>
      </c>
      <c r="J70" s="344"/>
      <c r="K70" s="344"/>
      <c r="L70" s="344"/>
    </row>
    <row r="71" spans="2:12" x14ac:dyDescent="0.25">
      <c r="B71" s="344" t="s">
        <v>198</v>
      </c>
      <c r="C71" s="344" t="s">
        <v>25</v>
      </c>
      <c r="D71" s="344"/>
      <c r="E71" s="344"/>
      <c r="F71" s="344"/>
      <c r="G71" s="344"/>
      <c r="H71" s="345"/>
      <c r="I71" s="347">
        <f>I70-H70</f>
        <v>12.1187962203247</v>
      </c>
      <c r="J71" s="347"/>
      <c r="K71" s="348"/>
      <c r="L71" s="348"/>
    </row>
    <row r="72" spans="2:12" x14ac:dyDescent="0.25">
      <c r="B72" s="9"/>
      <c r="C72" s="9"/>
      <c r="D72" s="9"/>
      <c r="E72" s="9"/>
      <c r="F72" s="9"/>
      <c r="G72" s="241"/>
      <c r="H72" s="241"/>
      <c r="I72" s="241"/>
      <c r="J72" s="9"/>
      <c r="K72" s="9"/>
    </row>
    <row r="74" spans="2:12" ht="14.4" x14ac:dyDescent="0.3">
      <c r="B74" s="134" t="s">
        <v>201</v>
      </c>
      <c r="C74" s="134"/>
      <c r="D74" s="134"/>
      <c r="E74" s="134"/>
      <c r="F74" s="134"/>
      <c r="G74" s="134"/>
      <c r="H74" s="134"/>
      <c r="I74" s="134"/>
      <c r="J74" s="134"/>
      <c r="K74" s="134"/>
      <c r="L74" s="134"/>
    </row>
    <row r="75" spans="2:12" x14ac:dyDescent="0.25">
      <c r="B75" s="141"/>
      <c r="C75" s="141"/>
      <c r="D75" s="141"/>
      <c r="E75" s="141"/>
      <c r="F75" s="141"/>
      <c r="G75" s="141"/>
      <c r="H75" s="219">
        <v>2030</v>
      </c>
      <c r="I75" s="219">
        <v>2030</v>
      </c>
      <c r="J75" s="7" t="s">
        <v>7</v>
      </c>
      <c r="K75" s="7"/>
      <c r="L75" s="7"/>
    </row>
    <row r="76" spans="2:12" x14ac:dyDescent="0.25">
      <c r="B76" s="142"/>
      <c r="C76" s="142"/>
      <c r="D76" s="142"/>
      <c r="E76" s="142"/>
      <c r="F76" s="142"/>
      <c r="G76" s="142"/>
      <c r="H76" s="231" t="s">
        <v>202</v>
      </c>
      <c r="I76" s="231" t="s">
        <v>203</v>
      </c>
      <c r="J76" s="143"/>
      <c r="K76" s="143"/>
      <c r="L76" s="143"/>
    </row>
    <row r="77" spans="2:12" x14ac:dyDescent="0.25">
      <c r="B77" s="146" t="s">
        <v>204</v>
      </c>
      <c r="C77" s="146"/>
      <c r="D77" s="229"/>
      <c r="E77" s="229"/>
      <c r="F77" s="229"/>
      <c r="G77" s="229"/>
      <c r="H77" s="232">
        <f>H50-H62</f>
        <v>22</v>
      </c>
      <c r="I77" s="232">
        <f>H50-I62</f>
        <v>22</v>
      </c>
      <c r="J77" s="146" t="s">
        <v>160</v>
      </c>
      <c r="K77" s="146"/>
      <c r="L77" s="146"/>
    </row>
    <row r="78" spans="2:12" ht="14.4" x14ac:dyDescent="0.3">
      <c r="B78" s="139" t="s">
        <v>156</v>
      </c>
      <c r="C78" s="139"/>
      <c r="D78" s="228"/>
      <c r="E78" s="228"/>
      <c r="F78" s="228"/>
      <c r="G78" s="228"/>
      <c r="H78" s="150">
        <v>0.4</v>
      </c>
      <c r="I78" s="242">
        <v>0.5</v>
      </c>
      <c r="J78" s="361" t="s">
        <v>216</v>
      </c>
      <c r="K78" s="139"/>
      <c r="L78" s="139"/>
    </row>
    <row r="79" spans="2:12" ht="14.4" x14ac:dyDescent="0.3">
      <c r="B79" s="82" t="s">
        <v>154</v>
      </c>
      <c r="C79" s="139"/>
      <c r="D79" s="228"/>
      <c r="E79" s="228"/>
      <c r="F79" s="228"/>
      <c r="G79" s="228"/>
      <c r="H79" s="233">
        <v>0.45</v>
      </c>
      <c r="I79" s="243">
        <v>0.6</v>
      </c>
      <c r="J79" s="362" t="s">
        <v>205</v>
      </c>
      <c r="K79" s="138"/>
      <c r="L79" s="138"/>
    </row>
    <row r="80" spans="2:12" x14ac:dyDescent="0.25">
      <c r="B80" s="139" t="s">
        <v>163</v>
      </c>
      <c r="C80" s="139"/>
      <c r="D80" s="228"/>
      <c r="E80" s="228"/>
      <c r="F80" s="228"/>
      <c r="G80" s="228"/>
      <c r="H80" s="239">
        <f>H77*H78*H79</f>
        <v>3.9600000000000004</v>
      </c>
      <c r="I80" s="239">
        <f>I77*I78*I79</f>
        <v>6.6</v>
      </c>
      <c r="J80" s="238"/>
      <c r="K80" s="146"/>
      <c r="L80" s="146"/>
    </row>
    <row r="81" spans="2:12" x14ac:dyDescent="0.25">
      <c r="B81" s="217" t="s">
        <v>130</v>
      </c>
      <c r="C81" s="217"/>
      <c r="D81" s="217"/>
      <c r="E81" s="217"/>
      <c r="F81" s="217"/>
      <c r="G81" s="217"/>
      <c r="H81" s="236">
        <f>ROUND(H29*H80,0)</f>
        <v>6</v>
      </c>
      <c r="I81" s="236">
        <f>ROUND(H29*I80,0)</f>
        <v>10</v>
      </c>
      <c r="J81" s="230"/>
      <c r="K81" s="237"/>
      <c r="L81" s="237"/>
    </row>
    <row r="82" spans="2:12" x14ac:dyDescent="0.25">
      <c r="B82" s="217" t="s">
        <v>165</v>
      </c>
      <c r="C82" s="217"/>
      <c r="D82" s="217"/>
      <c r="E82" s="217"/>
      <c r="F82" s="217"/>
      <c r="G82" s="217"/>
      <c r="H82" s="236"/>
      <c r="I82" s="236">
        <f>I81-H81</f>
        <v>4</v>
      </c>
      <c r="J82" s="230"/>
      <c r="K82" s="237"/>
      <c r="L82" s="237"/>
    </row>
    <row r="83" spans="2:12" x14ac:dyDescent="0.25">
      <c r="B83" s="139" t="s">
        <v>150</v>
      </c>
      <c r="C83" s="139"/>
      <c r="D83" s="228"/>
      <c r="E83" s="228"/>
      <c r="F83" s="228"/>
      <c r="G83" s="228"/>
      <c r="H83" s="343">
        <f>ROUND(H81/H29,0)</f>
        <v>4</v>
      </c>
      <c r="I83" s="225">
        <f>ROUND(I81/H29,0)</f>
        <v>6</v>
      </c>
      <c r="J83" s="139"/>
      <c r="K83" s="139"/>
      <c r="L83" s="139"/>
    </row>
    <row r="84" spans="2:12" x14ac:dyDescent="0.25">
      <c r="B84" s="344" t="s">
        <v>152</v>
      </c>
      <c r="C84" s="344"/>
      <c r="D84" s="344"/>
      <c r="E84" s="344"/>
      <c r="F84" s="344"/>
      <c r="G84" s="344"/>
      <c r="H84" s="345">
        <f>H83*H31</f>
        <v>44.068349892089827</v>
      </c>
      <c r="I84" s="346">
        <f>I83*H31</f>
        <v>66.102524838134741</v>
      </c>
      <c r="J84" s="344"/>
      <c r="K84" s="344"/>
      <c r="L84" s="344"/>
    </row>
    <row r="85" spans="2:12" x14ac:dyDescent="0.25">
      <c r="B85" s="344" t="s">
        <v>198</v>
      </c>
      <c r="C85" s="344"/>
      <c r="D85" s="344"/>
      <c r="E85" s="344"/>
      <c r="F85" s="344"/>
      <c r="G85" s="344"/>
      <c r="H85" s="345"/>
      <c r="I85" s="347">
        <f>I84-H84</f>
        <v>22.034174946044914</v>
      </c>
      <c r="J85" s="347"/>
      <c r="K85" s="348"/>
      <c r="L85" s="348"/>
    </row>
    <row r="86" spans="2:12" x14ac:dyDescent="0.25">
      <c r="H86" s="526"/>
      <c r="I86" s="52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04AE-F8A9-4042-91B5-3EB3261D5CA5}">
  <sheetPr>
    <tabColor theme="4" tint="0.59999389629810485"/>
  </sheetPr>
  <dimension ref="A3:AH180"/>
  <sheetViews>
    <sheetView showGridLines="0" topLeftCell="E1" zoomScale="60" zoomScaleNormal="60" workbookViewId="0">
      <selection activeCell="H73" sqref="H73"/>
    </sheetView>
  </sheetViews>
  <sheetFormatPr defaultRowHeight="13.8" outlineLevelRow="2" outlineLevelCol="1" x14ac:dyDescent="0.25"/>
  <cols>
    <col min="1" max="1" width="10.5" style="113" customWidth="1" outlineLevel="1"/>
    <col min="2" max="2" width="4.5" style="113" customWidth="1"/>
    <col min="3" max="3" width="30.3984375" customWidth="1"/>
    <col min="4" max="5" width="20.59765625" customWidth="1"/>
    <col min="6" max="6" width="17.5" customWidth="1"/>
    <col min="7" max="7" width="18.5" customWidth="1"/>
    <col min="8" max="8" width="43.796875" customWidth="1"/>
    <col min="9" max="11" width="20.59765625" customWidth="1"/>
    <col min="12" max="12" width="22.69921875" customWidth="1"/>
    <col min="13" max="14" width="20.59765625" customWidth="1"/>
    <col min="15" max="15" width="174.19921875" bestFit="1" customWidth="1"/>
    <col min="16" max="16" width="11.69921875" customWidth="1"/>
    <col min="17" max="17" width="13.296875" bestFit="1" customWidth="1"/>
    <col min="18" max="18" width="10" customWidth="1"/>
    <col min="19" max="19" width="19.09765625" bestFit="1" customWidth="1"/>
    <col min="20" max="20" width="6.19921875" customWidth="1"/>
    <col min="22" max="22" width="8.69921875" customWidth="1"/>
    <col min="24" max="24" width="19.5" customWidth="1"/>
    <col min="27" max="27" width="10.19921875" customWidth="1"/>
  </cols>
  <sheetData>
    <row r="3" spans="1:15" x14ac:dyDescent="0.25">
      <c r="C3" s="8" t="s">
        <v>166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x14ac:dyDescent="0.25">
      <c r="C4" s="45" t="s">
        <v>188</v>
      </c>
      <c r="D4" s="45" t="s">
        <v>24</v>
      </c>
      <c r="E4" s="48" t="s">
        <v>0</v>
      </c>
      <c r="F4" s="48" t="s">
        <v>4</v>
      </c>
      <c r="G4" s="48" t="s">
        <v>10</v>
      </c>
      <c r="H4" s="4" t="s">
        <v>45</v>
      </c>
      <c r="I4" s="2" t="s">
        <v>18</v>
      </c>
      <c r="J4" s="4">
        <v>2024</v>
      </c>
      <c r="K4" s="160" t="s">
        <v>223</v>
      </c>
      <c r="L4" s="674">
        <v>2030</v>
      </c>
      <c r="M4" s="676"/>
      <c r="N4" s="160"/>
      <c r="O4" s="7" t="s">
        <v>120</v>
      </c>
    </row>
    <row r="5" spans="1:15" x14ac:dyDescent="0.25">
      <c r="C5" s="282"/>
      <c r="D5" s="282"/>
      <c r="E5" s="142"/>
      <c r="F5" s="142"/>
      <c r="G5" s="142"/>
      <c r="H5" s="282"/>
      <c r="I5" s="282"/>
      <c r="J5" s="282"/>
      <c r="K5" s="308"/>
      <c r="L5" s="253" t="s">
        <v>117</v>
      </c>
      <c r="M5" s="282" t="s">
        <v>118</v>
      </c>
      <c r="N5" s="308"/>
      <c r="O5" s="289"/>
    </row>
    <row r="6" spans="1:15" x14ac:dyDescent="0.25">
      <c r="A6" s="113" t="s">
        <v>224</v>
      </c>
      <c r="C6" s="375" t="s">
        <v>190</v>
      </c>
      <c r="D6" s="375" t="s">
        <v>26</v>
      </c>
      <c r="E6" s="375" t="s">
        <v>2</v>
      </c>
      <c r="F6" s="375" t="s">
        <v>5</v>
      </c>
      <c r="G6" s="375"/>
      <c r="H6" s="375" t="s">
        <v>8</v>
      </c>
      <c r="I6" s="375" t="s">
        <v>25</v>
      </c>
      <c r="J6" s="420">
        <f t="shared" ref="J6:M7" si="0">SUMIFS(J$70:J$156,$H$70:$H$156,$H6,$F$70:$F$156,$F6,$E$70:$E$156,$E6,$A$70:$A$156,$A6)</f>
        <v>0</v>
      </c>
      <c r="K6" s="420">
        <f t="shared" si="0"/>
        <v>0</v>
      </c>
      <c r="L6" s="614">
        <f t="shared" si="0"/>
        <v>0.51975000000000005</v>
      </c>
      <c r="M6" s="615">
        <f t="shared" si="0"/>
        <v>0.7796249999999999</v>
      </c>
      <c r="N6" s="418"/>
      <c r="O6" s="375"/>
    </row>
    <row r="7" spans="1:15" x14ac:dyDescent="0.25">
      <c r="A7" s="113" t="s">
        <v>224</v>
      </c>
      <c r="C7" s="375" t="s">
        <v>190</v>
      </c>
      <c r="D7" s="283" t="s">
        <v>26</v>
      </c>
      <c r="E7" s="283" t="s">
        <v>2</v>
      </c>
      <c r="F7" s="336" t="s">
        <v>6</v>
      </c>
      <c r="G7" s="336"/>
      <c r="H7" s="283" t="s">
        <v>8</v>
      </c>
      <c r="I7" s="283" t="s">
        <v>25</v>
      </c>
      <c r="J7" s="395">
        <f t="shared" si="0"/>
        <v>0</v>
      </c>
      <c r="K7" s="395">
        <f t="shared" si="0"/>
        <v>0</v>
      </c>
      <c r="L7" s="590">
        <f t="shared" si="0"/>
        <v>2.3315021503918532</v>
      </c>
      <c r="M7" s="591">
        <f t="shared" si="0"/>
        <v>3.1457945338558044</v>
      </c>
      <c r="N7" s="414"/>
      <c r="O7" s="336"/>
    </row>
    <row r="8" spans="1:15" x14ac:dyDescent="0.25">
      <c r="A8" s="113" t="s">
        <v>224</v>
      </c>
      <c r="C8" s="375" t="s">
        <v>190</v>
      </c>
      <c r="D8" s="283" t="s">
        <v>26</v>
      </c>
      <c r="E8" s="283" t="s">
        <v>2</v>
      </c>
      <c r="F8" s="336" t="s">
        <v>15</v>
      </c>
      <c r="G8" s="336"/>
      <c r="H8" s="283" t="s">
        <v>8</v>
      </c>
      <c r="I8" s="283" t="s">
        <v>25</v>
      </c>
      <c r="J8" s="341">
        <f>SUM(J6:J7)</f>
        <v>0</v>
      </c>
      <c r="K8" s="421">
        <f>SUM(K6:K7)</f>
        <v>0</v>
      </c>
      <c r="L8" s="590">
        <f>SUM(L6:L7)</f>
        <v>2.8512521503918533</v>
      </c>
      <c r="M8" s="591">
        <f>SUM(M6:M7)</f>
        <v>3.9254195338558042</v>
      </c>
      <c r="N8" s="414"/>
      <c r="O8" s="336"/>
    </row>
    <row r="9" spans="1:15" x14ac:dyDescent="0.25">
      <c r="A9" s="113" t="s">
        <v>224</v>
      </c>
      <c r="C9" s="375" t="s">
        <v>190</v>
      </c>
      <c r="D9" s="283" t="s">
        <v>26</v>
      </c>
      <c r="E9" s="336" t="s">
        <v>12</v>
      </c>
      <c r="F9" s="336" t="s">
        <v>5</v>
      </c>
      <c r="G9" s="336"/>
      <c r="H9" s="283" t="s">
        <v>8</v>
      </c>
      <c r="I9" s="283" t="s">
        <v>25</v>
      </c>
      <c r="J9" s="381">
        <f t="shared" ref="J9:M10" si="1">SUMIFS(J$70:J$156,$H$70:$H$156,$H9,$F$70:$F$156,$F9,$E$70:$E$156,$E9,$A$70:$A$156,$A9)</f>
        <v>0.78811999999999982</v>
      </c>
      <c r="K9" s="417">
        <f t="shared" si="1"/>
        <v>0.89999999999999991</v>
      </c>
      <c r="L9" s="590">
        <f t="shared" si="1"/>
        <v>1.05</v>
      </c>
      <c r="M9" s="591">
        <f t="shared" si="1"/>
        <v>1.2</v>
      </c>
      <c r="N9" s="414"/>
      <c r="O9" s="336"/>
    </row>
    <row r="10" spans="1:15" x14ac:dyDescent="0.25">
      <c r="A10" s="113" t="s">
        <v>224</v>
      </c>
      <c r="C10" s="375" t="s">
        <v>190</v>
      </c>
      <c r="D10" s="283" t="s">
        <v>26</v>
      </c>
      <c r="E10" s="336" t="s">
        <v>12</v>
      </c>
      <c r="F10" s="336" t="s">
        <v>6</v>
      </c>
      <c r="G10" s="336"/>
      <c r="H10" s="283" t="s">
        <v>8</v>
      </c>
      <c r="I10" s="283" t="s">
        <v>25</v>
      </c>
      <c r="J10" s="381">
        <f t="shared" si="1"/>
        <v>4.4660133333333318</v>
      </c>
      <c r="K10" s="417">
        <f t="shared" si="1"/>
        <v>5.0999999999999996</v>
      </c>
      <c r="L10" s="590">
        <f t="shared" si="1"/>
        <v>6.5493295585324214</v>
      </c>
      <c r="M10" s="591">
        <f t="shared" si="1"/>
        <v>7.4992178182878249</v>
      </c>
      <c r="N10" s="414"/>
      <c r="O10" s="336"/>
    </row>
    <row r="11" spans="1:15" x14ac:dyDescent="0.25">
      <c r="A11" s="113" t="s">
        <v>224</v>
      </c>
      <c r="C11" s="375" t="s">
        <v>190</v>
      </c>
      <c r="D11" s="283" t="s">
        <v>26</v>
      </c>
      <c r="E11" s="336" t="s">
        <v>12</v>
      </c>
      <c r="F11" s="336" t="s">
        <v>15</v>
      </c>
      <c r="G11" s="336"/>
      <c r="H11" s="283" t="s">
        <v>8</v>
      </c>
      <c r="I11" s="283" t="s">
        <v>25</v>
      </c>
      <c r="J11" s="422">
        <f>SUM(J9:J10)</f>
        <v>5.254133333333332</v>
      </c>
      <c r="K11" s="421">
        <f>SUM(K9:K10)</f>
        <v>6</v>
      </c>
      <c r="L11" s="616">
        <f>SUM(L9:L10)</f>
        <v>7.5993295585324212</v>
      </c>
      <c r="M11" s="617">
        <f>SUM(M9:M10)</f>
        <v>8.6992178182878241</v>
      </c>
      <c r="N11" s="414"/>
      <c r="O11" s="336"/>
    </row>
    <row r="12" spans="1:15" x14ac:dyDescent="0.25">
      <c r="A12" s="113" t="s">
        <v>224</v>
      </c>
      <c r="C12" s="306" t="s">
        <v>15</v>
      </c>
      <c r="D12" s="306" t="s">
        <v>26</v>
      </c>
      <c r="E12" s="306" t="s">
        <v>43</v>
      </c>
      <c r="F12" s="306" t="s">
        <v>6</v>
      </c>
      <c r="G12" s="306" t="s">
        <v>15</v>
      </c>
      <c r="H12" s="306" t="s">
        <v>8</v>
      </c>
      <c r="I12" s="306" t="s">
        <v>25</v>
      </c>
      <c r="J12" s="314">
        <f>J11+J8</f>
        <v>5.254133333333332</v>
      </c>
      <c r="K12" s="314">
        <f>K11+K8</f>
        <v>6</v>
      </c>
      <c r="L12" s="618">
        <f>L11+L8</f>
        <v>10.450581708924275</v>
      </c>
      <c r="M12" s="619">
        <f>M11+M8</f>
        <v>12.624637352143628</v>
      </c>
      <c r="N12" s="307"/>
      <c r="O12" s="306"/>
    </row>
    <row r="13" spans="1:15" x14ac:dyDescent="0.25">
      <c r="A13" s="113" t="s">
        <v>224</v>
      </c>
      <c r="C13" s="237" t="s">
        <v>184</v>
      </c>
      <c r="D13" s="237" t="s">
        <v>26</v>
      </c>
      <c r="E13" s="237" t="s">
        <v>182</v>
      </c>
      <c r="F13" s="237" t="s">
        <v>15</v>
      </c>
      <c r="G13" s="237" t="s">
        <v>15</v>
      </c>
      <c r="H13" s="302" t="s">
        <v>169</v>
      </c>
      <c r="I13" s="237" t="s">
        <v>25</v>
      </c>
      <c r="J13" s="303"/>
      <c r="K13" s="303"/>
      <c r="L13" s="304">
        <f>L12-K12</f>
        <v>4.4505817089242754</v>
      </c>
      <c r="M13" s="619">
        <f>M12-K12</f>
        <v>6.6246373521436279</v>
      </c>
      <c r="N13" s="303"/>
      <c r="O13" s="305"/>
    </row>
    <row r="14" spans="1:15" x14ac:dyDescent="0.25">
      <c r="A14" s="113" t="s">
        <v>224</v>
      </c>
      <c r="C14" s="283" t="s">
        <v>190</v>
      </c>
      <c r="D14" s="283" t="s">
        <v>26</v>
      </c>
      <c r="E14" s="283" t="s">
        <v>2</v>
      </c>
      <c r="F14" s="283" t="s">
        <v>5</v>
      </c>
      <c r="G14" s="283" t="s">
        <v>15</v>
      </c>
      <c r="H14" s="283" t="s">
        <v>213</v>
      </c>
      <c r="I14" s="283" t="s">
        <v>55</v>
      </c>
      <c r="J14" s="290">
        <f t="shared" ref="J14:M15" si="2">SUMIFS(J$70:J$156,$H$70:$H$156,$H14,$F$70:$F$156,$F14,$E$70:$E$156,$E14,$A$70:$A$156,$A14)</f>
        <v>0</v>
      </c>
      <c r="K14" s="493">
        <f t="shared" si="2"/>
        <v>0</v>
      </c>
      <c r="L14" s="277">
        <f t="shared" si="2"/>
        <v>0.45654885848859678</v>
      </c>
      <c r="M14" s="589">
        <f t="shared" si="2"/>
        <v>0.68482328773289514</v>
      </c>
      <c r="N14" s="309"/>
      <c r="O14" s="283"/>
    </row>
    <row r="15" spans="1:15" x14ac:dyDescent="0.25">
      <c r="A15" s="113" t="s">
        <v>224</v>
      </c>
      <c r="C15" s="336" t="s">
        <v>190</v>
      </c>
      <c r="D15" s="336" t="s">
        <v>26</v>
      </c>
      <c r="E15" s="336" t="s">
        <v>2</v>
      </c>
      <c r="F15" s="336" t="s">
        <v>6</v>
      </c>
      <c r="G15" s="336" t="s">
        <v>15</v>
      </c>
      <c r="H15" s="336" t="s">
        <v>213</v>
      </c>
      <c r="I15" s="336" t="s">
        <v>55</v>
      </c>
      <c r="J15" s="373">
        <f t="shared" si="2"/>
        <v>0</v>
      </c>
      <c r="K15" s="523">
        <f t="shared" si="2"/>
        <v>0</v>
      </c>
      <c r="L15" s="590">
        <f t="shared" si="2"/>
        <v>1.4741749205937473</v>
      </c>
      <c r="M15" s="591">
        <f t="shared" si="2"/>
        <v>1.989040158668399</v>
      </c>
      <c r="N15" s="414"/>
      <c r="O15" s="336"/>
    </row>
    <row r="16" spans="1:15" x14ac:dyDescent="0.25">
      <c r="A16" s="113" t="s">
        <v>224</v>
      </c>
      <c r="C16" s="319" t="s">
        <v>190</v>
      </c>
      <c r="D16" s="319" t="s">
        <v>26</v>
      </c>
      <c r="E16" s="319" t="s">
        <v>2</v>
      </c>
      <c r="F16" s="319" t="s">
        <v>15</v>
      </c>
      <c r="G16" s="319" t="s">
        <v>15</v>
      </c>
      <c r="H16" s="363" t="s">
        <v>213</v>
      </c>
      <c r="I16" s="363" t="s">
        <v>55</v>
      </c>
      <c r="J16" s="431">
        <f>SUM(J14:J15)</f>
        <v>0</v>
      </c>
      <c r="K16" s="432">
        <f>SUM(K14:K15)</f>
        <v>0</v>
      </c>
      <c r="L16" s="592">
        <f>SUM(L14:L15)</f>
        <v>1.9307237790823442</v>
      </c>
      <c r="M16" s="593">
        <f>SUM(M14:M15)</f>
        <v>2.673863446401294</v>
      </c>
      <c r="N16" s="309"/>
      <c r="O16" s="283"/>
    </row>
    <row r="17" spans="1:15" x14ac:dyDescent="0.25">
      <c r="A17" s="113" t="s">
        <v>224</v>
      </c>
      <c r="C17" s="283" t="s">
        <v>190</v>
      </c>
      <c r="D17" s="283" t="s">
        <v>26</v>
      </c>
      <c r="E17" s="283" t="s">
        <v>12</v>
      </c>
      <c r="F17" s="283" t="s">
        <v>5</v>
      </c>
      <c r="G17" s="283" t="s">
        <v>15</v>
      </c>
      <c r="H17" s="283" t="s">
        <v>213</v>
      </c>
      <c r="I17" s="336" t="s">
        <v>55</v>
      </c>
      <c r="J17" s="313">
        <f t="shared" ref="J17:M18" si="3">SUMIFS(J$70:J$156,$H$70:$H$156,$H17,$F$70:$F$156,$F17,$E$70:$E$156,$E17,$A$70:$A$156,$A17)</f>
        <v>1.0979999999999999</v>
      </c>
      <c r="K17" s="493">
        <f t="shared" si="3"/>
        <v>1.0812081446254007</v>
      </c>
      <c r="L17" s="594">
        <f t="shared" si="3"/>
        <v>1.2614095020629676</v>
      </c>
      <c r="M17" s="595">
        <f t="shared" si="3"/>
        <v>1.4416108595005346</v>
      </c>
      <c r="N17" s="309"/>
      <c r="O17" s="283"/>
    </row>
    <row r="18" spans="1:15" x14ac:dyDescent="0.25">
      <c r="A18" s="113" t="s">
        <v>224</v>
      </c>
      <c r="C18" s="283" t="s">
        <v>190</v>
      </c>
      <c r="D18" s="283" t="s">
        <v>26</v>
      </c>
      <c r="E18" s="283" t="s">
        <v>12</v>
      </c>
      <c r="F18" s="283" t="s">
        <v>6</v>
      </c>
      <c r="G18" s="283" t="s">
        <v>15</v>
      </c>
      <c r="H18" s="283" t="s">
        <v>213</v>
      </c>
      <c r="I18" s="336" t="s">
        <v>55</v>
      </c>
      <c r="J18" s="313">
        <f t="shared" si="3"/>
        <v>6.2219999999999986</v>
      </c>
      <c r="K18" s="493">
        <f t="shared" si="3"/>
        <v>6.1268461528772713</v>
      </c>
      <c r="L18" s="594">
        <f t="shared" si="3"/>
        <v>7.8679871783568167</v>
      </c>
      <c r="M18" s="595">
        <f t="shared" si="3"/>
        <v>9.0091282038363616</v>
      </c>
      <c r="N18" s="309"/>
      <c r="O18" s="283"/>
    </row>
    <row r="19" spans="1:15" x14ac:dyDescent="0.25">
      <c r="A19" s="113" t="s">
        <v>224</v>
      </c>
      <c r="C19" s="58" t="s">
        <v>190</v>
      </c>
      <c r="D19" s="58" t="s">
        <v>26</v>
      </c>
      <c r="E19" s="58" t="s">
        <v>12</v>
      </c>
      <c r="F19" s="58" t="s">
        <v>15</v>
      </c>
      <c r="G19" s="58" t="s">
        <v>15</v>
      </c>
      <c r="H19" s="58" t="s">
        <v>213</v>
      </c>
      <c r="I19" s="58" t="s">
        <v>55</v>
      </c>
      <c r="J19" s="433">
        <f>SUM(J17:J18)</f>
        <v>7.3199999999999985</v>
      </c>
      <c r="K19" s="434">
        <f>SUM(K17:K18)</f>
        <v>7.208054297502672</v>
      </c>
      <c r="L19" s="596">
        <f>SUM(L17:L18)</f>
        <v>9.1293966804197844</v>
      </c>
      <c r="M19" s="597">
        <f>SUM(M17:M18)</f>
        <v>10.450739063336897</v>
      </c>
      <c r="N19" s="419"/>
      <c r="O19" s="59"/>
    </row>
    <row r="20" spans="1:15" x14ac:dyDescent="0.25">
      <c r="A20" s="113" t="s">
        <v>224</v>
      </c>
      <c r="C20" s="443" t="s">
        <v>190</v>
      </c>
      <c r="D20" s="443" t="s">
        <v>26</v>
      </c>
      <c r="E20" s="443" t="s">
        <v>2</v>
      </c>
      <c r="F20" s="443" t="s">
        <v>5</v>
      </c>
      <c r="G20" s="443" t="s">
        <v>15</v>
      </c>
      <c r="H20" s="443" t="s">
        <v>152</v>
      </c>
      <c r="I20" s="443" t="s">
        <v>25</v>
      </c>
      <c r="J20" s="444">
        <f t="shared" ref="J20:M21" si="4">SUMIFS(J$70:J$156,$H$70:$H$156,$H20,$F$70:$F$156,$F20,$E$70:$E$156,$E20,$A$70:$A$156,$A20)</f>
        <v>0</v>
      </c>
      <c r="K20" s="445">
        <f t="shared" si="4"/>
        <v>0</v>
      </c>
      <c r="L20" s="598">
        <f t="shared" si="4"/>
        <v>7.9418505942275086</v>
      </c>
      <c r="M20" s="599">
        <f t="shared" si="4"/>
        <v>11.912775891341264</v>
      </c>
      <c r="N20" s="446"/>
      <c r="O20" s="443"/>
    </row>
    <row r="21" spans="1:15" x14ac:dyDescent="0.25">
      <c r="A21" s="113" t="s">
        <v>224</v>
      </c>
      <c r="C21" s="447" t="s">
        <v>190</v>
      </c>
      <c r="D21" s="447" t="s">
        <v>26</v>
      </c>
      <c r="E21" s="447" t="s">
        <v>2</v>
      </c>
      <c r="F21" s="447" t="s">
        <v>6</v>
      </c>
      <c r="G21" s="447" t="s">
        <v>15</v>
      </c>
      <c r="H21" s="448" t="s">
        <v>152</v>
      </c>
      <c r="I21" s="447" t="s">
        <v>25</v>
      </c>
      <c r="J21" s="447">
        <f t="shared" si="4"/>
        <v>0</v>
      </c>
      <c r="K21" s="449">
        <f t="shared" si="4"/>
        <v>0</v>
      </c>
      <c r="L21" s="600">
        <f t="shared" si="4"/>
        <v>16.24111405071725</v>
      </c>
      <c r="M21" s="601">
        <f t="shared" si="4"/>
        <v>21.137597372060565</v>
      </c>
      <c r="N21" s="450"/>
      <c r="O21" s="447"/>
    </row>
    <row r="22" spans="1:15" x14ac:dyDescent="0.25">
      <c r="A22" s="113" t="s">
        <v>224</v>
      </c>
      <c r="C22" s="456" t="s">
        <v>190</v>
      </c>
      <c r="D22" s="456" t="s">
        <v>26</v>
      </c>
      <c r="E22" s="456" t="s">
        <v>2</v>
      </c>
      <c r="F22" s="456" t="s">
        <v>15</v>
      </c>
      <c r="G22" s="456" t="s">
        <v>15</v>
      </c>
      <c r="H22" s="456" t="s">
        <v>152</v>
      </c>
      <c r="I22" s="456" t="s">
        <v>25</v>
      </c>
      <c r="J22" s="457">
        <f>SUM(J20:J21)</f>
        <v>0</v>
      </c>
      <c r="K22" s="458">
        <f>SUM(K20:K21)</f>
        <v>0</v>
      </c>
      <c r="L22" s="602">
        <f>SUM(L20:L21)</f>
        <v>24.182964644944761</v>
      </c>
      <c r="M22" s="603">
        <f>SUM(M20:M21)</f>
        <v>33.050373263401831</v>
      </c>
      <c r="N22" s="459"/>
      <c r="O22" s="457"/>
    </row>
    <row r="23" spans="1:15" x14ac:dyDescent="0.25">
      <c r="C23" s="456" t="s">
        <v>190</v>
      </c>
      <c r="D23" s="456" t="s">
        <v>26</v>
      </c>
      <c r="E23" s="456" t="s">
        <v>2</v>
      </c>
      <c r="F23" s="456" t="s">
        <v>15</v>
      </c>
      <c r="G23" s="456" t="s">
        <v>15</v>
      </c>
      <c r="H23" s="456" t="s">
        <v>198</v>
      </c>
      <c r="I23" s="456" t="s">
        <v>25</v>
      </c>
      <c r="J23" s="457"/>
      <c r="K23" s="458">
        <f>K22-J22</f>
        <v>0</v>
      </c>
      <c r="L23" s="602">
        <f>L22-K22</f>
        <v>24.182964644944761</v>
      </c>
      <c r="M23" s="603">
        <f>M22-K22</f>
        <v>33.050373263401831</v>
      </c>
      <c r="N23" s="459"/>
      <c r="O23" s="457"/>
    </row>
    <row r="24" spans="1:15" x14ac:dyDescent="0.25">
      <c r="A24" s="113" t="s">
        <v>224</v>
      </c>
      <c r="C24" s="451" t="s">
        <v>190</v>
      </c>
      <c r="D24" s="451" t="s">
        <v>26</v>
      </c>
      <c r="E24" s="451" t="s">
        <v>12</v>
      </c>
      <c r="F24" s="451" t="s">
        <v>5</v>
      </c>
      <c r="G24" s="451" t="s">
        <v>15</v>
      </c>
      <c r="H24" s="451" t="s">
        <v>152</v>
      </c>
      <c r="I24" s="451" t="s">
        <v>25</v>
      </c>
      <c r="J24" s="451">
        <f t="shared" ref="J24:M25" si="5">SUMIFS(J$70:J$156,$H$70:$H$156,$H24,$F$70:$F$156,$F24,$E$70:$E$156,$E24,$A$70:$A$156,$A24)</f>
        <v>5.4899999999999993</v>
      </c>
      <c r="K24" s="452">
        <f t="shared" si="5"/>
        <v>6.2693498452012388</v>
      </c>
      <c r="L24" s="600">
        <f t="shared" si="5"/>
        <v>7.3142414860681138</v>
      </c>
      <c r="M24" s="604">
        <f t="shared" si="5"/>
        <v>8.3591331269349869</v>
      </c>
      <c r="N24" s="453"/>
      <c r="O24" s="448"/>
    </row>
    <row r="25" spans="1:15" x14ac:dyDescent="0.25">
      <c r="A25" s="113" t="s">
        <v>224</v>
      </c>
      <c r="C25" s="451" t="s">
        <v>190</v>
      </c>
      <c r="D25" s="451" t="s">
        <v>26</v>
      </c>
      <c r="E25" s="451" t="s">
        <v>12</v>
      </c>
      <c r="F25" s="451" t="s">
        <v>6</v>
      </c>
      <c r="G25" s="451" t="s">
        <v>15</v>
      </c>
      <c r="H25" s="451" t="s">
        <v>152</v>
      </c>
      <c r="I25" s="451" t="s">
        <v>25</v>
      </c>
      <c r="J25" s="454">
        <f t="shared" si="5"/>
        <v>31.109999999999992</v>
      </c>
      <c r="K25" s="454">
        <f t="shared" si="5"/>
        <v>35.526315789473692</v>
      </c>
      <c r="L25" s="605">
        <f t="shared" si="5"/>
        <v>45.622264726619058</v>
      </c>
      <c r="M25" s="455">
        <f t="shared" si="5"/>
        <v>52.239133409125728</v>
      </c>
      <c r="N25" s="455"/>
      <c r="O25" s="448"/>
    </row>
    <row r="26" spans="1:15" x14ac:dyDescent="0.25">
      <c r="A26" s="113" t="s">
        <v>224</v>
      </c>
      <c r="C26" s="460" t="s">
        <v>190</v>
      </c>
      <c r="D26" s="460" t="s">
        <v>26</v>
      </c>
      <c r="E26" s="460" t="s">
        <v>12</v>
      </c>
      <c r="F26" s="460" t="s">
        <v>15</v>
      </c>
      <c r="G26" s="460" t="s">
        <v>15</v>
      </c>
      <c r="H26" s="460" t="s">
        <v>152</v>
      </c>
      <c r="I26" s="460" t="s">
        <v>25</v>
      </c>
      <c r="J26" s="461">
        <f>SUM(J24:J25)</f>
        <v>36.599999999999994</v>
      </c>
      <c r="K26" s="461">
        <f>SUM(K24:K25)</f>
        <v>41.795665634674933</v>
      </c>
      <c r="L26" s="606">
        <f>SUM(L24:L25)</f>
        <v>52.936506212687171</v>
      </c>
      <c r="M26" s="607">
        <f>SUM(M24:M25)</f>
        <v>60.598266536060713</v>
      </c>
      <c r="N26" s="462"/>
      <c r="O26" s="463"/>
    </row>
    <row r="27" spans="1:15" x14ac:dyDescent="0.25">
      <c r="C27" s="464" t="s">
        <v>190</v>
      </c>
      <c r="D27" s="464" t="s">
        <v>26</v>
      </c>
      <c r="E27" s="464" t="s">
        <v>12</v>
      </c>
      <c r="F27" s="464" t="s">
        <v>15</v>
      </c>
      <c r="G27" s="464" t="s">
        <v>15</v>
      </c>
      <c r="H27" s="464" t="s">
        <v>198</v>
      </c>
      <c r="I27" s="464" t="s">
        <v>25</v>
      </c>
      <c r="J27" s="465"/>
      <c r="K27" s="466">
        <f>K26-J26</f>
        <v>5.1956656346749384</v>
      </c>
      <c r="L27" s="608">
        <f>L26-K26</f>
        <v>11.140840578012238</v>
      </c>
      <c r="M27" s="609">
        <f>M26-K26</f>
        <v>18.80260090138578</v>
      </c>
      <c r="N27" s="467"/>
      <c r="O27" s="465"/>
    </row>
    <row r="28" spans="1:15" x14ac:dyDescent="0.25">
      <c r="C28" s="442" t="s">
        <v>190</v>
      </c>
      <c r="D28" s="442" t="s">
        <v>26</v>
      </c>
      <c r="E28" s="442" t="s">
        <v>15</v>
      </c>
      <c r="F28" s="442" t="s">
        <v>15</v>
      </c>
      <c r="G28" s="442" t="s">
        <v>15</v>
      </c>
      <c r="H28" s="442" t="s">
        <v>152</v>
      </c>
      <c r="I28" s="442" t="s">
        <v>25</v>
      </c>
      <c r="J28" s="440">
        <f>J22+J26</f>
        <v>36.599999999999994</v>
      </c>
      <c r="K28" s="440">
        <f t="shared" ref="K28" si="6">K22+K26</f>
        <v>41.795665634674933</v>
      </c>
      <c r="L28" s="610">
        <f>L22+L26</f>
        <v>77.119470857631939</v>
      </c>
      <c r="M28" s="611">
        <f t="shared" ref="M28" si="7">M22+M26</f>
        <v>93.648639799462543</v>
      </c>
      <c r="N28" s="441"/>
      <c r="O28" s="439"/>
    </row>
    <row r="29" spans="1:15" x14ac:dyDescent="0.25">
      <c r="C29" s="396" t="s">
        <v>190</v>
      </c>
      <c r="D29" s="396" t="s">
        <v>26</v>
      </c>
      <c r="E29" s="438" t="s">
        <v>15</v>
      </c>
      <c r="F29" s="396" t="s">
        <v>15</v>
      </c>
      <c r="G29" s="396" t="s">
        <v>15</v>
      </c>
      <c r="H29" s="396" t="s">
        <v>198</v>
      </c>
      <c r="I29" s="396" t="s">
        <v>25</v>
      </c>
      <c r="J29" s="435"/>
      <c r="K29" s="436">
        <f>K28-J28</f>
        <v>5.1956656346749384</v>
      </c>
      <c r="L29" s="612">
        <f>L28-K28</f>
        <v>35.323805222957006</v>
      </c>
      <c r="M29" s="613">
        <f>M28-K28</f>
        <v>51.852974164787611</v>
      </c>
      <c r="N29" s="437"/>
      <c r="O29" s="435"/>
    </row>
    <row r="30" spans="1:15" x14ac:dyDescent="0.25">
      <c r="L30" s="622"/>
      <c r="M30" s="622"/>
    </row>
    <row r="31" spans="1:15" x14ac:dyDescent="0.25">
      <c r="C31" s="8" t="s">
        <v>119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x14ac:dyDescent="0.25">
      <c r="C32" s="1"/>
      <c r="D32" s="1"/>
      <c r="K32" t="str">
        <f>+C89</f>
        <v>Cardom</v>
      </c>
      <c r="L32" s="526">
        <f>+L89*1000</f>
        <v>133.33333333333331</v>
      </c>
    </row>
    <row r="33" spans="3:16" x14ac:dyDescent="0.25">
      <c r="C33" s="1"/>
      <c r="D33" s="1"/>
      <c r="K33" t="str">
        <f>+C87</f>
        <v>Car.gr</v>
      </c>
      <c r="L33" s="526">
        <f>+L87*1000</f>
        <v>1200</v>
      </c>
      <c r="M33" s="526"/>
    </row>
    <row r="34" spans="3:16" outlineLevel="1" x14ac:dyDescent="0.25">
      <c r="C34" s="55" t="s">
        <v>180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</row>
    <row r="35" spans="3:16" outlineLevel="1" x14ac:dyDescent="0.25">
      <c r="C35" s="45" t="s">
        <v>52</v>
      </c>
      <c r="D35" s="45" t="s">
        <v>24</v>
      </c>
      <c r="E35" s="48" t="s">
        <v>0</v>
      </c>
      <c r="F35" s="48" t="s">
        <v>4</v>
      </c>
      <c r="G35" s="48" t="s">
        <v>10</v>
      </c>
      <c r="H35" s="4" t="s">
        <v>45</v>
      </c>
      <c r="I35" s="2" t="s">
        <v>18</v>
      </c>
      <c r="J35" s="4">
        <v>2024</v>
      </c>
      <c r="K35" s="160" t="s">
        <v>3</v>
      </c>
      <c r="L35" s="253">
        <v>2030</v>
      </c>
      <c r="M35" s="160"/>
      <c r="N35" s="160"/>
      <c r="O35" s="7" t="s">
        <v>120</v>
      </c>
    </row>
    <row r="36" spans="3:16" ht="14.4" outlineLevel="1" x14ac:dyDescent="0.3">
      <c r="C36" s="32" t="s">
        <v>50</v>
      </c>
      <c r="D36" s="32" t="s">
        <v>26</v>
      </c>
      <c r="E36" s="32" t="s">
        <v>43</v>
      </c>
      <c r="F36" s="43" t="s">
        <v>6</v>
      </c>
      <c r="G36" s="43" t="s">
        <v>15</v>
      </c>
      <c r="H36" s="32" t="s">
        <v>51</v>
      </c>
      <c r="I36" s="32" t="s">
        <v>47</v>
      </c>
      <c r="J36" s="88">
        <v>135</v>
      </c>
      <c r="K36" s="89">
        <f>J36/$J$36</f>
        <v>1</v>
      </c>
      <c r="L36" s="276">
        <v>180</v>
      </c>
      <c r="M36" s="89"/>
      <c r="N36" s="89"/>
      <c r="O36" s="77"/>
    </row>
    <row r="37" spans="3:16" ht="14.4" outlineLevel="1" x14ac:dyDescent="0.3">
      <c r="C37" s="32" t="s">
        <v>50</v>
      </c>
      <c r="D37" s="32" t="s">
        <v>26</v>
      </c>
      <c r="E37" s="32" t="s">
        <v>43</v>
      </c>
      <c r="F37" s="43" t="s">
        <v>6</v>
      </c>
      <c r="G37" s="43" t="s">
        <v>22</v>
      </c>
      <c r="H37" s="32" t="s">
        <v>51</v>
      </c>
      <c r="I37" s="32" t="s">
        <v>47</v>
      </c>
      <c r="J37" s="49">
        <v>75</v>
      </c>
      <c r="K37" s="89">
        <f>J37/$J$36</f>
        <v>0.55555555555555558</v>
      </c>
      <c r="L37" s="277">
        <f>K37*$L$36</f>
        <v>100</v>
      </c>
      <c r="M37" s="89"/>
      <c r="N37" s="89"/>
      <c r="O37" s="77"/>
    </row>
    <row r="38" spans="3:16" ht="14.4" outlineLevel="1" x14ac:dyDescent="0.3">
      <c r="C38" s="59" t="s">
        <v>50</v>
      </c>
      <c r="D38" s="59" t="s">
        <v>26</v>
      </c>
      <c r="E38" s="59" t="s">
        <v>43</v>
      </c>
      <c r="F38" s="59" t="s">
        <v>6</v>
      </c>
      <c r="G38" s="59" t="s">
        <v>21</v>
      </c>
      <c r="H38" s="59" t="s">
        <v>51</v>
      </c>
      <c r="I38" s="59" t="s">
        <v>47</v>
      </c>
      <c r="J38" s="189">
        <v>60</v>
      </c>
      <c r="K38" s="119">
        <f>J38/$J$36</f>
        <v>0.44444444444444442</v>
      </c>
      <c r="L38" s="278">
        <f>K38*$L$36</f>
        <v>80</v>
      </c>
      <c r="M38" s="119"/>
      <c r="N38" s="119"/>
      <c r="O38" s="184"/>
    </row>
    <row r="39" spans="3:16" ht="14.4" outlineLevel="1" x14ac:dyDescent="0.3">
      <c r="C39" s="185" t="s">
        <v>48</v>
      </c>
      <c r="D39" s="185" t="s">
        <v>26</v>
      </c>
      <c r="E39" s="185" t="s">
        <v>43</v>
      </c>
      <c r="F39" s="185" t="s">
        <v>6</v>
      </c>
      <c r="G39" s="185" t="s">
        <v>22</v>
      </c>
      <c r="H39" s="185" t="s">
        <v>51</v>
      </c>
      <c r="I39" s="185" t="s">
        <v>47</v>
      </c>
      <c r="J39" s="190">
        <v>0.24</v>
      </c>
      <c r="K39" s="187">
        <v>1</v>
      </c>
      <c r="L39" s="279">
        <f>J39*(1+$L$40)^6</f>
        <v>0.42108654129898226</v>
      </c>
      <c r="M39" s="187"/>
      <c r="N39" s="187"/>
      <c r="O39" s="188"/>
    </row>
    <row r="40" spans="3:16" ht="14.4" outlineLevel="1" x14ac:dyDescent="0.3">
      <c r="C40" s="32" t="s">
        <v>48</v>
      </c>
      <c r="D40" s="32" t="s">
        <v>26</v>
      </c>
      <c r="E40" s="32" t="s">
        <v>43</v>
      </c>
      <c r="F40" s="43" t="s">
        <v>6</v>
      </c>
      <c r="G40" s="43" t="s">
        <v>15</v>
      </c>
      <c r="H40" s="32" t="s">
        <v>53</v>
      </c>
      <c r="I40" s="32" t="s">
        <v>3</v>
      </c>
      <c r="J40" s="52"/>
      <c r="K40" s="247"/>
      <c r="L40" s="256">
        <f>_xlfn.RRI(L35-J35,J36,L36)*2</f>
        <v>9.823012684329635E-2</v>
      </c>
      <c r="M40" s="139"/>
      <c r="N40" s="139"/>
      <c r="O40" s="248" t="s">
        <v>175</v>
      </c>
    </row>
    <row r="41" spans="3:16" outlineLevel="1" x14ac:dyDescent="0.25">
      <c r="P41" s="62"/>
    </row>
    <row r="42" spans="3:16" outlineLevel="1" x14ac:dyDescent="0.25">
      <c r="C42" s="55" t="s">
        <v>181</v>
      </c>
      <c r="D42" s="47"/>
      <c r="E42" s="47"/>
      <c r="F42" s="47"/>
      <c r="G42" s="47"/>
      <c r="H42" s="47"/>
      <c r="I42" s="47"/>
      <c r="J42" s="47"/>
      <c r="K42" s="47"/>
      <c r="L42" s="170"/>
      <c r="M42" s="170"/>
      <c r="N42" s="170"/>
      <c r="O42" s="170"/>
    </row>
    <row r="43" spans="3:16" outlineLevel="1" x14ac:dyDescent="0.25"/>
    <row r="44" spans="3:16" outlineLevel="1" x14ac:dyDescent="0.25">
      <c r="C44" s="45" t="s">
        <v>52</v>
      </c>
      <c r="D44" s="45" t="s">
        <v>24</v>
      </c>
      <c r="E44" s="48" t="s">
        <v>0</v>
      </c>
      <c r="F44" s="48" t="s">
        <v>4</v>
      </c>
      <c r="G44" s="48" t="s">
        <v>10</v>
      </c>
      <c r="H44" s="4" t="s">
        <v>45</v>
      </c>
      <c r="I44" s="2" t="s">
        <v>18</v>
      </c>
      <c r="J44" s="4">
        <v>2024</v>
      </c>
      <c r="K44" s="160" t="s">
        <v>3</v>
      </c>
      <c r="L44" s="253">
        <v>2030</v>
      </c>
      <c r="M44" s="160"/>
      <c r="N44" s="160"/>
      <c r="O44" s="7" t="s">
        <v>120</v>
      </c>
    </row>
    <row r="45" spans="3:16" ht="14.4" outlineLevel="1" x14ac:dyDescent="0.3">
      <c r="C45" s="32" t="s">
        <v>50</v>
      </c>
      <c r="D45" s="32" t="s">
        <v>26</v>
      </c>
      <c r="E45" s="32" t="s">
        <v>43</v>
      </c>
      <c r="F45" s="43" t="s">
        <v>6</v>
      </c>
      <c r="G45" s="43" t="s">
        <v>15</v>
      </c>
      <c r="H45" s="32" t="s">
        <v>51</v>
      </c>
      <c r="I45" s="32" t="s">
        <v>47</v>
      </c>
      <c r="J45" s="78">
        <f>J36</f>
        <v>135</v>
      </c>
      <c r="K45" s="89">
        <f>J45/$J$45</f>
        <v>1</v>
      </c>
      <c r="L45" s="265">
        <f>L36</f>
        <v>180</v>
      </c>
      <c r="M45" s="89"/>
      <c r="N45" s="89"/>
      <c r="O45" s="10" t="s">
        <v>176</v>
      </c>
    </row>
    <row r="46" spans="3:16" ht="14.4" outlineLevel="1" x14ac:dyDescent="0.3">
      <c r="C46" s="32" t="s">
        <v>50</v>
      </c>
      <c r="D46" s="32" t="s">
        <v>26</v>
      </c>
      <c r="E46" s="32" t="s">
        <v>43</v>
      </c>
      <c r="F46" s="43" t="s">
        <v>6</v>
      </c>
      <c r="G46" s="43" t="s">
        <v>22</v>
      </c>
      <c r="H46" s="32" t="s">
        <v>51</v>
      </c>
      <c r="I46" s="32" t="s">
        <v>47</v>
      </c>
      <c r="J46" s="78">
        <f>J37</f>
        <v>75</v>
      </c>
      <c r="K46" s="89">
        <f t="shared" ref="K46:K47" si="8">J46/$J$45</f>
        <v>0.55555555555555558</v>
      </c>
      <c r="L46" s="265">
        <f>L37</f>
        <v>100</v>
      </c>
      <c r="M46" s="89"/>
      <c r="N46" s="89"/>
      <c r="O46" s="77" t="s">
        <v>176</v>
      </c>
    </row>
    <row r="47" spans="3:16" ht="14.4" outlineLevel="1" x14ac:dyDescent="0.3">
      <c r="C47" s="59" t="s">
        <v>50</v>
      </c>
      <c r="D47" s="59" t="s">
        <v>26</v>
      </c>
      <c r="E47" s="59" t="s">
        <v>43</v>
      </c>
      <c r="F47" s="59" t="s">
        <v>6</v>
      </c>
      <c r="G47" s="59" t="s">
        <v>22</v>
      </c>
      <c r="H47" s="59" t="s">
        <v>51</v>
      </c>
      <c r="I47" s="59" t="s">
        <v>47</v>
      </c>
      <c r="J47" s="183">
        <f>J38</f>
        <v>60</v>
      </c>
      <c r="K47" s="119">
        <f t="shared" si="8"/>
        <v>0.44444444444444442</v>
      </c>
      <c r="L47" s="266">
        <f>L38</f>
        <v>80</v>
      </c>
      <c r="M47" s="119"/>
      <c r="N47" s="119"/>
      <c r="O47" s="184" t="s">
        <v>176</v>
      </c>
    </row>
    <row r="48" spans="3:16" ht="14.4" outlineLevel="1" x14ac:dyDescent="0.3">
      <c r="C48" s="185" t="s">
        <v>48</v>
      </c>
      <c r="D48" s="185" t="s">
        <v>26</v>
      </c>
      <c r="E48" s="185" t="s">
        <v>43</v>
      </c>
      <c r="F48" s="185" t="s">
        <v>6</v>
      </c>
      <c r="G48" s="185" t="s">
        <v>15</v>
      </c>
      <c r="H48" s="185" t="s">
        <v>51</v>
      </c>
      <c r="I48" s="185" t="s">
        <v>47</v>
      </c>
      <c r="J48" s="186">
        <f>$D$51*J39</f>
        <v>1.44</v>
      </c>
      <c r="K48" s="187">
        <v>1</v>
      </c>
      <c r="L48" s="280">
        <f>$D$51*L39</f>
        <v>2.5265192477938934</v>
      </c>
      <c r="M48" s="187"/>
      <c r="N48" s="187"/>
      <c r="O48" s="188"/>
    </row>
    <row r="49" spans="3:20" outlineLevel="1" x14ac:dyDescent="0.25">
      <c r="C49" s="126" t="s">
        <v>15</v>
      </c>
      <c r="D49" s="126" t="s">
        <v>26</v>
      </c>
      <c r="E49" s="162" t="s">
        <v>43</v>
      </c>
      <c r="F49" s="162" t="s">
        <v>6</v>
      </c>
      <c r="G49" s="162" t="s">
        <v>15</v>
      </c>
      <c r="H49" s="162" t="s">
        <v>51</v>
      </c>
      <c r="I49" s="162" t="s">
        <v>56</v>
      </c>
      <c r="J49" s="165">
        <f>SUM(J46:J48)</f>
        <v>136.44</v>
      </c>
      <c r="K49" s="159"/>
      <c r="L49" s="281">
        <f>SUM(L46:L48)</f>
        <v>182.52651924779389</v>
      </c>
      <c r="M49" s="159"/>
      <c r="N49" s="155"/>
      <c r="O49" s="163"/>
    </row>
    <row r="50" spans="3:20" outlineLevel="1" x14ac:dyDescent="0.25">
      <c r="C50" s="166"/>
      <c r="D50" s="138"/>
      <c r="E50" s="6"/>
      <c r="F50" s="6"/>
      <c r="G50" s="6"/>
      <c r="H50" s="6"/>
      <c r="I50" s="6"/>
      <c r="J50" s="167"/>
      <c r="L50" s="167"/>
    </row>
    <row r="51" spans="3:20" outlineLevel="1" x14ac:dyDescent="0.25">
      <c r="C51" s="168" t="s">
        <v>177</v>
      </c>
      <c r="D51" s="169">
        <f>360/60</f>
        <v>6</v>
      </c>
      <c r="E51" s="247" t="s">
        <v>178</v>
      </c>
      <c r="J51" s="79"/>
      <c r="L51" s="79"/>
    </row>
    <row r="52" spans="3:20" outlineLevel="1" x14ac:dyDescent="0.25">
      <c r="J52" s="79"/>
      <c r="L52" s="79"/>
    </row>
    <row r="53" spans="3:20" outlineLevel="1" x14ac:dyDescent="0.25">
      <c r="J53" s="79"/>
      <c r="L53" s="79"/>
    </row>
    <row r="54" spans="3:20" outlineLevel="1" x14ac:dyDescent="0.25">
      <c r="C54" s="90" t="s">
        <v>122</v>
      </c>
      <c r="D54" s="90"/>
      <c r="E54" s="90"/>
      <c r="F54" s="90"/>
      <c r="G54" s="90"/>
      <c r="H54" s="90"/>
      <c r="I54" s="90"/>
      <c r="J54" s="91"/>
      <c r="K54" s="129"/>
      <c r="L54" s="129"/>
      <c r="M54" s="129"/>
      <c r="N54" s="129"/>
      <c r="O54" s="129"/>
      <c r="S54" s="80"/>
      <c r="T54" s="80"/>
    </row>
    <row r="55" spans="3:20" outlineLevel="1" x14ac:dyDescent="0.25">
      <c r="C55" s="45" t="s">
        <v>52</v>
      </c>
      <c r="D55" s="45" t="s">
        <v>24</v>
      </c>
      <c r="E55" s="48" t="s">
        <v>0</v>
      </c>
      <c r="F55" s="48" t="s">
        <v>4</v>
      </c>
      <c r="G55" s="48" t="s">
        <v>10</v>
      </c>
      <c r="H55" s="4" t="s">
        <v>45</v>
      </c>
      <c r="I55" s="2" t="s">
        <v>18</v>
      </c>
      <c r="J55" s="4">
        <v>2024</v>
      </c>
      <c r="K55" s="4"/>
      <c r="L55" s="253">
        <v>2030</v>
      </c>
      <c r="M55" s="4"/>
      <c r="N55" s="4"/>
      <c r="O55" s="7" t="s">
        <v>120</v>
      </c>
    </row>
    <row r="56" spans="3:20" outlineLevel="1" x14ac:dyDescent="0.25">
      <c r="C56" s="141"/>
      <c r="D56" s="141"/>
      <c r="E56" s="142"/>
      <c r="F56" s="142"/>
      <c r="G56" s="142"/>
      <c r="H56" s="141"/>
      <c r="I56" s="141"/>
      <c r="J56" s="141"/>
      <c r="K56" s="141"/>
      <c r="L56" s="253"/>
      <c r="M56" s="141"/>
      <c r="N56" s="141"/>
      <c r="O56" s="7"/>
    </row>
    <row r="57" spans="3:20" outlineLevel="2" x14ac:dyDescent="0.25">
      <c r="C57" s="32" t="s">
        <v>50</v>
      </c>
      <c r="D57" s="32" t="s">
        <v>26</v>
      </c>
      <c r="E57" s="92"/>
      <c r="F57" s="86" t="s">
        <v>6</v>
      </c>
      <c r="G57" s="86" t="s">
        <v>15</v>
      </c>
      <c r="H57" s="92" t="s">
        <v>91</v>
      </c>
      <c r="I57" s="92" t="s">
        <v>25</v>
      </c>
      <c r="J57" s="97">
        <f>50%*1.5*12</f>
        <v>9</v>
      </c>
      <c r="K57" s="97"/>
      <c r="L57" s="265"/>
      <c r="M57" s="96"/>
      <c r="N57" s="96"/>
      <c r="O57" s="130"/>
    </row>
    <row r="58" spans="3:20" outlineLevel="2" x14ac:dyDescent="0.25">
      <c r="C58" s="59" t="s">
        <v>50</v>
      </c>
      <c r="D58" s="59" t="s">
        <v>26</v>
      </c>
      <c r="E58" s="59"/>
      <c r="F58" s="59" t="s">
        <v>6</v>
      </c>
      <c r="G58" s="59" t="s">
        <v>15</v>
      </c>
      <c r="H58" s="59" t="s">
        <v>92</v>
      </c>
      <c r="I58" s="59" t="s">
        <v>44</v>
      </c>
      <c r="J58" s="182">
        <v>5000</v>
      </c>
      <c r="K58" s="182"/>
      <c r="L58" s="266"/>
      <c r="M58" s="183"/>
      <c r="N58" s="183"/>
      <c r="O58" s="119"/>
    </row>
    <row r="59" spans="3:20" outlineLevel="1" x14ac:dyDescent="0.25">
      <c r="C59" s="82" t="s">
        <v>50</v>
      </c>
      <c r="D59" s="82" t="s">
        <v>26</v>
      </c>
      <c r="E59" s="82"/>
      <c r="F59" s="82" t="s">
        <v>6</v>
      </c>
      <c r="G59" s="82" t="s">
        <v>15</v>
      </c>
      <c r="H59" s="82" t="s">
        <v>86</v>
      </c>
      <c r="I59" s="82" t="s">
        <v>47</v>
      </c>
      <c r="J59" s="180">
        <v>2</v>
      </c>
      <c r="K59" s="180"/>
      <c r="L59" s="267">
        <f>SUM(L63:L64)</f>
        <v>6.4</v>
      </c>
      <c r="M59" s="181"/>
      <c r="N59" s="181"/>
      <c r="O59" s="118"/>
    </row>
    <row r="60" spans="3:20" outlineLevel="1" x14ac:dyDescent="0.25">
      <c r="C60" s="59" t="s">
        <v>50</v>
      </c>
      <c r="D60" s="59" t="s">
        <v>26</v>
      </c>
      <c r="E60" s="59"/>
      <c r="F60" s="59" t="s">
        <v>6</v>
      </c>
      <c r="G60" s="59" t="s">
        <v>15</v>
      </c>
      <c r="H60" s="59" t="s">
        <v>125</v>
      </c>
      <c r="I60" s="59" t="s">
        <v>3</v>
      </c>
      <c r="J60" s="171">
        <f>J59/(J45)</f>
        <v>1.4814814814814815E-2</v>
      </c>
      <c r="K60" s="171"/>
      <c r="L60" s="268">
        <f>L61*M46+M47*L62</f>
        <v>0</v>
      </c>
      <c r="M60" s="172"/>
      <c r="N60" s="172"/>
      <c r="O60" s="119"/>
    </row>
    <row r="61" spans="3:20" ht="14.4" outlineLevel="1" x14ac:dyDescent="0.3">
      <c r="C61" s="82" t="s">
        <v>50</v>
      </c>
      <c r="D61" s="82" t="s">
        <v>26</v>
      </c>
      <c r="E61" s="82"/>
      <c r="F61" s="82" t="s">
        <v>6</v>
      </c>
      <c r="G61" s="82" t="s">
        <v>22</v>
      </c>
      <c r="H61" s="82" t="s">
        <v>126</v>
      </c>
      <c r="I61" s="82" t="s">
        <v>3</v>
      </c>
      <c r="J61" s="50"/>
      <c r="K61" s="50"/>
      <c r="L61" s="269">
        <v>0.04</v>
      </c>
      <c r="M61" s="174"/>
      <c r="N61" s="174"/>
      <c r="O61" s="249" t="s">
        <v>124</v>
      </c>
    </row>
    <row r="62" spans="3:20" ht="14.4" outlineLevel="1" x14ac:dyDescent="0.3">
      <c r="C62" s="32" t="s">
        <v>50</v>
      </c>
      <c r="D62" s="32" t="s">
        <v>26</v>
      </c>
      <c r="E62" s="94"/>
      <c r="F62" s="86" t="s">
        <v>6</v>
      </c>
      <c r="G62" s="94" t="s">
        <v>21</v>
      </c>
      <c r="H62" s="94" t="s">
        <v>84</v>
      </c>
      <c r="I62" s="94" t="s">
        <v>3</v>
      </c>
      <c r="L62" s="270">
        <v>0.03</v>
      </c>
      <c r="M62" s="95"/>
      <c r="N62" s="95"/>
      <c r="O62" s="250" t="s">
        <v>179</v>
      </c>
    </row>
    <row r="63" spans="3:20" outlineLevel="1" x14ac:dyDescent="0.25">
      <c r="C63" s="32" t="s">
        <v>50</v>
      </c>
      <c r="D63" s="32" t="s">
        <v>26</v>
      </c>
      <c r="E63" s="32" t="s">
        <v>2</v>
      </c>
      <c r="F63" s="86" t="s">
        <v>6</v>
      </c>
      <c r="G63" s="43" t="s">
        <v>22</v>
      </c>
      <c r="H63" s="86" t="s">
        <v>86</v>
      </c>
      <c r="I63" s="92" t="s">
        <v>85</v>
      </c>
      <c r="J63" s="98">
        <f>J59*K37</f>
        <v>1.1111111111111112</v>
      </c>
      <c r="K63" s="98"/>
      <c r="L63" s="271">
        <f>L46*L61</f>
        <v>4</v>
      </c>
      <c r="M63" s="104"/>
      <c r="N63" s="104"/>
      <c r="O63" s="130"/>
    </row>
    <row r="64" spans="3:20" outlineLevel="1" x14ac:dyDescent="0.25">
      <c r="C64" s="59" t="s">
        <v>50</v>
      </c>
      <c r="D64" s="59" t="s">
        <v>26</v>
      </c>
      <c r="E64" s="59" t="s">
        <v>12</v>
      </c>
      <c r="F64" s="59"/>
      <c r="G64" s="59" t="s">
        <v>21</v>
      </c>
      <c r="H64" s="59" t="s">
        <v>86</v>
      </c>
      <c r="I64" s="59" t="s">
        <v>85</v>
      </c>
      <c r="J64" s="178">
        <f>J59*K38</f>
        <v>0.88888888888888884</v>
      </c>
      <c r="K64" s="178"/>
      <c r="L64" s="272">
        <f>L47*L62</f>
        <v>2.4</v>
      </c>
      <c r="M64" s="179"/>
      <c r="N64" s="179"/>
      <c r="O64" s="119"/>
    </row>
    <row r="65" spans="3:15" outlineLevel="1" x14ac:dyDescent="0.25">
      <c r="C65" s="82" t="s">
        <v>50</v>
      </c>
      <c r="D65" s="82" t="s">
        <v>26</v>
      </c>
      <c r="E65" s="82" t="s">
        <v>2</v>
      </c>
      <c r="F65" s="82" t="s">
        <v>6</v>
      </c>
      <c r="G65" s="82" t="s">
        <v>22</v>
      </c>
      <c r="H65" s="82" t="s">
        <v>8</v>
      </c>
      <c r="I65" s="82" t="s">
        <v>25</v>
      </c>
      <c r="J65" s="177">
        <f>J63*'2030 RAR per Car'!D16/1000</f>
        <v>1.5153086419753083</v>
      </c>
      <c r="K65" s="177"/>
      <c r="L65" s="273">
        <f>L63*'2030 RAR per Car'!K16/1000</f>
        <v>6.3262564511755599</v>
      </c>
      <c r="M65" s="177"/>
      <c r="N65" s="177"/>
      <c r="O65" s="118"/>
    </row>
    <row r="66" spans="3:15" outlineLevel="1" x14ac:dyDescent="0.25">
      <c r="C66" s="32" t="s">
        <v>50</v>
      </c>
      <c r="D66" s="32" t="s">
        <v>26</v>
      </c>
      <c r="E66" s="32" t="s">
        <v>12</v>
      </c>
      <c r="F66" s="86" t="s">
        <v>6</v>
      </c>
      <c r="G66" s="86" t="s">
        <v>21</v>
      </c>
      <c r="H66" s="86" t="s">
        <v>8</v>
      </c>
      <c r="I66" s="86" t="s">
        <v>25</v>
      </c>
      <c r="J66" s="99">
        <f>J64*'2030 RAR per Car'!D17/1000</f>
        <v>0.63802469135802453</v>
      </c>
      <c r="K66" s="99"/>
      <c r="L66" s="274">
        <f>L64*'2030 RAR per Car'!K17/1000</f>
        <v>1.9977651951080715</v>
      </c>
      <c r="M66" s="99"/>
      <c r="N66" s="99"/>
      <c r="O66" s="130"/>
    </row>
    <row r="67" spans="3:15" outlineLevel="1" x14ac:dyDescent="0.25">
      <c r="C67" s="164" t="s">
        <v>50</v>
      </c>
      <c r="D67" s="164" t="s">
        <v>26</v>
      </c>
      <c r="E67" s="125" t="s">
        <v>43</v>
      </c>
      <c r="F67" s="125" t="s">
        <v>6</v>
      </c>
      <c r="G67" s="125" t="s">
        <v>15</v>
      </c>
      <c r="H67" s="125" t="s">
        <v>8</v>
      </c>
      <c r="I67" s="125" t="s">
        <v>25</v>
      </c>
      <c r="J67" s="175">
        <f>SUM(J65:J66)</f>
        <v>2.1533333333333329</v>
      </c>
      <c r="K67" s="175"/>
      <c r="L67" s="275">
        <f>SUM(L65:L66)</f>
        <v>8.3240216462836312</v>
      </c>
      <c r="M67" s="175"/>
      <c r="N67" s="175"/>
      <c r="O67" s="176"/>
    </row>
    <row r="68" spans="3:15" x14ac:dyDescent="0.25">
      <c r="K68" t="str">
        <f>+C88</f>
        <v>Car.gr</v>
      </c>
      <c r="L68" s="526">
        <f>+L88*1000</f>
        <v>720</v>
      </c>
      <c r="M68" s="526"/>
    </row>
    <row r="70" spans="3:15" x14ac:dyDescent="0.25">
      <c r="C70" s="134" t="s">
        <v>123</v>
      </c>
      <c r="D70" s="134"/>
      <c r="E70" s="134"/>
      <c r="F70" s="134"/>
      <c r="G70" s="134"/>
      <c r="H70" s="134"/>
      <c r="I70" s="134"/>
      <c r="J70" s="135"/>
      <c r="K70" s="135"/>
      <c r="L70" s="135"/>
      <c r="M70" s="136"/>
      <c r="N70" s="251"/>
      <c r="O70" s="252"/>
    </row>
    <row r="71" spans="3:15" x14ac:dyDescent="0.25">
      <c r="C71" s="45" t="s">
        <v>52</v>
      </c>
      <c r="D71" s="45" t="s">
        <v>24</v>
      </c>
      <c r="E71" s="48" t="s">
        <v>0</v>
      </c>
      <c r="F71" s="48" t="s">
        <v>4</v>
      </c>
      <c r="G71" s="48" t="s">
        <v>10</v>
      </c>
      <c r="H71" s="4" t="s">
        <v>45</v>
      </c>
      <c r="I71" s="2" t="s">
        <v>18</v>
      </c>
      <c r="J71" s="4">
        <v>2024</v>
      </c>
      <c r="K71" s="4"/>
      <c r="L71" s="674">
        <v>2030</v>
      </c>
      <c r="M71" s="675"/>
      <c r="N71" s="4"/>
      <c r="O71" s="7" t="s">
        <v>120</v>
      </c>
    </row>
    <row r="72" spans="3:15" x14ac:dyDescent="0.25">
      <c r="C72" s="141"/>
      <c r="D72" s="141"/>
      <c r="E72" s="142"/>
      <c r="F72" s="142"/>
      <c r="G72" s="142"/>
      <c r="H72" s="141"/>
      <c r="I72" s="141"/>
      <c r="J72" s="141"/>
      <c r="K72" s="141"/>
      <c r="L72" s="253" t="s">
        <v>117</v>
      </c>
      <c r="M72" s="207" t="s">
        <v>118</v>
      </c>
      <c r="N72" s="141"/>
      <c r="O72" s="143"/>
    </row>
    <row r="73" spans="3:15" ht="14.4" x14ac:dyDescent="0.3">
      <c r="C73" s="92" t="s">
        <v>50</v>
      </c>
      <c r="D73" s="92" t="s">
        <v>26</v>
      </c>
      <c r="E73" s="94" t="s">
        <v>2</v>
      </c>
      <c r="F73" s="92" t="s">
        <v>6</v>
      </c>
      <c r="G73" s="92" t="s">
        <v>22</v>
      </c>
      <c r="H73" s="92" t="s">
        <v>23</v>
      </c>
      <c r="I73" s="92" t="s">
        <v>3</v>
      </c>
      <c r="J73" s="100">
        <v>1</v>
      </c>
      <c r="K73" s="100"/>
      <c r="L73" s="254">
        <v>0.9</v>
      </c>
      <c r="M73" s="255">
        <f>L73</f>
        <v>0.9</v>
      </c>
      <c r="N73" s="100"/>
      <c r="O73" s="158" t="s">
        <v>128</v>
      </c>
    </row>
    <row r="74" spans="3:15" ht="14.4" x14ac:dyDescent="0.3">
      <c r="C74" s="86" t="s">
        <v>48</v>
      </c>
      <c r="D74" s="86" t="s">
        <v>26</v>
      </c>
      <c r="E74" s="94" t="s">
        <v>2</v>
      </c>
      <c r="F74" s="86" t="s">
        <v>6</v>
      </c>
      <c r="G74" s="86" t="s">
        <v>22</v>
      </c>
      <c r="H74" s="86" t="s">
        <v>23</v>
      </c>
      <c r="I74" s="92" t="s">
        <v>3</v>
      </c>
      <c r="J74" s="89">
        <f t="shared" ref="J74" si="9">1-J73</f>
        <v>0</v>
      </c>
      <c r="K74" s="89"/>
      <c r="L74" s="256">
        <f>1-L73</f>
        <v>9.9999999999999978E-2</v>
      </c>
      <c r="M74" s="257">
        <f t="shared" ref="M74:M75" si="10">L74</f>
        <v>9.9999999999999978E-2</v>
      </c>
      <c r="N74" s="89"/>
      <c r="O74" s="158"/>
    </row>
    <row r="75" spans="3:15" x14ac:dyDescent="0.25">
      <c r="C75" s="59" t="s">
        <v>50</v>
      </c>
      <c r="D75" s="59" t="s">
        <v>26</v>
      </c>
      <c r="E75" s="59" t="s">
        <v>12</v>
      </c>
      <c r="F75" s="59" t="s">
        <v>6</v>
      </c>
      <c r="G75" s="59" t="s">
        <v>21</v>
      </c>
      <c r="H75" s="59" t="s">
        <v>23</v>
      </c>
      <c r="I75" s="59" t="s">
        <v>3</v>
      </c>
      <c r="J75" s="173">
        <v>1</v>
      </c>
      <c r="K75" s="173"/>
      <c r="L75" s="258">
        <v>1</v>
      </c>
      <c r="M75" s="173">
        <f t="shared" si="10"/>
        <v>1</v>
      </c>
      <c r="N75" s="173"/>
      <c r="O75" s="59"/>
    </row>
    <row r="76" spans="3:15" x14ac:dyDescent="0.25">
      <c r="C76" s="191" t="s">
        <v>93</v>
      </c>
      <c r="D76" s="191" t="s">
        <v>26</v>
      </c>
      <c r="E76" s="191" t="s">
        <v>2</v>
      </c>
      <c r="F76" s="191" t="s">
        <v>6</v>
      </c>
      <c r="G76" s="191" t="s">
        <v>22</v>
      </c>
      <c r="H76" s="191" t="s">
        <v>8</v>
      </c>
      <c r="I76" s="191" t="s">
        <v>25</v>
      </c>
      <c r="J76" s="192">
        <f>J65/J73</f>
        <v>1.5153086419753083</v>
      </c>
      <c r="K76" s="192"/>
      <c r="L76" s="259">
        <f>L65/L73</f>
        <v>7.0291738346395105</v>
      </c>
      <c r="M76" s="192">
        <f>L65/M73</f>
        <v>7.0291738346395105</v>
      </c>
      <c r="N76" s="192"/>
      <c r="O76" s="82"/>
    </row>
    <row r="77" spans="3:15" x14ac:dyDescent="0.25">
      <c r="C77" s="127" t="s">
        <v>93</v>
      </c>
      <c r="D77" s="127" t="s">
        <v>26</v>
      </c>
      <c r="E77" s="427" t="s">
        <v>12</v>
      </c>
      <c r="F77" s="127" t="s">
        <v>6</v>
      </c>
      <c r="G77" s="127" t="s">
        <v>21</v>
      </c>
      <c r="H77" s="127" t="s">
        <v>8</v>
      </c>
      <c r="I77" s="127" t="s">
        <v>25</v>
      </c>
      <c r="J77" s="128">
        <f>J66</f>
        <v>0.63802469135802453</v>
      </c>
      <c r="K77" s="128"/>
      <c r="L77" s="260">
        <f>L66</f>
        <v>1.9977651951080715</v>
      </c>
      <c r="M77" s="261">
        <f>L66</f>
        <v>1.9977651951080715</v>
      </c>
      <c r="N77" s="128"/>
      <c r="O77" s="139"/>
    </row>
    <row r="78" spans="3:15" x14ac:dyDescent="0.25">
      <c r="C78" s="58" t="s">
        <v>93</v>
      </c>
      <c r="D78" s="58" t="s">
        <v>26</v>
      </c>
      <c r="E78" s="58" t="s">
        <v>43</v>
      </c>
      <c r="F78" s="58" t="s">
        <v>6</v>
      </c>
      <c r="G78" s="58" t="s">
        <v>15</v>
      </c>
      <c r="H78" s="58" t="s">
        <v>8</v>
      </c>
      <c r="I78" s="58" t="s">
        <v>25</v>
      </c>
      <c r="J78" s="193">
        <f>J67/J73</f>
        <v>2.1533333333333329</v>
      </c>
      <c r="K78" s="193"/>
      <c r="L78" s="262">
        <f>SUM(L76:L77)</f>
        <v>9.0269390297475827</v>
      </c>
      <c r="M78" s="193">
        <f>SUM(M76:M77)</f>
        <v>9.0269390297475827</v>
      </c>
      <c r="N78" s="193"/>
      <c r="O78" s="59"/>
    </row>
    <row r="79" spans="3:15" x14ac:dyDescent="0.25">
      <c r="C79" s="82" t="s">
        <v>50</v>
      </c>
      <c r="D79" s="82" t="s">
        <v>26</v>
      </c>
      <c r="E79" s="82" t="s">
        <v>2</v>
      </c>
      <c r="F79" s="82" t="s">
        <v>6</v>
      </c>
      <c r="G79" s="82" t="s">
        <v>22</v>
      </c>
      <c r="H79" s="82" t="s">
        <v>127</v>
      </c>
      <c r="I79" s="82" t="s">
        <v>3</v>
      </c>
      <c r="J79" s="50">
        <v>0</v>
      </c>
      <c r="K79" s="50"/>
      <c r="L79" s="263">
        <v>0.3</v>
      </c>
      <c r="M79" s="51">
        <v>0.4</v>
      </c>
      <c r="N79" s="50"/>
      <c r="O79" s="82"/>
    </row>
    <row r="80" spans="3:15" x14ac:dyDescent="0.25">
      <c r="C80" s="92" t="s">
        <v>50</v>
      </c>
      <c r="D80" s="32" t="s">
        <v>26</v>
      </c>
      <c r="E80" s="32" t="s">
        <v>12</v>
      </c>
      <c r="F80" s="94" t="s">
        <v>6</v>
      </c>
      <c r="G80" s="92" t="s">
        <v>21</v>
      </c>
      <c r="H80" s="92" t="s">
        <v>127</v>
      </c>
      <c r="I80" s="92" t="s">
        <v>3</v>
      </c>
      <c r="J80" s="103">
        <v>0</v>
      </c>
      <c r="K80" s="103"/>
      <c r="L80" s="254">
        <v>0.3</v>
      </c>
      <c r="M80" s="255">
        <v>0.35</v>
      </c>
      <c r="N80" s="103"/>
      <c r="O80" s="139"/>
    </row>
    <row r="81" spans="1:15" x14ac:dyDescent="0.25">
      <c r="C81" s="59" t="s">
        <v>48</v>
      </c>
      <c r="D81" s="59" t="s">
        <v>26</v>
      </c>
      <c r="E81" s="59" t="s">
        <v>2</v>
      </c>
      <c r="F81" s="59" t="s">
        <v>6</v>
      </c>
      <c r="G81" s="59" t="s">
        <v>22</v>
      </c>
      <c r="H81" s="59" t="s">
        <v>127</v>
      </c>
      <c r="I81" s="59" t="s">
        <v>3</v>
      </c>
      <c r="J81" s="194">
        <v>0</v>
      </c>
      <c r="K81" s="194"/>
      <c r="L81" s="264">
        <v>0.3</v>
      </c>
      <c r="M81" s="195">
        <v>0.4</v>
      </c>
      <c r="N81" s="194"/>
      <c r="O81" s="59"/>
    </row>
    <row r="82" spans="1:15" x14ac:dyDescent="0.25">
      <c r="A82" s="113" t="s">
        <v>224</v>
      </c>
      <c r="C82" s="191" t="s">
        <v>50</v>
      </c>
      <c r="D82" s="191" t="s">
        <v>26</v>
      </c>
      <c r="E82" s="191" t="s">
        <v>2</v>
      </c>
      <c r="F82" s="191" t="s">
        <v>6</v>
      </c>
      <c r="G82" s="191" t="s">
        <v>22</v>
      </c>
      <c r="H82" s="191" t="s">
        <v>8</v>
      </c>
      <c r="I82" s="191" t="s">
        <v>25</v>
      </c>
      <c r="J82" s="192">
        <f>J79*$J$78</f>
        <v>0</v>
      </c>
      <c r="K82" s="192"/>
      <c r="L82" s="259">
        <f>L79*L$65</f>
        <v>1.8978769353526679</v>
      </c>
      <c r="M82" s="192">
        <f>M79*$L$65</f>
        <v>2.5305025804702241</v>
      </c>
      <c r="N82" s="192"/>
      <c r="O82" s="82"/>
    </row>
    <row r="83" spans="1:15" x14ac:dyDescent="0.25">
      <c r="A83" s="113" t="s">
        <v>224</v>
      </c>
      <c r="C83" s="131" t="s">
        <v>50</v>
      </c>
      <c r="D83" s="93" t="s">
        <v>26</v>
      </c>
      <c r="E83" s="427" t="s">
        <v>12</v>
      </c>
      <c r="F83" s="93" t="s">
        <v>6</v>
      </c>
      <c r="G83" s="93" t="s">
        <v>21</v>
      </c>
      <c r="H83" s="132" t="s">
        <v>8</v>
      </c>
      <c r="I83" s="132" t="s">
        <v>25</v>
      </c>
      <c r="J83" s="133">
        <f t="shared" ref="J83" si="11">J80*$J$78</f>
        <v>0</v>
      </c>
      <c r="K83" s="133"/>
      <c r="L83" s="260">
        <f>L80*L$66</f>
        <v>0.59932955853242142</v>
      </c>
      <c r="M83" s="261">
        <f>M80*$L$66</f>
        <v>0.69921781828782503</v>
      </c>
      <c r="N83" s="133"/>
      <c r="O83" s="139"/>
    </row>
    <row r="84" spans="1:15" x14ac:dyDescent="0.25">
      <c r="A84" s="113" t="s">
        <v>224</v>
      </c>
      <c r="C84" s="132" t="s">
        <v>48</v>
      </c>
      <c r="D84" s="93" t="s">
        <v>26</v>
      </c>
      <c r="E84" s="93" t="s">
        <v>2</v>
      </c>
      <c r="F84" s="93" t="s">
        <v>6</v>
      </c>
      <c r="G84" s="93" t="s">
        <v>22</v>
      </c>
      <c r="H84" s="132" t="s">
        <v>8</v>
      </c>
      <c r="I84" s="132" t="s">
        <v>25</v>
      </c>
      <c r="J84" s="133">
        <f t="shared" ref="J84" si="12">J81*$J$78</f>
        <v>0</v>
      </c>
      <c r="K84" s="133"/>
      <c r="L84" s="260">
        <f>L81*L$76*L74</f>
        <v>0.21087521503918527</v>
      </c>
      <c r="M84" s="261">
        <f>M81*$L$76*L74</f>
        <v>0.28116695338558034</v>
      </c>
      <c r="N84" s="133"/>
      <c r="O84" s="139"/>
    </row>
    <row r="85" spans="1:15" x14ac:dyDescent="0.25">
      <c r="C85" s="306" t="s">
        <v>15</v>
      </c>
      <c r="D85" s="306" t="s">
        <v>26</v>
      </c>
      <c r="E85" s="306" t="s">
        <v>43</v>
      </c>
      <c r="F85" s="306" t="s">
        <v>6</v>
      </c>
      <c r="G85" s="306" t="s">
        <v>15</v>
      </c>
      <c r="H85" s="306" t="s">
        <v>8</v>
      </c>
      <c r="I85" s="306" t="s">
        <v>25</v>
      </c>
      <c r="J85" s="307">
        <f>SUM(J82:J84)</f>
        <v>0</v>
      </c>
      <c r="K85" s="307"/>
      <c r="L85" s="388">
        <f>ROUND(SUM(L82:L84),0)</f>
        <v>3</v>
      </c>
      <c r="M85" s="307">
        <f>ROUND(SUM(M82:M84),0)</f>
        <v>4</v>
      </c>
      <c r="N85" s="307"/>
      <c r="O85" s="306"/>
    </row>
    <row r="86" spans="1:15" x14ac:dyDescent="0.25">
      <c r="C86" s="162" t="s">
        <v>184</v>
      </c>
      <c r="D86" s="162" t="s">
        <v>26</v>
      </c>
      <c r="E86" s="162" t="s">
        <v>182</v>
      </c>
      <c r="F86" s="162" t="s">
        <v>15</v>
      </c>
      <c r="G86" s="162" t="s">
        <v>15</v>
      </c>
      <c r="H86" s="364" t="s">
        <v>169</v>
      </c>
      <c r="I86" s="162" t="s">
        <v>25</v>
      </c>
      <c r="J86" s="365"/>
      <c r="K86" s="365"/>
      <c r="L86" s="372">
        <f>L85-J85</f>
        <v>3</v>
      </c>
      <c r="M86" s="366">
        <f>M85-J85</f>
        <v>4</v>
      </c>
      <c r="N86" s="365"/>
      <c r="O86" s="367"/>
    </row>
    <row r="87" spans="1:15" x14ac:dyDescent="0.25">
      <c r="A87" s="113" t="s">
        <v>224</v>
      </c>
      <c r="C87" s="336" t="s">
        <v>50</v>
      </c>
      <c r="D87" s="336" t="s">
        <v>26</v>
      </c>
      <c r="E87" s="336" t="s">
        <v>2</v>
      </c>
      <c r="F87" s="336" t="s">
        <v>6</v>
      </c>
      <c r="G87" s="336" t="s">
        <v>22</v>
      </c>
      <c r="H87" s="380" t="s">
        <v>213</v>
      </c>
      <c r="I87" s="336" t="s">
        <v>55</v>
      </c>
      <c r="J87" s="387">
        <v>0</v>
      </c>
      <c r="K87" s="381"/>
      <c r="L87" s="635">
        <f>L82*1000/'2030 RAR per Car'!K16</f>
        <v>1.2</v>
      </c>
      <c r="M87" s="636">
        <f>M82*1000/'2030 RAR per Car'!K16</f>
        <v>1.6</v>
      </c>
      <c r="N87" s="381"/>
      <c r="O87" s="373"/>
    </row>
    <row r="88" spans="1:15" x14ac:dyDescent="0.25">
      <c r="A88" s="113" t="s">
        <v>224</v>
      </c>
      <c r="C88" s="336" t="s">
        <v>50</v>
      </c>
      <c r="D88" s="336" t="s">
        <v>26</v>
      </c>
      <c r="E88" s="336" t="s">
        <v>12</v>
      </c>
      <c r="F88" s="336" t="s">
        <v>6</v>
      </c>
      <c r="G88" s="336" t="s">
        <v>21</v>
      </c>
      <c r="H88" s="380" t="s">
        <v>213</v>
      </c>
      <c r="I88" s="336" t="s">
        <v>55</v>
      </c>
      <c r="J88" s="387">
        <v>0</v>
      </c>
      <c r="K88" s="381"/>
      <c r="L88" s="635">
        <f>L83*1000/'2030 RAR per Car'!K17</f>
        <v>0.72</v>
      </c>
      <c r="M88" s="636">
        <f>M83*1000/'2030 RAR per Car'!K17</f>
        <v>0.84</v>
      </c>
      <c r="N88" s="381"/>
      <c r="O88" s="373"/>
    </row>
    <row r="89" spans="1:15" x14ac:dyDescent="0.25">
      <c r="A89" s="113" t="s">
        <v>224</v>
      </c>
      <c r="C89" s="376" t="s">
        <v>48</v>
      </c>
      <c r="D89" s="376" t="s">
        <v>26</v>
      </c>
      <c r="E89" s="376" t="s">
        <v>2</v>
      </c>
      <c r="F89" s="376" t="s">
        <v>6</v>
      </c>
      <c r="G89" s="376" t="s">
        <v>22</v>
      </c>
      <c r="H89" s="383" t="s">
        <v>213</v>
      </c>
      <c r="I89" s="376" t="s">
        <v>55</v>
      </c>
      <c r="J89" s="387">
        <v>0</v>
      </c>
      <c r="K89" s="384"/>
      <c r="L89" s="637">
        <f>L84*1000/'2030 RAR per Car'!K16</f>
        <v>0.1333333333333333</v>
      </c>
      <c r="M89" s="638">
        <f>M84*1000/'2030 RAR per Car'!K16</f>
        <v>0.17777777777777773</v>
      </c>
      <c r="N89" s="384"/>
      <c r="O89" s="379"/>
    </row>
    <row r="90" spans="1:15" x14ac:dyDescent="0.25">
      <c r="C90" s="482" t="s">
        <v>217</v>
      </c>
      <c r="D90" s="482" t="s">
        <v>26</v>
      </c>
      <c r="E90" s="482" t="s">
        <v>2</v>
      </c>
      <c r="F90" s="482" t="s">
        <v>6</v>
      </c>
      <c r="G90" s="482" t="s">
        <v>22</v>
      </c>
      <c r="H90" s="483" t="s">
        <v>213</v>
      </c>
      <c r="I90" s="482" t="s">
        <v>55</v>
      </c>
      <c r="J90" s="484">
        <v>0</v>
      </c>
      <c r="K90" s="524"/>
      <c r="L90" s="639">
        <f>SUM(L87:L89)</f>
        <v>2.0533333333333332</v>
      </c>
      <c r="M90" s="640">
        <f>SUM(M87:M89)</f>
        <v>2.6177777777777775</v>
      </c>
      <c r="N90" s="480"/>
      <c r="O90" s="481"/>
    </row>
    <row r="91" spans="1:15" x14ac:dyDescent="0.25">
      <c r="A91" s="113" t="s">
        <v>224</v>
      </c>
      <c r="C91" s="479" t="s">
        <v>50</v>
      </c>
      <c r="D91" s="479" t="s">
        <v>26</v>
      </c>
      <c r="E91" s="479" t="s">
        <v>2</v>
      </c>
      <c r="F91" s="479" t="s">
        <v>6</v>
      </c>
      <c r="G91" s="479" t="s">
        <v>22</v>
      </c>
      <c r="H91" s="472" t="s">
        <v>152</v>
      </c>
      <c r="I91" s="472" t="s">
        <v>25</v>
      </c>
      <c r="J91" s="479"/>
      <c r="K91" s="479"/>
      <c r="L91" s="641">
        <f>L87*'2030 RAR per Car'!K7/1000</f>
        <v>13.220504967626947</v>
      </c>
      <c r="M91" s="642">
        <f>M87*'2030 RAR per Car'!K7/1000</f>
        <v>17.627339956835932</v>
      </c>
      <c r="N91" s="473"/>
      <c r="O91" s="474"/>
    </row>
    <row r="92" spans="1:15" x14ac:dyDescent="0.25">
      <c r="A92" s="113" t="s">
        <v>224</v>
      </c>
      <c r="C92" s="479" t="s">
        <v>50</v>
      </c>
      <c r="D92" s="479" t="s">
        <v>26</v>
      </c>
      <c r="E92" s="479" t="s">
        <v>12</v>
      </c>
      <c r="F92" s="479" t="s">
        <v>6</v>
      </c>
      <c r="G92" s="479" t="s">
        <v>21</v>
      </c>
      <c r="H92" s="472" t="s">
        <v>152</v>
      </c>
      <c r="I92" s="472" t="s">
        <v>25</v>
      </c>
      <c r="J92" s="472"/>
      <c r="K92" s="479"/>
      <c r="L92" s="643">
        <f>L88*'2030 RAR per Car'!K8/1000</f>
        <v>4.1748963055664046</v>
      </c>
      <c r="M92" s="644">
        <f>M88*'2030 RAR per Car'!K8/1000</f>
        <v>4.8707123564941384</v>
      </c>
      <c r="N92" s="478"/>
      <c r="O92" s="479"/>
    </row>
    <row r="93" spans="1:15" x14ac:dyDescent="0.25">
      <c r="A93" s="113" t="s">
        <v>224</v>
      </c>
      <c r="C93" s="479" t="s">
        <v>48</v>
      </c>
      <c r="D93" s="479" t="s">
        <v>26</v>
      </c>
      <c r="E93" s="479" t="s">
        <v>2</v>
      </c>
      <c r="F93" s="479" t="s">
        <v>6</v>
      </c>
      <c r="G93" s="479" t="s">
        <v>22</v>
      </c>
      <c r="H93" s="472" t="s">
        <v>152</v>
      </c>
      <c r="I93" s="472" t="s">
        <v>25</v>
      </c>
      <c r="J93" s="472"/>
      <c r="K93" s="479"/>
      <c r="L93" s="643">
        <f>L89*'2030 RAR per Car'!K7/1000</f>
        <v>1.4689449964029939</v>
      </c>
      <c r="M93" s="644">
        <f>M89*'2030 RAR per Car'!K7/1000</f>
        <v>1.9585933285373252</v>
      </c>
      <c r="N93" s="478"/>
      <c r="O93" s="479"/>
    </row>
    <row r="94" spans="1:15" x14ac:dyDescent="0.25">
      <c r="C94" s="352" t="s">
        <v>217</v>
      </c>
      <c r="D94" s="348" t="s">
        <v>26</v>
      </c>
      <c r="E94" s="348" t="s">
        <v>2</v>
      </c>
      <c r="F94" s="348" t="s">
        <v>6</v>
      </c>
      <c r="G94" s="348" t="s">
        <v>22</v>
      </c>
      <c r="H94" s="347" t="s">
        <v>152</v>
      </c>
      <c r="I94" s="374" t="s">
        <v>25</v>
      </c>
      <c r="J94" s="347"/>
      <c r="K94" s="348"/>
      <c r="L94" s="620">
        <f>SUM(L91:L93)</f>
        <v>18.864346269596343</v>
      </c>
      <c r="M94" s="621">
        <f>SUM(M91:M93)</f>
        <v>24.456645641867397</v>
      </c>
      <c r="N94" s="397"/>
      <c r="O94" s="398"/>
    </row>
    <row r="96" spans="1:15" x14ac:dyDescent="0.25">
      <c r="C96" s="317" t="s">
        <v>196</v>
      </c>
      <c r="D96" s="317"/>
      <c r="E96" s="317"/>
      <c r="F96" s="317"/>
      <c r="G96" s="317"/>
      <c r="H96" s="317"/>
      <c r="I96" s="317"/>
      <c r="J96" s="317"/>
      <c r="K96" s="317"/>
      <c r="L96" s="317"/>
      <c r="M96" s="317"/>
      <c r="N96" s="317"/>
      <c r="O96" s="317"/>
    </row>
    <row r="97" spans="3:15" x14ac:dyDescent="0.25">
      <c r="C97" s="323" t="s">
        <v>52</v>
      </c>
      <c r="D97" s="323" t="s">
        <v>24</v>
      </c>
      <c r="E97" s="142" t="s">
        <v>17</v>
      </c>
      <c r="F97" s="142" t="s">
        <v>4</v>
      </c>
      <c r="G97" s="142" t="s">
        <v>10</v>
      </c>
      <c r="H97" s="323" t="s">
        <v>45</v>
      </c>
      <c r="I97" s="323" t="s">
        <v>18</v>
      </c>
      <c r="J97" s="323">
        <v>2024</v>
      </c>
      <c r="K97" s="323"/>
      <c r="L97" s="323">
        <v>2030</v>
      </c>
      <c r="M97" s="323">
        <v>2030</v>
      </c>
      <c r="N97" s="323"/>
      <c r="O97" s="323"/>
    </row>
    <row r="98" spans="3:15" x14ac:dyDescent="0.25">
      <c r="C98" s="323"/>
      <c r="D98" s="323"/>
      <c r="E98" s="142"/>
      <c r="F98" s="142"/>
      <c r="G98" s="142"/>
      <c r="H98" s="323"/>
      <c r="I98" s="323"/>
      <c r="J98" s="323"/>
      <c r="K98" s="323"/>
      <c r="L98" s="253" t="s">
        <v>117</v>
      </c>
      <c r="M98" s="207" t="s">
        <v>118</v>
      </c>
      <c r="N98" s="207"/>
      <c r="O98" s="207"/>
    </row>
    <row r="99" spans="3:15" x14ac:dyDescent="0.25">
      <c r="C99" s="318" t="s">
        <v>50</v>
      </c>
      <c r="D99" s="318" t="s">
        <v>26</v>
      </c>
      <c r="E99" s="318" t="s">
        <v>15</v>
      </c>
      <c r="F99" s="318" t="s">
        <v>6</v>
      </c>
      <c r="G99" s="318" t="s">
        <v>15</v>
      </c>
      <c r="H99" s="318" t="s">
        <v>193</v>
      </c>
      <c r="I99" s="318" t="s">
        <v>25</v>
      </c>
      <c r="J99" s="324">
        <v>0</v>
      </c>
      <c r="K99" s="324"/>
      <c r="L99" s="333">
        <f>8000*12/1000000</f>
        <v>9.6000000000000002E-2</v>
      </c>
      <c r="M99" s="333">
        <f>8000*12/1000000</f>
        <v>9.6000000000000002E-2</v>
      </c>
      <c r="N99" s="333"/>
      <c r="O99" s="333"/>
    </row>
    <row r="100" spans="3:15" x14ac:dyDescent="0.25">
      <c r="C100" s="318" t="s">
        <v>50</v>
      </c>
      <c r="D100" s="318" t="s">
        <v>15</v>
      </c>
      <c r="E100" s="318" t="s">
        <v>15</v>
      </c>
      <c r="F100" s="318" t="s">
        <v>6</v>
      </c>
      <c r="G100" s="318" t="s">
        <v>15</v>
      </c>
      <c r="H100" s="318" t="s">
        <v>194</v>
      </c>
      <c r="I100" s="318" t="s">
        <v>3</v>
      </c>
      <c r="J100" s="325">
        <v>0</v>
      </c>
      <c r="K100" s="325"/>
      <c r="L100" s="326">
        <v>0.03</v>
      </c>
      <c r="M100" s="326">
        <v>0.03</v>
      </c>
      <c r="N100" s="326"/>
      <c r="O100" s="326"/>
    </row>
    <row r="101" spans="3:15" x14ac:dyDescent="0.25">
      <c r="C101" s="318" t="s">
        <v>50</v>
      </c>
      <c r="D101" s="318" t="s">
        <v>26</v>
      </c>
      <c r="E101" s="318" t="s">
        <v>2</v>
      </c>
      <c r="F101" s="318" t="s">
        <v>6</v>
      </c>
      <c r="G101" s="318" t="s">
        <v>192</v>
      </c>
      <c r="H101" s="318" t="s">
        <v>152</v>
      </c>
      <c r="I101" s="318" t="s">
        <v>25</v>
      </c>
      <c r="J101" s="325"/>
      <c r="K101" s="325"/>
      <c r="L101" s="331">
        <f>L91</f>
        <v>13.220504967626947</v>
      </c>
      <c r="M101" s="331">
        <f>M91</f>
        <v>17.627339956835932</v>
      </c>
      <c r="N101" s="331"/>
      <c r="O101" s="331"/>
    </row>
    <row r="102" spans="3:15" x14ac:dyDescent="0.25">
      <c r="C102" s="318" t="s">
        <v>50</v>
      </c>
      <c r="D102" s="318" t="s">
        <v>26</v>
      </c>
      <c r="E102" s="318" t="s">
        <v>12</v>
      </c>
      <c r="F102" s="318" t="s">
        <v>6</v>
      </c>
      <c r="G102" s="318" t="s">
        <v>21</v>
      </c>
      <c r="H102" s="318" t="s">
        <v>152</v>
      </c>
      <c r="I102" s="318" t="s">
        <v>25</v>
      </c>
      <c r="J102" s="325"/>
      <c r="K102" s="325"/>
      <c r="L102" s="331">
        <f>L92</f>
        <v>4.1748963055664046</v>
      </c>
      <c r="M102" s="331">
        <f>M92</f>
        <v>4.8707123564941384</v>
      </c>
      <c r="N102" s="331"/>
      <c r="O102" s="331"/>
    </row>
    <row r="103" spans="3:15" x14ac:dyDescent="0.25">
      <c r="C103" s="318" t="s">
        <v>50</v>
      </c>
      <c r="D103" s="318" t="s">
        <v>26</v>
      </c>
      <c r="E103" s="318" t="s">
        <v>2</v>
      </c>
      <c r="F103" s="318" t="s">
        <v>6</v>
      </c>
      <c r="G103" s="318" t="s">
        <v>22</v>
      </c>
      <c r="H103" s="318" t="s">
        <v>194</v>
      </c>
      <c r="I103" s="318" t="s">
        <v>25</v>
      </c>
      <c r="J103" s="325">
        <v>0</v>
      </c>
      <c r="K103" s="325"/>
      <c r="L103" s="332">
        <f>L100*L101</f>
        <v>0.3966151490288084</v>
      </c>
      <c r="M103" s="332">
        <f>M100*M101</f>
        <v>0.5288201987050779</v>
      </c>
      <c r="N103" s="332"/>
      <c r="O103" s="332"/>
    </row>
    <row r="104" spans="3:15" x14ac:dyDescent="0.25">
      <c r="C104" s="318" t="s">
        <v>50</v>
      </c>
      <c r="D104" s="318" t="s">
        <v>26</v>
      </c>
      <c r="E104" s="318" t="s">
        <v>12</v>
      </c>
      <c r="F104" s="318" t="s">
        <v>6</v>
      </c>
      <c r="G104" s="318" t="s">
        <v>21</v>
      </c>
      <c r="H104" s="318" t="s">
        <v>194</v>
      </c>
      <c r="I104" s="318" t="s">
        <v>25</v>
      </c>
      <c r="J104" s="325">
        <v>0</v>
      </c>
      <c r="K104" s="325"/>
      <c r="L104" s="332">
        <f>L100*L102</f>
        <v>0.12524688916699214</v>
      </c>
      <c r="M104" s="332">
        <f>M100*M102</f>
        <v>0.14612137069482414</v>
      </c>
      <c r="N104" s="332"/>
      <c r="O104" s="332"/>
    </row>
    <row r="105" spans="3:15" x14ac:dyDescent="0.25">
      <c r="C105" s="328" t="s">
        <v>50</v>
      </c>
      <c r="D105" s="328" t="s">
        <v>26</v>
      </c>
      <c r="E105" s="328" t="s">
        <v>15</v>
      </c>
      <c r="F105" s="328" t="s">
        <v>6</v>
      </c>
      <c r="G105" s="328" t="s">
        <v>15</v>
      </c>
      <c r="H105" s="328" t="s">
        <v>9</v>
      </c>
      <c r="I105" s="328" t="s">
        <v>54</v>
      </c>
      <c r="J105" s="329">
        <v>0</v>
      </c>
      <c r="K105" s="329"/>
      <c r="L105" s="334">
        <f>IF(SUM(L103:L104)&gt;L99,SUM(L103:L104),L99)</f>
        <v>0.52186203819580057</v>
      </c>
      <c r="M105" s="334">
        <f>IF(SUM(M103:M104)&gt;M99,SUM(M103:M104),M99)</f>
        <v>0.67494156939990202</v>
      </c>
      <c r="N105" s="334"/>
      <c r="O105" s="334"/>
    </row>
    <row r="106" spans="3:15" x14ac:dyDescent="0.25">
      <c r="C106" s="318" t="s">
        <v>48</v>
      </c>
      <c r="D106" s="318" t="s">
        <v>26</v>
      </c>
      <c r="E106" s="318" t="s">
        <v>2</v>
      </c>
      <c r="F106" s="318" t="s">
        <v>6</v>
      </c>
      <c r="G106" s="318" t="s">
        <v>22</v>
      </c>
      <c r="H106" s="318" t="s">
        <v>152</v>
      </c>
      <c r="I106" s="318" t="s">
        <v>25</v>
      </c>
      <c r="J106" s="325"/>
      <c r="K106" s="318"/>
      <c r="L106" s="327">
        <f>L93</f>
        <v>1.4689449964029939</v>
      </c>
      <c r="M106" s="327">
        <f>M93</f>
        <v>1.9585933285373252</v>
      </c>
      <c r="N106" s="327"/>
      <c r="O106" s="327"/>
    </row>
    <row r="107" spans="3:15" x14ac:dyDescent="0.25">
      <c r="C107" s="318" t="s">
        <v>48</v>
      </c>
      <c r="D107" s="318" t="s">
        <v>26</v>
      </c>
      <c r="E107" s="318" t="s">
        <v>2</v>
      </c>
      <c r="F107" s="318" t="s">
        <v>6</v>
      </c>
      <c r="G107" s="318" t="s">
        <v>22</v>
      </c>
      <c r="H107" s="318" t="s">
        <v>193</v>
      </c>
      <c r="I107" s="318" t="s">
        <v>25</v>
      </c>
      <c r="J107" s="324">
        <v>0</v>
      </c>
      <c r="K107" s="324"/>
      <c r="L107" s="324">
        <f>4000*12/1000000</f>
        <v>4.8000000000000001E-2</v>
      </c>
      <c r="M107" s="324">
        <f>4000*12/1000000</f>
        <v>4.8000000000000001E-2</v>
      </c>
      <c r="N107" s="324"/>
      <c r="O107" s="324"/>
    </row>
    <row r="108" spans="3:15" x14ac:dyDescent="0.25">
      <c r="C108" s="318" t="s">
        <v>48</v>
      </c>
      <c r="D108" s="318" t="s">
        <v>26</v>
      </c>
      <c r="E108" s="318" t="s">
        <v>2</v>
      </c>
      <c r="F108" s="318" t="s">
        <v>6</v>
      </c>
      <c r="G108" s="318" t="s">
        <v>22</v>
      </c>
      <c r="H108" s="318" t="s">
        <v>194</v>
      </c>
      <c r="I108" s="318" t="s">
        <v>3</v>
      </c>
      <c r="J108" s="325">
        <v>0</v>
      </c>
      <c r="K108" s="325"/>
      <c r="L108" s="326">
        <v>0.03</v>
      </c>
      <c r="M108" s="326">
        <v>0.03</v>
      </c>
      <c r="N108" s="326"/>
      <c r="O108" s="326"/>
    </row>
    <row r="109" spans="3:15" x14ac:dyDescent="0.25">
      <c r="C109" s="318" t="s">
        <v>48</v>
      </c>
      <c r="D109" s="318" t="s">
        <v>26</v>
      </c>
      <c r="E109" s="318" t="s">
        <v>2</v>
      </c>
      <c r="F109" s="318" t="s">
        <v>6</v>
      </c>
      <c r="G109" s="318" t="s">
        <v>22</v>
      </c>
      <c r="H109" s="318" t="s">
        <v>194</v>
      </c>
      <c r="I109" s="318" t="s">
        <v>25</v>
      </c>
      <c r="J109" s="325">
        <v>0</v>
      </c>
      <c r="K109" s="318"/>
      <c r="L109" s="327">
        <f>L106*L108</f>
        <v>4.4068349892089818E-2</v>
      </c>
      <c r="M109" s="327">
        <f>M106*M108</f>
        <v>5.8757799856119751E-2</v>
      </c>
      <c r="N109" s="327"/>
      <c r="O109" s="327"/>
    </row>
    <row r="110" spans="3:15" x14ac:dyDescent="0.25">
      <c r="C110" s="328" t="s">
        <v>50</v>
      </c>
      <c r="D110" s="320" t="s">
        <v>26</v>
      </c>
      <c r="E110" s="320" t="s">
        <v>15</v>
      </c>
      <c r="F110" s="320" t="s">
        <v>6</v>
      </c>
      <c r="G110" s="320" t="s">
        <v>15</v>
      </c>
      <c r="H110" s="328" t="s">
        <v>195</v>
      </c>
      <c r="I110" s="320" t="s">
        <v>54</v>
      </c>
      <c r="J110" s="320"/>
      <c r="K110" s="320"/>
      <c r="L110" s="330">
        <f>L109+L107</f>
        <v>9.2068349892089812E-2</v>
      </c>
      <c r="M110" s="330">
        <f>M109+M107</f>
        <v>0.10675779985611974</v>
      </c>
      <c r="N110" s="330"/>
      <c r="O110" s="330"/>
    </row>
    <row r="111" spans="3:15" x14ac:dyDescent="0.25">
      <c r="C111" s="9"/>
      <c r="D111" s="6"/>
      <c r="E111" s="6"/>
      <c r="F111" s="6"/>
      <c r="G111" s="6"/>
      <c r="H111" s="9"/>
      <c r="I111" s="6"/>
      <c r="J111" s="6"/>
      <c r="K111" s="6"/>
      <c r="L111" s="401"/>
      <c r="M111" s="401"/>
      <c r="N111" s="401"/>
      <c r="O111" s="401"/>
    </row>
    <row r="113" spans="1:18" x14ac:dyDescent="0.25">
      <c r="C113" s="81" t="s">
        <v>129</v>
      </c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</row>
    <row r="116" spans="1:18" outlineLevel="1" x14ac:dyDescent="0.25">
      <c r="C116" s="142" t="s">
        <v>90</v>
      </c>
      <c r="D116" s="142" t="s">
        <v>24</v>
      </c>
      <c r="E116" s="48" t="s">
        <v>0</v>
      </c>
      <c r="F116" s="142" t="s">
        <v>4</v>
      </c>
      <c r="G116" s="142" t="s">
        <v>10</v>
      </c>
      <c r="H116" s="142" t="s">
        <v>45</v>
      </c>
      <c r="I116" s="142" t="s">
        <v>18</v>
      </c>
      <c r="J116" s="142"/>
      <c r="K116" s="142"/>
      <c r="L116" s="674">
        <v>2030</v>
      </c>
      <c r="M116" s="675"/>
      <c r="N116" s="147"/>
      <c r="O116" s="7" t="s">
        <v>120</v>
      </c>
    </row>
    <row r="117" spans="1:18" outlineLevel="1" x14ac:dyDescent="0.25">
      <c r="C117" s="145"/>
      <c r="D117" s="145"/>
      <c r="E117" s="145"/>
      <c r="F117" s="145"/>
      <c r="G117" s="145"/>
      <c r="H117" s="145"/>
      <c r="I117" s="145"/>
      <c r="J117" s="145"/>
      <c r="K117" s="145"/>
      <c r="L117" s="253" t="s">
        <v>117</v>
      </c>
      <c r="M117" s="207" t="s">
        <v>118</v>
      </c>
      <c r="N117" s="145"/>
      <c r="O117" s="143"/>
    </row>
    <row r="118" spans="1:18" outlineLevel="1" x14ac:dyDescent="0.25">
      <c r="C118" s="82" t="s">
        <v>116</v>
      </c>
      <c r="D118" s="82" t="s">
        <v>26</v>
      </c>
      <c r="E118" s="82" t="s">
        <v>2</v>
      </c>
      <c r="F118" s="82" t="s">
        <v>15</v>
      </c>
      <c r="G118" s="336" t="s">
        <v>22</v>
      </c>
      <c r="H118" s="82" t="s">
        <v>8</v>
      </c>
      <c r="I118" s="82" t="s">
        <v>25</v>
      </c>
      <c r="J118" s="144"/>
      <c r="K118" s="144"/>
      <c r="L118" s="311">
        <v>75</v>
      </c>
      <c r="M118" s="312">
        <f>L118</f>
        <v>75</v>
      </c>
      <c r="N118" s="151"/>
      <c r="O118" s="82"/>
    </row>
    <row r="119" spans="1:18" x14ac:dyDescent="0.25">
      <c r="C119" s="82" t="s">
        <v>49</v>
      </c>
      <c r="D119" s="11" t="s">
        <v>26</v>
      </c>
      <c r="E119" s="11" t="s">
        <v>2</v>
      </c>
      <c r="F119" s="11" t="s">
        <v>15</v>
      </c>
      <c r="G119" s="336" t="s">
        <v>22</v>
      </c>
      <c r="H119" s="82" t="s">
        <v>23</v>
      </c>
      <c r="I119" s="82" t="s">
        <v>3</v>
      </c>
      <c r="J119" s="137">
        <v>0.18</v>
      </c>
      <c r="K119" s="137"/>
      <c r="L119" s="154">
        <f>J119</f>
        <v>0.18</v>
      </c>
      <c r="M119" s="140">
        <v>0.18</v>
      </c>
      <c r="N119" s="140"/>
      <c r="O119" s="82"/>
    </row>
    <row r="120" spans="1:18" x14ac:dyDescent="0.25">
      <c r="C120" s="82" t="s">
        <v>49</v>
      </c>
      <c r="D120" s="11" t="s">
        <v>26</v>
      </c>
      <c r="E120" s="11" t="s">
        <v>2</v>
      </c>
      <c r="F120" s="11" t="s">
        <v>15</v>
      </c>
      <c r="G120" s="336" t="s">
        <v>22</v>
      </c>
      <c r="H120" s="11" t="s">
        <v>8</v>
      </c>
      <c r="I120" s="11" t="s">
        <v>25</v>
      </c>
      <c r="J120" s="41">
        <f>J119*J118</f>
        <v>0</v>
      </c>
      <c r="K120" s="41"/>
      <c r="L120" s="153">
        <f>L119*L118</f>
        <v>13.5</v>
      </c>
      <c r="M120" s="152">
        <f>M119*M118</f>
        <v>13.5</v>
      </c>
      <c r="N120" s="152"/>
      <c r="O120" s="11"/>
    </row>
    <row r="121" spans="1:18" ht="14.4" x14ac:dyDescent="0.3">
      <c r="C121" s="82" t="s">
        <v>49</v>
      </c>
      <c r="D121" s="11" t="s">
        <v>26</v>
      </c>
      <c r="E121" s="11" t="s">
        <v>2</v>
      </c>
      <c r="F121" s="11" t="s">
        <v>15</v>
      </c>
      <c r="G121" s="336" t="s">
        <v>219</v>
      </c>
      <c r="H121" s="82" t="s">
        <v>218</v>
      </c>
      <c r="I121" s="139" t="s">
        <v>3</v>
      </c>
      <c r="J121" s="140">
        <v>0</v>
      </c>
      <c r="K121" s="140"/>
      <c r="L121" s="339">
        <v>0.1</v>
      </c>
      <c r="M121" s="140">
        <v>0.15</v>
      </c>
      <c r="N121" s="140"/>
      <c r="O121" s="158" t="s">
        <v>221</v>
      </c>
    </row>
    <row r="122" spans="1:18" ht="14.4" x14ac:dyDescent="0.3">
      <c r="C122" s="82" t="s">
        <v>49</v>
      </c>
      <c r="D122" s="11" t="s">
        <v>26</v>
      </c>
      <c r="E122" s="11" t="s">
        <v>2</v>
      </c>
      <c r="F122" s="11" t="s">
        <v>15</v>
      </c>
      <c r="G122" s="336" t="s">
        <v>219</v>
      </c>
      <c r="H122" s="375" t="s">
        <v>220</v>
      </c>
      <c r="I122" s="375"/>
      <c r="J122" s="338">
        <v>0.45</v>
      </c>
      <c r="K122" s="338"/>
      <c r="L122" s="339">
        <f>(1-45%)*L121</f>
        <v>5.5000000000000007E-2</v>
      </c>
      <c r="M122" s="338">
        <f>(1-45%)*M121</f>
        <v>8.2500000000000004E-2</v>
      </c>
      <c r="N122" s="338"/>
      <c r="O122" s="404"/>
    </row>
    <row r="123" spans="1:18" x14ac:dyDescent="0.25">
      <c r="A123" s="113" t="s">
        <v>224</v>
      </c>
      <c r="C123" s="82" t="s">
        <v>49</v>
      </c>
      <c r="D123" s="11" t="s">
        <v>26</v>
      </c>
      <c r="E123" s="336" t="s">
        <v>2</v>
      </c>
      <c r="F123" s="336" t="s">
        <v>5</v>
      </c>
      <c r="G123" s="336" t="s">
        <v>219</v>
      </c>
      <c r="H123" s="336" t="s">
        <v>8</v>
      </c>
      <c r="I123" s="11" t="s">
        <v>25</v>
      </c>
      <c r="J123" s="338"/>
      <c r="K123" s="338"/>
      <c r="L123" s="403">
        <f>L122*70%*L120</f>
        <v>0.51975000000000005</v>
      </c>
      <c r="M123" s="381">
        <f>M122*70%*M120</f>
        <v>0.7796249999999999</v>
      </c>
      <c r="N123" s="338"/>
      <c r="O123" s="336"/>
    </row>
    <row r="124" spans="1:18" x14ac:dyDescent="0.25">
      <c r="A124" s="113" t="s">
        <v>224</v>
      </c>
      <c r="C124" s="82" t="s">
        <v>49</v>
      </c>
      <c r="D124" s="11" t="s">
        <v>26</v>
      </c>
      <c r="E124" s="376" t="s">
        <v>2</v>
      </c>
      <c r="F124" s="376" t="s">
        <v>6</v>
      </c>
      <c r="G124" s="336" t="s">
        <v>219</v>
      </c>
      <c r="H124" s="336" t="s">
        <v>8</v>
      </c>
      <c r="I124" s="11" t="s">
        <v>25</v>
      </c>
      <c r="J124" s="402"/>
      <c r="K124" s="402"/>
      <c r="L124" s="403">
        <f>L122*30%*L120</f>
        <v>0.22275</v>
      </c>
      <c r="M124" s="381">
        <f>M122*30%*M120</f>
        <v>0.33412500000000001</v>
      </c>
      <c r="N124" s="338"/>
      <c r="O124" s="336"/>
    </row>
    <row r="125" spans="1:18" x14ac:dyDescent="0.25">
      <c r="C125" s="159" t="s">
        <v>49</v>
      </c>
      <c r="D125" s="159" t="s">
        <v>26</v>
      </c>
      <c r="E125" s="159" t="s">
        <v>2</v>
      </c>
      <c r="F125" s="159" t="s">
        <v>15</v>
      </c>
      <c r="G125" s="159" t="s">
        <v>189</v>
      </c>
      <c r="H125" s="159" t="s">
        <v>8</v>
      </c>
      <c r="I125" s="159" t="s">
        <v>25</v>
      </c>
      <c r="J125" s="155"/>
      <c r="K125" s="155"/>
      <c r="L125" s="156">
        <f>SUM(L123:L124)</f>
        <v>0.74250000000000005</v>
      </c>
      <c r="M125" s="156">
        <f>SUM(M123:M124)</f>
        <v>1.11375</v>
      </c>
      <c r="N125" s="157"/>
      <c r="O125" s="155"/>
    </row>
    <row r="126" spans="1:18" x14ac:dyDescent="0.25">
      <c r="C126" s="217" t="s">
        <v>49</v>
      </c>
      <c r="D126" s="217" t="s">
        <v>26</v>
      </c>
      <c r="E126" s="217" t="s">
        <v>2</v>
      </c>
      <c r="F126" s="217" t="s">
        <v>15</v>
      </c>
      <c r="G126" s="217" t="s">
        <v>15</v>
      </c>
      <c r="H126" s="298" t="s">
        <v>169</v>
      </c>
      <c r="I126" s="217" t="s">
        <v>25</v>
      </c>
      <c r="J126" s="299"/>
      <c r="K126" s="299"/>
      <c r="L126" s="300">
        <f>L125-J125</f>
        <v>0.74250000000000005</v>
      </c>
      <c r="M126" s="310">
        <f>M125-J125</f>
        <v>1.11375</v>
      </c>
      <c r="N126" s="299"/>
      <c r="O126" s="301"/>
    </row>
    <row r="127" spans="1:18" x14ac:dyDescent="0.25">
      <c r="A127" s="113" t="s">
        <v>224</v>
      </c>
      <c r="C127" s="336" t="s">
        <v>49</v>
      </c>
      <c r="D127" s="336" t="s">
        <v>26</v>
      </c>
      <c r="E127" s="336" t="s">
        <v>2</v>
      </c>
      <c r="F127" s="336" t="s">
        <v>5</v>
      </c>
      <c r="G127" s="336" t="s">
        <v>22</v>
      </c>
      <c r="H127" s="380" t="s">
        <v>213</v>
      </c>
      <c r="I127" s="336" t="s">
        <v>55</v>
      </c>
      <c r="J127" s="387">
        <v>0</v>
      </c>
      <c r="K127" s="381"/>
      <c r="L127" s="389">
        <f>L123*1000/'2030 RAR per Car'!J16</f>
        <v>0.45654885848859678</v>
      </c>
      <c r="M127" s="382">
        <f>M123*1000/'2030 RAR per Car'!J16</f>
        <v>0.68482328773289514</v>
      </c>
      <c r="N127" s="381"/>
      <c r="O127" s="373"/>
    </row>
    <row r="128" spans="1:18" x14ac:dyDescent="0.25">
      <c r="A128" s="113" t="s">
        <v>224</v>
      </c>
      <c r="C128" s="336" t="s">
        <v>49</v>
      </c>
      <c r="D128" s="336" t="s">
        <v>26</v>
      </c>
      <c r="E128" s="336" t="s">
        <v>2</v>
      </c>
      <c r="F128" s="336" t="s">
        <v>6</v>
      </c>
      <c r="G128" s="336" t="s">
        <v>22</v>
      </c>
      <c r="H128" s="380" t="s">
        <v>213</v>
      </c>
      <c r="I128" s="336" t="s">
        <v>55</v>
      </c>
      <c r="J128" s="387">
        <v>0</v>
      </c>
      <c r="K128" s="381"/>
      <c r="L128" s="389">
        <f>L124*1000/'2030 RAR per Car'!K16</f>
        <v>0.14084158726041407</v>
      </c>
      <c r="M128" s="382">
        <f>M124*1000/'2030 RAR per Car'!K16</f>
        <v>0.21126238089062108</v>
      </c>
      <c r="N128" s="381"/>
      <c r="O128" s="373"/>
    </row>
    <row r="129" spans="1:34" x14ac:dyDescent="0.25">
      <c r="C129" s="9" t="s">
        <v>217</v>
      </c>
      <c r="D129" s="378" t="s">
        <v>26</v>
      </c>
      <c r="E129" s="378" t="s">
        <v>2</v>
      </c>
      <c r="F129" s="378" t="s">
        <v>6</v>
      </c>
      <c r="G129" s="378" t="s">
        <v>22</v>
      </c>
      <c r="H129" s="377" t="s">
        <v>213</v>
      </c>
      <c r="I129" s="378" t="s">
        <v>55</v>
      </c>
      <c r="J129" s="386">
        <v>0</v>
      </c>
      <c r="K129" s="525"/>
      <c r="L129" s="393">
        <f>SUM(L127:L128)</f>
        <v>0.5973904457490109</v>
      </c>
      <c r="M129" s="394">
        <f>SUM(M127:M128)</f>
        <v>0.89608566862351624</v>
      </c>
      <c r="N129" s="391"/>
      <c r="O129" s="392"/>
    </row>
    <row r="130" spans="1:34" x14ac:dyDescent="0.25">
      <c r="A130" s="113" t="s">
        <v>224</v>
      </c>
      <c r="C130" s="468" t="s">
        <v>49</v>
      </c>
      <c r="D130" s="468" t="s">
        <v>26</v>
      </c>
      <c r="E130" s="468" t="s">
        <v>2</v>
      </c>
      <c r="F130" s="468" t="s">
        <v>5</v>
      </c>
      <c r="G130" s="468" t="s">
        <v>22</v>
      </c>
      <c r="H130" s="469" t="s">
        <v>152</v>
      </c>
      <c r="I130" s="470" t="s">
        <v>25</v>
      </c>
      <c r="J130" s="468"/>
      <c r="K130" s="468"/>
      <c r="L130" s="471">
        <f>L127*'2030 RAR per Car'!J7/1000</f>
        <v>7.9418505942275086</v>
      </c>
      <c r="M130" s="472">
        <f>M127*'2030 RAR per Car'!J7/1000</f>
        <v>11.912775891341264</v>
      </c>
      <c r="N130" s="473"/>
      <c r="O130" s="474"/>
    </row>
    <row r="131" spans="1:34" x14ac:dyDescent="0.25">
      <c r="A131" s="113" t="s">
        <v>224</v>
      </c>
      <c r="C131" s="475" t="s">
        <v>49</v>
      </c>
      <c r="D131" s="475" t="s">
        <v>26</v>
      </c>
      <c r="E131" s="475" t="s">
        <v>2</v>
      </c>
      <c r="F131" s="475" t="s">
        <v>6</v>
      </c>
      <c r="G131" s="475" t="s">
        <v>22</v>
      </c>
      <c r="H131" s="476" t="s">
        <v>152</v>
      </c>
      <c r="I131" s="477" t="s">
        <v>25</v>
      </c>
      <c r="J131" s="469"/>
      <c r="K131" s="468"/>
      <c r="L131" s="471">
        <f>L128*'2030 RAR per Car'!K7/1000</f>
        <v>1.5516640866873073</v>
      </c>
      <c r="M131" s="472">
        <f>L128*'2030 RAR per Car'!K7/1000</f>
        <v>1.5516640866873073</v>
      </c>
      <c r="N131" s="478"/>
      <c r="O131" s="479"/>
    </row>
    <row r="132" spans="1:34" x14ac:dyDescent="0.25">
      <c r="C132" s="352" t="s">
        <v>49</v>
      </c>
      <c r="D132" s="344" t="s">
        <v>26</v>
      </c>
      <c r="E132" s="344" t="s">
        <v>2</v>
      </c>
      <c r="F132" s="344" t="s">
        <v>6</v>
      </c>
      <c r="G132" s="344" t="s">
        <v>22</v>
      </c>
      <c r="H132" s="345" t="s">
        <v>152</v>
      </c>
      <c r="I132" s="346" t="s">
        <v>25</v>
      </c>
      <c r="J132" s="347"/>
      <c r="K132" s="348"/>
      <c r="L132" s="400">
        <f>SUM(L130:L131)</f>
        <v>9.4935146809148154</v>
      </c>
      <c r="M132" s="396">
        <f>SUM(M130:M131)</f>
        <v>13.464439978028571</v>
      </c>
      <c r="N132" s="397"/>
      <c r="O132" s="398"/>
    </row>
    <row r="133" spans="1:34" x14ac:dyDescent="0.25">
      <c r="C133" s="9"/>
      <c r="D133" s="9"/>
      <c r="E133" s="9"/>
      <c r="F133" s="9"/>
      <c r="G133" s="9"/>
      <c r="H133" s="371"/>
      <c r="I133" s="9"/>
      <c r="J133" s="368"/>
      <c r="K133" s="368"/>
      <c r="L133" s="399"/>
      <c r="M133" s="399"/>
      <c r="N133" s="368"/>
      <c r="O133" s="369"/>
    </row>
    <row r="135" spans="1:34" x14ac:dyDescent="0.25">
      <c r="C135" s="8" t="s">
        <v>187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8" spans="1:34" x14ac:dyDescent="0.25">
      <c r="C138" s="2" t="s">
        <v>11</v>
      </c>
      <c r="D138" s="142" t="s">
        <v>24</v>
      </c>
      <c r="E138" s="142" t="s">
        <v>17</v>
      </c>
      <c r="F138" s="142" t="s">
        <v>4</v>
      </c>
      <c r="G138" s="142" t="s">
        <v>10</v>
      </c>
      <c r="H138" s="2" t="s">
        <v>45</v>
      </c>
      <c r="I138" s="3" t="s">
        <v>1</v>
      </c>
      <c r="J138" s="282">
        <v>2024</v>
      </c>
      <c r="K138" s="231" t="s">
        <v>222</v>
      </c>
      <c r="L138" s="674">
        <v>2030</v>
      </c>
      <c r="M138" s="676"/>
      <c r="N138" s="282"/>
      <c r="O138" s="7" t="s">
        <v>120</v>
      </c>
    </row>
    <row r="139" spans="1:34" x14ac:dyDescent="0.25">
      <c r="C139" s="282"/>
      <c r="D139" s="142"/>
      <c r="E139" s="142"/>
      <c r="F139" s="142"/>
      <c r="G139" s="142"/>
      <c r="H139" s="282"/>
      <c r="I139" s="282"/>
      <c r="J139" s="282"/>
      <c r="K139" s="231"/>
      <c r="L139" s="253" t="s">
        <v>117</v>
      </c>
      <c r="M139" s="282" t="s">
        <v>118</v>
      </c>
      <c r="N139" s="145"/>
      <c r="O139" s="143"/>
    </row>
    <row r="140" spans="1:34" x14ac:dyDescent="0.25">
      <c r="C140" s="283" t="s">
        <v>15</v>
      </c>
      <c r="D140" s="283" t="s">
        <v>26</v>
      </c>
      <c r="E140" s="283" t="s">
        <v>12</v>
      </c>
      <c r="F140" s="283" t="s">
        <v>15</v>
      </c>
      <c r="G140" s="283" t="s">
        <v>15</v>
      </c>
      <c r="H140" s="429" t="s">
        <v>183</v>
      </c>
      <c r="I140" s="283" t="s">
        <v>25</v>
      </c>
      <c r="J140" s="423">
        <f>J142/J141</f>
        <v>717.64705882352939</v>
      </c>
      <c r="K140" s="403">
        <f>(L149/J149)*J140</f>
        <v>844.29065743944636</v>
      </c>
      <c r="L140" s="239"/>
      <c r="M140" s="283"/>
      <c r="N140" s="283"/>
      <c r="O140" s="283"/>
    </row>
    <row r="141" spans="1:34" x14ac:dyDescent="0.25">
      <c r="C141" s="283" t="s">
        <v>15</v>
      </c>
      <c r="D141" s="283" t="s">
        <v>26</v>
      </c>
      <c r="E141" s="283" t="s">
        <v>12</v>
      </c>
      <c r="F141" s="283" t="s">
        <v>15</v>
      </c>
      <c r="G141" s="283" t="s">
        <v>15</v>
      </c>
      <c r="H141" s="430" t="s">
        <v>16</v>
      </c>
      <c r="I141" s="283" t="s">
        <v>3</v>
      </c>
      <c r="J141" s="285">
        <v>0.17</v>
      </c>
      <c r="K141" s="409">
        <v>0.17</v>
      </c>
      <c r="L141" s="287"/>
      <c r="M141" s="285"/>
      <c r="N141" s="283"/>
      <c r="O141" s="283"/>
    </row>
    <row r="142" spans="1:34" ht="14.4" x14ac:dyDescent="0.3">
      <c r="C142" s="283" t="s">
        <v>15</v>
      </c>
      <c r="D142" s="283" t="s">
        <v>26</v>
      </c>
      <c r="E142" s="283" t="s">
        <v>12</v>
      </c>
      <c r="F142" s="283" t="s">
        <v>15</v>
      </c>
      <c r="G142" s="283" t="s">
        <v>15</v>
      </c>
      <c r="H142" s="430" t="s">
        <v>16</v>
      </c>
      <c r="I142" s="283" t="s">
        <v>25</v>
      </c>
      <c r="J142" s="424">
        <v>122</v>
      </c>
      <c r="K142" s="410">
        <f>K141*K140</f>
        <v>143.52941176470588</v>
      </c>
      <c r="L142" s="256"/>
      <c r="M142" s="283"/>
      <c r="N142" s="82"/>
      <c r="O142" s="284" t="s">
        <v>185</v>
      </c>
    </row>
    <row r="143" spans="1:34" ht="14.4" x14ac:dyDescent="0.3">
      <c r="C143" s="82" t="s">
        <v>184</v>
      </c>
      <c r="D143" s="82" t="s">
        <v>26</v>
      </c>
      <c r="E143" s="82" t="s">
        <v>12</v>
      </c>
      <c r="F143" s="82" t="s">
        <v>15</v>
      </c>
      <c r="G143" s="82" t="s">
        <v>15</v>
      </c>
      <c r="H143" s="428" t="s">
        <v>127</v>
      </c>
      <c r="I143" s="82" t="s">
        <v>3</v>
      </c>
      <c r="J143" s="51">
        <v>0.3</v>
      </c>
      <c r="K143" s="263">
        <v>0.3</v>
      </c>
      <c r="L143" s="263">
        <v>0.35</v>
      </c>
      <c r="M143" s="51">
        <v>0.4</v>
      </c>
      <c r="N143" s="82"/>
      <c r="O143" s="283"/>
    </row>
    <row r="144" spans="1:34" ht="14.4" x14ac:dyDescent="0.3">
      <c r="C144" s="283" t="s">
        <v>184</v>
      </c>
      <c r="D144" s="283" t="s">
        <v>26</v>
      </c>
      <c r="E144" s="283" t="s">
        <v>12</v>
      </c>
      <c r="F144" s="283" t="s">
        <v>15</v>
      </c>
      <c r="G144" s="283" t="s">
        <v>15</v>
      </c>
      <c r="H144" s="428" t="s">
        <v>131</v>
      </c>
      <c r="I144" s="82" t="s">
        <v>25</v>
      </c>
      <c r="J144" s="425">
        <f>J143*J142</f>
        <v>36.6</v>
      </c>
      <c r="K144" s="411">
        <f>K143*K142</f>
        <v>43.058823529411761</v>
      </c>
      <c r="L144" s="288"/>
      <c r="M144" s="82"/>
      <c r="N144" s="82"/>
      <c r="O144" s="283"/>
    </row>
    <row r="145" spans="1:15" s="40" customFormat="1" x14ac:dyDescent="0.25">
      <c r="A145" s="113" t="s">
        <v>224</v>
      </c>
      <c r="B145" s="113"/>
      <c r="C145" s="196" t="s">
        <v>184</v>
      </c>
      <c r="D145" s="196" t="s">
        <v>26</v>
      </c>
      <c r="E145" s="196" t="s">
        <v>12</v>
      </c>
      <c r="F145" s="405" t="s">
        <v>5</v>
      </c>
      <c r="G145" s="196" t="s">
        <v>15</v>
      </c>
      <c r="H145" s="291" t="s">
        <v>8</v>
      </c>
      <c r="I145" s="196" t="s">
        <v>25</v>
      </c>
      <c r="J145" s="286">
        <f>15%*J147</f>
        <v>0.78811999999999982</v>
      </c>
      <c r="K145" s="407">
        <f>15%*K147</f>
        <v>0.89999999999999991</v>
      </c>
      <c r="L145" s="407">
        <f>15%*L147</f>
        <v>1.05</v>
      </c>
      <c r="M145" s="292">
        <f>15%*M147</f>
        <v>1.2</v>
      </c>
      <c r="N145" s="406"/>
      <c r="O145" s="408"/>
    </row>
    <row r="146" spans="1:15" s="40" customFormat="1" x14ac:dyDescent="0.25">
      <c r="A146" s="113" t="s">
        <v>224</v>
      </c>
      <c r="B146" s="113"/>
      <c r="C146" s="196" t="s">
        <v>184</v>
      </c>
      <c r="D146" s="196" t="s">
        <v>26</v>
      </c>
      <c r="E146" s="196" t="s">
        <v>12</v>
      </c>
      <c r="F146" s="405" t="s">
        <v>6</v>
      </c>
      <c r="G146" s="196" t="s">
        <v>15</v>
      </c>
      <c r="H146" s="291" t="s">
        <v>8</v>
      </c>
      <c r="I146" s="196" t="s">
        <v>25</v>
      </c>
      <c r="J146" s="286">
        <f>J147-J145</f>
        <v>4.4660133333333318</v>
      </c>
      <c r="K146" s="407">
        <f>K147-K145</f>
        <v>5.0999999999999996</v>
      </c>
      <c r="L146" s="407">
        <f>L147-L145</f>
        <v>5.95</v>
      </c>
      <c r="M146" s="292">
        <f>M147-M145</f>
        <v>6.8</v>
      </c>
      <c r="N146" s="406"/>
      <c r="O146" s="408"/>
    </row>
    <row r="147" spans="1:15" s="40" customFormat="1" x14ac:dyDescent="0.25">
      <c r="A147" s="113"/>
      <c r="B147" s="113"/>
      <c r="C147" s="196" t="s">
        <v>184</v>
      </c>
      <c r="D147" s="196" t="s">
        <v>26</v>
      </c>
      <c r="E147" s="196" t="s">
        <v>12</v>
      </c>
      <c r="F147" s="196" t="s">
        <v>15</v>
      </c>
      <c r="G147" s="196" t="s">
        <v>15</v>
      </c>
      <c r="H147" s="291" t="s">
        <v>8</v>
      </c>
      <c r="I147" s="196" t="s">
        <v>25</v>
      </c>
      <c r="J147" s="286">
        <f>J144/'2030 RAR per Car'!D8*'2030 RAR per Car'!D17</f>
        <v>5.254133333333332</v>
      </c>
      <c r="K147" s="407">
        <f>K149*K143</f>
        <v>6</v>
      </c>
      <c r="L147" s="293">
        <f>L149*L143</f>
        <v>7</v>
      </c>
      <c r="M147" s="292">
        <f>M149*M143</f>
        <v>8</v>
      </c>
      <c r="N147" s="286"/>
      <c r="O147" s="295"/>
    </row>
    <row r="148" spans="1:15" s="40" customFormat="1" x14ac:dyDescent="0.25">
      <c r="A148" s="113"/>
      <c r="B148" s="113"/>
      <c r="C148" s="196" t="s">
        <v>184</v>
      </c>
      <c r="D148" s="196" t="s">
        <v>26</v>
      </c>
      <c r="E148" s="196" t="s">
        <v>12</v>
      </c>
      <c r="F148" s="196" t="s">
        <v>15</v>
      </c>
      <c r="G148" s="196" t="s">
        <v>15</v>
      </c>
      <c r="H148" s="291" t="s">
        <v>169</v>
      </c>
      <c r="I148" s="196" t="s">
        <v>25</v>
      </c>
      <c r="J148" s="286"/>
      <c r="K148" s="407">
        <f>K147-J147</f>
        <v>0.74586666666666801</v>
      </c>
      <c r="L148" s="293">
        <f>L147-K147</f>
        <v>1</v>
      </c>
      <c r="M148" s="292">
        <f>M147-K147</f>
        <v>2</v>
      </c>
      <c r="N148" s="286"/>
      <c r="O148" s="295"/>
    </row>
    <row r="149" spans="1:15" ht="14.4" x14ac:dyDescent="0.3">
      <c r="C149" s="59" t="s">
        <v>15</v>
      </c>
      <c r="D149" s="59" t="s">
        <v>26</v>
      </c>
      <c r="E149" s="59" t="s">
        <v>12</v>
      </c>
      <c r="F149" s="59" t="s">
        <v>15</v>
      </c>
      <c r="G149" s="59" t="s">
        <v>15</v>
      </c>
      <c r="H149" s="370" t="s">
        <v>186</v>
      </c>
      <c r="I149" s="36" t="s">
        <v>25</v>
      </c>
      <c r="J149" s="426">
        <v>17</v>
      </c>
      <c r="K149" s="412">
        <f>L149</f>
        <v>20</v>
      </c>
      <c r="L149" s="297">
        <v>20</v>
      </c>
      <c r="M149" s="296">
        <v>20</v>
      </c>
      <c r="N149" s="36"/>
      <c r="O149" s="246" t="s">
        <v>121</v>
      </c>
    </row>
    <row r="150" spans="1:15" x14ac:dyDescent="0.25">
      <c r="A150" s="113" t="s">
        <v>224</v>
      </c>
      <c r="C150" s="336" t="s">
        <v>184</v>
      </c>
      <c r="D150" s="336" t="s">
        <v>26</v>
      </c>
      <c r="E150" s="336" t="s">
        <v>12</v>
      </c>
      <c r="F150" s="336" t="s">
        <v>5</v>
      </c>
      <c r="G150" s="336" t="s">
        <v>15</v>
      </c>
      <c r="H150" s="380" t="s">
        <v>213</v>
      </c>
      <c r="I150" s="336" t="s">
        <v>55</v>
      </c>
      <c r="J150" s="623">
        <f>J145*1000/'2030 RAR per Car'!D17</f>
        <v>1.0979999999999999</v>
      </c>
      <c r="K150" s="624">
        <f>K145*1000/'2030 RAR per Car'!K17</f>
        <v>1.0812081446254007</v>
      </c>
      <c r="L150" s="389">
        <f>L145*1000/'2030 RAR per Car'!K17</f>
        <v>1.2614095020629676</v>
      </c>
      <c r="M150" s="382">
        <f>M145*1000/'2030 RAR per Car'!K17</f>
        <v>1.4416108595005346</v>
      </c>
      <c r="N150" s="381"/>
      <c r="O150" s="373"/>
    </row>
    <row r="151" spans="1:15" x14ac:dyDescent="0.25">
      <c r="A151" s="113" t="s">
        <v>224</v>
      </c>
      <c r="C151" s="376" t="s">
        <v>184</v>
      </c>
      <c r="D151" s="376" t="s">
        <v>26</v>
      </c>
      <c r="E151" s="376" t="s">
        <v>12</v>
      </c>
      <c r="F151" s="376" t="s">
        <v>6</v>
      </c>
      <c r="G151" s="376" t="s">
        <v>15</v>
      </c>
      <c r="H151" s="383" t="s">
        <v>213</v>
      </c>
      <c r="I151" s="376" t="s">
        <v>55</v>
      </c>
      <c r="J151" s="623">
        <f>J146*1000/'2030 RAR per Car'!D17</f>
        <v>6.2219999999999986</v>
      </c>
      <c r="K151" s="625">
        <f>K146*1000/'2030 RAR per Car'!K17</f>
        <v>6.1268461528772713</v>
      </c>
      <c r="L151" s="390">
        <f>L146*1000/'2030 RAR per Car'!K17</f>
        <v>7.147987178356817</v>
      </c>
      <c r="M151" s="385">
        <f>M146*1000/'2030 RAR per Car'!K17</f>
        <v>8.1691282038363617</v>
      </c>
      <c r="N151" s="384"/>
      <c r="O151" s="379"/>
    </row>
    <row r="152" spans="1:15" x14ac:dyDescent="0.25">
      <c r="C152" s="9" t="s">
        <v>184</v>
      </c>
      <c r="D152" s="378" t="s">
        <v>26</v>
      </c>
      <c r="E152" s="378" t="s">
        <v>12</v>
      </c>
      <c r="F152" s="378" t="s">
        <v>15</v>
      </c>
      <c r="G152" s="378" t="s">
        <v>15</v>
      </c>
      <c r="H152" s="377" t="s">
        <v>213</v>
      </c>
      <c r="I152" s="378" t="s">
        <v>55</v>
      </c>
      <c r="J152" s="626">
        <f>SUM(J150:J151)</f>
        <v>7.3199999999999985</v>
      </c>
      <c r="K152" s="627">
        <f>K150+K151</f>
        <v>7.208054297502672</v>
      </c>
      <c r="L152" s="393">
        <f>SUM(L150:L151)</f>
        <v>8.4093966804197855</v>
      </c>
      <c r="M152" s="394">
        <f>SUM(M150:M151)</f>
        <v>9.6107390633368972</v>
      </c>
      <c r="N152" s="391"/>
      <c r="O152" s="392"/>
    </row>
    <row r="153" spans="1:15" x14ac:dyDescent="0.25">
      <c r="A153" s="113" t="s">
        <v>224</v>
      </c>
      <c r="C153" s="468" t="s">
        <v>184</v>
      </c>
      <c r="D153" s="468" t="s">
        <v>26</v>
      </c>
      <c r="E153" s="468" t="s">
        <v>12</v>
      </c>
      <c r="F153" s="468" t="s">
        <v>5</v>
      </c>
      <c r="G153" s="468" t="s">
        <v>15</v>
      </c>
      <c r="H153" s="469" t="s">
        <v>152</v>
      </c>
      <c r="I153" s="470" t="s">
        <v>25</v>
      </c>
      <c r="J153" s="628">
        <f>J150*'2030 RAR per Car'!D8/1000</f>
        <v>5.4899999999999993</v>
      </c>
      <c r="K153" s="629">
        <f>K150*'2030 RAR per Car'!K8/1000</f>
        <v>6.2693498452012388</v>
      </c>
      <c r="L153" s="630">
        <f>L150*'2030 RAR per Car'!K8/1000</f>
        <v>7.3142414860681138</v>
      </c>
      <c r="M153" s="631">
        <f>M150*'2030 RAR per Car'!K8/1000</f>
        <v>8.3591331269349869</v>
      </c>
      <c r="N153" s="473"/>
      <c r="O153" s="474"/>
    </row>
    <row r="154" spans="1:15" x14ac:dyDescent="0.25">
      <c r="A154" s="113" t="s">
        <v>224</v>
      </c>
      <c r="C154" s="475" t="s">
        <v>184</v>
      </c>
      <c r="D154" s="475" t="s">
        <v>26</v>
      </c>
      <c r="E154" s="475" t="s">
        <v>12</v>
      </c>
      <c r="F154" s="475" t="s">
        <v>6</v>
      </c>
      <c r="G154" s="475" t="s">
        <v>15</v>
      </c>
      <c r="H154" s="476" t="s">
        <v>152</v>
      </c>
      <c r="I154" s="477" t="s">
        <v>25</v>
      </c>
      <c r="J154" s="628">
        <f>J151*'2030 RAR per Car'!D8/1000</f>
        <v>31.109999999999992</v>
      </c>
      <c r="K154" s="629">
        <f>K151*'2030 RAR per Car'!K8/1000</f>
        <v>35.526315789473692</v>
      </c>
      <c r="L154" s="630">
        <f>L151*'2030 RAR per Car'!K8/1000</f>
        <v>41.447368421052651</v>
      </c>
      <c r="M154" s="631">
        <f>M151*'2030 RAR per Car'!K8/1000</f>
        <v>47.368421052631589</v>
      </c>
      <c r="N154" s="478"/>
      <c r="O154" s="479"/>
    </row>
    <row r="155" spans="1:15" x14ac:dyDescent="0.25">
      <c r="C155" s="344" t="s">
        <v>184</v>
      </c>
      <c r="D155" s="344" t="s">
        <v>26</v>
      </c>
      <c r="E155" s="344" t="s">
        <v>12</v>
      </c>
      <c r="F155" s="344" t="s">
        <v>15</v>
      </c>
      <c r="G155" s="344" t="s">
        <v>15</v>
      </c>
      <c r="H155" s="345" t="s">
        <v>152</v>
      </c>
      <c r="I155" s="346" t="s">
        <v>25</v>
      </c>
      <c r="J155" s="632">
        <f>SUM(J153:J154)</f>
        <v>36.599999999999994</v>
      </c>
      <c r="K155" s="633">
        <f>K144</f>
        <v>43.058823529411761</v>
      </c>
      <c r="L155" s="634">
        <f>SUM(L153:L154)</f>
        <v>48.761609907120764</v>
      </c>
      <c r="M155" s="634">
        <f>SUM(M153:M154)</f>
        <v>55.727554179566575</v>
      </c>
      <c r="N155" s="397"/>
      <c r="O155" s="398"/>
    </row>
    <row r="156" spans="1:15" x14ac:dyDescent="0.25">
      <c r="C156" s="344"/>
      <c r="D156" s="344"/>
      <c r="E156" s="344"/>
      <c r="F156" s="344"/>
      <c r="G156" s="344"/>
      <c r="H156" s="344" t="s">
        <v>198</v>
      </c>
      <c r="I156" s="344" t="s">
        <v>25</v>
      </c>
      <c r="J156" s="344"/>
      <c r="K156" s="413"/>
      <c r="L156" s="346">
        <f>L155-K155</f>
        <v>5.7027863777090033</v>
      </c>
      <c r="M156" s="345">
        <f>M155-L155</f>
        <v>6.9659442724458103</v>
      </c>
      <c r="N156" s="344"/>
      <c r="O156" s="344"/>
    </row>
    <row r="157" spans="1:15" x14ac:dyDescent="0.25">
      <c r="J157" s="645">
        <f>+J153/J150</f>
        <v>5</v>
      </c>
      <c r="L157" s="561">
        <f>+L150*1000</f>
        <v>1261.4095020629677</v>
      </c>
      <c r="M157" s="561">
        <f>+M150*1000</f>
        <v>1441.6108595005346</v>
      </c>
      <c r="N157" s="561">
        <f>+(M157+L157)/2</f>
        <v>1351.5101807817512</v>
      </c>
    </row>
    <row r="158" spans="1:15" x14ac:dyDescent="0.25">
      <c r="J158" s="645">
        <f>+J154/J151</f>
        <v>5</v>
      </c>
      <c r="L158" s="561">
        <f>+L151*1000</f>
        <v>7147.9871783568169</v>
      </c>
      <c r="M158" s="561">
        <f>+M151*1000</f>
        <v>8169.1282038363615</v>
      </c>
      <c r="N158" s="561">
        <f>+(M158+L158)/2</f>
        <v>7658.5576910965892</v>
      </c>
    </row>
    <row r="160" spans="1:15" x14ac:dyDescent="0.25">
      <c r="L160" s="561">
        <f>+L153*1000000</f>
        <v>7314241.4860681137</v>
      </c>
      <c r="M160" s="561">
        <f>+M153*1000000</f>
        <v>8359133.1269349866</v>
      </c>
      <c r="N160" s="561">
        <f>+(M160+L160)/2</f>
        <v>7836687.3065015506</v>
      </c>
    </row>
    <row r="161" spans="8:14" x14ac:dyDescent="0.25">
      <c r="J161">
        <f>+J155/J152</f>
        <v>5</v>
      </c>
      <c r="L161" s="561">
        <f>+L154*1000000</f>
        <v>41447368.42105265</v>
      </c>
      <c r="M161" s="561">
        <f>+M154*1000000</f>
        <v>47368421.052631587</v>
      </c>
      <c r="N161" s="561">
        <f>+(M161+L161)/2</f>
        <v>44407894.736842118</v>
      </c>
    </row>
    <row r="162" spans="8:14" x14ac:dyDescent="0.25">
      <c r="J162">
        <f>+J161*1000000</f>
        <v>5000000</v>
      </c>
    </row>
    <row r="163" spans="8:14" x14ac:dyDescent="0.25">
      <c r="H163">
        <v>200</v>
      </c>
      <c r="I163">
        <f>+H163*11%</f>
        <v>22</v>
      </c>
    </row>
    <row r="164" spans="8:14" x14ac:dyDescent="0.25">
      <c r="H164">
        <v>370</v>
      </c>
      <c r="I164" s="526">
        <f>+H164*35%</f>
        <v>129.5</v>
      </c>
    </row>
    <row r="166" spans="8:14" x14ac:dyDescent="0.25">
      <c r="L166" s="561">
        <f>+L87*1000</f>
        <v>1200</v>
      </c>
      <c r="M166" s="561">
        <f>+M87*1000</f>
        <v>1600</v>
      </c>
      <c r="N166" s="561">
        <f>+(M166+L166)/2</f>
        <v>1400</v>
      </c>
    </row>
    <row r="167" spans="8:14" x14ac:dyDescent="0.25">
      <c r="L167" s="561">
        <f>+L91*1000000</f>
        <v>13220504.967626948</v>
      </c>
      <c r="M167" s="561">
        <f>+M91*1000000</f>
        <v>17627339.956835933</v>
      </c>
      <c r="N167" s="561">
        <f>+(M167+L167)/2</f>
        <v>15423922.46223144</v>
      </c>
    </row>
    <row r="168" spans="8:14" x14ac:dyDescent="0.25">
      <c r="N168" s="526">
        <f>+N167/N166</f>
        <v>11017.087473022457</v>
      </c>
    </row>
    <row r="169" spans="8:14" x14ac:dyDescent="0.25">
      <c r="N169" s="561"/>
    </row>
    <row r="172" spans="8:14" x14ac:dyDescent="0.25">
      <c r="L172" s="561">
        <f>+L88*1000</f>
        <v>720</v>
      </c>
      <c r="M172" s="561">
        <f>+M88*1000</f>
        <v>840</v>
      </c>
      <c r="N172" s="561">
        <f>+(M172+L172)/2</f>
        <v>780</v>
      </c>
    </row>
    <row r="173" spans="8:14" x14ac:dyDescent="0.25">
      <c r="L173" s="561">
        <f>+L92*1000000</f>
        <v>4174896.3055664045</v>
      </c>
      <c r="M173" s="561">
        <f>+M92*1000000</f>
        <v>4870712.356494138</v>
      </c>
      <c r="N173" s="561">
        <f>+(M173+L173)/2</f>
        <v>4522804.331030271</v>
      </c>
    </row>
    <row r="174" spans="8:14" x14ac:dyDescent="0.25">
      <c r="N174" s="526">
        <f>+N173/N172</f>
        <v>5798.46709106445</v>
      </c>
    </row>
    <row r="175" spans="8:14" x14ac:dyDescent="0.25">
      <c r="L175" s="561"/>
      <c r="M175" s="561"/>
      <c r="N175" s="561"/>
    </row>
    <row r="176" spans="8:14" x14ac:dyDescent="0.25">
      <c r="L176" s="561"/>
      <c r="M176" s="561"/>
      <c r="N176" s="561"/>
    </row>
    <row r="177" spans="12:14" x14ac:dyDescent="0.25">
      <c r="L177" s="561">
        <f>+L89*1000</f>
        <v>133.33333333333331</v>
      </c>
      <c r="M177" s="561">
        <f>+M89*1000</f>
        <v>177.77777777777774</v>
      </c>
      <c r="N177" s="561">
        <f>+(M177+L177)/2</f>
        <v>155.55555555555554</v>
      </c>
    </row>
    <row r="178" spans="12:14" x14ac:dyDescent="0.25">
      <c r="L178" s="561">
        <f>+L93*1000000</f>
        <v>1468944.996402994</v>
      </c>
      <c r="M178" s="561">
        <f>+M93*1000000</f>
        <v>1958593.3285373251</v>
      </c>
      <c r="N178" s="561">
        <f>+(M178+L178)/2</f>
        <v>1713769.1624701596</v>
      </c>
    </row>
    <row r="179" spans="12:14" x14ac:dyDescent="0.25">
      <c r="N179" s="526">
        <f>+N178/N177</f>
        <v>11017.087473022455</v>
      </c>
    </row>
    <row r="180" spans="12:14" x14ac:dyDescent="0.25">
      <c r="L180" s="561"/>
      <c r="M180" s="561"/>
      <c r="N180" s="561"/>
    </row>
  </sheetData>
  <mergeCells count="4">
    <mergeCell ref="L71:M71"/>
    <mergeCell ref="L116:M116"/>
    <mergeCell ref="L138:M138"/>
    <mergeCell ref="L4:M4"/>
  </mergeCells>
  <pageMargins left="0.7" right="0.7" top="0.75" bottom="0.75" header="0.3" footer="0.3"/>
  <pageSetup orientation="portrait" r:id="rId1"/>
  <ignoredErrors>
    <ignoredError sqref="L88 L92:M92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29E6-3667-409E-B645-F0E2AE2950B1}">
  <sheetPr>
    <tabColor theme="4" tint="0.59999389629810485"/>
  </sheetPr>
  <dimension ref="B2:B13"/>
  <sheetViews>
    <sheetView workbookViewId="0">
      <selection activeCell="B15" sqref="B15"/>
    </sheetView>
  </sheetViews>
  <sheetFormatPr defaultRowHeight="13.8" x14ac:dyDescent="0.25"/>
  <cols>
    <col min="2" max="2" width="48.3984375" bestFit="1" customWidth="1"/>
  </cols>
  <sheetData>
    <row r="2" spans="2:2" x14ac:dyDescent="0.25">
      <c r="B2" s="27" t="s">
        <v>305</v>
      </c>
    </row>
    <row r="3" spans="2:2" x14ac:dyDescent="0.25">
      <c r="B3" s="27" t="s">
        <v>306</v>
      </c>
    </row>
    <row r="4" spans="2:2" x14ac:dyDescent="0.25">
      <c r="B4" s="27" t="s">
        <v>307</v>
      </c>
    </row>
    <row r="5" spans="2:2" x14ac:dyDescent="0.25">
      <c r="B5" s="27"/>
    </row>
    <row r="6" spans="2:2" x14ac:dyDescent="0.25">
      <c r="B6" s="27" t="s">
        <v>308</v>
      </c>
    </row>
    <row r="7" spans="2:2" x14ac:dyDescent="0.25">
      <c r="B7" s="27" t="s">
        <v>309</v>
      </c>
    </row>
    <row r="8" spans="2:2" x14ac:dyDescent="0.25">
      <c r="B8" s="27" t="s">
        <v>310</v>
      </c>
    </row>
    <row r="9" spans="2:2" x14ac:dyDescent="0.25">
      <c r="B9" s="27"/>
    </row>
    <row r="10" spans="2:2" x14ac:dyDescent="0.25">
      <c r="B10" s="27"/>
    </row>
    <row r="11" spans="2:2" x14ac:dyDescent="0.25">
      <c r="B11" s="27" t="s">
        <v>311</v>
      </c>
    </row>
    <row r="12" spans="2:2" x14ac:dyDescent="0.25">
      <c r="B12" s="27" t="s">
        <v>312</v>
      </c>
    </row>
    <row r="13" spans="2:2" x14ac:dyDescent="0.25">
      <c r="B13" s="27" t="s">
        <v>313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B804D-8596-4BD4-A9EB-CE535326B177}">
  <sheetPr>
    <tabColor theme="4"/>
  </sheetPr>
  <dimension ref="B2:H96"/>
  <sheetViews>
    <sheetView zoomScale="90" zoomScaleNormal="90" workbookViewId="0">
      <selection activeCell="J13" sqref="J13"/>
    </sheetView>
  </sheetViews>
  <sheetFormatPr defaultRowHeight="13.8" x14ac:dyDescent="0.25"/>
  <cols>
    <col min="1" max="1" width="4.3984375" customWidth="1"/>
    <col min="2" max="2" width="18.8984375" style="579" customWidth="1"/>
    <col min="3" max="3" width="33.8984375" bestFit="1" customWidth="1"/>
    <col min="4" max="8" width="17.19921875" customWidth="1"/>
  </cols>
  <sheetData>
    <row r="2" spans="2:8" x14ac:dyDescent="0.25">
      <c r="B2" s="585" t="s">
        <v>172</v>
      </c>
      <c r="C2" s="586"/>
    </row>
    <row r="3" spans="2:8" x14ac:dyDescent="0.25">
      <c r="B3" s="580" t="s">
        <v>283</v>
      </c>
      <c r="C3" s="580" t="s">
        <v>282</v>
      </c>
      <c r="D3" s="581" t="s">
        <v>267</v>
      </c>
      <c r="E3" s="581" t="s">
        <v>268</v>
      </c>
      <c r="F3" s="581" t="s">
        <v>269</v>
      </c>
      <c r="G3" s="581" t="s">
        <v>270</v>
      </c>
      <c r="H3" s="581" t="s">
        <v>271</v>
      </c>
    </row>
    <row r="4" spans="2:8" x14ac:dyDescent="0.25">
      <c r="B4" s="679" t="s">
        <v>301</v>
      </c>
      <c r="C4" s="680"/>
      <c r="D4" s="588"/>
      <c r="E4" s="588"/>
      <c r="F4" s="588"/>
      <c r="G4" s="588"/>
      <c r="H4" s="588"/>
    </row>
    <row r="5" spans="2:8" x14ac:dyDescent="0.25">
      <c r="B5" s="681" t="s">
        <v>299</v>
      </c>
      <c r="C5" s="582" t="s">
        <v>273</v>
      </c>
      <c r="D5" s="584"/>
      <c r="E5" s="584"/>
      <c r="F5" s="584"/>
      <c r="G5" s="584"/>
      <c r="H5" s="584"/>
    </row>
    <row r="6" spans="2:8" x14ac:dyDescent="0.25">
      <c r="B6" s="681"/>
      <c r="C6" s="583" t="s">
        <v>278</v>
      </c>
      <c r="D6" s="583"/>
      <c r="E6" s="583"/>
      <c r="F6" s="583"/>
      <c r="G6" s="583"/>
      <c r="H6" s="583"/>
    </row>
    <row r="7" spans="2:8" x14ac:dyDescent="0.25">
      <c r="B7" s="681"/>
      <c r="C7" s="582" t="s">
        <v>274</v>
      </c>
      <c r="D7" s="584"/>
      <c r="E7" s="584"/>
      <c r="F7" s="584"/>
      <c r="G7" s="584"/>
      <c r="H7" s="584"/>
    </row>
    <row r="8" spans="2:8" x14ac:dyDescent="0.25">
      <c r="B8" s="681"/>
      <c r="C8" s="583" t="s">
        <v>279</v>
      </c>
      <c r="D8" s="583"/>
      <c r="E8" s="583"/>
      <c r="F8" s="583"/>
      <c r="G8" s="583"/>
      <c r="H8" s="583"/>
    </row>
    <row r="9" spans="2:8" x14ac:dyDescent="0.25">
      <c r="B9" s="681" t="s">
        <v>300</v>
      </c>
      <c r="C9" s="582" t="s">
        <v>275</v>
      </c>
      <c r="D9" s="584"/>
      <c r="E9" s="584"/>
      <c r="F9" s="584"/>
      <c r="G9" s="584"/>
      <c r="H9" s="584"/>
    </row>
    <row r="10" spans="2:8" x14ac:dyDescent="0.25">
      <c r="B10" s="681"/>
      <c r="C10" s="587" t="s">
        <v>280</v>
      </c>
      <c r="D10" s="583"/>
      <c r="E10" s="583"/>
      <c r="F10" s="583"/>
      <c r="G10" s="583"/>
      <c r="H10" s="583"/>
    </row>
    <row r="11" spans="2:8" x14ac:dyDescent="0.25">
      <c r="B11" s="681"/>
      <c r="C11" s="582" t="s">
        <v>276</v>
      </c>
      <c r="D11" s="584"/>
      <c r="E11" s="584"/>
      <c r="F11" s="584"/>
      <c r="G11" s="584"/>
      <c r="H11" s="584"/>
    </row>
    <row r="12" spans="2:8" x14ac:dyDescent="0.25">
      <c r="B12" s="681"/>
      <c r="C12" s="583" t="s">
        <v>281</v>
      </c>
      <c r="D12" s="583"/>
      <c r="E12" s="583"/>
      <c r="F12" s="583"/>
      <c r="G12" s="583"/>
      <c r="H12" s="583"/>
    </row>
    <row r="13" spans="2:8" x14ac:dyDescent="0.25">
      <c r="B13" s="677" t="s">
        <v>292</v>
      </c>
      <c r="C13" s="582" t="s">
        <v>284</v>
      </c>
      <c r="D13" s="584"/>
      <c r="E13" s="584"/>
      <c r="F13" s="584"/>
      <c r="G13" s="584"/>
      <c r="H13" s="584"/>
    </row>
    <row r="14" spans="2:8" x14ac:dyDescent="0.25">
      <c r="B14" s="678"/>
      <c r="C14" s="583" t="s">
        <v>285</v>
      </c>
      <c r="D14" s="583"/>
      <c r="E14" s="583"/>
      <c r="F14" s="583"/>
      <c r="G14" s="583"/>
      <c r="H14" s="583"/>
    </row>
    <row r="15" spans="2:8" x14ac:dyDescent="0.25">
      <c r="B15" s="677" t="s">
        <v>293</v>
      </c>
      <c r="C15" s="582" t="s">
        <v>286</v>
      </c>
      <c r="D15" s="584"/>
      <c r="E15" s="584"/>
      <c r="F15" s="584"/>
      <c r="G15" s="584"/>
      <c r="H15" s="584"/>
    </row>
    <row r="16" spans="2:8" x14ac:dyDescent="0.25">
      <c r="B16" s="678"/>
      <c r="C16" s="583" t="s">
        <v>287</v>
      </c>
      <c r="D16" s="583"/>
      <c r="E16" s="583"/>
      <c r="F16" s="583"/>
      <c r="G16" s="583"/>
      <c r="H16" s="583"/>
    </row>
    <row r="17" spans="2:8" x14ac:dyDescent="0.25">
      <c r="B17" s="677" t="s">
        <v>294</v>
      </c>
      <c r="C17" s="582" t="s">
        <v>289</v>
      </c>
      <c r="D17" s="584"/>
      <c r="E17" s="584"/>
      <c r="F17" s="584"/>
      <c r="G17" s="584"/>
      <c r="H17" s="584"/>
    </row>
    <row r="18" spans="2:8" x14ac:dyDescent="0.25">
      <c r="B18" s="678"/>
      <c r="C18" s="583" t="s">
        <v>288</v>
      </c>
      <c r="D18" s="583"/>
      <c r="E18" s="583"/>
      <c r="F18" s="583"/>
      <c r="G18" s="583"/>
      <c r="H18" s="583"/>
    </row>
    <row r="19" spans="2:8" x14ac:dyDescent="0.25">
      <c r="B19" s="677" t="s">
        <v>295</v>
      </c>
      <c r="C19" s="582" t="s">
        <v>290</v>
      </c>
      <c r="D19" s="584"/>
      <c r="E19" s="584"/>
      <c r="F19" s="584"/>
      <c r="G19" s="584"/>
      <c r="H19" s="584"/>
    </row>
    <row r="20" spans="2:8" x14ac:dyDescent="0.25">
      <c r="B20" s="678"/>
      <c r="C20" s="583" t="s">
        <v>291</v>
      </c>
      <c r="D20" s="583"/>
      <c r="E20" s="583"/>
      <c r="F20" s="583"/>
      <c r="G20" s="583"/>
      <c r="H20" s="583"/>
    </row>
    <row r="22" spans="2:8" x14ac:dyDescent="0.25">
      <c r="B22" s="585" t="s">
        <v>296</v>
      </c>
      <c r="C22" s="586"/>
    </row>
    <row r="23" spans="2:8" x14ac:dyDescent="0.25">
      <c r="B23" s="580" t="s">
        <v>283</v>
      </c>
      <c r="C23" s="580" t="s">
        <v>282</v>
      </c>
      <c r="D23" s="581" t="s">
        <v>267</v>
      </c>
      <c r="E23" s="581" t="s">
        <v>268</v>
      </c>
      <c r="F23" s="581" t="s">
        <v>269</v>
      </c>
      <c r="G23" s="581" t="s">
        <v>270</v>
      </c>
      <c r="H23" s="581" t="s">
        <v>271</v>
      </c>
    </row>
    <row r="24" spans="2:8" x14ac:dyDescent="0.25">
      <c r="B24" s="677" t="s">
        <v>272</v>
      </c>
      <c r="C24" s="582" t="s">
        <v>273</v>
      </c>
      <c r="D24" s="584"/>
      <c r="E24" s="584"/>
      <c r="F24" s="584"/>
      <c r="G24" s="584"/>
      <c r="H24" s="584"/>
    </row>
    <row r="25" spans="2:8" x14ac:dyDescent="0.25">
      <c r="B25" s="678"/>
      <c r="C25" s="583" t="s">
        <v>278</v>
      </c>
      <c r="D25" s="583"/>
      <c r="E25" s="583"/>
      <c r="F25" s="583"/>
      <c r="G25" s="583"/>
      <c r="H25" s="583"/>
    </row>
    <row r="26" spans="2:8" x14ac:dyDescent="0.25">
      <c r="B26" s="678"/>
      <c r="C26" s="582" t="s">
        <v>274</v>
      </c>
      <c r="D26" s="584"/>
      <c r="E26" s="584"/>
      <c r="F26" s="584"/>
      <c r="G26" s="584"/>
      <c r="H26" s="584"/>
    </row>
    <row r="27" spans="2:8" x14ac:dyDescent="0.25">
      <c r="B27" s="678"/>
      <c r="C27" s="583" t="s">
        <v>279</v>
      </c>
      <c r="D27" s="583"/>
      <c r="E27" s="583"/>
      <c r="F27" s="583"/>
      <c r="G27" s="583"/>
      <c r="H27" s="583"/>
    </row>
    <row r="28" spans="2:8" x14ac:dyDescent="0.25">
      <c r="B28" s="677" t="s">
        <v>277</v>
      </c>
      <c r="C28" s="582" t="s">
        <v>275</v>
      </c>
      <c r="D28" s="584"/>
      <c r="E28" s="584"/>
      <c r="F28" s="584"/>
      <c r="G28" s="584"/>
      <c r="H28" s="584"/>
    </row>
    <row r="29" spans="2:8" x14ac:dyDescent="0.25">
      <c r="B29" s="678"/>
      <c r="C29" s="583" t="s">
        <v>280</v>
      </c>
      <c r="D29" s="583"/>
      <c r="E29" s="583"/>
      <c r="F29" s="583"/>
      <c r="G29" s="583"/>
      <c r="H29" s="583"/>
    </row>
    <row r="30" spans="2:8" x14ac:dyDescent="0.25">
      <c r="B30" s="678"/>
      <c r="C30" s="582" t="s">
        <v>276</v>
      </c>
      <c r="D30" s="584"/>
      <c r="E30" s="584"/>
      <c r="F30" s="584"/>
      <c r="G30" s="584"/>
      <c r="H30" s="584"/>
    </row>
    <row r="31" spans="2:8" x14ac:dyDescent="0.25">
      <c r="B31" s="678"/>
      <c r="C31" s="583" t="s">
        <v>281</v>
      </c>
      <c r="D31" s="583"/>
      <c r="E31" s="583"/>
      <c r="F31" s="583"/>
      <c r="G31" s="583"/>
      <c r="H31" s="583"/>
    </row>
    <row r="32" spans="2:8" x14ac:dyDescent="0.25">
      <c r="B32" s="677" t="s">
        <v>292</v>
      </c>
      <c r="C32" s="582" t="s">
        <v>284</v>
      </c>
      <c r="D32" s="584"/>
      <c r="E32" s="584"/>
      <c r="F32" s="584"/>
      <c r="G32" s="584"/>
      <c r="H32" s="584"/>
    </row>
    <row r="33" spans="2:8" x14ac:dyDescent="0.25">
      <c r="B33" s="678"/>
      <c r="C33" s="583" t="s">
        <v>285</v>
      </c>
      <c r="D33" s="583"/>
      <c r="E33" s="583"/>
      <c r="F33" s="583"/>
      <c r="G33" s="583"/>
      <c r="H33" s="583"/>
    </row>
    <row r="34" spans="2:8" x14ac:dyDescent="0.25">
      <c r="B34" s="677" t="s">
        <v>293</v>
      </c>
      <c r="C34" s="582" t="s">
        <v>286</v>
      </c>
      <c r="D34" s="584"/>
      <c r="E34" s="584"/>
      <c r="F34" s="584"/>
      <c r="G34" s="584"/>
      <c r="H34" s="584"/>
    </row>
    <row r="35" spans="2:8" x14ac:dyDescent="0.25">
      <c r="B35" s="678"/>
      <c r="C35" s="583" t="s">
        <v>287</v>
      </c>
      <c r="D35" s="583"/>
      <c r="E35" s="583"/>
      <c r="F35" s="583"/>
      <c r="G35" s="583"/>
      <c r="H35" s="583"/>
    </row>
    <row r="36" spans="2:8" x14ac:dyDescent="0.25">
      <c r="B36" s="677" t="s">
        <v>294</v>
      </c>
      <c r="C36" s="582" t="s">
        <v>289</v>
      </c>
      <c r="D36" s="584"/>
      <c r="E36" s="584"/>
      <c r="F36" s="584"/>
      <c r="G36" s="584"/>
      <c r="H36" s="584"/>
    </row>
    <row r="37" spans="2:8" x14ac:dyDescent="0.25">
      <c r="B37" s="678"/>
      <c r="C37" s="583" t="s">
        <v>288</v>
      </c>
      <c r="D37" s="583"/>
      <c r="E37" s="583"/>
      <c r="F37" s="583"/>
      <c r="G37" s="583"/>
      <c r="H37" s="583"/>
    </row>
    <row r="38" spans="2:8" x14ac:dyDescent="0.25">
      <c r="B38" s="677" t="s">
        <v>295</v>
      </c>
      <c r="C38" s="582" t="s">
        <v>290</v>
      </c>
      <c r="D38" s="584"/>
      <c r="E38" s="584"/>
      <c r="F38" s="584"/>
      <c r="G38" s="584"/>
      <c r="H38" s="584"/>
    </row>
    <row r="39" spans="2:8" x14ac:dyDescent="0.25">
      <c r="B39" s="678"/>
      <c r="C39" s="583" t="s">
        <v>291</v>
      </c>
      <c r="D39" s="583"/>
      <c r="E39" s="583"/>
      <c r="F39" s="583"/>
      <c r="G39" s="583"/>
      <c r="H39" s="583"/>
    </row>
    <row r="41" spans="2:8" x14ac:dyDescent="0.25">
      <c r="B41" s="585" t="s">
        <v>297</v>
      </c>
      <c r="C41" s="586"/>
    </row>
    <row r="42" spans="2:8" x14ac:dyDescent="0.25">
      <c r="B42" s="580" t="s">
        <v>283</v>
      </c>
      <c r="C42" s="580" t="s">
        <v>282</v>
      </c>
      <c r="D42" s="581" t="s">
        <v>267</v>
      </c>
      <c r="E42" s="581" t="s">
        <v>268</v>
      </c>
      <c r="F42" s="581" t="s">
        <v>269</v>
      </c>
      <c r="G42" s="581" t="s">
        <v>270</v>
      </c>
      <c r="H42" s="581" t="s">
        <v>271</v>
      </c>
    </row>
    <row r="43" spans="2:8" x14ac:dyDescent="0.25">
      <c r="B43" s="677" t="s">
        <v>272</v>
      </c>
      <c r="C43" s="582" t="s">
        <v>273</v>
      </c>
      <c r="D43" s="584"/>
      <c r="E43" s="584"/>
      <c r="F43" s="584"/>
      <c r="G43" s="584"/>
      <c r="H43" s="584"/>
    </row>
    <row r="44" spans="2:8" x14ac:dyDescent="0.25">
      <c r="B44" s="678"/>
      <c r="C44" s="583" t="s">
        <v>278</v>
      </c>
      <c r="D44" s="583"/>
      <c r="E44" s="583"/>
      <c r="F44" s="583"/>
      <c r="G44" s="583"/>
      <c r="H44" s="583"/>
    </row>
    <row r="45" spans="2:8" x14ac:dyDescent="0.25">
      <c r="B45" s="678"/>
      <c r="C45" s="582" t="s">
        <v>274</v>
      </c>
      <c r="D45" s="584"/>
      <c r="E45" s="584"/>
      <c r="F45" s="584"/>
      <c r="G45" s="584"/>
      <c r="H45" s="584"/>
    </row>
    <row r="46" spans="2:8" x14ac:dyDescent="0.25">
      <c r="B46" s="678"/>
      <c r="C46" s="583" t="s">
        <v>279</v>
      </c>
      <c r="D46" s="583"/>
      <c r="E46" s="583"/>
      <c r="F46" s="583"/>
      <c r="G46" s="583"/>
      <c r="H46" s="583"/>
    </row>
    <row r="47" spans="2:8" x14ac:dyDescent="0.25">
      <c r="B47" s="677" t="s">
        <v>277</v>
      </c>
      <c r="C47" s="582" t="s">
        <v>275</v>
      </c>
      <c r="D47" s="584"/>
      <c r="E47" s="584"/>
      <c r="F47" s="584"/>
      <c r="G47" s="584"/>
      <c r="H47" s="584"/>
    </row>
    <row r="48" spans="2:8" x14ac:dyDescent="0.25">
      <c r="B48" s="678"/>
      <c r="C48" s="583" t="s">
        <v>280</v>
      </c>
      <c r="D48" s="583"/>
      <c r="E48" s="583"/>
      <c r="F48" s="583"/>
      <c r="G48" s="583"/>
      <c r="H48" s="583"/>
    </row>
    <row r="49" spans="2:8" x14ac:dyDescent="0.25">
      <c r="B49" s="678"/>
      <c r="C49" s="582" t="s">
        <v>276</v>
      </c>
      <c r="D49" s="584"/>
      <c r="E49" s="584"/>
      <c r="F49" s="584"/>
      <c r="G49" s="584"/>
      <c r="H49" s="584"/>
    </row>
    <row r="50" spans="2:8" x14ac:dyDescent="0.25">
      <c r="B50" s="678"/>
      <c r="C50" s="583" t="s">
        <v>281</v>
      </c>
      <c r="D50" s="583"/>
      <c r="E50" s="583"/>
      <c r="F50" s="583"/>
      <c r="G50" s="583"/>
      <c r="H50" s="583"/>
    </row>
    <row r="51" spans="2:8" x14ac:dyDescent="0.25">
      <c r="B51" s="677" t="s">
        <v>292</v>
      </c>
      <c r="C51" s="582" t="s">
        <v>284</v>
      </c>
      <c r="D51" s="584"/>
      <c r="E51" s="584"/>
      <c r="F51" s="584"/>
      <c r="G51" s="584"/>
      <c r="H51" s="584"/>
    </row>
    <row r="52" spans="2:8" x14ac:dyDescent="0.25">
      <c r="B52" s="678"/>
      <c r="C52" s="583" t="s">
        <v>285</v>
      </c>
      <c r="D52" s="583"/>
      <c r="E52" s="583"/>
      <c r="F52" s="583"/>
      <c r="G52" s="583"/>
      <c r="H52" s="583"/>
    </row>
    <row r="53" spans="2:8" x14ac:dyDescent="0.25">
      <c r="B53" s="677" t="s">
        <v>293</v>
      </c>
      <c r="C53" s="582" t="s">
        <v>286</v>
      </c>
      <c r="D53" s="584"/>
      <c r="E53" s="584"/>
      <c r="F53" s="584"/>
      <c r="G53" s="584"/>
      <c r="H53" s="584"/>
    </row>
    <row r="54" spans="2:8" x14ac:dyDescent="0.25">
      <c r="B54" s="678"/>
      <c r="C54" s="583" t="s">
        <v>287</v>
      </c>
      <c r="D54" s="583"/>
      <c r="E54" s="583"/>
      <c r="F54" s="583"/>
      <c r="G54" s="583"/>
      <c r="H54" s="583"/>
    </row>
    <row r="55" spans="2:8" x14ac:dyDescent="0.25">
      <c r="B55" s="677" t="s">
        <v>294</v>
      </c>
      <c r="C55" s="582" t="s">
        <v>289</v>
      </c>
      <c r="D55" s="584"/>
      <c r="E55" s="584"/>
      <c r="F55" s="584"/>
      <c r="G55" s="584"/>
      <c r="H55" s="584"/>
    </row>
    <row r="56" spans="2:8" x14ac:dyDescent="0.25">
      <c r="B56" s="678"/>
      <c r="C56" s="583" t="s">
        <v>288</v>
      </c>
      <c r="D56" s="583"/>
      <c r="E56" s="583"/>
      <c r="F56" s="583"/>
      <c r="G56" s="583"/>
      <c r="H56" s="583"/>
    </row>
    <row r="57" spans="2:8" x14ac:dyDescent="0.25">
      <c r="B57" s="677" t="s">
        <v>295</v>
      </c>
      <c r="C57" s="582" t="s">
        <v>290</v>
      </c>
      <c r="D57" s="584"/>
      <c r="E57" s="584"/>
      <c r="F57" s="584"/>
      <c r="G57" s="584"/>
      <c r="H57" s="584"/>
    </row>
    <row r="58" spans="2:8" x14ac:dyDescent="0.25">
      <c r="B58" s="678"/>
      <c r="C58" s="583" t="s">
        <v>291</v>
      </c>
      <c r="D58" s="583"/>
      <c r="E58" s="583"/>
      <c r="F58" s="583"/>
      <c r="G58" s="583"/>
      <c r="H58" s="583"/>
    </row>
    <row r="60" spans="2:8" x14ac:dyDescent="0.25">
      <c r="B60" s="585" t="s">
        <v>298</v>
      </c>
      <c r="C60" s="586"/>
    </row>
    <row r="61" spans="2:8" x14ac:dyDescent="0.25">
      <c r="B61" s="580" t="s">
        <v>283</v>
      </c>
      <c r="C61" s="580" t="s">
        <v>282</v>
      </c>
      <c r="D61" s="581" t="s">
        <v>267</v>
      </c>
      <c r="E61" s="581" t="s">
        <v>268</v>
      </c>
      <c r="F61" s="581" t="s">
        <v>269</v>
      </c>
      <c r="G61" s="581" t="s">
        <v>270</v>
      </c>
      <c r="H61" s="581" t="s">
        <v>271</v>
      </c>
    </row>
    <row r="62" spans="2:8" x14ac:dyDescent="0.25">
      <c r="B62" s="677" t="s">
        <v>272</v>
      </c>
      <c r="C62" s="582" t="s">
        <v>273</v>
      </c>
      <c r="D62" s="584"/>
      <c r="E62" s="584"/>
      <c r="F62" s="584"/>
      <c r="G62" s="584"/>
      <c r="H62" s="584"/>
    </row>
    <row r="63" spans="2:8" x14ac:dyDescent="0.25">
      <c r="B63" s="678"/>
      <c r="C63" s="583" t="s">
        <v>278</v>
      </c>
      <c r="D63" s="583"/>
      <c r="E63" s="583"/>
      <c r="F63" s="583"/>
      <c r="G63" s="583"/>
      <c r="H63" s="583"/>
    </row>
    <row r="64" spans="2:8" x14ac:dyDescent="0.25">
      <c r="B64" s="678"/>
      <c r="C64" s="582" t="s">
        <v>274</v>
      </c>
      <c r="D64" s="584"/>
      <c r="E64" s="584"/>
      <c r="F64" s="584"/>
      <c r="G64" s="584"/>
      <c r="H64" s="584"/>
    </row>
    <row r="65" spans="2:8" x14ac:dyDescent="0.25">
      <c r="B65" s="678"/>
      <c r="C65" s="583" t="s">
        <v>279</v>
      </c>
      <c r="D65" s="583"/>
      <c r="E65" s="583"/>
      <c r="F65" s="583"/>
      <c r="G65" s="583"/>
      <c r="H65" s="583"/>
    </row>
    <row r="66" spans="2:8" x14ac:dyDescent="0.25">
      <c r="B66" s="677" t="s">
        <v>277</v>
      </c>
      <c r="C66" s="582" t="s">
        <v>275</v>
      </c>
      <c r="D66" s="584"/>
      <c r="E66" s="584"/>
      <c r="F66" s="584"/>
      <c r="G66" s="584"/>
      <c r="H66" s="584"/>
    </row>
    <row r="67" spans="2:8" x14ac:dyDescent="0.25">
      <c r="B67" s="678"/>
      <c r="C67" s="583" t="s">
        <v>280</v>
      </c>
      <c r="D67" s="583"/>
      <c r="E67" s="583"/>
      <c r="F67" s="583"/>
      <c r="G67" s="583"/>
      <c r="H67" s="583"/>
    </row>
    <row r="68" spans="2:8" x14ac:dyDescent="0.25">
      <c r="B68" s="678"/>
      <c r="C68" s="582" t="s">
        <v>276</v>
      </c>
      <c r="D68" s="584"/>
      <c r="E68" s="584"/>
      <c r="F68" s="584"/>
      <c r="G68" s="584"/>
      <c r="H68" s="584"/>
    </row>
    <row r="69" spans="2:8" x14ac:dyDescent="0.25">
      <c r="B69" s="678"/>
      <c r="C69" s="583" t="s">
        <v>281</v>
      </c>
      <c r="D69" s="583"/>
      <c r="E69" s="583"/>
      <c r="F69" s="583"/>
      <c r="G69" s="583"/>
      <c r="H69" s="583"/>
    </row>
    <row r="70" spans="2:8" x14ac:dyDescent="0.25">
      <c r="B70" s="677" t="s">
        <v>292</v>
      </c>
      <c r="C70" s="582" t="s">
        <v>284</v>
      </c>
      <c r="D70" s="584"/>
      <c r="E70" s="584"/>
      <c r="F70" s="584"/>
      <c r="G70" s="584"/>
      <c r="H70" s="584"/>
    </row>
    <row r="71" spans="2:8" x14ac:dyDescent="0.25">
      <c r="B71" s="678"/>
      <c r="C71" s="583" t="s">
        <v>285</v>
      </c>
      <c r="D71" s="583"/>
      <c r="E71" s="583"/>
      <c r="F71" s="583"/>
      <c r="G71" s="583"/>
      <c r="H71" s="583"/>
    </row>
    <row r="72" spans="2:8" x14ac:dyDescent="0.25">
      <c r="B72" s="677" t="s">
        <v>293</v>
      </c>
      <c r="C72" s="582" t="s">
        <v>286</v>
      </c>
      <c r="D72" s="584"/>
      <c r="E72" s="584"/>
      <c r="F72" s="584"/>
      <c r="G72" s="584"/>
      <c r="H72" s="584"/>
    </row>
    <row r="73" spans="2:8" x14ac:dyDescent="0.25">
      <c r="B73" s="678"/>
      <c r="C73" s="583" t="s">
        <v>287</v>
      </c>
      <c r="D73" s="583"/>
      <c r="E73" s="583"/>
      <c r="F73" s="583"/>
      <c r="G73" s="583"/>
      <c r="H73" s="583"/>
    </row>
    <row r="74" spans="2:8" x14ac:dyDescent="0.25">
      <c r="B74" s="677" t="s">
        <v>294</v>
      </c>
      <c r="C74" s="582" t="s">
        <v>289</v>
      </c>
      <c r="D74" s="584"/>
      <c r="E74" s="584"/>
      <c r="F74" s="584"/>
      <c r="G74" s="584"/>
      <c r="H74" s="584"/>
    </row>
    <row r="75" spans="2:8" x14ac:dyDescent="0.25">
      <c r="B75" s="678"/>
      <c r="C75" s="583" t="s">
        <v>288</v>
      </c>
      <c r="D75" s="583"/>
      <c r="E75" s="583"/>
      <c r="F75" s="583"/>
      <c r="G75" s="583"/>
      <c r="H75" s="583"/>
    </row>
    <row r="76" spans="2:8" x14ac:dyDescent="0.25">
      <c r="B76" s="677" t="s">
        <v>295</v>
      </c>
      <c r="C76" s="582" t="s">
        <v>290</v>
      </c>
      <c r="D76" s="584"/>
      <c r="E76" s="584"/>
      <c r="F76" s="584"/>
      <c r="G76" s="584"/>
      <c r="H76" s="584"/>
    </row>
    <row r="77" spans="2:8" x14ac:dyDescent="0.25">
      <c r="B77" s="678"/>
      <c r="C77" s="583" t="s">
        <v>291</v>
      </c>
      <c r="D77" s="583"/>
      <c r="E77" s="583"/>
      <c r="F77" s="583"/>
      <c r="G77" s="583"/>
      <c r="H77" s="583"/>
    </row>
    <row r="79" spans="2:8" x14ac:dyDescent="0.25">
      <c r="B79" s="585" t="s">
        <v>190</v>
      </c>
      <c r="C79" s="586"/>
    </row>
    <row r="80" spans="2:8" x14ac:dyDescent="0.25">
      <c r="B80" s="580" t="s">
        <v>283</v>
      </c>
      <c r="C80" s="580" t="s">
        <v>282</v>
      </c>
      <c r="D80" s="581" t="s">
        <v>267</v>
      </c>
      <c r="E80" s="581" t="s">
        <v>268</v>
      </c>
      <c r="F80" s="581" t="s">
        <v>269</v>
      </c>
      <c r="G80" s="581" t="s">
        <v>270</v>
      </c>
      <c r="H80" s="581" t="s">
        <v>271</v>
      </c>
    </row>
    <row r="81" spans="2:8" x14ac:dyDescent="0.25">
      <c r="B81" s="677" t="s">
        <v>272</v>
      </c>
      <c r="C81" s="582" t="s">
        <v>273</v>
      </c>
      <c r="D81" s="584"/>
      <c r="E81" s="584"/>
      <c r="F81" s="584"/>
      <c r="G81" s="584"/>
      <c r="H81" s="584"/>
    </row>
    <row r="82" spans="2:8" x14ac:dyDescent="0.25">
      <c r="B82" s="678"/>
      <c r="C82" s="583" t="s">
        <v>278</v>
      </c>
      <c r="D82" s="583"/>
      <c r="E82" s="583"/>
      <c r="F82" s="583"/>
      <c r="G82" s="583"/>
      <c r="H82" s="583"/>
    </row>
    <row r="83" spans="2:8" x14ac:dyDescent="0.25">
      <c r="B83" s="678"/>
      <c r="C83" s="582" t="s">
        <v>274</v>
      </c>
      <c r="D83" s="584"/>
      <c r="E83" s="584"/>
      <c r="F83" s="584"/>
      <c r="G83" s="584"/>
      <c r="H83" s="584"/>
    </row>
    <row r="84" spans="2:8" x14ac:dyDescent="0.25">
      <c r="B84" s="678"/>
      <c r="C84" s="583" t="s">
        <v>279</v>
      </c>
      <c r="D84" s="583"/>
      <c r="E84" s="583"/>
      <c r="F84" s="583"/>
      <c r="G84" s="583"/>
      <c r="H84" s="583"/>
    </row>
    <row r="85" spans="2:8" x14ac:dyDescent="0.25">
      <c r="B85" s="677" t="s">
        <v>277</v>
      </c>
      <c r="C85" s="582" t="s">
        <v>275</v>
      </c>
      <c r="D85" s="584"/>
      <c r="E85" s="584"/>
      <c r="F85" s="584"/>
      <c r="G85" s="584"/>
      <c r="H85" s="584"/>
    </row>
    <row r="86" spans="2:8" x14ac:dyDescent="0.25">
      <c r="B86" s="678"/>
      <c r="C86" s="583" t="s">
        <v>280</v>
      </c>
      <c r="D86" s="583"/>
      <c r="E86" s="583"/>
      <c r="F86" s="583"/>
      <c r="G86" s="583"/>
      <c r="H86" s="583"/>
    </row>
    <row r="87" spans="2:8" x14ac:dyDescent="0.25">
      <c r="B87" s="678"/>
      <c r="C87" s="582" t="s">
        <v>276</v>
      </c>
      <c r="D87" s="584"/>
      <c r="E87" s="584"/>
      <c r="F87" s="584"/>
      <c r="G87" s="584"/>
      <c r="H87" s="584"/>
    </row>
    <row r="88" spans="2:8" x14ac:dyDescent="0.25">
      <c r="B88" s="678"/>
      <c r="C88" s="583" t="s">
        <v>281</v>
      </c>
      <c r="D88" s="583"/>
      <c r="E88" s="583"/>
      <c r="F88" s="583"/>
      <c r="G88" s="583"/>
      <c r="H88" s="583"/>
    </row>
    <row r="89" spans="2:8" x14ac:dyDescent="0.25">
      <c r="B89" s="677" t="s">
        <v>292</v>
      </c>
      <c r="C89" s="582" t="s">
        <v>284</v>
      </c>
      <c r="D89" s="584"/>
      <c r="E89" s="584"/>
      <c r="F89" s="584"/>
      <c r="G89" s="584"/>
      <c r="H89" s="584"/>
    </row>
    <row r="90" spans="2:8" x14ac:dyDescent="0.25">
      <c r="B90" s="678"/>
      <c r="C90" s="583" t="s">
        <v>285</v>
      </c>
      <c r="D90" s="583"/>
      <c r="E90" s="583"/>
      <c r="F90" s="583"/>
      <c r="G90" s="583"/>
      <c r="H90" s="583"/>
    </row>
    <row r="91" spans="2:8" x14ac:dyDescent="0.25">
      <c r="B91" s="677" t="s">
        <v>293</v>
      </c>
      <c r="C91" s="582" t="s">
        <v>286</v>
      </c>
      <c r="D91" s="584"/>
      <c r="E91" s="584"/>
      <c r="F91" s="584"/>
      <c r="G91" s="584"/>
      <c r="H91" s="584"/>
    </row>
    <row r="92" spans="2:8" x14ac:dyDescent="0.25">
      <c r="B92" s="678"/>
      <c r="C92" s="583" t="s">
        <v>287</v>
      </c>
      <c r="D92" s="583"/>
      <c r="E92" s="583"/>
      <c r="F92" s="583"/>
      <c r="G92" s="583"/>
      <c r="H92" s="583"/>
    </row>
    <row r="93" spans="2:8" x14ac:dyDescent="0.25">
      <c r="B93" s="677" t="s">
        <v>294</v>
      </c>
      <c r="C93" s="582" t="s">
        <v>289</v>
      </c>
      <c r="D93" s="584"/>
      <c r="E93" s="584"/>
      <c r="F93" s="584"/>
      <c r="G93" s="584"/>
      <c r="H93" s="584"/>
    </row>
    <row r="94" spans="2:8" x14ac:dyDescent="0.25">
      <c r="B94" s="678"/>
      <c r="C94" s="583" t="s">
        <v>288</v>
      </c>
      <c r="D94" s="583"/>
      <c r="E94" s="583"/>
      <c r="F94" s="583"/>
      <c r="G94" s="583"/>
      <c r="H94" s="583"/>
    </row>
    <row r="95" spans="2:8" x14ac:dyDescent="0.25">
      <c r="B95" s="677" t="s">
        <v>295</v>
      </c>
      <c r="C95" s="582" t="s">
        <v>290</v>
      </c>
      <c r="D95" s="584"/>
      <c r="E95" s="584"/>
      <c r="F95" s="584"/>
      <c r="G95" s="584"/>
      <c r="H95" s="584"/>
    </row>
    <row r="96" spans="2:8" x14ac:dyDescent="0.25">
      <c r="B96" s="678"/>
      <c r="C96" s="583" t="s">
        <v>291</v>
      </c>
      <c r="D96" s="583"/>
      <c r="E96" s="583"/>
      <c r="F96" s="583"/>
      <c r="G96" s="583"/>
      <c r="H96" s="583"/>
    </row>
  </sheetData>
  <mergeCells count="31">
    <mergeCell ref="B19:B20"/>
    <mergeCell ref="B5:B8"/>
    <mergeCell ref="B9:B12"/>
    <mergeCell ref="B13:B14"/>
    <mergeCell ref="B15:B16"/>
    <mergeCell ref="B17:B18"/>
    <mergeCell ref="B43:B46"/>
    <mergeCell ref="B47:B50"/>
    <mergeCell ref="B51:B52"/>
    <mergeCell ref="B53:B54"/>
    <mergeCell ref="B24:B27"/>
    <mergeCell ref="B28:B31"/>
    <mergeCell ref="B32:B33"/>
    <mergeCell ref="B34:B35"/>
    <mergeCell ref="B36:B37"/>
    <mergeCell ref="B89:B90"/>
    <mergeCell ref="B91:B92"/>
    <mergeCell ref="B93:B94"/>
    <mergeCell ref="B95:B96"/>
    <mergeCell ref="B4:C4"/>
    <mergeCell ref="B72:B73"/>
    <mergeCell ref="B74:B75"/>
    <mergeCell ref="B76:B77"/>
    <mergeCell ref="B81:B84"/>
    <mergeCell ref="B85:B88"/>
    <mergeCell ref="B55:B56"/>
    <mergeCell ref="B57:B58"/>
    <mergeCell ref="B62:B65"/>
    <mergeCell ref="B66:B69"/>
    <mergeCell ref="B70:B71"/>
    <mergeCell ref="B38:B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FAB8-72F1-40DE-9F9D-8B10DFBABC74}">
  <dimension ref="A2:R90"/>
  <sheetViews>
    <sheetView showGridLines="0" topLeftCell="B2" zoomScale="43" zoomScaleNormal="100" workbookViewId="0">
      <pane xSplit="2" ySplit="4" topLeftCell="D6" activePane="bottomRight" state="frozen"/>
      <selection activeCell="E34" sqref="E34"/>
      <selection pane="topRight" activeCell="E34" sqref="E34"/>
      <selection pane="bottomLeft" activeCell="E34" sqref="E34"/>
      <selection pane="bottomRight" activeCell="E34" sqref="E34"/>
    </sheetView>
  </sheetViews>
  <sheetFormatPr defaultRowHeight="13.8" outlineLevelRow="1" x14ac:dyDescent="0.25"/>
  <cols>
    <col min="1" max="1" width="15.3984375" customWidth="1"/>
    <col min="2" max="2" width="23" bestFit="1" customWidth="1"/>
    <col min="3" max="3" width="14.09765625" customWidth="1"/>
    <col min="4" max="4" width="17.796875" customWidth="1"/>
    <col min="5" max="5" width="17" customWidth="1"/>
    <col min="6" max="6" width="17.296875" customWidth="1"/>
    <col min="7" max="7" width="13.8984375" customWidth="1"/>
    <col min="8" max="8" width="16.796875" customWidth="1"/>
    <col min="9" max="9" width="11.59765625" customWidth="1"/>
    <col min="10" max="10" width="13.69921875" customWidth="1"/>
    <col min="11" max="11" width="13.296875" customWidth="1"/>
    <col min="12" max="12" width="9.69921875" customWidth="1"/>
    <col min="13" max="13" width="13.09765625" customWidth="1"/>
    <col min="14" max="14" width="14.796875" bestFit="1" customWidth="1"/>
    <col min="15" max="15" width="23.5" bestFit="1" customWidth="1"/>
    <col min="16" max="16" width="41.69921875" bestFit="1" customWidth="1"/>
    <col min="17" max="18" width="9.69921875" bestFit="1" customWidth="1"/>
  </cols>
  <sheetData>
    <row r="2" spans="1:18" x14ac:dyDescent="0.25">
      <c r="B2" s="55" t="s">
        <v>80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 spans="1:18" x14ac:dyDescent="0.25">
      <c r="D3" s="20">
        <v>2024</v>
      </c>
      <c r="E3" s="20">
        <v>2030</v>
      </c>
      <c r="F3" s="20">
        <v>2030</v>
      </c>
      <c r="G3" s="20"/>
      <c r="H3" s="20"/>
      <c r="I3" s="20"/>
      <c r="J3" s="20">
        <v>2030</v>
      </c>
      <c r="K3" s="20"/>
      <c r="L3" s="20"/>
      <c r="M3" s="20"/>
      <c r="N3" s="20"/>
    </row>
    <row r="4" spans="1:18" ht="45" customHeight="1" x14ac:dyDescent="0.25">
      <c r="B4" s="64" t="s">
        <v>24</v>
      </c>
      <c r="C4" s="65" t="s">
        <v>4</v>
      </c>
      <c r="D4" s="65" t="s">
        <v>57</v>
      </c>
      <c r="E4" s="65" t="s">
        <v>57</v>
      </c>
      <c r="F4" s="65" t="s">
        <v>58</v>
      </c>
      <c r="G4" s="66" t="s">
        <v>95</v>
      </c>
      <c r="H4" s="66" t="s">
        <v>60</v>
      </c>
      <c r="I4" s="65" t="s">
        <v>61</v>
      </c>
      <c r="J4" s="66" t="s">
        <v>62</v>
      </c>
      <c r="K4" s="66" t="s">
        <v>64</v>
      </c>
      <c r="L4" s="66" t="s">
        <v>94</v>
      </c>
      <c r="M4" s="66" t="s">
        <v>65</v>
      </c>
      <c r="N4" s="66" t="s">
        <v>65</v>
      </c>
      <c r="O4" s="68" t="s">
        <v>7</v>
      </c>
      <c r="P4" s="16"/>
      <c r="Q4" s="16"/>
      <c r="R4" s="16"/>
    </row>
    <row r="5" spans="1:18" x14ac:dyDescent="0.25">
      <c r="B5" s="22" t="s">
        <v>37</v>
      </c>
      <c r="C5" s="21"/>
      <c r="D5" s="21"/>
      <c r="E5" s="21"/>
      <c r="F5" s="45"/>
      <c r="G5" s="45"/>
      <c r="H5" s="45"/>
      <c r="I5" s="21"/>
      <c r="J5" s="45"/>
      <c r="K5" s="45"/>
      <c r="L5" s="45"/>
      <c r="M5" s="45"/>
      <c r="N5" s="45"/>
      <c r="O5" s="21"/>
      <c r="P5" s="16"/>
      <c r="Q5" s="16"/>
      <c r="R5" s="16"/>
    </row>
    <row r="6" spans="1:18" collapsed="1" x14ac:dyDescent="0.25">
      <c r="A6" t="str">
        <f>B6&amp;C6</f>
        <v>DealerNew Auto</v>
      </c>
      <c r="B6" s="15" t="s">
        <v>14</v>
      </c>
      <c r="C6" s="15" t="s">
        <v>27</v>
      </c>
      <c r="D6" s="31">
        <v>62</v>
      </c>
      <c r="E6" s="31">
        <v>74</v>
      </c>
      <c r="F6" s="107">
        <f>E6/12</f>
        <v>6.166666666666667</v>
      </c>
      <c r="G6" s="53">
        <f>360/60</f>
        <v>6</v>
      </c>
      <c r="H6" s="52">
        <f>E6/G6</f>
        <v>12.333333333333334</v>
      </c>
      <c r="I6" s="19">
        <v>0.9</v>
      </c>
      <c r="J6" s="106">
        <f>(E6)*I6</f>
        <v>66.600000000000009</v>
      </c>
      <c r="K6" s="42">
        <v>1</v>
      </c>
      <c r="L6" s="42"/>
      <c r="M6" s="52">
        <f>J6*K6</f>
        <v>66.600000000000009</v>
      </c>
      <c r="N6" s="61">
        <f>K6*L6</f>
        <v>0</v>
      </c>
      <c r="O6" s="15" t="s">
        <v>96</v>
      </c>
      <c r="P6" s="16"/>
      <c r="Q6" s="16"/>
      <c r="R6" s="16"/>
    </row>
    <row r="7" spans="1:18" x14ac:dyDescent="0.25">
      <c r="A7" t="str">
        <f t="shared" ref="A7:A15" si="0">B7&amp;C7</f>
        <v>DealerUsed Auto</v>
      </c>
      <c r="B7" s="15" t="s">
        <v>14</v>
      </c>
      <c r="C7" s="15" t="s">
        <v>28</v>
      </c>
      <c r="D7" s="31">
        <v>68</v>
      </c>
      <c r="E7" s="31">
        <v>90</v>
      </c>
      <c r="F7" s="107">
        <f>E7/12</f>
        <v>7.5</v>
      </c>
      <c r="G7" s="53">
        <f>365/45</f>
        <v>8.1111111111111107</v>
      </c>
      <c r="H7" s="52">
        <f t="shared" ref="H7:H11" si="1">E7/G7</f>
        <v>11.095890410958905</v>
      </c>
      <c r="I7" s="19">
        <v>0.9</v>
      </c>
      <c r="J7" s="106">
        <f t="shared" ref="J7:J17" si="2">(E7)*I7</f>
        <v>81</v>
      </c>
      <c r="K7" s="42">
        <v>1</v>
      </c>
      <c r="L7" s="42"/>
      <c r="M7" s="52">
        <f>J7*K7</f>
        <v>81</v>
      </c>
      <c r="N7" s="61">
        <f>K7*L7</f>
        <v>0</v>
      </c>
      <c r="O7" s="15" t="s">
        <v>96</v>
      </c>
      <c r="P7" s="16"/>
      <c r="Q7" s="16"/>
      <c r="R7" s="16"/>
    </row>
    <row r="8" spans="1:18" x14ac:dyDescent="0.25">
      <c r="A8" t="str">
        <f t="shared" si="0"/>
        <v>Independent dealersNew Auto</v>
      </c>
      <c r="B8" s="94" t="s">
        <v>99</v>
      </c>
      <c r="C8" s="15" t="s">
        <v>27</v>
      </c>
      <c r="D8" s="116">
        <f>85%*D6</f>
        <v>52.699999999999996</v>
      </c>
      <c r="E8" s="116">
        <f t="shared" ref="E8:E9" si="3">85%*E6</f>
        <v>62.9</v>
      </c>
      <c r="F8" s="114"/>
      <c r="G8" s="53">
        <f>360/60</f>
        <v>6</v>
      </c>
      <c r="H8" s="52">
        <f t="shared" si="1"/>
        <v>10.483333333333333</v>
      </c>
      <c r="I8" s="19">
        <v>0.9</v>
      </c>
      <c r="J8" s="106">
        <f t="shared" si="2"/>
        <v>56.61</v>
      </c>
      <c r="K8" s="102"/>
      <c r="L8" s="102"/>
      <c r="M8" s="104"/>
      <c r="N8" s="115"/>
      <c r="O8" s="94"/>
      <c r="P8" s="16"/>
      <c r="Q8" s="16"/>
      <c r="R8" s="16"/>
    </row>
    <row r="9" spans="1:18" x14ac:dyDescent="0.25">
      <c r="A9" t="str">
        <f t="shared" si="0"/>
        <v>Independent dealersUsed Auto</v>
      </c>
      <c r="B9" s="94" t="s">
        <v>99</v>
      </c>
      <c r="C9" s="15" t="s">
        <v>28</v>
      </c>
      <c r="D9" s="116">
        <f>85%*D7</f>
        <v>57.8</v>
      </c>
      <c r="E9" s="116">
        <f t="shared" si="3"/>
        <v>76.5</v>
      </c>
      <c r="F9" s="114"/>
      <c r="G9" s="53">
        <f>365/45</f>
        <v>8.1111111111111107</v>
      </c>
      <c r="H9" s="52">
        <f t="shared" si="1"/>
        <v>9.4315068493150687</v>
      </c>
      <c r="I9" s="19">
        <v>0.9</v>
      </c>
      <c r="J9" s="106">
        <f t="shared" si="2"/>
        <v>68.850000000000009</v>
      </c>
      <c r="K9" s="102"/>
      <c r="L9" s="102"/>
      <c r="M9" s="104"/>
      <c r="N9" s="115"/>
      <c r="O9" s="94"/>
      <c r="P9" s="16"/>
      <c r="Q9" s="16"/>
      <c r="R9" s="16"/>
    </row>
    <row r="10" spans="1:18" x14ac:dyDescent="0.25">
      <c r="A10" t="str">
        <f t="shared" si="0"/>
        <v>Dealers with OEMs captivesNew Auto</v>
      </c>
      <c r="B10" s="94" t="s">
        <v>98</v>
      </c>
      <c r="C10" s="15" t="s">
        <v>27</v>
      </c>
      <c r="D10" s="116">
        <f>D6-D8</f>
        <v>9.3000000000000043</v>
      </c>
      <c r="E10" s="116">
        <f t="shared" ref="E10:E11" si="4">E6-E8</f>
        <v>11.100000000000001</v>
      </c>
      <c r="F10" s="114"/>
      <c r="G10" s="53">
        <f>360/60</f>
        <v>6</v>
      </c>
      <c r="H10" s="52">
        <f t="shared" si="1"/>
        <v>1.8500000000000003</v>
      </c>
      <c r="I10" s="19">
        <v>0.9</v>
      </c>
      <c r="J10" s="106">
        <f t="shared" si="2"/>
        <v>9.990000000000002</v>
      </c>
      <c r="K10" s="102"/>
      <c r="L10" s="102"/>
      <c r="M10" s="104"/>
      <c r="N10" s="115"/>
      <c r="O10" s="94"/>
      <c r="P10" s="16"/>
      <c r="Q10" s="16"/>
      <c r="R10" s="16"/>
    </row>
    <row r="11" spans="1:18" x14ac:dyDescent="0.25">
      <c r="A11" t="str">
        <f t="shared" si="0"/>
        <v>Dealers with OEMs captivesUsed Auto</v>
      </c>
      <c r="B11" s="94" t="s">
        <v>98</v>
      </c>
      <c r="C11" s="15" t="s">
        <v>28</v>
      </c>
      <c r="D11" s="116">
        <f t="shared" ref="D11" si="5">D7-D9</f>
        <v>10.200000000000003</v>
      </c>
      <c r="E11" s="116">
        <f t="shared" si="4"/>
        <v>13.5</v>
      </c>
      <c r="F11" s="114"/>
      <c r="G11" s="53">
        <f>365/45</f>
        <v>8.1111111111111107</v>
      </c>
      <c r="H11" s="52">
        <f t="shared" si="1"/>
        <v>1.6643835616438356</v>
      </c>
      <c r="I11" s="19">
        <v>0.9</v>
      </c>
      <c r="J11" s="106">
        <f t="shared" si="2"/>
        <v>12.15</v>
      </c>
      <c r="K11" s="102"/>
      <c r="L11" s="102"/>
      <c r="M11" s="104"/>
      <c r="N11" s="115"/>
      <c r="O11" s="94"/>
      <c r="P11" s="16"/>
      <c r="Q11" s="16"/>
      <c r="R11" s="16"/>
    </row>
    <row r="12" spans="1:18" ht="14.4" x14ac:dyDescent="0.3">
      <c r="A12" t="str">
        <f t="shared" si="0"/>
        <v>LeaseCosNew Auto</v>
      </c>
      <c r="B12" s="15" t="s">
        <v>36</v>
      </c>
      <c r="C12" s="15" t="s">
        <v>27</v>
      </c>
      <c r="D12" s="15">
        <v>45</v>
      </c>
      <c r="E12" s="15">
        <v>54</v>
      </c>
      <c r="F12" s="107">
        <f>E12/12</f>
        <v>4.5</v>
      </c>
      <c r="G12" s="53"/>
      <c r="H12" s="52"/>
      <c r="I12" s="19">
        <v>0.85</v>
      </c>
      <c r="J12" s="44">
        <f t="shared" si="2"/>
        <v>45.9</v>
      </c>
      <c r="K12" s="42"/>
      <c r="L12" s="42">
        <v>0.2</v>
      </c>
      <c r="M12" s="52">
        <f t="shared" ref="M12:N17" si="6">J12*K12</f>
        <v>0</v>
      </c>
      <c r="N12" s="61">
        <f t="shared" si="6"/>
        <v>0</v>
      </c>
      <c r="O12" s="38" t="s">
        <v>39</v>
      </c>
      <c r="P12" s="16"/>
      <c r="Q12" s="16"/>
      <c r="R12" s="16"/>
    </row>
    <row r="13" spans="1:18" ht="14.4" x14ac:dyDescent="0.3">
      <c r="A13" t="str">
        <f t="shared" si="0"/>
        <v>LeaseCosUsed Auto</v>
      </c>
      <c r="B13" s="15" t="s">
        <v>36</v>
      </c>
      <c r="C13" s="15" t="s">
        <v>28</v>
      </c>
      <c r="D13" s="15">
        <v>0</v>
      </c>
      <c r="E13" s="15">
        <v>0</v>
      </c>
      <c r="F13" s="107">
        <f t="shared" ref="F13:F19" si="7">E13/12</f>
        <v>0</v>
      </c>
      <c r="G13" s="53"/>
      <c r="H13" s="52"/>
      <c r="I13" s="19">
        <v>0.85</v>
      </c>
      <c r="J13" s="106">
        <f t="shared" si="2"/>
        <v>0</v>
      </c>
      <c r="K13" s="42"/>
      <c r="L13" s="42">
        <v>0.2</v>
      </c>
      <c r="M13" s="52">
        <f t="shared" si="6"/>
        <v>0</v>
      </c>
      <c r="N13" s="61">
        <f t="shared" si="6"/>
        <v>0</v>
      </c>
      <c r="O13" s="38" t="s">
        <v>39</v>
      </c>
      <c r="P13" s="16"/>
      <c r="Q13" s="16"/>
      <c r="R13" s="16"/>
    </row>
    <row r="14" spans="1:18" ht="14.4" x14ac:dyDescent="0.3">
      <c r="A14" t="str">
        <f t="shared" si="0"/>
        <v>RACNew Auto</v>
      </c>
      <c r="B14" s="15" t="s">
        <v>32</v>
      </c>
      <c r="C14" s="15" t="s">
        <v>27</v>
      </c>
      <c r="D14" s="15">
        <v>26</v>
      </c>
      <c r="E14" s="15">
        <v>31</v>
      </c>
      <c r="F14" s="107">
        <f t="shared" si="7"/>
        <v>2.5833333333333335</v>
      </c>
      <c r="G14" s="53"/>
      <c r="H14" s="52"/>
      <c r="I14" s="19">
        <v>0.8</v>
      </c>
      <c r="J14" s="106">
        <f t="shared" si="2"/>
        <v>24.8</v>
      </c>
      <c r="K14" s="42"/>
      <c r="L14" s="42">
        <v>0.3</v>
      </c>
      <c r="M14" s="52">
        <f t="shared" si="6"/>
        <v>0</v>
      </c>
      <c r="N14" s="61">
        <f t="shared" si="6"/>
        <v>0</v>
      </c>
      <c r="O14" s="38"/>
      <c r="P14" s="16"/>
      <c r="Q14" s="16"/>
      <c r="R14" s="16"/>
    </row>
    <row r="15" spans="1:18" ht="14.4" x14ac:dyDescent="0.3">
      <c r="A15" t="str">
        <f t="shared" si="0"/>
        <v>RACUsed Auto</v>
      </c>
      <c r="B15" s="15" t="s">
        <v>32</v>
      </c>
      <c r="C15" s="15" t="s">
        <v>28</v>
      </c>
      <c r="D15" s="15">
        <v>14</v>
      </c>
      <c r="E15" s="15">
        <v>16</v>
      </c>
      <c r="F15" s="107">
        <f t="shared" si="7"/>
        <v>1.3333333333333333</v>
      </c>
      <c r="G15" s="53"/>
      <c r="H15" s="52"/>
      <c r="I15" s="19">
        <v>0.8</v>
      </c>
      <c r="J15" s="106">
        <f t="shared" si="2"/>
        <v>12.8</v>
      </c>
      <c r="K15" s="42"/>
      <c r="L15" s="42">
        <v>0.3</v>
      </c>
      <c r="M15" s="52">
        <f t="shared" si="6"/>
        <v>0</v>
      </c>
      <c r="N15" s="61">
        <f t="shared" si="6"/>
        <v>0</v>
      </c>
      <c r="O15" s="38"/>
      <c r="P15" s="16"/>
      <c r="Q15" s="16"/>
      <c r="R15" s="16"/>
    </row>
    <row r="16" spans="1:18" ht="14.4" hidden="1" outlineLevel="1" x14ac:dyDescent="0.3">
      <c r="A16" s="10" t="s">
        <v>40</v>
      </c>
      <c r="B16" s="15" t="s">
        <v>32</v>
      </c>
      <c r="C16" s="15" t="s">
        <v>27</v>
      </c>
      <c r="D16" s="15">
        <f>ROUND(30%*D14,0)</f>
        <v>8</v>
      </c>
      <c r="E16" s="15"/>
      <c r="F16" s="107">
        <f t="shared" si="7"/>
        <v>0</v>
      </c>
      <c r="G16" s="53">
        <f t="shared" ref="G16:G17" si="8">360/30</f>
        <v>12</v>
      </c>
      <c r="H16" s="52"/>
      <c r="I16" s="19">
        <v>0.35</v>
      </c>
      <c r="J16" s="106">
        <f t="shared" si="2"/>
        <v>0</v>
      </c>
      <c r="K16" s="42"/>
      <c r="L16" s="42"/>
      <c r="M16" s="61">
        <f t="shared" si="6"/>
        <v>0</v>
      </c>
      <c r="N16" s="61">
        <f t="shared" si="6"/>
        <v>0</v>
      </c>
      <c r="O16" s="15"/>
      <c r="P16" s="16"/>
      <c r="Q16" s="16"/>
      <c r="R16" s="16"/>
    </row>
    <row r="17" spans="1:18" ht="14.4" hidden="1" outlineLevel="1" x14ac:dyDescent="0.3">
      <c r="A17" s="10" t="s">
        <v>40</v>
      </c>
      <c r="B17" s="15" t="s">
        <v>32</v>
      </c>
      <c r="C17" s="15" t="s">
        <v>28</v>
      </c>
      <c r="D17" s="15">
        <f>ROUND(30%*D15,0)</f>
        <v>4</v>
      </c>
      <c r="E17" s="15"/>
      <c r="F17" s="107">
        <f t="shared" si="7"/>
        <v>0</v>
      </c>
      <c r="G17" s="53">
        <f t="shared" si="8"/>
        <v>12</v>
      </c>
      <c r="H17" s="52"/>
      <c r="I17" s="19">
        <v>0.35</v>
      </c>
      <c r="J17" s="106">
        <f t="shared" si="2"/>
        <v>0</v>
      </c>
      <c r="K17" s="42"/>
      <c r="L17" s="42"/>
      <c r="M17" s="61">
        <f t="shared" si="6"/>
        <v>0</v>
      </c>
      <c r="N17" s="61">
        <f t="shared" si="6"/>
        <v>0</v>
      </c>
      <c r="O17" s="15"/>
      <c r="P17" s="16"/>
      <c r="Q17" s="16"/>
      <c r="R17" s="16"/>
    </row>
    <row r="18" spans="1:18" hidden="1" outlineLevel="1" collapsed="1" x14ac:dyDescent="0.25">
      <c r="B18" s="15" t="s">
        <v>38</v>
      </c>
      <c r="C18" s="15" t="s">
        <v>27</v>
      </c>
      <c r="D18" s="15">
        <v>4</v>
      </c>
      <c r="E18" s="15">
        <v>4</v>
      </c>
      <c r="F18" s="107">
        <f t="shared" si="7"/>
        <v>0.33333333333333331</v>
      </c>
      <c r="G18" s="32"/>
      <c r="H18" s="52"/>
      <c r="I18" s="18">
        <v>0.2</v>
      </c>
      <c r="J18" s="106"/>
      <c r="K18" s="34"/>
      <c r="L18" s="34"/>
      <c r="M18" s="34"/>
      <c r="N18" s="34"/>
      <c r="O18" s="15"/>
      <c r="P18" s="16"/>
      <c r="Q18" s="16"/>
      <c r="R18" s="16"/>
    </row>
    <row r="19" spans="1:18" hidden="1" outlineLevel="1" x14ac:dyDescent="0.25">
      <c r="B19" s="24" t="s">
        <v>38</v>
      </c>
      <c r="C19" s="24" t="s">
        <v>28</v>
      </c>
      <c r="D19" s="24">
        <v>2</v>
      </c>
      <c r="E19" s="24">
        <v>2</v>
      </c>
      <c r="F19" s="108">
        <f t="shared" si="7"/>
        <v>0.16666666666666666</v>
      </c>
      <c r="G19" s="24"/>
      <c r="H19" s="52"/>
      <c r="I19" s="35">
        <v>0.2</v>
      </c>
      <c r="J19" s="106"/>
      <c r="K19" s="35"/>
      <c r="L19" s="35"/>
      <c r="M19" s="35"/>
      <c r="N19" s="35"/>
      <c r="O19" s="24"/>
      <c r="P19" s="16"/>
      <c r="Q19" s="16"/>
      <c r="R19" s="16"/>
    </row>
    <row r="20" spans="1:18" collapsed="1" x14ac:dyDescent="0.25">
      <c r="B20" s="14" t="s">
        <v>15</v>
      </c>
      <c r="C20" s="14"/>
      <c r="D20" s="25">
        <f>SUM(D12:D19)</f>
        <v>103</v>
      </c>
      <c r="E20" s="25">
        <f>SUM(E12:E19)</f>
        <v>107</v>
      </c>
      <c r="F20" s="109">
        <f>SUM(F12:F19)</f>
        <v>8.9166666666666679</v>
      </c>
      <c r="G20" s="25"/>
      <c r="H20" s="25">
        <f>SUM(H6:H19)</f>
        <v>46.858447488584481</v>
      </c>
      <c r="I20" s="25"/>
      <c r="J20" s="25">
        <f>SUM(J8:J19)</f>
        <v>231.10000000000005</v>
      </c>
      <c r="K20" s="25"/>
      <c r="L20" s="25"/>
      <c r="M20" s="25">
        <f>SUM(M12:M19)</f>
        <v>0</v>
      </c>
      <c r="N20" s="25">
        <f>SUM(N12:N19)</f>
        <v>0</v>
      </c>
      <c r="O20" s="26"/>
      <c r="P20" s="16"/>
      <c r="Q20" s="16"/>
      <c r="R20" s="16"/>
    </row>
    <row r="21" spans="1:18" x14ac:dyDescent="0.25">
      <c r="B21" s="9"/>
      <c r="C21" s="9"/>
      <c r="D21" s="67"/>
      <c r="E21" s="67"/>
      <c r="F21" s="67"/>
      <c r="G21" s="67"/>
      <c r="H21" s="67"/>
      <c r="I21" s="67"/>
      <c r="J21" s="67"/>
      <c r="K21" s="67"/>
      <c r="O21" s="16"/>
      <c r="P21" s="16"/>
      <c r="Q21" s="16"/>
      <c r="R21" s="16"/>
    </row>
    <row r="22" spans="1:18" hidden="1" outlineLevel="1" x14ac:dyDescent="0.25">
      <c r="B22" s="45">
        <v>2024</v>
      </c>
      <c r="C22" s="45" t="s">
        <v>66</v>
      </c>
      <c r="D22" s="45" t="s">
        <v>66</v>
      </c>
      <c r="E22" s="45" t="s">
        <v>67</v>
      </c>
      <c r="F22" s="45" t="s">
        <v>67</v>
      </c>
    </row>
    <row r="23" spans="1:18" hidden="1" outlineLevel="1" x14ac:dyDescent="0.25">
      <c r="B23" s="47" t="s">
        <v>0</v>
      </c>
      <c r="C23" s="47" t="s">
        <v>27</v>
      </c>
      <c r="D23" s="47" t="s">
        <v>28</v>
      </c>
      <c r="E23" s="47" t="s">
        <v>27</v>
      </c>
      <c r="F23" s="47" t="s">
        <v>28</v>
      </c>
      <c r="G23" s="68" t="s">
        <v>63</v>
      </c>
    </row>
    <row r="24" spans="1:18" hidden="1" outlineLevel="1" x14ac:dyDescent="0.25">
      <c r="B24" s="69" t="s">
        <v>31</v>
      </c>
      <c r="C24" s="45"/>
      <c r="D24" s="45"/>
      <c r="E24" s="45"/>
      <c r="F24" s="45"/>
      <c r="G24" s="21"/>
    </row>
    <row r="25" spans="1:18" ht="14.4" hidden="1" outlineLevel="1" x14ac:dyDescent="0.3">
      <c r="B25" s="32" t="s">
        <v>2</v>
      </c>
      <c r="C25" s="53">
        <v>15000</v>
      </c>
      <c r="D25" s="53">
        <v>9500</v>
      </c>
      <c r="E25" s="33">
        <f>C25/(1+30%)</f>
        <v>11538.461538461537</v>
      </c>
      <c r="F25" s="33">
        <f t="shared" ref="F25:F29" si="9">D25/(1+30%)</f>
        <v>7307.6923076923076</v>
      </c>
      <c r="G25" s="70" t="s">
        <v>68</v>
      </c>
    </row>
    <row r="26" spans="1:18" ht="14.4" hidden="1" outlineLevel="1" x14ac:dyDescent="0.3">
      <c r="B26" s="32" t="s">
        <v>33</v>
      </c>
      <c r="C26" s="53">
        <v>0</v>
      </c>
      <c r="D26" s="53">
        <v>5000</v>
      </c>
      <c r="E26" s="33">
        <f t="shared" ref="E26:E29" si="10">C26/(1+30%)</f>
        <v>0</v>
      </c>
      <c r="F26" s="33">
        <f t="shared" si="9"/>
        <v>3846.1538461538462</v>
      </c>
      <c r="G26" s="70" t="s">
        <v>68</v>
      </c>
    </row>
    <row r="27" spans="1:18" ht="14.4" hidden="1" outlineLevel="1" x14ac:dyDescent="0.3">
      <c r="B27" s="32" t="s">
        <v>34</v>
      </c>
      <c r="C27" s="53"/>
      <c r="D27" s="53"/>
      <c r="E27" s="33"/>
      <c r="F27" s="33"/>
      <c r="G27" s="60"/>
    </row>
    <row r="28" spans="1:18" ht="14.4" hidden="1" outlineLevel="1" x14ac:dyDescent="0.3">
      <c r="B28" s="32" t="s">
        <v>46</v>
      </c>
      <c r="C28" s="53">
        <v>25000</v>
      </c>
      <c r="D28" s="53">
        <v>13000</v>
      </c>
      <c r="E28" s="33">
        <f t="shared" si="10"/>
        <v>19230.76923076923</v>
      </c>
      <c r="F28" s="33">
        <f t="shared" si="9"/>
        <v>10000</v>
      </c>
      <c r="G28" s="70" t="s">
        <v>68</v>
      </c>
    </row>
    <row r="29" spans="1:18" ht="14.4" hidden="1" outlineLevel="1" x14ac:dyDescent="0.3">
      <c r="B29" s="32" t="s">
        <v>69</v>
      </c>
      <c r="C29" s="53"/>
      <c r="D29" s="53"/>
      <c r="E29" s="33">
        <f t="shared" si="10"/>
        <v>0</v>
      </c>
      <c r="F29" s="33">
        <f t="shared" si="9"/>
        <v>0</v>
      </c>
      <c r="G29" s="70" t="s">
        <v>68</v>
      </c>
    </row>
    <row r="30" spans="1:18" collapsed="1" x14ac:dyDescent="0.25"/>
    <row r="31" spans="1:18" x14ac:dyDescent="0.25">
      <c r="B31" s="55" t="s">
        <v>82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</row>
    <row r="32" spans="1:18" x14ac:dyDescent="0.25">
      <c r="C32" s="56">
        <v>2024</v>
      </c>
      <c r="D32" s="56"/>
      <c r="E32" s="56"/>
      <c r="F32" s="56"/>
      <c r="G32" s="56"/>
    </row>
    <row r="33" spans="1:18" x14ac:dyDescent="0.25">
      <c r="B33" s="54" t="s">
        <v>0</v>
      </c>
      <c r="C33" s="46" t="s">
        <v>4</v>
      </c>
      <c r="D33" s="46" t="s">
        <v>24</v>
      </c>
      <c r="E33" s="46"/>
      <c r="F33" s="46"/>
      <c r="G33" s="76" t="s">
        <v>7</v>
      </c>
    </row>
    <row r="34" spans="1:18" x14ac:dyDescent="0.25">
      <c r="B34" s="22" t="s">
        <v>35</v>
      </c>
      <c r="C34" s="21"/>
      <c r="D34" s="21" t="s">
        <v>36</v>
      </c>
      <c r="E34" s="21" t="s">
        <v>32</v>
      </c>
      <c r="F34" s="21" t="s">
        <v>99</v>
      </c>
      <c r="G34" s="21" t="s">
        <v>98</v>
      </c>
      <c r="H34" s="21"/>
      <c r="Q34" s="16"/>
      <c r="R34" s="16"/>
    </row>
    <row r="35" spans="1:18" ht="14.4" x14ac:dyDescent="0.3">
      <c r="A35" s="113" t="str">
        <f>B35&amp;C35</f>
        <v>Floor planNew Auto</v>
      </c>
      <c r="B35" s="15" t="s">
        <v>33</v>
      </c>
      <c r="C35" s="15" t="s">
        <v>27</v>
      </c>
      <c r="D35" s="19">
        <v>0</v>
      </c>
      <c r="E35" s="19">
        <v>0</v>
      </c>
      <c r="F35" s="101">
        <v>0.4</v>
      </c>
      <c r="G35" s="19">
        <v>0.7</v>
      </c>
      <c r="H35" s="10" t="s">
        <v>42</v>
      </c>
      <c r="R35" s="16"/>
    </row>
    <row r="36" spans="1:18" x14ac:dyDescent="0.25">
      <c r="A36" s="113" t="str">
        <f t="shared" ref="A36:A46" si="11">B36&amp;C36</f>
        <v>Floor planUsed Auto</v>
      </c>
      <c r="B36" s="15" t="s">
        <v>33</v>
      </c>
      <c r="C36" s="15" t="s">
        <v>28</v>
      </c>
      <c r="D36" s="110">
        <v>0</v>
      </c>
      <c r="E36" s="19">
        <v>0</v>
      </c>
      <c r="F36" s="101">
        <v>0</v>
      </c>
      <c r="G36" s="19">
        <v>0.4</v>
      </c>
      <c r="H36" s="15"/>
      <c r="Q36" s="16"/>
      <c r="R36" s="16"/>
    </row>
    <row r="37" spans="1:18" x14ac:dyDescent="0.25">
      <c r="A37" s="113" t="str">
        <f t="shared" si="11"/>
        <v>Stock financeNew Auto</v>
      </c>
      <c r="B37" s="15" t="s">
        <v>34</v>
      </c>
      <c r="C37" s="15" t="s">
        <v>27</v>
      </c>
      <c r="D37" s="19">
        <v>0</v>
      </c>
      <c r="E37" s="19">
        <v>0</v>
      </c>
      <c r="F37" s="101">
        <v>0.15</v>
      </c>
      <c r="G37" s="19">
        <v>0.05</v>
      </c>
      <c r="H37" s="15"/>
      <c r="Q37" s="16"/>
      <c r="R37" s="16"/>
    </row>
    <row r="38" spans="1:18" x14ac:dyDescent="0.25">
      <c r="A38" s="113" t="str">
        <f t="shared" si="11"/>
        <v>Stock financeUsed Auto</v>
      </c>
      <c r="B38" s="15" t="s">
        <v>34</v>
      </c>
      <c r="C38" s="15" t="s">
        <v>28</v>
      </c>
      <c r="D38" s="110">
        <v>0</v>
      </c>
      <c r="E38" s="19">
        <v>0</v>
      </c>
      <c r="F38" s="101">
        <v>0.25</v>
      </c>
      <c r="G38" s="19">
        <v>0.05</v>
      </c>
      <c r="H38" s="15"/>
      <c r="Q38" s="16"/>
      <c r="R38" s="16"/>
    </row>
    <row r="39" spans="1:18" x14ac:dyDescent="0.25">
      <c r="A39" s="113" t="str">
        <f t="shared" si="11"/>
        <v>LoanNew Auto</v>
      </c>
      <c r="B39" s="15" t="s">
        <v>43</v>
      </c>
      <c r="C39" s="15" t="s">
        <v>27</v>
      </c>
      <c r="D39" s="18">
        <v>0.3</v>
      </c>
      <c r="E39" s="19">
        <v>0.25</v>
      </c>
      <c r="F39" s="101">
        <v>0.15</v>
      </c>
      <c r="G39" s="18">
        <v>0.05</v>
      </c>
      <c r="H39" s="15"/>
      <c r="Q39" s="16"/>
      <c r="R39" s="16"/>
    </row>
    <row r="40" spans="1:18" x14ac:dyDescent="0.25">
      <c r="A40" s="113" t="str">
        <f t="shared" si="11"/>
        <v>LoanUsed Auto</v>
      </c>
      <c r="B40" s="15" t="s">
        <v>43</v>
      </c>
      <c r="C40" s="15" t="s">
        <v>28</v>
      </c>
      <c r="D40" s="18">
        <v>0</v>
      </c>
      <c r="E40" s="19">
        <v>0.4</v>
      </c>
      <c r="F40" s="101">
        <v>0.4</v>
      </c>
      <c r="G40" s="18">
        <v>0.3</v>
      </c>
      <c r="H40" s="15"/>
      <c r="J40" s="117"/>
      <c r="Q40" s="16"/>
      <c r="R40" s="16"/>
    </row>
    <row r="41" spans="1:18" x14ac:dyDescent="0.25">
      <c r="A41" s="113" t="str">
        <f t="shared" si="11"/>
        <v>Financial leaseNew Auto</v>
      </c>
      <c r="B41" s="15" t="s">
        <v>29</v>
      </c>
      <c r="C41" s="15" t="s">
        <v>27</v>
      </c>
      <c r="D41" s="18">
        <v>0.6</v>
      </c>
      <c r="E41" s="19">
        <v>0.5</v>
      </c>
      <c r="F41" s="101">
        <v>0.15</v>
      </c>
      <c r="G41" s="18">
        <v>0</v>
      </c>
      <c r="H41" s="15"/>
      <c r="Q41" s="16"/>
      <c r="R41" s="16"/>
    </row>
    <row r="42" spans="1:18" x14ac:dyDescent="0.25">
      <c r="A42" s="113" t="str">
        <f t="shared" si="11"/>
        <v>Financial leaseUsed Auto</v>
      </c>
      <c r="B42" s="15" t="s">
        <v>29</v>
      </c>
      <c r="C42" s="15" t="s">
        <v>28</v>
      </c>
      <c r="D42" s="110">
        <v>0</v>
      </c>
      <c r="E42" s="19">
        <v>0.2</v>
      </c>
      <c r="F42" s="101">
        <v>0</v>
      </c>
      <c r="G42" s="110">
        <v>0</v>
      </c>
      <c r="H42" s="15"/>
      <c r="Q42" s="16"/>
      <c r="R42" s="16"/>
    </row>
    <row r="43" spans="1:18" x14ac:dyDescent="0.25">
      <c r="A43" s="113" t="str">
        <f t="shared" si="11"/>
        <v>Operational leaseNew Auto</v>
      </c>
      <c r="B43" s="15" t="s">
        <v>30</v>
      </c>
      <c r="C43" s="15" t="s">
        <v>27</v>
      </c>
      <c r="D43" s="110">
        <v>0</v>
      </c>
      <c r="E43" s="19">
        <v>0</v>
      </c>
      <c r="F43" s="101">
        <v>0</v>
      </c>
      <c r="G43" s="110">
        <v>0</v>
      </c>
      <c r="H43" s="15"/>
      <c r="Q43" s="16"/>
      <c r="R43" s="16"/>
    </row>
    <row r="44" spans="1:18" x14ac:dyDescent="0.25">
      <c r="A44" s="113" t="str">
        <f t="shared" si="11"/>
        <v>Operational leaseUsed Auto</v>
      </c>
      <c r="B44" s="5" t="s">
        <v>30</v>
      </c>
      <c r="C44" s="5" t="s">
        <v>28</v>
      </c>
      <c r="D44" s="110">
        <v>0</v>
      </c>
      <c r="E44" s="19">
        <v>0</v>
      </c>
      <c r="F44" s="101">
        <v>0</v>
      </c>
      <c r="G44" s="110">
        <v>0</v>
      </c>
      <c r="H44" s="5"/>
      <c r="Q44" s="16"/>
      <c r="R44" s="16"/>
    </row>
    <row r="45" spans="1:18" x14ac:dyDescent="0.25">
      <c r="A45" s="113" t="str">
        <f t="shared" si="11"/>
        <v>Other fin productsNew Auto</v>
      </c>
      <c r="B45" s="15" t="s">
        <v>41</v>
      </c>
      <c r="C45" s="15" t="s">
        <v>27</v>
      </c>
      <c r="D45" s="18">
        <v>0.1</v>
      </c>
      <c r="E45" s="19">
        <v>0.25</v>
      </c>
      <c r="F45" s="101">
        <v>0.15</v>
      </c>
      <c r="G45" s="18">
        <v>0.2</v>
      </c>
      <c r="H45" s="15" t="s">
        <v>97</v>
      </c>
      <c r="Q45" s="16"/>
      <c r="R45" s="16"/>
    </row>
    <row r="46" spans="1:18" x14ac:dyDescent="0.25">
      <c r="A46" s="113" t="str">
        <f t="shared" si="11"/>
        <v>Other fin productsUsed Auto</v>
      </c>
      <c r="B46" s="36" t="s">
        <v>41</v>
      </c>
      <c r="C46" s="36" t="s">
        <v>28</v>
      </c>
      <c r="D46" s="13">
        <v>0</v>
      </c>
      <c r="E46" s="39">
        <v>0.4</v>
      </c>
      <c r="F46" s="119">
        <v>0.35</v>
      </c>
      <c r="G46" s="13">
        <v>0.25</v>
      </c>
      <c r="H46" s="36" t="s">
        <v>97</v>
      </c>
      <c r="Q46" s="16"/>
      <c r="R46" s="16"/>
    </row>
    <row r="47" spans="1:18" x14ac:dyDescent="0.25">
      <c r="B47" s="14" t="s">
        <v>15</v>
      </c>
      <c r="C47" s="14" t="s">
        <v>27</v>
      </c>
      <c r="D47" s="111">
        <f t="shared" ref="D47:F48" si="12">SUMIFS(D$35:D$46,$C$35:$C$46,$C47)</f>
        <v>0.99999999999999989</v>
      </c>
      <c r="E47" s="111">
        <f t="shared" si="12"/>
        <v>1</v>
      </c>
      <c r="F47" s="118">
        <f t="shared" si="12"/>
        <v>1</v>
      </c>
      <c r="G47" s="111">
        <f>SUMIFS(G$35:G$46,$C$35:$C$46,$C47)</f>
        <v>1</v>
      </c>
      <c r="H47" s="25"/>
      <c r="N47" s="25"/>
      <c r="O47" s="25"/>
      <c r="P47" s="11"/>
      <c r="Q47" s="16"/>
      <c r="R47" s="16"/>
    </row>
    <row r="48" spans="1:18" x14ac:dyDescent="0.25">
      <c r="B48" s="9" t="s">
        <v>15</v>
      </c>
      <c r="C48" s="14" t="s">
        <v>28</v>
      </c>
      <c r="D48" s="111">
        <f t="shared" si="12"/>
        <v>0</v>
      </c>
      <c r="E48" s="111">
        <f t="shared" si="12"/>
        <v>1</v>
      </c>
      <c r="F48" s="111">
        <f t="shared" si="12"/>
        <v>1</v>
      </c>
      <c r="G48" s="111">
        <f>SUMIFS(G$35:G$46,$C$35:$C$46,$C48)</f>
        <v>1</v>
      </c>
      <c r="H48" s="67"/>
      <c r="N48" s="67"/>
      <c r="O48" s="67"/>
      <c r="P48" s="6"/>
      <c r="Q48" s="16"/>
      <c r="R48" s="16"/>
    </row>
    <row r="50" spans="2:14" x14ac:dyDescent="0.25">
      <c r="B50" s="55" t="s">
        <v>81</v>
      </c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 spans="2:14" x14ac:dyDescent="0.25">
      <c r="C51" s="45">
        <v>2024</v>
      </c>
      <c r="D51" s="45"/>
      <c r="E51" s="45">
        <v>2030</v>
      </c>
      <c r="F51" s="45">
        <v>2030</v>
      </c>
      <c r="G51" s="45"/>
      <c r="H51" s="45"/>
      <c r="I51" s="45"/>
      <c r="J51" s="45"/>
    </row>
    <row r="52" spans="2:14" s="27" customFormat="1" x14ac:dyDescent="0.25">
      <c r="B52" s="47" t="s">
        <v>70</v>
      </c>
      <c r="C52" s="47" t="s">
        <v>2</v>
      </c>
      <c r="D52" s="47"/>
      <c r="E52" s="47" t="s">
        <v>2</v>
      </c>
      <c r="F52" s="47"/>
      <c r="G52" s="47" t="s">
        <v>33</v>
      </c>
      <c r="H52" s="47"/>
      <c r="I52" s="47" t="s">
        <v>34</v>
      </c>
      <c r="J52" s="47"/>
    </row>
    <row r="53" spans="2:14" s="27" customFormat="1" x14ac:dyDescent="0.25">
      <c r="B53" s="23" t="s">
        <v>31</v>
      </c>
      <c r="C53" s="45" t="s">
        <v>27</v>
      </c>
      <c r="D53" s="45" t="s">
        <v>28</v>
      </c>
      <c r="E53" s="45" t="s">
        <v>27</v>
      </c>
      <c r="F53" s="45" t="s">
        <v>28</v>
      </c>
      <c r="G53" s="45" t="s">
        <v>27</v>
      </c>
      <c r="H53" s="45" t="s">
        <v>28</v>
      </c>
      <c r="I53" s="45" t="s">
        <v>27</v>
      </c>
      <c r="J53" s="45" t="s">
        <v>28</v>
      </c>
    </row>
    <row r="54" spans="2:14" s="27" customFormat="1" x14ac:dyDescent="0.25">
      <c r="B54" s="23"/>
      <c r="C54" s="105"/>
      <c r="D54" s="105"/>
      <c r="E54" s="105"/>
      <c r="F54" s="105"/>
      <c r="G54" s="105"/>
      <c r="H54" s="105"/>
      <c r="I54" s="105"/>
      <c r="J54" s="105"/>
    </row>
    <row r="55" spans="2:14" s="27" customFormat="1" x14ac:dyDescent="0.25">
      <c r="B55" s="32" t="s">
        <v>19</v>
      </c>
      <c r="C55" s="63">
        <v>15000</v>
      </c>
      <c r="D55" s="63">
        <v>9500</v>
      </c>
      <c r="E55" s="112">
        <v>17395.401273193354</v>
      </c>
      <c r="F55" s="112">
        <v>11017.087473022457</v>
      </c>
      <c r="G55" s="53"/>
      <c r="H55" s="53"/>
      <c r="I55" s="53"/>
      <c r="J55" s="53"/>
    </row>
    <row r="56" spans="2:14" s="27" customFormat="1" x14ac:dyDescent="0.25">
      <c r="B56" s="32" t="s">
        <v>71</v>
      </c>
      <c r="C56" s="71">
        <v>7.8E-2</v>
      </c>
      <c r="D56" s="71">
        <v>0.11700000000000001</v>
      </c>
      <c r="E56" s="71">
        <v>7.8E-2</v>
      </c>
      <c r="F56" s="71">
        <v>0.11700000000000001</v>
      </c>
      <c r="G56" s="74">
        <v>7.8E-2</v>
      </c>
      <c r="H56" s="74">
        <v>0.11700000000000001</v>
      </c>
      <c r="I56" s="74">
        <v>7.8E-2</v>
      </c>
      <c r="J56" s="74">
        <v>0.11700000000000001</v>
      </c>
    </row>
    <row r="57" spans="2:14" s="27" customFormat="1" x14ac:dyDescent="0.25">
      <c r="B57" s="32" t="s">
        <v>72</v>
      </c>
      <c r="C57" s="71">
        <v>3.9E-2</v>
      </c>
      <c r="D57" s="71">
        <v>0.04</v>
      </c>
      <c r="E57" s="71">
        <v>3.9E-2</v>
      </c>
      <c r="F57" s="71">
        <v>0.04</v>
      </c>
      <c r="G57" s="74">
        <v>3.9E-2</v>
      </c>
      <c r="H57" s="74">
        <v>0.04</v>
      </c>
      <c r="I57" s="74">
        <v>3.9E-2</v>
      </c>
      <c r="J57" s="74">
        <v>0.04</v>
      </c>
    </row>
    <row r="58" spans="2:14" s="27" customFormat="1" x14ac:dyDescent="0.25">
      <c r="B58" s="32" t="s">
        <v>73</v>
      </c>
      <c r="C58" s="71">
        <v>8.0000000000000002E-3</v>
      </c>
      <c r="D58" s="71">
        <v>8.9999999999999993E-3</v>
      </c>
      <c r="E58" s="71">
        <v>8.0000000000000002E-3</v>
      </c>
      <c r="F58" s="71">
        <v>8.9999999999999993E-3</v>
      </c>
      <c r="G58" s="74">
        <v>8.0000000000000002E-3</v>
      </c>
      <c r="H58" s="74">
        <v>8.9999999999999993E-3</v>
      </c>
      <c r="I58" s="74">
        <v>8.0000000000000002E-3</v>
      </c>
      <c r="J58" s="74">
        <v>8.9999999999999993E-3</v>
      </c>
    </row>
    <row r="59" spans="2:14" s="27" customFormat="1" x14ac:dyDescent="0.25">
      <c r="B59" s="24" t="s">
        <v>74</v>
      </c>
      <c r="C59" s="72">
        <f>4.22222222222222</f>
        <v>4.2222222222222197</v>
      </c>
      <c r="D59" s="72">
        <f t="shared" ref="D59:F59" si="13">4.22222222222222</f>
        <v>4.2222222222222197</v>
      </c>
      <c r="E59" s="72">
        <f>4.22222222222222</f>
        <v>4.2222222222222197</v>
      </c>
      <c r="F59" s="72">
        <f t="shared" si="13"/>
        <v>4.2222222222222197</v>
      </c>
      <c r="G59" s="72">
        <f>90/360</f>
        <v>0.25</v>
      </c>
      <c r="H59" s="72">
        <f>90/360</f>
        <v>0.25</v>
      </c>
      <c r="I59" s="72"/>
      <c r="J59" s="72"/>
    </row>
    <row r="60" spans="2:14" s="27" customFormat="1" x14ac:dyDescent="0.25">
      <c r="B60" s="12" t="s">
        <v>75</v>
      </c>
      <c r="C60" s="73">
        <f>C61/C59</f>
        <v>232.5</v>
      </c>
      <c r="D60" s="73">
        <f t="shared" ref="D60" si="14">D61/D59</f>
        <v>323.00000000000011</v>
      </c>
      <c r="E60" s="73">
        <f>E61/E59</f>
        <v>269.628719734497</v>
      </c>
      <c r="F60" s="73">
        <f t="shared" ref="F60" si="15">F61/F59</f>
        <v>374.58097408276365</v>
      </c>
      <c r="G60" s="73">
        <f>G61/G59</f>
        <v>0</v>
      </c>
      <c r="H60" s="73">
        <f>H61/H59</f>
        <v>0</v>
      </c>
      <c r="I60" s="73" t="e">
        <f>I61/I59</f>
        <v>#DIV/0!</v>
      </c>
      <c r="J60" s="73" t="e">
        <f t="shared" ref="J60" si="16">J61/J59</f>
        <v>#DIV/0!</v>
      </c>
    </row>
    <row r="61" spans="2:14" s="27" customFormat="1" x14ac:dyDescent="0.25">
      <c r="B61" s="14" t="s">
        <v>76</v>
      </c>
      <c r="C61" s="25">
        <f t="shared" ref="C61:D61" si="17">C55*(C56-C57-C58)*C59/2</f>
        <v>981.66666666666606</v>
      </c>
      <c r="D61" s="25">
        <f t="shared" si="17"/>
        <v>1363.7777777777774</v>
      </c>
      <c r="E61" s="25">
        <f t="shared" ref="E61:F61" si="18">E55*(E56-E57-E58)*E59/2</f>
        <v>1138.4323722123199</v>
      </c>
      <c r="F61" s="25">
        <f t="shared" si="18"/>
        <v>1581.56411279389</v>
      </c>
      <c r="G61" s="25">
        <f>G55*(G56-G57-G58)*G59/2</f>
        <v>0</v>
      </c>
      <c r="H61" s="25">
        <f>H55*(H56-H57-H58)*H59/2</f>
        <v>0</v>
      </c>
      <c r="I61" s="25">
        <f>I55*(I56-I57-I58)*I59/2</f>
        <v>0</v>
      </c>
      <c r="J61" s="25">
        <f>J55*(J56-J57-J58)*J59/2</f>
        <v>0</v>
      </c>
    </row>
    <row r="62" spans="2:14" s="27" customFormat="1" x14ac:dyDescent="0.25">
      <c r="B62" s="9"/>
      <c r="C62" s="67"/>
      <c r="D62" s="67"/>
      <c r="E62" s="67"/>
      <c r="F62" s="67"/>
      <c r="G62" s="67"/>
      <c r="H62" s="67"/>
    </row>
    <row r="63" spans="2:14" s="27" customFormat="1" x14ac:dyDescent="0.25">
      <c r="C63" s="45">
        <v>2024</v>
      </c>
      <c r="D63" s="45"/>
      <c r="E63" s="67"/>
      <c r="F63" s="67"/>
      <c r="G63" s="67"/>
      <c r="H63" s="67"/>
    </row>
    <row r="64" spans="2:14" s="27" customFormat="1" x14ac:dyDescent="0.25">
      <c r="B64" s="47" t="s">
        <v>70</v>
      </c>
      <c r="C64" s="47" t="s">
        <v>13</v>
      </c>
      <c r="D64" s="47"/>
      <c r="E64" s="67"/>
      <c r="F64" s="67"/>
      <c r="G64" s="67"/>
      <c r="H64" s="67"/>
    </row>
    <row r="65" spans="2:18" s="27" customFormat="1" x14ac:dyDescent="0.25">
      <c r="B65" s="69" t="s">
        <v>31</v>
      </c>
      <c r="C65" s="45" t="s">
        <v>27</v>
      </c>
      <c r="D65" s="45" t="s">
        <v>28</v>
      </c>
      <c r="E65" s="67"/>
      <c r="F65" s="67"/>
      <c r="G65" s="67"/>
      <c r="H65" s="67"/>
    </row>
    <row r="66" spans="2:18" s="27" customFormat="1" x14ac:dyDescent="0.25">
      <c r="B66" s="32" t="s">
        <v>77</v>
      </c>
      <c r="C66" s="75">
        <v>375</v>
      </c>
      <c r="D66" s="75">
        <v>200</v>
      </c>
      <c r="E66" s="67"/>
      <c r="F66" s="67"/>
      <c r="G66" s="67"/>
      <c r="H66" s="67"/>
    </row>
    <row r="67" spans="2:18" s="27" customFormat="1" x14ac:dyDescent="0.25">
      <c r="B67" s="32" t="s">
        <v>78</v>
      </c>
      <c r="C67" s="75">
        <v>375</v>
      </c>
      <c r="D67" s="75">
        <v>200</v>
      </c>
      <c r="E67" s="67"/>
      <c r="F67" s="67"/>
      <c r="G67" s="67"/>
      <c r="H67" s="67"/>
    </row>
    <row r="68" spans="2:18" s="27" customFormat="1" x14ac:dyDescent="0.25">
      <c r="B68" s="32" t="s">
        <v>79</v>
      </c>
      <c r="C68" s="75">
        <v>250</v>
      </c>
      <c r="D68" s="75">
        <v>150</v>
      </c>
      <c r="E68" s="67"/>
      <c r="F68" s="67"/>
      <c r="G68" s="67"/>
      <c r="H68" s="67"/>
    </row>
    <row r="69" spans="2:18" s="27" customFormat="1" x14ac:dyDescent="0.25">
      <c r="B69" s="24" t="s">
        <v>74</v>
      </c>
      <c r="C69" s="72">
        <v>3.5</v>
      </c>
      <c r="D69" s="72">
        <v>3.5</v>
      </c>
      <c r="E69" s="67"/>
      <c r="F69" s="67"/>
      <c r="G69" s="67"/>
      <c r="H69" s="67"/>
    </row>
    <row r="70" spans="2:18" s="27" customFormat="1" x14ac:dyDescent="0.25">
      <c r="B70" s="12" t="s">
        <v>75</v>
      </c>
      <c r="C70" s="73">
        <f>SUM(C66:C68)</f>
        <v>1000</v>
      </c>
      <c r="D70" s="73">
        <f>SUM(D66:D68)</f>
        <v>550</v>
      </c>
      <c r="E70" s="67"/>
      <c r="F70" s="67"/>
      <c r="G70" s="67"/>
      <c r="H70" s="67"/>
    </row>
    <row r="71" spans="2:18" s="27" customFormat="1" x14ac:dyDescent="0.25">
      <c r="B71" s="14" t="s">
        <v>76</v>
      </c>
      <c r="C71" s="25">
        <f>C70*C69</f>
        <v>3500</v>
      </c>
      <c r="D71" s="25">
        <f>D70*D69</f>
        <v>1925</v>
      </c>
      <c r="E71" s="67"/>
      <c r="F71" s="67"/>
      <c r="G71" s="67"/>
      <c r="H71" s="67"/>
    </row>
    <row r="72" spans="2:18" x14ac:dyDescent="0.25">
      <c r="B72" s="9"/>
      <c r="C72" s="9"/>
      <c r="D72" s="67"/>
      <c r="E72" s="67"/>
      <c r="F72" s="67"/>
      <c r="G72" s="67"/>
      <c r="H72" s="67"/>
      <c r="I72" s="67"/>
      <c r="J72" s="67"/>
      <c r="K72" s="67"/>
      <c r="O72" s="16"/>
      <c r="P72" s="16"/>
      <c r="Q72" s="16"/>
      <c r="R72" s="16"/>
    </row>
    <row r="73" spans="2:18" x14ac:dyDescent="0.25">
      <c r="B73" s="55" t="s">
        <v>83</v>
      </c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</row>
    <row r="74" spans="2:18" x14ac:dyDescent="0.25">
      <c r="B74" s="37"/>
      <c r="C74" s="45">
        <v>2024</v>
      </c>
      <c r="D74" s="45" t="s">
        <v>59</v>
      </c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16"/>
      <c r="P74" s="16"/>
      <c r="Q74" s="16"/>
      <c r="R74" s="16"/>
    </row>
    <row r="75" spans="2:18" ht="41.4" x14ac:dyDescent="0.25">
      <c r="B75" s="54" t="s">
        <v>0</v>
      </c>
      <c r="C75" s="46" t="s">
        <v>4</v>
      </c>
      <c r="D75" s="47" t="s">
        <v>36</v>
      </c>
      <c r="E75" s="47" t="s">
        <v>32</v>
      </c>
      <c r="F75" s="47" t="s">
        <v>99</v>
      </c>
      <c r="G75" s="66" t="s">
        <v>98</v>
      </c>
      <c r="H75" s="66"/>
      <c r="I75" s="66" t="s">
        <v>60</v>
      </c>
      <c r="J75" s="65" t="s">
        <v>61</v>
      </c>
      <c r="K75" s="66" t="s">
        <v>62</v>
      </c>
      <c r="L75" s="66" t="s">
        <v>64</v>
      </c>
      <c r="M75" s="66" t="s">
        <v>65</v>
      </c>
      <c r="N75" s="68" t="s">
        <v>7</v>
      </c>
    </row>
    <row r="76" spans="2:18" x14ac:dyDescent="0.25">
      <c r="B76" s="22" t="s">
        <v>100</v>
      </c>
      <c r="C76" s="21"/>
      <c r="D76" s="21"/>
      <c r="E76" s="45"/>
      <c r="F76" s="45"/>
      <c r="G76" s="45"/>
      <c r="H76" s="45"/>
      <c r="I76" s="45"/>
      <c r="J76" s="21"/>
      <c r="K76" s="45"/>
      <c r="L76" s="45"/>
      <c r="M76" s="45"/>
      <c r="N76" s="21"/>
    </row>
    <row r="77" spans="2:18" x14ac:dyDescent="0.25">
      <c r="B77" s="15" t="s">
        <v>33</v>
      </c>
      <c r="C77" s="15" t="s">
        <v>27</v>
      </c>
      <c r="D77" s="31">
        <f>INDEX($A$34:$G$46,MATCH($B77&amp;$C77,$A$34:$A$46,0),MATCH(D$75,$A$34:$G$34,0))*_xlfn.XLOOKUP(D$75&amp;$C77,$A$6:$A$15,$J$6:$J$15,0,0)</f>
        <v>0</v>
      </c>
      <c r="E77" s="31">
        <f t="shared" ref="E77:G88" si="19">INDEX($A$34:$G$46,MATCH($B77&amp;$C77,$A$34:$A$46,0),MATCH(E$75,$A$34:$G$34,0))*_xlfn.XLOOKUP(E$75&amp;$C77,$A$6:$A$15,$J$6:$J$15,0,0)</f>
        <v>0</v>
      </c>
      <c r="F77" s="31">
        <f t="shared" si="19"/>
        <v>22.644000000000002</v>
      </c>
      <c r="G77" s="31">
        <f t="shared" si="19"/>
        <v>6.9930000000000012</v>
      </c>
      <c r="H77" s="15"/>
      <c r="I77" s="15"/>
      <c r="J77" s="15"/>
      <c r="K77" s="15"/>
      <c r="L77" s="15"/>
      <c r="M77" s="15"/>
      <c r="N77" s="15" t="s">
        <v>39</v>
      </c>
    </row>
    <row r="78" spans="2:18" x14ac:dyDescent="0.25">
      <c r="B78" s="15" t="s">
        <v>33</v>
      </c>
      <c r="C78" s="15" t="s">
        <v>28</v>
      </c>
      <c r="D78" s="31">
        <f t="shared" ref="D78:D88" si="20">INDEX($A$34:$G$46,MATCH($B78&amp;$C78,$A$34:$A$46,0),MATCH(D$75,$A$34:$G$34,0))*_xlfn.XLOOKUP(D$75&amp;$C78,$A$6:$A$15,$J$6:$J$15,0,0)</f>
        <v>0</v>
      </c>
      <c r="E78" s="31">
        <f t="shared" si="19"/>
        <v>0</v>
      </c>
      <c r="F78" s="31">
        <f t="shared" si="19"/>
        <v>0</v>
      </c>
      <c r="G78" s="31">
        <f t="shared" si="19"/>
        <v>4.8600000000000003</v>
      </c>
      <c r="H78" s="15"/>
      <c r="I78" s="15"/>
      <c r="J78" s="15"/>
      <c r="K78" s="15"/>
      <c r="L78" s="15"/>
      <c r="M78" s="15"/>
      <c r="N78" s="15" t="s">
        <v>39</v>
      </c>
    </row>
    <row r="79" spans="2:18" x14ac:dyDescent="0.25">
      <c r="B79" s="15" t="s">
        <v>34</v>
      </c>
      <c r="C79" s="15" t="s">
        <v>27</v>
      </c>
      <c r="D79" s="31">
        <f t="shared" si="20"/>
        <v>0</v>
      </c>
      <c r="E79" s="31">
        <f t="shared" si="19"/>
        <v>0</v>
      </c>
      <c r="F79" s="31">
        <f t="shared" si="19"/>
        <v>8.4915000000000003</v>
      </c>
      <c r="G79" s="31">
        <f t="shared" si="19"/>
        <v>0.49950000000000011</v>
      </c>
      <c r="H79" s="15"/>
      <c r="I79" s="15"/>
      <c r="J79" s="15"/>
      <c r="K79" s="15"/>
      <c r="L79" s="15"/>
      <c r="M79" s="15"/>
      <c r="N79" s="15"/>
    </row>
    <row r="80" spans="2:18" x14ac:dyDescent="0.25">
      <c r="B80" s="15" t="s">
        <v>34</v>
      </c>
      <c r="C80" s="15" t="s">
        <v>28</v>
      </c>
      <c r="D80" s="31">
        <f t="shared" si="20"/>
        <v>0</v>
      </c>
      <c r="E80" s="31">
        <f t="shared" si="19"/>
        <v>0</v>
      </c>
      <c r="F80" s="31">
        <f t="shared" si="19"/>
        <v>17.212500000000002</v>
      </c>
      <c r="G80" s="31">
        <f t="shared" si="19"/>
        <v>0.60750000000000004</v>
      </c>
      <c r="H80" s="15"/>
      <c r="I80" s="15"/>
      <c r="J80" s="15"/>
      <c r="K80" s="15"/>
      <c r="L80" s="15"/>
      <c r="M80" s="15"/>
      <c r="N80" s="15"/>
    </row>
    <row r="81" spans="2:18" outlineLevel="1" x14ac:dyDescent="0.25">
      <c r="B81" s="15" t="s">
        <v>43</v>
      </c>
      <c r="C81" s="15" t="s">
        <v>27</v>
      </c>
      <c r="D81" s="31">
        <f t="shared" si="20"/>
        <v>13.77</v>
      </c>
      <c r="E81" s="31">
        <f t="shared" si="19"/>
        <v>6.2</v>
      </c>
      <c r="F81" s="31">
        <f t="shared" si="19"/>
        <v>8.4915000000000003</v>
      </c>
      <c r="G81" s="31">
        <f t="shared" si="19"/>
        <v>0.49950000000000011</v>
      </c>
      <c r="H81" s="15"/>
      <c r="I81" s="15"/>
      <c r="J81" s="15"/>
      <c r="K81" s="15"/>
      <c r="L81" s="15"/>
      <c r="M81" s="15"/>
      <c r="N81" s="15"/>
    </row>
    <row r="82" spans="2:18" outlineLevel="1" x14ac:dyDescent="0.25">
      <c r="B82" s="15" t="s">
        <v>43</v>
      </c>
      <c r="C82" s="15" t="s">
        <v>28</v>
      </c>
      <c r="D82" s="31">
        <f t="shared" si="20"/>
        <v>0</v>
      </c>
      <c r="E82" s="31">
        <f t="shared" si="19"/>
        <v>5.120000000000001</v>
      </c>
      <c r="F82" s="31">
        <f t="shared" si="19"/>
        <v>27.540000000000006</v>
      </c>
      <c r="G82" s="31">
        <f t="shared" si="19"/>
        <v>3.645</v>
      </c>
      <c r="H82" s="15"/>
      <c r="I82" s="15"/>
      <c r="J82" s="15"/>
      <c r="K82" s="15"/>
      <c r="L82" s="15"/>
      <c r="M82" s="15"/>
      <c r="N82" s="15"/>
    </row>
    <row r="83" spans="2:18" x14ac:dyDescent="0.25">
      <c r="B83" s="15" t="s">
        <v>29</v>
      </c>
      <c r="C83" s="15" t="s">
        <v>27</v>
      </c>
      <c r="D83" s="31">
        <f t="shared" si="20"/>
        <v>27.54</v>
      </c>
      <c r="E83" s="31">
        <f t="shared" si="19"/>
        <v>12.4</v>
      </c>
      <c r="F83" s="31">
        <f t="shared" si="19"/>
        <v>8.4915000000000003</v>
      </c>
      <c r="G83" s="31">
        <f t="shared" si="19"/>
        <v>0</v>
      </c>
      <c r="H83" s="15"/>
      <c r="I83" s="15"/>
      <c r="J83" s="15"/>
      <c r="K83" s="15"/>
      <c r="L83" s="15"/>
      <c r="M83" s="15"/>
      <c r="N83" s="15"/>
    </row>
    <row r="84" spans="2:18" x14ac:dyDescent="0.25">
      <c r="B84" s="15" t="s">
        <v>29</v>
      </c>
      <c r="C84" s="15" t="s">
        <v>28</v>
      </c>
      <c r="D84" s="31">
        <f t="shared" si="20"/>
        <v>0</v>
      </c>
      <c r="E84" s="31">
        <f t="shared" si="19"/>
        <v>2.5600000000000005</v>
      </c>
      <c r="F84" s="31">
        <f t="shared" si="19"/>
        <v>0</v>
      </c>
      <c r="G84" s="31">
        <f t="shared" si="19"/>
        <v>0</v>
      </c>
      <c r="H84" s="15"/>
      <c r="I84" s="15"/>
      <c r="J84" s="15"/>
      <c r="K84" s="15"/>
      <c r="L84" s="15"/>
      <c r="M84" s="15"/>
      <c r="N84" s="15"/>
    </row>
    <row r="85" spans="2:18" x14ac:dyDescent="0.25">
      <c r="B85" s="15" t="s">
        <v>30</v>
      </c>
      <c r="C85" s="15" t="s">
        <v>27</v>
      </c>
      <c r="D85" s="31">
        <f t="shared" si="20"/>
        <v>0</v>
      </c>
      <c r="E85" s="31">
        <f t="shared" si="19"/>
        <v>0</v>
      </c>
      <c r="F85" s="31">
        <f t="shared" si="19"/>
        <v>0</v>
      </c>
      <c r="G85" s="31">
        <f t="shared" si="19"/>
        <v>0</v>
      </c>
      <c r="H85" s="15"/>
      <c r="I85" s="15"/>
      <c r="J85" s="15"/>
      <c r="K85" s="15"/>
      <c r="L85" s="15"/>
      <c r="M85" s="15"/>
      <c r="N85" s="15"/>
    </row>
    <row r="86" spans="2:18" x14ac:dyDescent="0.25">
      <c r="B86" s="5" t="s">
        <v>30</v>
      </c>
      <c r="C86" s="5" t="s">
        <v>28</v>
      </c>
      <c r="D86" s="31">
        <f t="shared" si="20"/>
        <v>0</v>
      </c>
      <c r="E86" s="31">
        <f t="shared" si="19"/>
        <v>0</v>
      </c>
      <c r="F86" s="31">
        <f t="shared" si="19"/>
        <v>0</v>
      </c>
      <c r="G86" s="31">
        <f t="shared" si="19"/>
        <v>0</v>
      </c>
      <c r="H86" s="5"/>
      <c r="I86" s="5"/>
      <c r="J86" s="5"/>
      <c r="K86" s="5"/>
      <c r="L86" s="5"/>
      <c r="M86" s="5"/>
      <c r="N86" s="5"/>
    </row>
    <row r="87" spans="2:18" x14ac:dyDescent="0.25">
      <c r="B87" s="15" t="s">
        <v>41</v>
      </c>
      <c r="C87" s="15" t="s">
        <v>27</v>
      </c>
      <c r="D87" s="31">
        <f t="shared" si="20"/>
        <v>4.59</v>
      </c>
      <c r="E87" s="31">
        <f t="shared" si="19"/>
        <v>6.2</v>
      </c>
      <c r="F87" s="31">
        <f t="shared" si="19"/>
        <v>8.4915000000000003</v>
      </c>
      <c r="G87" s="31">
        <f t="shared" si="19"/>
        <v>1.9980000000000004</v>
      </c>
      <c r="H87" s="15"/>
      <c r="I87" s="15"/>
      <c r="J87" s="15"/>
      <c r="K87" s="15"/>
      <c r="L87" s="15"/>
      <c r="M87" s="15"/>
      <c r="N87" s="15"/>
      <c r="O87" s="27"/>
      <c r="P87" s="27"/>
      <c r="Q87" s="27"/>
      <c r="R87" s="27"/>
    </row>
    <row r="88" spans="2:18" x14ac:dyDescent="0.25">
      <c r="B88" s="36" t="s">
        <v>41</v>
      </c>
      <c r="C88" s="36" t="s">
        <v>28</v>
      </c>
      <c r="D88" s="31">
        <f t="shared" si="20"/>
        <v>0</v>
      </c>
      <c r="E88" s="31">
        <f t="shared" si="19"/>
        <v>5.120000000000001</v>
      </c>
      <c r="F88" s="31">
        <f t="shared" si="19"/>
        <v>24.0975</v>
      </c>
      <c r="G88" s="31">
        <f t="shared" si="19"/>
        <v>3.0375000000000001</v>
      </c>
      <c r="H88" s="36"/>
      <c r="I88" s="36"/>
      <c r="J88" s="36"/>
      <c r="K88" s="36"/>
      <c r="L88" s="36"/>
      <c r="M88" s="36"/>
      <c r="N88" s="36"/>
    </row>
    <row r="89" spans="2:18" x14ac:dyDescent="0.25">
      <c r="B89" s="14" t="s">
        <v>15</v>
      </c>
      <c r="C89" s="14" t="s">
        <v>27</v>
      </c>
      <c r="D89" s="25">
        <f>SUMIFS(D$77:D$88,$C$77:$C$88,$C89)</f>
        <v>45.900000000000006</v>
      </c>
      <c r="E89" s="25">
        <f t="shared" ref="E89:G90" si="21">SUMIFS(E$77:E$88,$C$77:$C$88,$C89)</f>
        <v>24.8</v>
      </c>
      <c r="F89" s="25">
        <f t="shared" si="21"/>
        <v>56.610000000000007</v>
      </c>
      <c r="G89" s="25">
        <f t="shared" si="21"/>
        <v>9.990000000000002</v>
      </c>
      <c r="H89" s="14"/>
      <c r="I89" s="14"/>
      <c r="J89" s="14"/>
      <c r="K89" s="14"/>
      <c r="L89" s="14"/>
      <c r="M89" s="14"/>
      <c r="N89" s="14"/>
    </row>
    <row r="90" spans="2:18" x14ac:dyDescent="0.25">
      <c r="B90" s="9" t="s">
        <v>15</v>
      </c>
      <c r="C90" s="14" t="s">
        <v>28</v>
      </c>
      <c r="D90" s="25">
        <f t="shared" ref="D90" si="22">SUMIFS(D$77:D$88,$C$77:$C$88,$C90)</f>
        <v>0</v>
      </c>
      <c r="E90" s="25">
        <f t="shared" si="21"/>
        <v>12.800000000000002</v>
      </c>
      <c r="F90" s="25">
        <f t="shared" si="21"/>
        <v>68.850000000000009</v>
      </c>
      <c r="G90" s="25">
        <f t="shared" si="21"/>
        <v>12.15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E5E3-1A0A-4DDB-BA70-C6FED997F77F}">
  <dimension ref="B2:L58"/>
  <sheetViews>
    <sheetView showGridLines="0" topLeftCell="A5" zoomScale="60" workbookViewId="0">
      <selection activeCell="E34" sqref="E34"/>
    </sheetView>
  </sheetViews>
  <sheetFormatPr defaultRowHeight="13.8" x14ac:dyDescent="0.25"/>
  <cols>
    <col min="1" max="1" width="6.296875" customWidth="1"/>
    <col min="2" max="2" width="16.19921875" customWidth="1"/>
    <col min="3" max="3" width="10.69921875" customWidth="1"/>
    <col min="4" max="5" width="12.59765625" customWidth="1"/>
    <col min="6" max="6" width="11.3984375" customWidth="1"/>
    <col min="7" max="8" width="12.69921875" customWidth="1"/>
    <col min="9" max="9" width="12" customWidth="1"/>
    <col min="10" max="10" width="11.69921875" customWidth="1"/>
    <col min="11" max="11" width="23.09765625" customWidth="1"/>
  </cols>
  <sheetData>
    <row r="2" spans="2:12" x14ac:dyDescent="0.25">
      <c r="B2" s="123" t="s">
        <v>110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</row>
    <row r="4" spans="2:12" ht="46.05" customHeight="1" x14ac:dyDescent="0.25">
      <c r="B4" s="120" t="s">
        <v>0</v>
      </c>
      <c r="C4" s="120" t="s">
        <v>101</v>
      </c>
      <c r="D4" s="120" t="s">
        <v>102</v>
      </c>
      <c r="E4" s="120" t="s">
        <v>114</v>
      </c>
      <c r="F4" s="120" t="s">
        <v>103</v>
      </c>
      <c r="G4" s="120" t="s">
        <v>104</v>
      </c>
      <c r="H4" s="120" t="s">
        <v>113</v>
      </c>
      <c r="I4" s="120" t="s">
        <v>20</v>
      </c>
      <c r="J4" s="120" t="s">
        <v>115</v>
      </c>
      <c r="K4" s="120" t="s">
        <v>105</v>
      </c>
      <c r="L4" s="122" t="s">
        <v>7</v>
      </c>
    </row>
    <row r="5" spans="2:12" x14ac:dyDescent="0.25">
      <c r="B5" s="124" t="s">
        <v>111</v>
      </c>
      <c r="C5" s="124"/>
      <c r="D5" s="124" t="s">
        <v>112</v>
      </c>
      <c r="E5" s="124" t="s">
        <v>112</v>
      </c>
      <c r="F5" s="124" t="s">
        <v>25</v>
      </c>
      <c r="G5" s="124" t="s">
        <v>112</v>
      </c>
      <c r="H5" s="124" t="s">
        <v>44</v>
      </c>
      <c r="I5" s="124" t="s">
        <v>44</v>
      </c>
      <c r="J5" s="124" t="s">
        <v>44</v>
      </c>
      <c r="K5" s="124"/>
      <c r="L5" s="105"/>
    </row>
    <row r="6" spans="2:12" x14ac:dyDescent="0.25">
      <c r="B6" s="94" t="s">
        <v>33</v>
      </c>
      <c r="C6" s="94" t="s">
        <v>49</v>
      </c>
      <c r="D6" s="94">
        <v>20</v>
      </c>
      <c r="E6" s="94"/>
      <c r="F6" s="94">
        <v>15</v>
      </c>
      <c r="G6" s="94"/>
      <c r="H6" s="94"/>
      <c r="I6" s="94"/>
      <c r="J6" s="94"/>
      <c r="K6" s="94"/>
      <c r="L6" s="94"/>
    </row>
    <row r="7" spans="2:12" x14ac:dyDescent="0.25">
      <c r="B7" s="94" t="s">
        <v>33</v>
      </c>
      <c r="C7" s="94"/>
      <c r="D7" s="94"/>
      <c r="E7" s="94"/>
      <c r="F7" s="94"/>
      <c r="G7" s="94"/>
      <c r="H7" s="94"/>
      <c r="I7" s="94"/>
      <c r="J7" s="94"/>
      <c r="K7" s="94"/>
      <c r="L7" s="94"/>
    </row>
    <row r="8" spans="2:12" x14ac:dyDescent="0.25">
      <c r="B8" s="94" t="s">
        <v>33</v>
      </c>
      <c r="C8" s="94"/>
      <c r="D8" s="94"/>
      <c r="E8" s="94"/>
      <c r="F8" s="94"/>
      <c r="G8" s="94"/>
      <c r="H8" s="94"/>
      <c r="I8" s="94"/>
      <c r="J8" s="94"/>
      <c r="K8" s="94"/>
      <c r="L8" s="94"/>
    </row>
    <row r="9" spans="2:12" x14ac:dyDescent="0.25">
      <c r="B9" s="94" t="s">
        <v>33</v>
      </c>
      <c r="C9" s="94"/>
      <c r="D9" s="94"/>
      <c r="E9" s="94"/>
      <c r="F9" s="94"/>
      <c r="G9" s="94"/>
      <c r="H9" s="94"/>
      <c r="I9" s="94"/>
      <c r="J9" s="94"/>
      <c r="K9" s="94"/>
      <c r="L9" s="94"/>
    </row>
    <row r="10" spans="2:12" x14ac:dyDescent="0.25">
      <c r="B10" s="94" t="s">
        <v>33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</row>
    <row r="11" spans="2:12" x14ac:dyDescent="0.25">
      <c r="B11" s="94" t="s">
        <v>33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</row>
    <row r="12" spans="2:12" x14ac:dyDescent="0.25">
      <c r="B12" s="94" t="s">
        <v>33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</row>
    <row r="13" spans="2:12" x14ac:dyDescent="0.25">
      <c r="B13" s="94" t="s">
        <v>33</v>
      </c>
      <c r="C13" s="94"/>
      <c r="D13" s="94"/>
      <c r="E13" s="94"/>
      <c r="F13" s="94"/>
      <c r="G13" s="94"/>
      <c r="H13" s="94"/>
      <c r="I13" s="94"/>
      <c r="J13" s="94"/>
      <c r="K13" s="94"/>
      <c r="L13" s="94"/>
    </row>
    <row r="14" spans="2:12" x14ac:dyDescent="0.25">
      <c r="B14" s="94" t="s">
        <v>33</v>
      </c>
      <c r="C14" s="94"/>
      <c r="D14" s="94"/>
      <c r="E14" s="94"/>
      <c r="F14" s="94"/>
      <c r="G14" s="94"/>
      <c r="H14" s="94"/>
      <c r="I14" s="94"/>
      <c r="J14" s="94"/>
      <c r="K14" s="94"/>
      <c r="L14" s="94"/>
    </row>
    <row r="15" spans="2:12" x14ac:dyDescent="0.25">
      <c r="B15" s="94" t="s">
        <v>33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</row>
    <row r="16" spans="2:12" x14ac:dyDescent="0.25">
      <c r="B16" s="94" t="s">
        <v>33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</row>
    <row r="17" spans="2:12" x14ac:dyDescent="0.25">
      <c r="B17" s="94" t="s">
        <v>33</v>
      </c>
      <c r="C17" s="94"/>
      <c r="D17" s="94"/>
      <c r="E17" s="94"/>
      <c r="F17" s="94"/>
      <c r="G17" s="94"/>
      <c r="H17" s="94"/>
      <c r="I17" s="94"/>
      <c r="J17" s="94"/>
      <c r="K17" s="94"/>
      <c r="L17" s="94"/>
    </row>
    <row r="18" spans="2:12" x14ac:dyDescent="0.25">
      <c r="B18" s="94" t="s">
        <v>33</v>
      </c>
      <c r="C18" s="94"/>
      <c r="D18" s="94"/>
      <c r="E18" s="94"/>
      <c r="F18" s="94"/>
      <c r="G18" s="94"/>
      <c r="H18" s="94"/>
      <c r="I18" s="94"/>
      <c r="J18" s="94"/>
      <c r="K18" s="94"/>
      <c r="L18" s="94"/>
    </row>
    <row r="19" spans="2:12" x14ac:dyDescent="0.25">
      <c r="B19" s="94" t="s">
        <v>33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</row>
    <row r="20" spans="2:12" x14ac:dyDescent="0.25">
      <c r="B20" s="121" t="s">
        <v>33</v>
      </c>
      <c r="C20" s="121"/>
      <c r="D20" s="121"/>
      <c r="E20" s="121"/>
      <c r="F20" s="121"/>
      <c r="G20" s="121"/>
      <c r="H20" s="121"/>
      <c r="I20" s="121"/>
      <c r="J20" s="121"/>
      <c r="K20" s="121"/>
      <c r="L20" s="121"/>
    </row>
    <row r="21" spans="2:12" x14ac:dyDescent="0.25">
      <c r="B21" s="6"/>
    </row>
    <row r="23" spans="2:12" ht="41.4" x14ac:dyDescent="0.25">
      <c r="B23" s="120" t="s">
        <v>0</v>
      </c>
      <c r="C23" s="120" t="s">
        <v>106</v>
      </c>
      <c r="D23" s="120" t="s">
        <v>102</v>
      </c>
      <c r="E23" s="120" t="s">
        <v>114</v>
      </c>
      <c r="F23" s="120" t="s">
        <v>103</v>
      </c>
      <c r="G23" s="120" t="s">
        <v>104</v>
      </c>
      <c r="H23" s="120" t="s">
        <v>113</v>
      </c>
      <c r="I23" s="120" t="s">
        <v>20</v>
      </c>
      <c r="J23" s="120" t="s">
        <v>115</v>
      </c>
      <c r="K23" s="120" t="s">
        <v>107</v>
      </c>
      <c r="L23" s="122" t="s">
        <v>7</v>
      </c>
    </row>
    <row r="24" spans="2:12" x14ac:dyDescent="0.25">
      <c r="B24" s="124" t="s">
        <v>111</v>
      </c>
      <c r="C24" s="124"/>
      <c r="D24" s="124" t="s">
        <v>112</v>
      </c>
      <c r="E24" s="124" t="s">
        <v>112</v>
      </c>
      <c r="F24" s="124" t="s">
        <v>25</v>
      </c>
      <c r="G24" s="124" t="s">
        <v>112</v>
      </c>
      <c r="H24" s="124" t="s">
        <v>44</v>
      </c>
      <c r="I24" s="124" t="s">
        <v>44</v>
      </c>
      <c r="J24" s="124" t="s">
        <v>44</v>
      </c>
      <c r="K24" s="124"/>
      <c r="L24" s="105"/>
    </row>
    <row r="25" spans="2:12" x14ac:dyDescent="0.25">
      <c r="B25" s="94" t="s">
        <v>34</v>
      </c>
      <c r="C25" s="94"/>
      <c r="D25" s="94"/>
      <c r="E25" s="94"/>
      <c r="F25" s="94"/>
      <c r="G25" s="94"/>
      <c r="H25" s="94"/>
      <c r="I25" s="94"/>
      <c r="J25" s="94"/>
      <c r="K25" s="94"/>
      <c r="L25" s="94"/>
    </row>
    <row r="26" spans="2:12" x14ac:dyDescent="0.25">
      <c r="B26" s="94" t="s">
        <v>34</v>
      </c>
      <c r="C26" s="94"/>
      <c r="D26" s="94"/>
      <c r="E26" s="94"/>
      <c r="F26" s="94"/>
      <c r="G26" s="94"/>
      <c r="H26" s="94"/>
      <c r="I26" s="94"/>
      <c r="J26" s="94"/>
      <c r="K26" s="94"/>
      <c r="L26" s="94"/>
    </row>
    <row r="27" spans="2:12" x14ac:dyDescent="0.25">
      <c r="B27" s="94" t="s">
        <v>34</v>
      </c>
      <c r="C27" s="94"/>
      <c r="D27" s="94"/>
      <c r="E27" s="94"/>
      <c r="F27" s="94"/>
      <c r="G27" s="94"/>
      <c r="H27" s="94"/>
      <c r="I27" s="94"/>
      <c r="J27" s="94"/>
      <c r="K27" s="94"/>
      <c r="L27" s="94"/>
    </row>
    <row r="28" spans="2:12" x14ac:dyDescent="0.25">
      <c r="B28" s="94" t="s">
        <v>34</v>
      </c>
      <c r="C28" s="94"/>
      <c r="D28" s="94"/>
      <c r="E28" s="94"/>
      <c r="F28" s="94"/>
      <c r="G28" s="94"/>
      <c r="H28" s="94"/>
      <c r="I28" s="94"/>
      <c r="J28" s="94"/>
      <c r="K28" s="94"/>
      <c r="L28" s="94"/>
    </row>
    <row r="29" spans="2:12" x14ac:dyDescent="0.25">
      <c r="B29" s="94" t="s">
        <v>34</v>
      </c>
      <c r="C29" s="94"/>
      <c r="D29" s="94"/>
      <c r="E29" s="94"/>
      <c r="F29" s="94"/>
      <c r="G29" s="94"/>
      <c r="H29" s="94"/>
      <c r="I29" s="94"/>
      <c r="J29" s="94"/>
      <c r="K29" s="94"/>
      <c r="L29" s="94"/>
    </row>
    <row r="30" spans="2:12" x14ac:dyDescent="0.25">
      <c r="B30" s="94" t="s">
        <v>34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</row>
    <row r="31" spans="2:12" x14ac:dyDescent="0.25">
      <c r="B31" s="94" t="s">
        <v>34</v>
      </c>
      <c r="C31" s="94"/>
      <c r="D31" s="94"/>
      <c r="E31" s="94"/>
      <c r="F31" s="94"/>
      <c r="G31" s="94"/>
      <c r="H31" s="94"/>
      <c r="I31" s="94"/>
      <c r="J31" s="94"/>
      <c r="K31" s="94"/>
      <c r="L31" s="94"/>
    </row>
    <row r="32" spans="2:12" x14ac:dyDescent="0.25">
      <c r="B32" s="94" t="s">
        <v>34</v>
      </c>
      <c r="C32" s="94"/>
      <c r="D32" s="94"/>
      <c r="E32" s="94"/>
      <c r="F32" s="94"/>
      <c r="G32" s="94"/>
      <c r="H32" s="94"/>
      <c r="I32" s="94"/>
      <c r="J32" s="94"/>
      <c r="K32" s="94"/>
      <c r="L32" s="94"/>
    </row>
    <row r="33" spans="2:12" x14ac:dyDescent="0.25">
      <c r="B33" s="94" t="s">
        <v>34</v>
      </c>
      <c r="C33" s="94"/>
      <c r="D33" s="94"/>
      <c r="E33" s="94"/>
      <c r="F33" s="94"/>
      <c r="G33" s="94"/>
      <c r="H33" s="94"/>
      <c r="I33" s="94"/>
      <c r="J33" s="94"/>
      <c r="K33" s="94"/>
      <c r="L33" s="94"/>
    </row>
    <row r="34" spans="2:12" x14ac:dyDescent="0.25">
      <c r="B34" s="94" t="s">
        <v>34</v>
      </c>
      <c r="C34" s="94"/>
      <c r="D34" s="94"/>
      <c r="E34" s="94"/>
      <c r="F34" s="94"/>
      <c r="G34" s="94"/>
      <c r="H34" s="94"/>
      <c r="I34" s="94"/>
      <c r="J34" s="94"/>
      <c r="K34" s="94"/>
      <c r="L34" s="94"/>
    </row>
    <row r="35" spans="2:12" x14ac:dyDescent="0.25">
      <c r="B35" s="94" t="s">
        <v>34</v>
      </c>
      <c r="C35" s="94"/>
      <c r="D35" s="94"/>
      <c r="E35" s="94"/>
      <c r="F35" s="94"/>
      <c r="G35" s="94"/>
      <c r="H35" s="94"/>
      <c r="I35" s="94"/>
      <c r="J35" s="94"/>
      <c r="K35" s="94"/>
      <c r="L35" s="94"/>
    </row>
    <row r="36" spans="2:12" x14ac:dyDescent="0.25">
      <c r="B36" s="94" t="s">
        <v>34</v>
      </c>
      <c r="C36" s="94"/>
      <c r="D36" s="94"/>
      <c r="E36" s="94"/>
      <c r="F36" s="94"/>
      <c r="G36" s="94"/>
      <c r="H36" s="94"/>
      <c r="I36" s="94"/>
      <c r="J36" s="94"/>
      <c r="K36" s="94"/>
      <c r="L36" s="94"/>
    </row>
    <row r="37" spans="2:12" x14ac:dyDescent="0.25">
      <c r="B37" s="94" t="s">
        <v>34</v>
      </c>
      <c r="C37" s="94"/>
      <c r="D37" s="94"/>
      <c r="E37" s="94"/>
      <c r="F37" s="94"/>
      <c r="G37" s="94"/>
      <c r="H37" s="94"/>
      <c r="I37" s="94"/>
      <c r="J37" s="94"/>
      <c r="K37" s="94"/>
      <c r="L37" s="94"/>
    </row>
    <row r="38" spans="2:12" x14ac:dyDescent="0.25">
      <c r="B38" s="94" t="s">
        <v>34</v>
      </c>
      <c r="C38" s="94"/>
      <c r="D38" s="94"/>
      <c r="E38" s="94"/>
      <c r="F38" s="94"/>
      <c r="G38" s="94"/>
      <c r="H38" s="94"/>
      <c r="I38" s="94"/>
      <c r="J38" s="94"/>
      <c r="K38" s="94"/>
      <c r="L38" s="94"/>
    </row>
    <row r="39" spans="2:12" x14ac:dyDescent="0.25">
      <c r="B39" s="94" t="s">
        <v>34</v>
      </c>
      <c r="C39" s="121"/>
      <c r="D39" s="121"/>
      <c r="E39" s="121"/>
      <c r="F39" s="121"/>
      <c r="G39" s="121"/>
      <c r="H39" s="121"/>
      <c r="I39" s="121"/>
      <c r="J39" s="121"/>
      <c r="K39" s="121"/>
      <c r="L39" s="121"/>
    </row>
    <row r="43" spans="2:12" ht="41.4" x14ac:dyDescent="0.25">
      <c r="B43" s="120" t="s">
        <v>0</v>
      </c>
      <c r="C43" s="120" t="s">
        <v>109</v>
      </c>
      <c r="D43" s="120" t="s">
        <v>102</v>
      </c>
      <c r="E43" s="120" t="s">
        <v>114</v>
      </c>
      <c r="F43" s="120" t="s">
        <v>103</v>
      </c>
      <c r="G43" s="120" t="s">
        <v>104</v>
      </c>
      <c r="H43" s="120" t="s">
        <v>113</v>
      </c>
      <c r="I43" s="120" t="s">
        <v>20</v>
      </c>
      <c r="J43" s="120" t="s">
        <v>115</v>
      </c>
      <c r="K43" s="120" t="s">
        <v>107</v>
      </c>
      <c r="L43" s="122" t="s">
        <v>7</v>
      </c>
    </row>
    <row r="44" spans="2:12" x14ac:dyDescent="0.25">
      <c r="B44" s="124" t="s">
        <v>111</v>
      </c>
      <c r="C44" s="124"/>
      <c r="D44" s="124" t="s">
        <v>112</v>
      </c>
      <c r="E44" s="124" t="s">
        <v>112</v>
      </c>
      <c r="F44" s="124" t="s">
        <v>25</v>
      </c>
      <c r="G44" s="124" t="s">
        <v>112</v>
      </c>
      <c r="H44" s="124" t="s">
        <v>44</v>
      </c>
      <c r="I44" s="124" t="s">
        <v>44</v>
      </c>
      <c r="J44" s="124" t="s">
        <v>44</v>
      </c>
      <c r="K44" s="124"/>
      <c r="L44" s="105"/>
    </row>
    <row r="45" spans="2:12" x14ac:dyDescent="0.25">
      <c r="B45" s="94" t="s">
        <v>108</v>
      </c>
      <c r="C45" s="94"/>
      <c r="D45" s="94"/>
      <c r="E45" s="94"/>
      <c r="F45" s="94"/>
      <c r="G45" s="94"/>
      <c r="H45" s="94"/>
      <c r="I45" s="94"/>
      <c r="J45" s="94"/>
      <c r="K45" s="94"/>
      <c r="L45" s="94"/>
    </row>
    <row r="46" spans="2:12" x14ac:dyDescent="0.25">
      <c r="B46" s="94" t="s">
        <v>108</v>
      </c>
      <c r="C46" s="94"/>
      <c r="D46" s="94"/>
      <c r="E46" s="94"/>
      <c r="F46" s="94"/>
      <c r="G46" s="94"/>
      <c r="H46" s="94"/>
      <c r="I46" s="94"/>
      <c r="J46" s="94"/>
      <c r="K46" s="94"/>
      <c r="L46" s="94"/>
    </row>
    <row r="47" spans="2:12" x14ac:dyDescent="0.25">
      <c r="B47" s="94" t="s">
        <v>108</v>
      </c>
      <c r="C47" s="94"/>
      <c r="D47" s="94"/>
      <c r="E47" s="94"/>
      <c r="F47" s="94"/>
      <c r="G47" s="94"/>
      <c r="H47" s="94"/>
      <c r="I47" s="94"/>
      <c r="J47" s="94"/>
      <c r="K47" s="94"/>
      <c r="L47" s="94"/>
    </row>
    <row r="48" spans="2:12" x14ac:dyDescent="0.25">
      <c r="B48" s="94" t="s">
        <v>108</v>
      </c>
      <c r="C48" s="94"/>
      <c r="D48" s="94"/>
      <c r="E48" s="94"/>
      <c r="F48" s="94"/>
      <c r="G48" s="94"/>
      <c r="H48" s="94"/>
      <c r="I48" s="94"/>
      <c r="J48" s="94"/>
      <c r="K48" s="94"/>
      <c r="L48" s="94"/>
    </row>
    <row r="49" spans="2:12" x14ac:dyDescent="0.25">
      <c r="B49" s="94" t="s">
        <v>108</v>
      </c>
      <c r="C49" s="94"/>
      <c r="D49" s="94"/>
      <c r="E49" s="94"/>
      <c r="F49" s="94"/>
      <c r="G49" s="94"/>
      <c r="H49" s="94"/>
      <c r="I49" s="94"/>
      <c r="J49" s="94"/>
      <c r="K49" s="94"/>
      <c r="L49" s="94"/>
    </row>
    <row r="50" spans="2:12" x14ac:dyDescent="0.25">
      <c r="B50" s="94" t="s">
        <v>108</v>
      </c>
      <c r="C50" s="94"/>
      <c r="D50" s="94"/>
      <c r="E50" s="94"/>
      <c r="F50" s="94"/>
      <c r="G50" s="94"/>
      <c r="H50" s="94"/>
      <c r="I50" s="94"/>
      <c r="J50" s="94"/>
      <c r="K50" s="94"/>
      <c r="L50" s="94"/>
    </row>
    <row r="51" spans="2:12" x14ac:dyDescent="0.25">
      <c r="B51" s="94" t="s">
        <v>108</v>
      </c>
      <c r="C51" s="94"/>
      <c r="D51" s="94"/>
      <c r="E51" s="94"/>
      <c r="F51" s="94"/>
      <c r="G51" s="94"/>
      <c r="H51" s="94"/>
      <c r="I51" s="94"/>
      <c r="J51" s="94"/>
      <c r="K51" s="94"/>
      <c r="L51" s="94"/>
    </row>
    <row r="52" spans="2:12" x14ac:dyDescent="0.25">
      <c r="B52" s="94" t="s">
        <v>108</v>
      </c>
      <c r="C52" s="94"/>
      <c r="D52" s="94"/>
      <c r="E52" s="94"/>
      <c r="F52" s="94"/>
      <c r="G52" s="94"/>
      <c r="H52" s="94"/>
      <c r="I52" s="94"/>
      <c r="J52" s="94"/>
      <c r="K52" s="94"/>
      <c r="L52" s="94"/>
    </row>
    <row r="53" spans="2:12" x14ac:dyDescent="0.25">
      <c r="B53" s="94" t="s">
        <v>108</v>
      </c>
      <c r="C53" s="94"/>
      <c r="D53" s="94"/>
      <c r="E53" s="94"/>
      <c r="F53" s="94"/>
      <c r="G53" s="94"/>
      <c r="H53" s="94"/>
      <c r="I53" s="94"/>
      <c r="J53" s="94"/>
      <c r="K53" s="94"/>
      <c r="L53" s="94"/>
    </row>
    <row r="54" spans="2:12" x14ac:dyDescent="0.25">
      <c r="B54" s="94" t="s">
        <v>108</v>
      </c>
      <c r="C54" s="94"/>
      <c r="D54" s="94"/>
      <c r="E54" s="94"/>
      <c r="F54" s="94"/>
      <c r="G54" s="94"/>
      <c r="H54" s="94"/>
      <c r="I54" s="94"/>
      <c r="J54" s="94"/>
      <c r="K54" s="94"/>
      <c r="L54" s="94"/>
    </row>
    <row r="55" spans="2:12" x14ac:dyDescent="0.25">
      <c r="B55" s="94" t="s">
        <v>108</v>
      </c>
      <c r="C55" s="94"/>
      <c r="D55" s="94"/>
      <c r="E55" s="94"/>
      <c r="F55" s="94"/>
      <c r="G55" s="94"/>
      <c r="H55" s="94"/>
      <c r="I55" s="94"/>
      <c r="J55" s="94"/>
      <c r="K55" s="94"/>
      <c r="L55" s="94"/>
    </row>
    <row r="56" spans="2:12" x14ac:dyDescent="0.25">
      <c r="B56" s="94" t="s">
        <v>108</v>
      </c>
      <c r="C56" s="94"/>
      <c r="D56" s="94"/>
      <c r="E56" s="94"/>
      <c r="F56" s="94"/>
      <c r="G56" s="94"/>
      <c r="H56" s="94"/>
      <c r="I56" s="94"/>
      <c r="J56" s="94"/>
      <c r="K56" s="94"/>
      <c r="L56" s="94"/>
    </row>
    <row r="57" spans="2:12" x14ac:dyDescent="0.25">
      <c r="B57" s="94" t="s">
        <v>108</v>
      </c>
      <c r="C57" s="94"/>
      <c r="D57" s="94"/>
      <c r="E57" s="94"/>
      <c r="F57" s="94"/>
      <c r="G57" s="94"/>
      <c r="H57" s="94"/>
      <c r="I57" s="94"/>
      <c r="J57" s="94"/>
      <c r="K57" s="94"/>
      <c r="L57" s="94"/>
    </row>
    <row r="58" spans="2:12" x14ac:dyDescent="0.25">
      <c r="B58" s="94" t="s">
        <v>108</v>
      </c>
      <c r="C58" s="121"/>
      <c r="D58" s="121"/>
      <c r="E58" s="121"/>
      <c r="F58" s="121"/>
      <c r="G58" s="121"/>
      <c r="H58" s="121"/>
      <c r="I58" s="121"/>
      <c r="J58" s="121"/>
      <c r="K58" s="121"/>
      <c r="L58" s="12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8e55bdf-09da-4615-ad05-ac088d173743">HJESJR6M7V5E-708027023-603</_dlc_DocId>
    <DataSourceTaxHTField xmlns="http://schemas.microsoft.com/sharepoint/v3">
      <Terms xmlns="http://schemas.microsoft.com/office/infopath/2007/PartnerControls"/>
    </DataSourceTaxHTField>
    <_dlc_DocIdUrl xmlns="68e55bdf-09da-4615-ad05-ac088d173743">
      <Url>https://mckinsey.sharepoint.com/sites/spe-int-g3shlooow/_layouts/15/DocIdRedir.aspx?ID=HJESJR6M7V5E-708027023-603</Url>
      <Description>HJESJR6M7V5E-708027023-603</Description>
    </_dlc_DocIdUrl>
    <SourceSystemTaxHTField xmlns="http://schemas.microsoft.com/sharepoint/v3">
      <Terms xmlns="http://schemas.microsoft.com/office/infopath/2007/PartnerControls"/>
    </SourceSystemTaxHTField>
    <lcf76f155ced4ddcb4097134ff3c332f xmlns="42e4a2d1-7a9a-46f4-96b1-e49f7be52138">
      <Terms xmlns="http://schemas.microsoft.com/office/infopath/2007/PartnerControls"/>
    </lcf76f155ced4ddcb4097134ff3c332f>
    <TaxCatchAll xmlns="68e55bdf-09da-4615-ad05-ac088d17374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8686E0F17B98438C91AA640C188FFD" ma:contentTypeVersion="13" ma:contentTypeDescription="Creare un nuovo documento." ma:contentTypeScope="" ma:versionID="d82692f2b0ff85276e8310f2107ad088">
  <xsd:schema xmlns:xsd="http://www.w3.org/2001/XMLSchema" xmlns:xs="http://www.w3.org/2001/XMLSchema" xmlns:p="http://schemas.microsoft.com/office/2006/metadata/properties" xmlns:ns1="http://schemas.microsoft.com/sharepoint/v3" xmlns:ns2="68e55bdf-09da-4615-ad05-ac088d173743" xmlns:ns3="42e4a2d1-7a9a-46f4-96b1-e49f7be52138" targetNamespace="http://schemas.microsoft.com/office/2006/metadata/properties" ma:root="true" ma:fieldsID="fe09f734e01c274068f3812e7f4c97d1" ns1:_="" ns2:_="" ns3:_="">
    <xsd:import namespace="http://schemas.microsoft.com/sharepoint/v3"/>
    <xsd:import namespace="68e55bdf-09da-4615-ad05-ac088d173743"/>
    <xsd:import namespace="42e4a2d1-7a9a-46f4-96b1-e49f7be5213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SourceSystemTaxHTField" minOccurs="0"/>
                <xsd:element ref="ns2:TaxCatchAll" minOccurs="0"/>
                <xsd:element ref="ns2:TaxCatchAllLabel" minOccurs="0"/>
                <xsd:element ref="ns1:DataSourceTaxHTFiel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ourceSystemTaxHTField" ma:index="11" nillable="true" ma:taxonomy="true" ma:internalName="SourceSystemTaxHTField" ma:taxonomyFieldName="SourceSystem" ma:displayName="SourceSystem" ma:default="1;#SPE|e1155322-03d8-4904-a51c-d7d7cbd8ca84" ma:fieldId="{68c22041-dfe3-4104-9745-475326d7dc19}" ma:sspId="c9369470-76d8-40bb-9f83-c9dbb6c0fac8" ma:termSetId="14dc3a28-f268-42f7-8f59-1ae69d4ade2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taSourceTaxHTField" ma:index="15" nillable="true" ma:taxonomy="true" ma:internalName="DataSourceTaxHTField" ma:taxonomyFieldName="DataSource" ma:displayName="DataSource" ma:default="2;#Internal|0b10eabc-00d3-4553-8252-f6efa1cda259" ma:fieldId="{e59fb67a-8e6b-4297-9efb-d86ae4d35911}" ma:sspId="c9369470-76d8-40bb-9f83-c9dbb6c0fac8" ma:termSetId="36ddf51e-868c-4a6e-ae2e-8e285ecab47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e55bdf-09da-4615-ad05-ac088d17374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e ID documento" ma:description="Valore dell'ID documento assegnato all'elemento." ma:indexed="true" ma:internalName="_dlc_DocId" ma:readOnly="true">
      <xsd:simpleType>
        <xsd:restriction base="dms:Text"/>
      </xsd:simpleType>
    </xsd:element>
    <xsd:element name="_dlc_DocIdUrl" ma:index="9" nillable="true" ma:displayName="ID documento" ma:description="Collegamento permanente al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2" nillable="true" ma:displayName="Taxonomy Catch All Column" ma:hidden="true" ma:list="{6b8d952e-3416-4953-abfd-23de153d5f96}" ma:internalName="TaxCatchAll" ma:showField="CatchAllData" ma:web="68e55bdf-09da-4615-ad05-ac088d173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6b8d952e-3416-4953-abfd-23de153d5f96}" ma:internalName="TaxCatchAllLabel" ma:readOnly="true" ma:showField="CatchAllDataLabel" ma:web="68e55bdf-09da-4615-ad05-ac088d173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e4a2d1-7a9a-46f4-96b1-e49f7be521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18eb3a52-a9ad-454e-96a1-46bb4cd16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EE4493-E691-4991-AD6E-43CC2F72E884}">
  <ds:schemaRefs>
    <ds:schemaRef ds:uri="http://schemas.microsoft.com/office/2006/metadata/properties"/>
    <ds:schemaRef ds:uri="http://schemas.microsoft.com/office/infopath/2007/PartnerControls"/>
    <ds:schemaRef ds:uri="68e55bdf-09da-4615-ad05-ac088d173743"/>
    <ds:schemaRef ds:uri="http://schemas.microsoft.com/sharepoint/v3"/>
    <ds:schemaRef ds:uri="42e4a2d1-7a9a-46f4-96b1-e49f7be52138"/>
  </ds:schemaRefs>
</ds:datastoreItem>
</file>

<file path=customXml/itemProps2.xml><?xml version="1.0" encoding="utf-8"?>
<ds:datastoreItem xmlns:ds="http://schemas.openxmlformats.org/officeDocument/2006/customXml" ds:itemID="{334ACA6D-7BE9-4292-83B1-0E08BCF7E1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8e55bdf-09da-4615-ad05-ac088d173743"/>
    <ds:schemaRef ds:uri="42e4a2d1-7a9a-46f4-96b1-e49f7be521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C5A6B8-7E49-4790-BCC6-3E72FBEE3DF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E5EBACD-7A1D-4B6A-A5F8-5BC61B8BAD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2030 Market sizing exercise</vt:lpstr>
      <vt:lpstr># of cars analysis</vt:lpstr>
      <vt:lpstr>2030 RAR per Car</vt:lpstr>
      <vt:lpstr>Summary</vt:lpstr>
      <vt:lpstr>Sheet3</vt:lpstr>
      <vt:lpstr>1. Increase used car financing</vt:lpstr>
      <vt:lpstr>4. Expand digital presence</vt:lpstr>
      <vt:lpstr>summary for tab 4.</vt:lpstr>
      <vt:lpstr>p&amp;l</vt:lpstr>
      <vt:lpstr>B2B financing market</vt:lpstr>
      <vt:lpstr>B2B financing opportunity</vt:lpstr>
      <vt:lpstr>'2030 RAR per Car'!Print_Area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Pouloupatis Vassileios</cp:lastModifiedBy>
  <cp:lastPrinted>2019-12-06T19:44:44Z</cp:lastPrinted>
  <dcterms:created xsi:type="dcterms:W3CDTF">2019-12-02T20:05:52Z</dcterms:created>
  <dcterms:modified xsi:type="dcterms:W3CDTF">2026-05-13T11:25:52Z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0x0101008A8686E0F17B98438C91AA640C188FFD</vt:lpwstr>
  </property>
  <property fmtid="{D5CDD505-2E9C-101B-9397-08002B2CF9AE}" pid="4" name="DataSource">
    <vt:lpwstr/>
  </property>
  <property fmtid="{D5CDD505-2E9C-101B-9397-08002B2CF9AE}" pid="5" name="_dlc_DocIdItemGuid">
    <vt:lpwstr>ee114f22-58ab-43c4-9a31-eea285ec034a</vt:lpwstr>
  </property>
  <property fmtid="{D5CDD505-2E9C-101B-9397-08002B2CF9AE}" pid="6" name="SourceSystem">
    <vt:lpwstr/>
  </property>
  <property fmtid="{D5CDD505-2E9C-101B-9397-08002B2CF9AE}" pid="7" name="MSIP_Label_83303d7c-e5a3-4cc8-90eb-69bfd7570ac4_Enabled">
    <vt:lpwstr>True</vt:lpwstr>
  </property>
  <property fmtid="{D5CDD505-2E9C-101B-9397-08002B2CF9AE}" pid="8" name="MSIP_Label_83303d7c-e5a3-4cc8-90eb-69bfd7570ac4_SiteId">
    <vt:lpwstr>cc8936bc-9382-4fff-87cb-6f55999549e7</vt:lpwstr>
  </property>
  <property fmtid="{D5CDD505-2E9C-101B-9397-08002B2CF9AE}" pid="9" name="MSIP_Label_83303d7c-e5a3-4cc8-90eb-69bfd7570ac4_SetDate">
    <vt:lpwstr>2025-06-05T22:00:17Z</vt:lpwstr>
  </property>
  <property fmtid="{D5CDD505-2E9C-101B-9397-08002B2CF9AE}" pid="10" name="MSIP_Label_83303d7c-e5a3-4cc8-90eb-69bfd7570ac4_Name">
    <vt:lpwstr>Client Confidential</vt:lpwstr>
  </property>
  <property fmtid="{D5CDD505-2E9C-101B-9397-08002B2CF9AE}" pid="11" name="MSIP_Label_83303d7c-e5a3-4cc8-90eb-69bfd7570ac4_ActionId">
    <vt:lpwstr>76b821e4-18e6-4da8-94a7-b05de63524f3</vt:lpwstr>
  </property>
  <property fmtid="{D5CDD505-2E9C-101B-9397-08002B2CF9AE}" pid="12" name="MSIP_Label_83303d7c-e5a3-4cc8-90eb-69bfd7570ac4_Removed">
    <vt:lpwstr>False</vt:lpwstr>
  </property>
  <property fmtid="{D5CDD505-2E9C-101B-9397-08002B2CF9AE}" pid="13" name="MSIP_Label_83303d7c-e5a3-4cc8-90eb-69bfd7570ac4_Extended_MSFT_Method">
    <vt:lpwstr>Standard</vt:lpwstr>
  </property>
  <property fmtid="{D5CDD505-2E9C-101B-9397-08002B2CF9AE}" pid="14" name="Sensitivity">
    <vt:lpwstr>Client Confidential</vt:lpwstr>
  </property>
</Properties>
</file>