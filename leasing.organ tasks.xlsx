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13_ncr:1_{FE434978-4A18-46E8-987E-6892FA51468B}" xr6:coauthVersionLast="47" xr6:coauthVersionMax="47" xr10:uidLastSave="{00000000-0000-0000-0000-000000000000}"/>
  <bookViews>
    <workbookView xWindow="-108" yWindow="-108" windowWidth="23256" windowHeight="12456" activeTab="2" xr2:uid="{F1A6C3BA-2523-4BE0-AD1E-EBD7B8FD17DE}"/>
  </bookViews>
  <sheets>
    <sheet name="Asset Management " sheetId="1" r:id="rId1"/>
    <sheet name="Leasing market" sheetId="2" r:id="rId2"/>
    <sheet name="Product te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13" i="2"/>
  <c r="G10" i="2"/>
  <c r="G3" i="2"/>
  <c r="F12" i="1"/>
  <c r="F13" i="1" s="1"/>
  <c r="A4" i="3" l="1"/>
  <c r="A6" i="3"/>
  <c r="A8" i="3" s="1"/>
  <c r="A10" i="3" s="1"/>
  <c r="A12" i="3" s="1"/>
  <c r="A14" i="3" s="1"/>
  <c r="A16" i="3" s="1"/>
  <c r="A18" i="3" s="1"/>
  <c r="A20" i="3" s="1"/>
  <c r="A22" i="3" s="1"/>
</calcChain>
</file>

<file path=xl/sharedStrings.xml><?xml version="1.0" encoding="utf-8"?>
<sst xmlns="http://schemas.openxmlformats.org/spreadsheetml/2006/main" count="160" uniqueCount="94">
  <si>
    <t>Legal repossession</t>
  </si>
  <si>
    <t>Digital Infrastructure &amp; Workflow Automation</t>
  </si>
  <si>
    <t>Re-Marketing Channels</t>
  </si>
  <si>
    <t xml:space="preserve">Define collection &amp; repossession process
</t>
  </si>
  <si>
    <t>Draft and approve repossession SLA with the partner</t>
  </si>
  <si>
    <t>Update loan agreements to include repossession terms</t>
  </si>
  <si>
    <t xml:space="preserve">Partner engagement / SLAs </t>
  </si>
  <si>
    <t>for asset recovery</t>
  </si>
  <si>
    <t xml:space="preserve">Asset Management </t>
  </si>
  <si>
    <t>for asset storage</t>
  </si>
  <si>
    <t>for asset inspection</t>
  </si>
  <si>
    <t>for asset re-marketing</t>
  </si>
  <si>
    <t>A</t>
  </si>
  <si>
    <t>B</t>
  </si>
  <si>
    <t>C</t>
  </si>
  <si>
    <t>D</t>
  </si>
  <si>
    <t>3rd marketplaces / bulid APIs</t>
  </si>
  <si>
    <t>Own marketplace / build from scratch</t>
  </si>
  <si>
    <t>E</t>
  </si>
  <si>
    <t>F</t>
  </si>
  <si>
    <t>PowerBI dashboard for KPIs (repossession time, DTS, etc)</t>
  </si>
  <si>
    <t>Enhance current product management reporting for Loans / Build new for Leasing</t>
  </si>
  <si>
    <t>Loan business: IFRS 5 – Non-current Assets Held for Sale</t>
  </si>
  <si>
    <t>Leasing business: reporting the financial impact of lease agreements on a company's financial statements</t>
  </si>
  <si>
    <t>Data Analytics / Reporting (internal + regulatory)</t>
  </si>
  <si>
    <t>Financial Lease: Identification of requlatory reporting new needs</t>
  </si>
  <si>
    <t xml:space="preserve">Prerequisites for Product Development </t>
  </si>
  <si>
    <t>Define operating lease value proposition: product specifications</t>
  </si>
  <si>
    <t>Draft operating lease commercial terms</t>
  </si>
  <si>
    <t>Draft operating lease agreement/contract</t>
  </si>
  <si>
    <t>Draft RFPs with dealers, inspectors/de-fleeting companies</t>
  </si>
  <si>
    <t>Design remarketing strategy</t>
  </si>
  <si>
    <t>Product bookkeeping: Agree P&amp;L, balance sheet treatment, depreciation, expenses with Group Finance</t>
  </si>
  <si>
    <t>Risk assessment: Client assessment, CPM, RV, regulatory presentation with risk committee of the bank</t>
  </si>
  <si>
    <t>Draft SLA agreement (service, delivery, retrieval, inspection, SLA team &amp; Legal insurance)</t>
  </si>
  <si>
    <t>Build residual value (RV) model per brand x model</t>
  </si>
  <si>
    <t>Product Pricing and RV Models Development</t>
  </si>
  <si>
    <t>Build technical product pricing model per brand x model</t>
  </si>
  <si>
    <t>Owner</t>
  </si>
  <si>
    <t>Assignee</t>
  </si>
  <si>
    <t>Acquire depreciation data from quoters</t>
  </si>
  <si>
    <t>Recruitment &amp; Capability Building</t>
  </si>
  <si>
    <t>Hire core experts (pricing, product)</t>
  </si>
  <si>
    <t>Hire salesforce (dealer &amp; SME)</t>
  </si>
  <si>
    <t>Hire operating lease roles (SLA team, remarketing)</t>
  </si>
  <si>
    <t>Partner &amp; Channel Development</t>
  </si>
  <si>
    <t>Train internal functions, incl. dealer salesforce and SME salesforce channel, remarketing team, etc.</t>
  </si>
  <si>
    <t>Engage &amp; train, monitor dealer (internal tool to be defined) network (financial lease)</t>
  </si>
  <si>
    <t xml:space="preserve">reporting interfaces </t>
  </si>
  <si>
    <t>accounting system</t>
  </si>
  <si>
    <t>lease origination and lease management system</t>
  </si>
  <si>
    <t>Legal/Compliance</t>
  </si>
  <si>
    <t>Legal</t>
  </si>
  <si>
    <t>Product</t>
  </si>
  <si>
    <t>Ext. Networks</t>
  </si>
  <si>
    <t>Accounting/Finance</t>
  </si>
  <si>
    <t>Digital</t>
  </si>
  <si>
    <t>Integrate with dealer / partner (communication infrastructure)</t>
  </si>
  <si>
    <t>Systems</t>
  </si>
  <si>
    <t>HR</t>
  </si>
  <si>
    <t>Hire operations &amp; support (credit, contract customer service, collections)</t>
  </si>
  <si>
    <t>Monitor competitor pricing strategies and market positioning</t>
  </si>
  <si>
    <t xml:space="preserve">Work closely with Pricing, RV Management, and Remarketing teams to ensure the vehicle procurement strategy is aligned with pricing assumptions and resale strategies. </t>
  </si>
  <si>
    <t xml:space="preserve">Systems </t>
  </si>
  <si>
    <t xml:space="preserve">Gather customer insights: interviews, surveys, behavioral data.
</t>
  </si>
  <si>
    <t xml:space="preserve">Identify needs of key segments: B2B fleet clients, SMEs, self-employed, private users.
</t>
  </si>
  <si>
    <t xml:space="preserve">Design product features: mileage plans, included services (insurance, maintenance), early exit terms, digital onboarding.
</t>
  </si>
  <si>
    <t>Monitor market trends that could impact pricing assumptions ( e.g. regulatory changes, EU promotions, etc.)</t>
  </si>
  <si>
    <t>Collaborate with risk, pricing, and asset valuation teams to set RVs</t>
  </si>
  <si>
    <t xml:space="preserve">Work with developers to implement leasing offers
</t>
  </si>
  <si>
    <t>Partner engagement / SLAs management (related to asset management)</t>
  </si>
  <si>
    <t>Mitos team / ??</t>
  </si>
  <si>
    <t>Balaskas/Spatharis</t>
  </si>
  <si>
    <t>Spatharis</t>
  </si>
  <si>
    <t>Product / Spatharis</t>
  </si>
  <si>
    <t>Marakis team</t>
  </si>
  <si>
    <t>Product /Segments</t>
  </si>
  <si>
    <t>operations team</t>
  </si>
  <si>
    <t>op. team</t>
  </si>
  <si>
    <t>ask Chronis</t>
  </si>
  <si>
    <t>RFPs</t>
  </si>
  <si>
    <t>Selection</t>
  </si>
  <si>
    <t>Drafting</t>
  </si>
  <si>
    <t>manage</t>
  </si>
  <si>
    <r>
      <t xml:space="preserve">RSS </t>
    </r>
    <r>
      <rPr>
        <sz val="11"/>
        <color rgb="FFFF0000"/>
        <rFont val="Aptos Narrow"/>
        <family val="2"/>
        <scheme val="minor"/>
      </rPr>
      <t>?</t>
    </r>
  </si>
  <si>
    <r>
      <t xml:space="preserve">Retail finance </t>
    </r>
    <r>
      <rPr>
        <sz val="11"/>
        <color rgb="FFFF0000"/>
        <rFont val="Aptos Narrow"/>
        <family val="2"/>
        <scheme val="minor"/>
      </rPr>
      <t>?</t>
    </r>
  </si>
  <si>
    <t xml:space="preserve">Accounting  treatment </t>
  </si>
  <si>
    <t>preliminary actions</t>
  </si>
  <si>
    <t>procurement</t>
  </si>
  <si>
    <t>Define product vision, value proposition, and differentiations</t>
  </si>
  <si>
    <t xml:space="preserve">Work with operations and legal on T&amp;Cs, credit policy and documentation.
</t>
  </si>
  <si>
    <t xml:space="preserve">we will be face cases in which customer would like to (a) FL: buy the car earlier than the maturity date, (B) OL: buy the car at  the maturity date or anytime during the lease period </t>
  </si>
  <si>
    <t>is this an job for product team ? If not what is the responsible department ?</t>
  </si>
  <si>
    <t>enter Retail leasing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</si>
</sst>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4" borderId="0" xfId="0" applyFill="1" applyBorder="1" applyAlignment="1">
      <alignment wrapText="1"/>
    </xf>
    <xf numFmtId="0" fontId="0" fillId="4" borderId="0" xfId="0" applyFill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14</xdr:row>
      <xdr:rowOff>68580</xdr:rowOff>
    </xdr:from>
    <xdr:to>
      <xdr:col>2</xdr:col>
      <xdr:colOff>533400</xdr:colOff>
      <xdr:row>15</xdr:row>
      <xdr:rowOff>60960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A893291-B743-FAB3-1900-B28AB30B8F50}"/>
            </a:ext>
          </a:extLst>
        </xdr:cNvPr>
        <xdr:cNvCxnSpPr/>
      </xdr:nvCxnSpPr>
      <xdr:spPr>
        <a:xfrm flipH="1">
          <a:off x="1097280" y="2727960"/>
          <a:ext cx="65532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024B-9D2B-4B77-BB92-36FD786B1C03}">
  <dimension ref="B1:H31"/>
  <sheetViews>
    <sheetView zoomScaleNormal="100" workbookViewId="0">
      <selection activeCell="B16" sqref="B16:B19"/>
    </sheetView>
  </sheetViews>
  <sheetFormatPr defaultRowHeight="14.4" x14ac:dyDescent="0.3"/>
  <cols>
    <col min="5" max="5" width="84.77734375" customWidth="1"/>
    <col min="6" max="6" width="12.88671875" bestFit="1" customWidth="1"/>
    <col min="7" max="7" width="17.33203125" style="2" bestFit="1" customWidth="1"/>
    <col min="8" max="8" width="14.21875" customWidth="1"/>
  </cols>
  <sheetData>
    <row r="1" spans="2:8" ht="15" thickBot="1" x14ac:dyDescent="0.35">
      <c r="E1" s="7" t="s">
        <v>8</v>
      </c>
    </row>
    <row r="2" spans="2:8" ht="15.6" thickTop="1" thickBot="1" x14ac:dyDescent="0.35">
      <c r="D2" s="4" t="s">
        <v>12</v>
      </c>
      <c r="E2" s="5" t="s">
        <v>0</v>
      </c>
      <c r="F2" s="6" t="s">
        <v>38</v>
      </c>
      <c r="G2" s="6" t="s">
        <v>39</v>
      </c>
    </row>
    <row r="3" spans="2:8" ht="15" thickTop="1" x14ac:dyDescent="0.3">
      <c r="D3">
        <v>1</v>
      </c>
      <c r="E3" t="s">
        <v>3</v>
      </c>
      <c r="F3" t="s">
        <v>53</v>
      </c>
      <c r="G3" s="2" t="s">
        <v>51</v>
      </c>
    </row>
    <row r="4" spans="2:8" x14ac:dyDescent="0.3">
      <c r="D4">
        <v>2</v>
      </c>
      <c r="E4" t="s">
        <v>4</v>
      </c>
      <c r="F4" t="s">
        <v>84</v>
      </c>
      <c r="G4" s="2" t="s">
        <v>52</v>
      </c>
    </row>
    <row r="5" spans="2:8" x14ac:dyDescent="0.3">
      <c r="D5">
        <v>3</v>
      </c>
      <c r="E5" s="1" t="s">
        <v>5</v>
      </c>
      <c r="F5" t="s">
        <v>53</v>
      </c>
      <c r="G5" s="2" t="s">
        <v>52</v>
      </c>
    </row>
    <row r="6" spans="2:8" ht="15" thickBot="1" x14ac:dyDescent="0.35"/>
    <row r="7" spans="2:8" ht="15.6" thickTop="1" thickBot="1" x14ac:dyDescent="0.35">
      <c r="D7" s="4" t="s">
        <v>13</v>
      </c>
      <c r="E7" s="5" t="s">
        <v>86</v>
      </c>
      <c r="F7" s="6" t="s">
        <v>38</v>
      </c>
      <c r="G7" s="6" t="s">
        <v>39</v>
      </c>
    </row>
    <row r="8" spans="2:8" ht="15" thickTop="1" x14ac:dyDescent="0.3">
      <c r="D8">
        <v>1</v>
      </c>
      <c r="E8" t="s">
        <v>22</v>
      </c>
      <c r="F8" t="s">
        <v>85</v>
      </c>
      <c r="G8" t="s">
        <v>85</v>
      </c>
    </row>
    <row r="9" spans="2:8" x14ac:dyDescent="0.3">
      <c r="D9">
        <v>2</v>
      </c>
      <c r="E9" t="s">
        <v>23</v>
      </c>
      <c r="F9" t="s">
        <v>85</v>
      </c>
      <c r="G9" t="s">
        <v>85</v>
      </c>
    </row>
    <row r="10" spans="2:8" ht="15" thickBot="1" x14ac:dyDescent="0.35"/>
    <row r="11" spans="2:8" ht="15.6" thickTop="1" thickBot="1" x14ac:dyDescent="0.35">
      <c r="D11" s="4" t="s">
        <v>14</v>
      </c>
      <c r="E11" s="8" t="s">
        <v>58</v>
      </c>
      <c r="F11" s="6" t="s">
        <v>38</v>
      </c>
      <c r="G11" s="6" t="s">
        <v>39</v>
      </c>
    </row>
    <row r="12" spans="2:8" ht="15" thickTop="1" x14ac:dyDescent="0.3">
      <c r="D12">
        <v>1</v>
      </c>
      <c r="E12" s="1" t="s">
        <v>48</v>
      </c>
      <c r="F12" s="2" t="str">
        <f>+F8</f>
        <v>Retail finance ?</v>
      </c>
    </row>
    <row r="13" spans="2:8" x14ac:dyDescent="0.3">
      <c r="D13">
        <v>2</v>
      </c>
      <c r="E13" s="1" t="s">
        <v>49</v>
      </c>
      <c r="F13" s="2" t="str">
        <f>+F12</f>
        <v>Retail finance ?</v>
      </c>
      <c r="G13" s="2" t="s">
        <v>55</v>
      </c>
    </row>
    <row r="14" spans="2:8" ht="15" thickBot="1" x14ac:dyDescent="0.35">
      <c r="E14" s="1"/>
      <c r="F14" s="2"/>
    </row>
    <row r="15" spans="2:8" ht="15.6" thickTop="1" thickBot="1" x14ac:dyDescent="0.35">
      <c r="B15" t="s">
        <v>87</v>
      </c>
      <c r="D15" s="4" t="s">
        <v>14</v>
      </c>
      <c r="E15" s="5" t="s">
        <v>6</v>
      </c>
      <c r="F15" s="6" t="s">
        <v>38</v>
      </c>
      <c r="G15" s="6" t="s">
        <v>39</v>
      </c>
    </row>
    <row r="16" spans="2:8" ht="15" thickTop="1" x14ac:dyDescent="0.3">
      <c r="B16" t="s">
        <v>80</v>
      </c>
      <c r="D16">
        <v>1</v>
      </c>
      <c r="E16" t="s">
        <v>7</v>
      </c>
      <c r="F16" t="s">
        <v>53</v>
      </c>
      <c r="G16" s="2" t="s">
        <v>52</v>
      </c>
      <c r="H16" s="11" t="s">
        <v>77</v>
      </c>
    </row>
    <row r="17" spans="2:8" x14ac:dyDescent="0.3">
      <c r="B17" t="s">
        <v>81</v>
      </c>
      <c r="D17">
        <v>2</v>
      </c>
      <c r="E17" t="s">
        <v>9</v>
      </c>
      <c r="F17" t="s">
        <v>53</v>
      </c>
      <c r="G17" s="2" t="s">
        <v>52</v>
      </c>
      <c r="H17" s="11" t="s">
        <v>88</v>
      </c>
    </row>
    <row r="18" spans="2:8" x14ac:dyDescent="0.3">
      <c r="B18" t="s">
        <v>82</v>
      </c>
      <c r="D18">
        <v>3</v>
      </c>
      <c r="E18" t="s">
        <v>10</v>
      </c>
      <c r="F18" t="s">
        <v>53</v>
      </c>
      <c r="G18" s="2" t="s">
        <v>52</v>
      </c>
      <c r="H18" s="11"/>
    </row>
    <row r="19" spans="2:8" x14ac:dyDescent="0.3">
      <c r="B19" t="s">
        <v>83</v>
      </c>
      <c r="D19">
        <v>4</v>
      </c>
      <c r="E19" t="s">
        <v>11</v>
      </c>
      <c r="F19" t="s">
        <v>53</v>
      </c>
      <c r="G19" s="2" t="s">
        <v>52</v>
      </c>
      <c r="H19" s="11"/>
    </row>
    <row r="20" spans="2:8" ht="15" thickBot="1" x14ac:dyDescent="0.35"/>
    <row r="21" spans="2:8" ht="15.6" thickTop="1" thickBot="1" x14ac:dyDescent="0.35">
      <c r="D21" s="4" t="s">
        <v>15</v>
      </c>
      <c r="E21" s="5" t="s">
        <v>2</v>
      </c>
      <c r="F21" s="6" t="s">
        <v>38</v>
      </c>
      <c r="G21" s="6" t="s">
        <v>39</v>
      </c>
      <c r="H21" s="13"/>
    </row>
    <row r="22" spans="2:8" ht="15" thickTop="1" x14ac:dyDescent="0.3">
      <c r="D22">
        <v>1</v>
      </c>
      <c r="E22" t="s">
        <v>16</v>
      </c>
      <c r="F22" t="s">
        <v>53</v>
      </c>
      <c r="G22" s="2" t="s">
        <v>56</v>
      </c>
      <c r="H22" s="13"/>
    </row>
    <row r="23" spans="2:8" x14ac:dyDescent="0.3">
      <c r="D23">
        <v>2</v>
      </c>
      <c r="E23" t="s">
        <v>17</v>
      </c>
      <c r="F23" t="s">
        <v>53</v>
      </c>
      <c r="G23" s="2" t="s">
        <v>56</v>
      </c>
      <c r="H23" s="13"/>
    </row>
    <row r="24" spans="2:8" ht="15" thickBot="1" x14ac:dyDescent="0.35"/>
    <row r="25" spans="2:8" ht="15.6" thickTop="1" thickBot="1" x14ac:dyDescent="0.35">
      <c r="D25" s="4" t="s">
        <v>18</v>
      </c>
      <c r="E25" s="5" t="s">
        <v>1</v>
      </c>
      <c r="F25" s="6" t="s">
        <v>38</v>
      </c>
      <c r="G25" s="6" t="s">
        <v>39</v>
      </c>
    </row>
    <row r="26" spans="2:8" ht="15" thickTop="1" x14ac:dyDescent="0.3">
      <c r="D26">
        <v>1</v>
      </c>
      <c r="E26" t="s">
        <v>57</v>
      </c>
      <c r="F26" t="s">
        <v>54</v>
      </c>
      <c r="G26" s="2" t="s">
        <v>71</v>
      </c>
    </row>
    <row r="27" spans="2:8" ht="15" thickBot="1" x14ac:dyDescent="0.35"/>
    <row r="28" spans="2:8" ht="15.6" thickTop="1" thickBot="1" x14ac:dyDescent="0.35">
      <c r="D28" s="4" t="s">
        <v>19</v>
      </c>
      <c r="E28" s="5" t="s">
        <v>24</v>
      </c>
      <c r="F28" s="6" t="s">
        <v>38</v>
      </c>
      <c r="G28" s="6" t="s">
        <v>39</v>
      </c>
    </row>
    <row r="29" spans="2:8" ht="15" thickTop="1" x14ac:dyDescent="0.3">
      <c r="D29">
        <v>1</v>
      </c>
      <c r="E29" t="s">
        <v>20</v>
      </c>
      <c r="F29" t="s">
        <v>53</v>
      </c>
      <c r="G29" t="s">
        <v>72</v>
      </c>
    </row>
    <row r="30" spans="2:8" x14ac:dyDescent="0.3">
      <c r="D30">
        <v>2</v>
      </c>
      <c r="E30" t="s">
        <v>21</v>
      </c>
      <c r="F30" t="s">
        <v>53</v>
      </c>
      <c r="G30" t="s">
        <v>73</v>
      </c>
    </row>
    <row r="31" spans="2:8" x14ac:dyDescent="0.3">
      <c r="D31">
        <v>3</v>
      </c>
      <c r="E31" t="s">
        <v>25</v>
      </c>
      <c r="F31" t="s">
        <v>53</v>
      </c>
      <c r="G31" t="s">
        <v>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3BF9-D6DD-4D3B-B864-E268239CA44C}">
  <dimension ref="D1:K30"/>
  <sheetViews>
    <sheetView topLeftCell="B1" workbookViewId="0">
      <selection activeCell="D1" sqref="D1:E1048576"/>
    </sheetView>
  </sheetViews>
  <sheetFormatPr defaultRowHeight="14.4" x14ac:dyDescent="0.3"/>
  <cols>
    <col min="5" max="5" width="83.44140625" customWidth="1"/>
    <col min="6" max="6" width="16.33203125" style="2" bestFit="1" customWidth="1"/>
    <col min="7" max="7" width="17.33203125" style="2" customWidth="1"/>
    <col min="9" max="9" width="17.5546875" bestFit="1" customWidth="1"/>
    <col min="10" max="10" width="9.5546875" bestFit="1" customWidth="1"/>
    <col min="11" max="11" width="8.88671875" style="2"/>
  </cols>
  <sheetData>
    <row r="1" spans="4:11" ht="15" thickBot="1" x14ac:dyDescent="0.35">
      <c r="E1" s="7" t="s">
        <v>93</v>
      </c>
    </row>
    <row r="2" spans="4:11" ht="15.6" thickTop="1" thickBot="1" x14ac:dyDescent="0.35">
      <c r="D2" s="4" t="s">
        <v>12</v>
      </c>
      <c r="E2" s="5" t="s">
        <v>26</v>
      </c>
      <c r="F2" s="6" t="s">
        <v>38</v>
      </c>
      <c r="G2" s="6" t="s">
        <v>39</v>
      </c>
      <c r="J2" s="2"/>
    </row>
    <row r="3" spans="4:11" ht="14.4" customHeight="1" thickTop="1" x14ac:dyDescent="0.3">
      <c r="D3">
        <v>1</v>
      </c>
      <c r="E3" s="3" t="s">
        <v>32</v>
      </c>
      <c r="F3" s="2" t="s">
        <v>74</v>
      </c>
      <c r="G3" s="2" t="str">
        <f>+'Asset Management '!G30</f>
        <v>Spatharis</v>
      </c>
    </row>
    <row r="4" spans="4:11" ht="14.4" customHeight="1" x14ac:dyDescent="0.3">
      <c r="D4">
        <v>2</v>
      </c>
      <c r="E4" s="3" t="s">
        <v>33</v>
      </c>
      <c r="F4" s="2" t="s">
        <v>75</v>
      </c>
      <c r="G4" s="2" t="s">
        <v>75</v>
      </c>
    </row>
    <row r="5" spans="4:11" x14ac:dyDescent="0.3">
      <c r="D5">
        <v>3</v>
      </c>
      <c r="E5" s="3" t="s">
        <v>27</v>
      </c>
      <c r="F5" s="2" t="s">
        <v>76</v>
      </c>
      <c r="G5" s="2" t="s">
        <v>53</v>
      </c>
      <c r="K5" s="9"/>
    </row>
    <row r="6" spans="4:11" x14ac:dyDescent="0.3">
      <c r="D6">
        <v>4</v>
      </c>
      <c r="E6" s="3" t="s">
        <v>28</v>
      </c>
      <c r="F6" s="2" t="s">
        <v>53</v>
      </c>
      <c r="G6" s="2" t="s">
        <v>53</v>
      </c>
      <c r="J6" s="10"/>
    </row>
    <row r="7" spans="4:11" x14ac:dyDescent="0.3">
      <c r="D7">
        <v>5</v>
      </c>
      <c r="E7" s="3" t="s">
        <v>29</v>
      </c>
      <c r="F7" s="2" t="s">
        <v>53</v>
      </c>
      <c r="G7" s="2" t="s">
        <v>52</v>
      </c>
      <c r="J7" s="10"/>
    </row>
    <row r="8" spans="4:11" x14ac:dyDescent="0.3">
      <c r="D8" s="11">
        <v>6</v>
      </c>
      <c r="E8" s="14" t="s">
        <v>30</v>
      </c>
      <c r="F8" s="12" t="s">
        <v>54</v>
      </c>
      <c r="G8" s="2" t="s">
        <v>52</v>
      </c>
      <c r="J8" s="10"/>
    </row>
    <row r="9" spans="4:11" x14ac:dyDescent="0.3">
      <c r="D9" s="11">
        <v>7</v>
      </c>
      <c r="E9" s="15" t="s">
        <v>34</v>
      </c>
      <c r="F9" s="12" t="s">
        <v>54</v>
      </c>
      <c r="G9" s="2" t="s">
        <v>52</v>
      </c>
    </row>
    <row r="10" spans="4:11" x14ac:dyDescent="0.3">
      <c r="D10">
        <v>8</v>
      </c>
      <c r="E10" s="1" t="s">
        <v>31</v>
      </c>
      <c r="F10" s="2" t="s">
        <v>53</v>
      </c>
      <c r="G10" s="2" t="str">
        <f>+F10</f>
        <v>Product</v>
      </c>
    </row>
    <row r="11" spans="4:11" ht="15" thickBot="1" x14ac:dyDescent="0.35"/>
    <row r="12" spans="4:11" ht="15.6" thickTop="1" thickBot="1" x14ac:dyDescent="0.35">
      <c r="D12" s="4" t="s">
        <v>13</v>
      </c>
      <c r="E12" s="5" t="s">
        <v>36</v>
      </c>
      <c r="F12" s="6" t="s">
        <v>38</v>
      </c>
      <c r="G12" s="6" t="s">
        <v>39</v>
      </c>
      <c r="H12" s="11"/>
    </row>
    <row r="13" spans="4:11" ht="15" thickTop="1" x14ac:dyDescent="0.3">
      <c r="D13">
        <v>1</v>
      </c>
      <c r="E13" s="1" t="s">
        <v>37</v>
      </c>
      <c r="F13" s="2" t="s">
        <v>53</v>
      </c>
      <c r="G13" s="2" t="str">
        <f>+F13</f>
        <v>Product</v>
      </c>
      <c r="H13" s="11"/>
    </row>
    <row r="14" spans="4:11" x14ac:dyDescent="0.3">
      <c r="D14">
        <v>2</v>
      </c>
      <c r="E14" s="1" t="s">
        <v>35</v>
      </c>
    </row>
    <row r="15" spans="4:11" ht="15" thickBot="1" x14ac:dyDescent="0.35"/>
    <row r="16" spans="4:11" ht="15.6" thickTop="1" thickBot="1" x14ac:dyDescent="0.35">
      <c r="D16" s="4" t="s">
        <v>14</v>
      </c>
      <c r="E16" s="8" t="s">
        <v>63</v>
      </c>
      <c r="F16" s="6" t="s">
        <v>38</v>
      </c>
      <c r="G16" s="6" t="s">
        <v>39</v>
      </c>
    </row>
    <row r="17" spans="4:8" ht="15" thickTop="1" x14ac:dyDescent="0.3">
      <c r="D17">
        <v>1</v>
      </c>
      <c r="E17" t="s">
        <v>40</v>
      </c>
      <c r="H17" s="11" t="s">
        <v>78</v>
      </c>
    </row>
    <row r="18" spans="4:8" x14ac:dyDescent="0.3">
      <c r="D18">
        <v>2</v>
      </c>
      <c r="E18" s="1" t="s">
        <v>48</v>
      </c>
    </row>
    <row r="19" spans="4:8" x14ac:dyDescent="0.3">
      <c r="D19">
        <v>3</v>
      </c>
      <c r="E19" s="1" t="s">
        <v>49</v>
      </c>
    </row>
    <row r="20" spans="4:8" x14ac:dyDescent="0.3">
      <c r="D20">
        <v>4</v>
      </c>
      <c r="E20" t="s">
        <v>50</v>
      </c>
    </row>
    <row r="21" spans="4:8" ht="15" thickBot="1" x14ac:dyDescent="0.35"/>
    <row r="22" spans="4:8" ht="15.6" thickTop="1" thickBot="1" x14ac:dyDescent="0.35">
      <c r="D22" s="4" t="s">
        <v>15</v>
      </c>
      <c r="E22" s="8" t="s">
        <v>41</v>
      </c>
      <c r="F22" s="6" t="s">
        <v>38</v>
      </c>
      <c r="G22" s="6" t="s">
        <v>39</v>
      </c>
    </row>
    <row r="23" spans="4:8" ht="15" thickTop="1" x14ac:dyDescent="0.3">
      <c r="D23">
        <v>1</v>
      </c>
      <c r="E23" t="s">
        <v>42</v>
      </c>
      <c r="G23" s="2" t="s">
        <v>59</v>
      </c>
    </row>
    <row r="24" spans="4:8" x14ac:dyDescent="0.3">
      <c r="D24">
        <v>2</v>
      </c>
      <c r="E24" t="s">
        <v>43</v>
      </c>
      <c r="G24" s="2" t="s">
        <v>59</v>
      </c>
    </row>
    <row r="25" spans="4:8" x14ac:dyDescent="0.3">
      <c r="D25">
        <v>3</v>
      </c>
      <c r="E25" s="1" t="s">
        <v>60</v>
      </c>
      <c r="G25" s="2" t="s">
        <v>59</v>
      </c>
    </row>
    <row r="26" spans="4:8" x14ac:dyDescent="0.3">
      <c r="D26">
        <v>4</v>
      </c>
      <c r="E26" t="s">
        <v>44</v>
      </c>
      <c r="G26" s="2" t="s">
        <v>59</v>
      </c>
    </row>
    <row r="27" spans="4:8" ht="15" thickBot="1" x14ac:dyDescent="0.35"/>
    <row r="28" spans="4:8" ht="15.6" thickTop="1" thickBot="1" x14ac:dyDescent="0.35">
      <c r="D28" s="4" t="s">
        <v>18</v>
      </c>
      <c r="E28" s="8" t="s">
        <v>45</v>
      </c>
      <c r="F28" s="6" t="s">
        <v>38</v>
      </c>
      <c r="G28" s="6" t="s">
        <v>39</v>
      </c>
    </row>
    <row r="29" spans="4:8" ht="15" thickTop="1" x14ac:dyDescent="0.3">
      <c r="D29">
        <v>1</v>
      </c>
      <c r="E29" s="1" t="s">
        <v>46</v>
      </c>
      <c r="F29" s="2" t="s">
        <v>79</v>
      </c>
    </row>
    <row r="30" spans="4:8" x14ac:dyDescent="0.3">
      <c r="D30">
        <v>2</v>
      </c>
      <c r="E30" t="s">
        <v>47</v>
      </c>
      <c r="F30" s="2" t="s">
        <v>54</v>
      </c>
      <c r="G30" s="2" t="str">
        <f>+F30</f>
        <v>Ext. Networks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E307-0AC5-4960-8CC9-558967A246DF}">
  <dimension ref="A2:B25"/>
  <sheetViews>
    <sheetView tabSelected="1" workbookViewId="0">
      <selection activeCell="A2" sqref="A2:B25"/>
    </sheetView>
  </sheetViews>
  <sheetFormatPr defaultRowHeight="14.4" x14ac:dyDescent="0.3"/>
  <cols>
    <col min="2" max="2" width="142.5546875" customWidth="1"/>
  </cols>
  <sheetData>
    <row r="2" spans="1:2" x14ac:dyDescent="0.3">
      <c r="A2">
        <v>1</v>
      </c>
      <c r="B2" t="s">
        <v>61</v>
      </c>
    </row>
    <row r="4" spans="1:2" x14ac:dyDescent="0.3">
      <c r="A4">
        <f>+A2+1</f>
        <v>2</v>
      </c>
      <c r="B4" t="s">
        <v>67</v>
      </c>
    </row>
    <row r="6" spans="1:2" x14ac:dyDescent="0.3">
      <c r="A6">
        <f>+A4+1</f>
        <v>3</v>
      </c>
      <c r="B6" t="s">
        <v>62</v>
      </c>
    </row>
    <row r="8" spans="1:2" x14ac:dyDescent="0.3">
      <c r="A8">
        <f>+A6+1</f>
        <v>4</v>
      </c>
      <c r="B8" t="s">
        <v>64</v>
      </c>
    </row>
    <row r="10" spans="1:2" x14ac:dyDescent="0.3">
      <c r="A10">
        <f>+A8+1</f>
        <v>5</v>
      </c>
      <c r="B10" t="s">
        <v>65</v>
      </c>
    </row>
    <row r="12" spans="1:2" x14ac:dyDescent="0.3">
      <c r="A12">
        <f>+A10+1</f>
        <v>6</v>
      </c>
      <c r="B12" t="s">
        <v>66</v>
      </c>
    </row>
    <row r="14" spans="1:2" x14ac:dyDescent="0.3">
      <c r="A14">
        <f>+A12+1</f>
        <v>7</v>
      </c>
      <c r="B14" t="s">
        <v>89</v>
      </c>
    </row>
    <row r="16" spans="1:2" x14ac:dyDescent="0.3">
      <c r="A16">
        <f>+A14+1</f>
        <v>8</v>
      </c>
      <c r="B16" s="11" t="s">
        <v>68</v>
      </c>
    </row>
    <row r="18" spans="1:2" x14ac:dyDescent="0.3">
      <c r="A18">
        <f>+A16+1</f>
        <v>9</v>
      </c>
      <c r="B18" t="s">
        <v>90</v>
      </c>
    </row>
    <row r="20" spans="1:2" x14ac:dyDescent="0.3">
      <c r="A20">
        <f>+A18+1</f>
        <v>10</v>
      </c>
      <c r="B20" t="s">
        <v>69</v>
      </c>
    </row>
    <row r="22" spans="1:2" x14ac:dyDescent="0.3">
      <c r="A22">
        <f>+A20+1</f>
        <v>11</v>
      </c>
      <c r="B22" s="11" t="s">
        <v>70</v>
      </c>
    </row>
    <row r="24" spans="1:2" x14ac:dyDescent="0.3">
      <c r="A24">
        <v>12</v>
      </c>
      <c r="B24" s="16" t="s">
        <v>91</v>
      </c>
    </row>
    <row r="25" spans="1:2" x14ac:dyDescent="0.3">
      <c r="B25" s="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Management </vt:lpstr>
      <vt:lpstr>Leasing market</vt:lpstr>
      <vt:lpstr>Product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2025-07-15T09:15:10Z</dcterms:created>
  <dcterms:modified xsi:type="dcterms:W3CDTF">2025-07-18T09:20:13Z</dcterms:modified>
</cp:coreProperties>
</file>