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13_ncr:1_{454D3114-7627-44CC-B89F-16CEF6FE6038}" xr6:coauthVersionLast="47" xr6:coauthVersionMax="47" xr10:uidLastSave="{00000000-0000-0000-0000-000000000000}"/>
  <bookViews>
    <workbookView xWindow="-108" yWindow="-108" windowWidth="23256" windowHeight="12456" activeTab="1" xr2:uid="{6C23E4A5-B2EB-4C20-B863-9DA58CA4B6E9}"/>
  </bookViews>
  <sheets>
    <sheet name="CAR + CARDOM" sheetId="1" r:id="rId1"/>
    <sheet name="CAR + CARDOM (2)" sheetId="4" r:id="rId2"/>
    <sheet name="OEMs D2C (Toyota)" sheetId="2" r:id="rId3"/>
    <sheet name="D2C cash loan for aut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E19" i="4"/>
  <c r="E27" i="4" s="1"/>
  <c r="D20" i="4"/>
  <c r="E20" i="4"/>
  <c r="F27" i="4"/>
  <c r="K10" i="4"/>
  <c r="E14" i="4"/>
  <c r="E13" i="4"/>
  <c r="K5" i="4"/>
  <c r="G6" i="4"/>
  <c r="G5" i="4"/>
  <c r="E4" i="4"/>
  <c r="D4" i="4"/>
  <c r="O13" i="1"/>
  <c r="O12" i="1"/>
  <c r="O9" i="1"/>
  <c r="O8" i="1"/>
  <c r="D20" i="2"/>
  <c r="D21" i="2" s="1"/>
  <c r="M9" i="1" s="1"/>
  <c r="E24" i="4" l="1"/>
  <c r="E28" i="4"/>
  <c r="E26" i="4" s="1"/>
  <c r="D23" i="4"/>
  <c r="D27" i="4"/>
  <c r="E23" i="4"/>
  <c r="G19" i="4"/>
  <c r="E18" i="4"/>
  <c r="E12" i="4"/>
  <c r="G4" i="4"/>
  <c r="D4" i="3"/>
  <c r="E22" i="4" l="1"/>
  <c r="D28" i="4"/>
  <c r="D26" i="4" s="1"/>
  <c r="D24" i="4"/>
  <c r="G20" i="4"/>
  <c r="D18" i="4"/>
  <c r="G18" i="4" s="1"/>
  <c r="D22" i="4"/>
  <c r="F10" i="3"/>
  <c r="C12" i="3"/>
  <c r="D14" i="3" s="1"/>
  <c r="D12" i="3"/>
  <c r="F8" i="3"/>
  <c r="C6" i="3"/>
  <c r="D12" i="2"/>
  <c r="F12" i="2"/>
  <c r="C12" i="2"/>
  <c r="F10" i="2"/>
  <c r="D8" i="2"/>
  <c r="F8" i="2"/>
  <c r="C8" i="2"/>
  <c r="F4" i="2"/>
  <c r="F6" i="2"/>
  <c r="F38" i="1"/>
  <c r="F39" i="1"/>
  <c r="F40" i="1"/>
  <c r="E18" i="1"/>
  <c r="E22" i="1" s="1"/>
  <c r="E30" i="1" s="1"/>
  <c r="E17" i="1"/>
  <c r="E12" i="1"/>
  <c r="G5" i="1"/>
  <c r="G6" i="1"/>
  <c r="E4" i="1"/>
  <c r="D4" i="1"/>
  <c r="G40" i="1" l="1"/>
  <c r="E40" i="1"/>
  <c r="F37" i="1"/>
  <c r="E16" i="1"/>
  <c r="M8" i="1"/>
  <c r="E21" i="1"/>
  <c r="E20" i="1" s="1"/>
  <c r="F12" i="3"/>
  <c r="D6" i="3"/>
  <c r="F6" i="3" s="1"/>
  <c r="F4" i="3"/>
  <c r="G4" i="1"/>
  <c r="G38" i="1" l="1"/>
  <c r="E29" i="1"/>
  <c r="E38" i="1"/>
  <c r="E28" i="1" l="1"/>
  <c r="G39" i="1"/>
  <c r="G37" i="1" s="1"/>
  <c r="E39" i="1"/>
  <c r="E37" i="1" s="1"/>
  <c r="M10" i="1" l="1"/>
  <c r="O10" i="1"/>
</calcChain>
</file>

<file path=xl/sharedStrings.xml><?xml version="1.0" encoding="utf-8"?>
<sst xmlns="http://schemas.openxmlformats.org/spreadsheetml/2006/main" count="101" uniqueCount="49">
  <si>
    <t>Car listings</t>
  </si>
  <si>
    <t>Car.gr</t>
  </si>
  <si>
    <t>B2C</t>
  </si>
  <si>
    <t>Growth(%)</t>
  </si>
  <si>
    <t>Auto loan</t>
  </si>
  <si>
    <t>Cash loan</t>
  </si>
  <si>
    <t>RAR per car (ERB)</t>
  </si>
  <si>
    <t>Cardom</t>
  </si>
  <si>
    <t>C2C</t>
  </si>
  <si>
    <t>Auto loan / B2C</t>
  </si>
  <si>
    <t>Auto loan /B2C</t>
  </si>
  <si>
    <t>Cash loan /C2C</t>
  </si>
  <si>
    <t>CvR (Car.gr)</t>
  </si>
  <si>
    <t>Car Financed (Car.gr)</t>
  </si>
  <si>
    <t>RAR (Car.gr)</t>
  </si>
  <si>
    <t>ERB RAR</t>
  </si>
  <si>
    <t>RAR (All digital channels)</t>
  </si>
  <si>
    <t>Market share (ERB )</t>
  </si>
  <si>
    <t>RAR (ERB )</t>
  </si>
  <si>
    <t>Min.</t>
  </si>
  <si>
    <t>Max.</t>
  </si>
  <si>
    <t>Toyota</t>
  </si>
  <si>
    <t>Independent dealers RAR</t>
  </si>
  <si>
    <t>Toyota MS</t>
  </si>
  <si>
    <t>Toyota RAR</t>
  </si>
  <si>
    <t>ERB MS on Toyota</t>
  </si>
  <si>
    <t>Direct Cash Loan to purchase a car</t>
  </si>
  <si>
    <t>Consumer Loan market disbursements</t>
  </si>
  <si>
    <t>of which for auto purchase</t>
  </si>
  <si>
    <t xml:space="preserve">ERB MS </t>
  </si>
  <si>
    <t>Consumer Loan market RAR</t>
  </si>
  <si>
    <t>incremental RAR 2024-2030</t>
  </si>
  <si>
    <t># of Car Loans (only)</t>
  </si>
  <si>
    <t>like for like comparison</t>
  </si>
  <si>
    <t>car + cardom</t>
  </si>
  <si>
    <t>Total 2030</t>
  </si>
  <si>
    <t>Total 2023</t>
  </si>
  <si>
    <t>FY 2024 (estimation)</t>
  </si>
  <si>
    <t>€ disb. Amount</t>
  </si>
  <si>
    <t>Loan Penetration (Car.gr)</t>
  </si>
  <si>
    <t>Car listings (#k)</t>
  </si>
  <si>
    <t>ERB</t>
  </si>
  <si>
    <t>2030 (Min.)</t>
  </si>
  <si>
    <t>2030 (Max.)</t>
  </si>
  <si>
    <t>Loan amount per car (ERB)</t>
  </si>
  <si>
    <t>Assumptions:</t>
  </si>
  <si>
    <t>Car Financed (#k)</t>
  </si>
  <si>
    <t>Disb. amount (€k)</t>
  </si>
  <si>
    <t>RAR (€k)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</si>
</sst>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%"/>
  </numFmts>
  <fonts count="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/>
      <name val="Aptos Narrow"/>
      <family val="2"/>
      <charset val="161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9" fontId="3" fillId="2" borderId="0" xfId="1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3" borderId="10" xfId="0" applyFill="1" applyBorder="1"/>
    <xf numFmtId="0" fontId="0" fillId="3" borderId="1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2" fillId="2" borderId="0" xfId="0" applyFont="1" applyFill="1"/>
    <xf numFmtId="9" fontId="5" fillId="2" borderId="0" xfId="1" applyFont="1" applyFill="1"/>
    <xf numFmtId="9" fontId="0" fillId="2" borderId="0" xfId="1" applyFont="1" applyFill="1"/>
    <xf numFmtId="9" fontId="0" fillId="2" borderId="0" xfId="0" applyNumberFormat="1" applyFill="1"/>
    <xf numFmtId="164" fontId="0" fillId="2" borderId="0" xfId="0" applyNumberFormat="1" applyFill="1"/>
    <xf numFmtId="2" fontId="2" fillId="2" borderId="0" xfId="0" applyNumberFormat="1" applyFont="1" applyFill="1"/>
    <xf numFmtId="164" fontId="2" fillId="2" borderId="0" xfId="0" applyNumberFormat="1" applyFont="1" applyFill="1"/>
    <xf numFmtId="0" fontId="0" fillId="3" borderId="2" xfId="0" applyFill="1" applyBorder="1"/>
    <xf numFmtId="9" fontId="0" fillId="3" borderId="4" xfId="1" applyFont="1" applyFill="1" applyBorder="1"/>
    <xf numFmtId="0" fontId="0" fillId="3" borderId="0" xfId="0" applyFill="1"/>
    <xf numFmtId="9" fontId="0" fillId="3" borderId="6" xfId="1" applyFont="1" applyFill="1" applyBorder="1"/>
    <xf numFmtId="0" fontId="0" fillId="3" borderId="8" xfId="0" applyFill="1" applyBorder="1"/>
    <xf numFmtId="9" fontId="0" fillId="3" borderId="9" xfId="1" applyFont="1" applyFill="1" applyBorder="1"/>
    <xf numFmtId="0" fontId="2" fillId="3" borderId="3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165" fontId="0" fillId="3" borderId="4" xfId="1" applyNumberFormat="1" applyFont="1" applyFill="1" applyBorder="1"/>
    <xf numFmtId="165" fontId="0" fillId="3" borderId="6" xfId="1" applyNumberFormat="1" applyFont="1" applyFill="1" applyBorder="1"/>
    <xf numFmtId="165" fontId="0" fillId="3" borderId="9" xfId="1" applyNumberFormat="1" applyFont="1" applyFill="1" applyBorder="1"/>
    <xf numFmtId="165" fontId="0" fillId="2" borderId="0" xfId="0" applyNumberFormat="1" applyFill="1"/>
    <xf numFmtId="165" fontId="2" fillId="2" borderId="0" xfId="0" applyNumberFormat="1" applyFont="1" applyFill="1"/>
    <xf numFmtId="0" fontId="3" fillId="3" borderId="1" xfId="0" applyFont="1" applyFill="1" applyBorder="1" applyAlignment="1">
      <alignment horizontal="center"/>
    </xf>
    <xf numFmtId="9" fontId="2" fillId="2" borderId="0" xfId="0" applyNumberFormat="1" applyFont="1" applyFill="1"/>
    <xf numFmtId="3" fontId="2" fillId="2" borderId="0" xfId="0" applyNumberFormat="1" applyFont="1" applyFill="1"/>
    <xf numFmtId="3" fontId="0" fillId="2" borderId="0" xfId="0" applyNumberFormat="1" applyFill="1"/>
    <xf numFmtId="1" fontId="0" fillId="2" borderId="0" xfId="0" applyNumberFormat="1" applyFill="1"/>
    <xf numFmtId="0" fontId="0" fillId="2" borderId="8" xfId="0" applyFill="1" applyBorder="1"/>
    <xf numFmtId="0" fontId="0" fillId="2" borderId="5" xfId="0" applyFill="1" applyBorder="1"/>
    <xf numFmtId="0" fontId="2" fillId="2" borderId="5" xfId="0" applyFont="1" applyFill="1" applyBorder="1"/>
    <xf numFmtId="0" fontId="6" fillId="2" borderId="5" xfId="0" applyFont="1" applyFill="1" applyBorder="1"/>
    <xf numFmtId="0" fontId="6" fillId="2" borderId="0" xfId="0" applyFont="1" applyFill="1"/>
    <xf numFmtId="0" fontId="0" fillId="2" borderId="7" xfId="0" applyFill="1" applyBorder="1"/>
    <xf numFmtId="166" fontId="0" fillId="2" borderId="0" xfId="1" applyNumberFormat="1" applyFont="1" applyFill="1"/>
    <xf numFmtId="0" fontId="7" fillId="2" borderId="0" xfId="0" applyFont="1" applyFill="1"/>
    <xf numFmtId="1" fontId="7" fillId="2" borderId="0" xfId="0" applyNumberFormat="1" applyFont="1" applyFill="1"/>
    <xf numFmtId="3" fontId="0" fillId="3" borderId="9" xfId="0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2" fillId="2" borderId="6" xfId="0" applyNumberFormat="1" applyFont="1" applyFill="1" applyBorder="1"/>
    <xf numFmtId="3" fontId="0" fillId="2" borderId="9" xfId="0" applyNumberFormat="1" applyFill="1" applyBorder="1"/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4" xfId="0" applyBorder="1"/>
    <xf numFmtId="0" fontId="0" fillId="2" borderId="2" xfId="0" applyFill="1" applyBorder="1"/>
    <xf numFmtId="0" fontId="2" fillId="2" borderId="5" xfId="0" applyFont="1" applyFill="1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3" fillId="2" borderId="5" xfId="0" applyFont="1" applyFill="1" applyBorder="1"/>
    <xf numFmtId="0" fontId="3" fillId="2" borderId="0" xfId="0" applyFont="1" applyFill="1" applyBorder="1"/>
    <xf numFmtId="9" fontId="3" fillId="2" borderId="0" xfId="0" applyNumberFormat="1" applyFont="1" applyFill="1" applyBorder="1"/>
    <xf numFmtId="164" fontId="0" fillId="2" borderId="0" xfId="0" applyNumberFormat="1" applyFill="1" applyBorder="1"/>
    <xf numFmtId="164" fontId="0" fillId="2" borderId="8" xfId="0" applyNumberFormat="1" applyFill="1" applyBorder="1"/>
    <xf numFmtId="0" fontId="3" fillId="3" borderId="1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9" fontId="5" fillId="2" borderId="6" xfId="1" applyFont="1" applyFill="1" applyBorder="1" applyAlignment="1">
      <alignment horizontal="right"/>
    </xf>
    <xf numFmtId="9" fontId="3" fillId="2" borderId="6" xfId="1" applyFont="1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9" fontId="3" fillId="2" borderId="9" xfId="1" applyFont="1" applyFill="1" applyBorder="1" applyAlignment="1">
      <alignment horizontal="right"/>
    </xf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164" fontId="0" fillId="3" borderId="6" xfId="0" applyNumberFormat="1" applyFill="1" applyBorder="1"/>
    <xf numFmtId="0" fontId="0" fillId="3" borderId="7" xfId="0" applyFill="1" applyBorder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2" fontId="0" fillId="2" borderId="0" xfId="0" applyNumberFormat="1" applyFill="1" applyBorder="1"/>
    <xf numFmtId="2" fontId="2" fillId="2" borderId="0" xfId="0" applyNumberFormat="1" applyFont="1" applyFill="1" applyBorder="1"/>
    <xf numFmtId="9" fontId="0" fillId="3" borderId="0" xfId="1" applyFont="1" applyFill="1" applyBorder="1"/>
    <xf numFmtId="3" fontId="0" fillId="3" borderId="0" xfId="0" applyNumberFormat="1" applyFill="1" applyBorder="1"/>
    <xf numFmtId="3" fontId="0" fillId="3" borderId="6" xfId="0" applyNumberFormat="1" applyFill="1" applyBorder="1"/>
    <xf numFmtId="9" fontId="0" fillId="3" borderId="8" xfId="1" applyFont="1" applyFill="1" applyBorder="1"/>
    <xf numFmtId="0" fontId="2" fillId="5" borderId="10" xfId="0" applyFont="1" applyFill="1" applyBorder="1"/>
    <xf numFmtId="0" fontId="2" fillId="5" borderId="12" xfId="0" applyFont="1" applyFill="1" applyBorder="1" applyAlignment="1">
      <alignment horizontal="right"/>
    </xf>
    <xf numFmtId="0" fontId="2" fillId="5" borderId="11" xfId="0" applyFont="1" applyFill="1" applyBorder="1" applyAlignment="1">
      <alignment horizontal="right"/>
    </xf>
    <xf numFmtId="0" fontId="2" fillId="5" borderId="12" xfId="0" applyFont="1" applyFill="1" applyBorder="1"/>
    <xf numFmtId="2" fontId="2" fillId="5" borderId="11" xfId="0" applyNumberFormat="1" applyFont="1" applyFill="1" applyBorder="1"/>
    <xf numFmtId="0" fontId="2" fillId="5" borderId="3" xfId="0" applyFont="1" applyFill="1" applyBorder="1"/>
    <xf numFmtId="0" fontId="0" fillId="5" borderId="2" xfId="0" applyFill="1" applyBorder="1"/>
    <xf numFmtId="0" fontId="0" fillId="5" borderId="4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33866</xdr:colOff>
      <xdr:row>34</xdr:row>
      <xdr:rowOff>177800</xdr:rowOff>
    </xdr:from>
    <xdr:to>
      <xdr:col>7</xdr:col>
      <xdr:colOff>475826</xdr:colOff>
      <xdr:row>38</xdr:row>
      <xdr:rowOff>1694</xdr:rowOff>
    </xdr:to>
    <xdr:pic>
      <xdr:nvPicPr>
        <xdr:cNvPr id="4" name="Graphic 3" descr="Badge 1 with solid fill">
          <a:extLst>
            <a:ext uri="{FF2B5EF4-FFF2-40B4-BE49-F238E27FC236}">
              <a16:creationId xmlns:a16="http://schemas.microsoft.com/office/drawing/2014/main" id="{348C76FC-A3A6-40A4-B861-CE9A806F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34933" y="5494867"/>
          <a:ext cx="441960" cy="441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220980</xdr:colOff>
      <xdr:row>0</xdr:row>
      <xdr:rowOff>153488</xdr:rowOff>
    </xdr:from>
    <xdr:to>
      <xdr:col>19</xdr:col>
      <xdr:colOff>290536</xdr:colOff>
      <xdr:row>19</xdr:row>
      <xdr:rowOff>145329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AA4B9-6606-244D-6C53-3752F55E6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4140" y="153488"/>
          <a:ext cx="6165556" cy="3466561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12</xdr:row>
      <xdr:rowOff>22860</xdr:rowOff>
    </xdr:from>
    <xdr:to>
      <xdr:col>5</xdr:col>
      <xdr:colOff>53340</xdr:colOff>
      <xdr:row>14</xdr:row>
      <xdr:rowOff>76200</xdr:rowOff>
    </xdr:to>
    <xdr:pic>
      <xdr:nvPicPr>
        <xdr:cNvPr id="4" name="Graphic 3" descr="Badge with solid fill">
          <a:extLst>
            <a:ext uri="{FF2B5EF4-FFF2-40B4-BE49-F238E27FC236}">
              <a16:creationId xmlns:a16="http://schemas.microsoft.com/office/drawing/2014/main" id="{9AA6A180-F700-BB09-8153-1231AEEB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055620" y="2217420"/>
          <a:ext cx="419100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12</xdr:row>
      <xdr:rowOff>53340</xdr:rowOff>
    </xdr:from>
    <xdr:to>
      <xdr:col>5</xdr:col>
      <xdr:colOff>426720</xdr:colOff>
      <xdr:row>14</xdr:row>
      <xdr:rowOff>99060</xdr:rowOff>
    </xdr:to>
    <xdr:pic>
      <xdr:nvPicPr>
        <xdr:cNvPr id="4" name="Graphic 3" descr="Badge 3 with solid fill">
          <a:extLst>
            <a:ext uri="{FF2B5EF4-FFF2-40B4-BE49-F238E27FC236}">
              <a16:creationId xmlns:a16="http://schemas.microsoft.com/office/drawing/2014/main" id="{FEC89509-8B3E-9359-7FF6-1D1D63F3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13860" y="2247900"/>
          <a:ext cx="411480" cy="41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5263-C2C1-4437-A6A1-5C70D6009DA1}">
  <dimension ref="B1:P40"/>
  <sheetViews>
    <sheetView topLeftCell="A12" zoomScale="90" zoomScaleNormal="90" workbookViewId="0">
      <selection activeCell="E21" sqref="E21"/>
    </sheetView>
  </sheetViews>
  <sheetFormatPr defaultRowHeight="14.4" x14ac:dyDescent="0.3"/>
  <cols>
    <col min="1" max="1" width="1.21875" style="1" customWidth="1"/>
    <col min="2" max="2" width="8.88671875" style="1"/>
    <col min="3" max="3" width="19.109375" style="1" customWidth="1"/>
    <col min="4" max="4" width="8.88671875" style="1"/>
    <col min="5" max="5" width="12.109375" style="1" customWidth="1"/>
    <col min="6" max="6" width="0.33203125" style="1" customWidth="1"/>
    <col min="7" max="7" width="12.109375" style="4" customWidth="1"/>
    <col min="8" max="11" width="8.88671875" style="1"/>
    <col min="12" max="12" width="18.33203125" style="1" bestFit="1" customWidth="1"/>
    <col min="13" max="13" width="9.88671875" style="1" bestFit="1" customWidth="1"/>
    <col min="14" max="14" width="8.88671875" style="1"/>
    <col min="15" max="15" width="13.77734375" style="33" bestFit="1" customWidth="1"/>
    <col min="16" max="16" width="11" style="33" bestFit="1" customWidth="1"/>
    <col min="17" max="16384" width="8.88671875" style="1"/>
  </cols>
  <sheetData>
    <row r="1" spans="2:15" x14ac:dyDescent="0.3">
      <c r="B1" s="4"/>
    </row>
    <row r="2" spans="2:15" x14ac:dyDescent="0.3">
      <c r="C2" s="8" t="s">
        <v>1</v>
      </c>
      <c r="D2" s="5">
        <v>2024</v>
      </c>
      <c r="E2" s="6">
        <v>2030</v>
      </c>
      <c r="G2" s="7" t="s">
        <v>3</v>
      </c>
    </row>
    <row r="3" spans="2:15" ht="4.8" customHeight="1" x14ac:dyDescent="0.3">
      <c r="C3" s="3"/>
    </row>
    <row r="4" spans="2:15" x14ac:dyDescent="0.3">
      <c r="C4" s="9" t="s">
        <v>0</v>
      </c>
      <c r="D4" s="9">
        <f>+D5+D6</f>
        <v>135</v>
      </c>
      <c r="E4" s="9">
        <f>+E5+E6</f>
        <v>180</v>
      </c>
      <c r="F4" s="9"/>
      <c r="G4" s="10">
        <f>+E4/D4-1</f>
        <v>0.33333333333333326</v>
      </c>
      <c r="M4" s="28"/>
    </row>
    <row r="5" spans="2:15" x14ac:dyDescent="0.3">
      <c r="C5" s="1" t="s">
        <v>2</v>
      </c>
      <c r="D5" s="1">
        <v>75</v>
      </c>
      <c r="E5" s="1">
        <v>100</v>
      </c>
      <c r="G5" s="2">
        <f t="shared" ref="G5:G6" si="0">+E5/D5-1</f>
        <v>0.33333333333333326</v>
      </c>
      <c r="L5" s="51" t="s">
        <v>33</v>
      </c>
      <c r="M5" s="52"/>
      <c r="N5" s="52"/>
      <c r="O5" s="53"/>
    </row>
    <row r="6" spans="2:15" x14ac:dyDescent="0.3">
      <c r="C6" s="1" t="s">
        <v>8</v>
      </c>
      <c r="D6" s="1">
        <v>60</v>
      </c>
      <c r="E6" s="1">
        <v>80</v>
      </c>
      <c r="G6" s="2">
        <f t="shared" si="0"/>
        <v>0.33333333333333326</v>
      </c>
      <c r="L6" s="49" t="s">
        <v>32</v>
      </c>
      <c r="M6" s="50"/>
      <c r="N6" s="50"/>
      <c r="O6" s="44" t="s">
        <v>38</v>
      </c>
    </row>
    <row r="7" spans="2:15" ht="4.8" customHeight="1" x14ac:dyDescent="0.3">
      <c r="C7" s="3"/>
      <c r="L7" s="36"/>
      <c r="O7" s="45"/>
    </row>
    <row r="8" spans="2:15" x14ac:dyDescent="0.3">
      <c r="C8" s="9" t="s">
        <v>12</v>
      </c>
      <c r="D8" s="9"/>
      <c r="E8" s="9"/>
      <c r="F8" s="9"/>
      <c r="G8" s="10"/>
      <c r="L8" s="36" t="s">
        <v>34</v>
      </c>
      <c r="M8" s="13">
        <f>+E17</f>
        <v>4</v>
      </c>
      <c r="O8" s="46">
        <f>+(M8*1000)*8500</f>
        <v>34000000</v>
      </c>
    </row>
    <row r="9" spans="2:15" x14ac:dyDescent="0.3">
      <c r="C9" s="1" t="s">
        <v>2</v>
      </c>
      <c r="E9" s="12">
        <v>0.04</v>
      </c>
      <c r="G9" s="2"/>
      <c r="L9" s="36" t="s">
        <v>21</v>
      </c>
      <c r="M9" s="13">
        <f>+'OEMs D2C (Toyota)'!D21/1000</f>
        <v>1.422642295559738</v>
      </c>
      <c r="O9" s="46">
        <f>+(M9*1000)*8500</f>
        <v>12092459.512257772</v>
      </c>
    </row>
    <row r="10" spans="2:15" x14ac:dyDescent="0.3">
      <c r="C10" s="1" t="s">
        <v>8</v>
      </c>
      <c r="E10" s="12">
        <v>0.03</v>
      </c>
      <c r="G10" s="2"/>
      <c r="L10" s="37" t="s">
        <v>35</v>
      </c>
      <c r="M10" s="15">
        <f ca="1">SUM(M8:M11)</f>
        <v>5.4226422955597382</v>
      </c>
      <c r="O10" s="47">
        <f ca="1">+(M10*1000)*8500</f>
        <v>34000000</v>
      </c>
    </row>
    <row r="11" spans="2:15" ht="4.8" customHeight="1" x14ac:dyDescent="0.3">
      <c r="C11" s="3"/>
      <c r="L11" s="36"/>
      <c r="O11" s="46"/>
    </row>
    <row r="12" spans="2:15" x14ac:dyDescent="0.3">
      <c r="C12" s="9" t="s">
        <v>6</v>
      </c>
      <c r="D12" s="9"/>
      <c r="E12" s="14">
        <f>+E13+E14</f>
        <v>2.413966277422253</v>
      </c>
      <c r="F12" s="9"/>
      <c r="G12" s="10"/>
      <c r="L12" s="38" t="s">
        <v>36</v>
      </c>
      <c r="M12" s="39">
        <v>3.3</v>
      </c>
      <c r="O12" s="46">
        <f>+(M12*1000)*8500</f>
        <v>28050000</v>
      </c>
    </row>
    <row r="13" spans="2:15" x14ac:dyDescent="0.3">
      <c r="C13" s="1" t="s">
        <v>4</v>
      </c>
      <c r="E13" s="13">
        <v>1.58156411279389</v>
      </c>
      <c r="G13" s="2"/>
      <c r="L13" s="40" t="s">
        <v>37</v>
      </c>
      <c r="M13" s="35">
        <v>2.5</v>
      </c>
      <c r="N13" s="35"/>
      <c r="O13" s="48">
        <f>+(M13*1000)*8500</f>
        <v>21250000</v>
      </c>
    </row>
    <row r="14" spans="2:15" x14ac:dyDescent="0.3">
      <c r="C14" s="1" t="s">
        <v>5</v>
      </c>
      <c r="E14" s="13">
        <v>0.83240216462836303</v>
      </c>
      <c r="G14" s="2"/>
    </row>
    <row r="15" spans="2:15" ht="4.8" customHeight="1" x14ac:dyDescent="0.3">
      <c r="C15" s="3"/>
    </row>
    <row r="16" spans="2:15" x14ac:dyDescent="0.3">
      <c r="C16" s="9" t="s">
        <v>13</v>
      </c>
      <c r="D16" s="9"/>
      <c r="E16" s="9">
        <f>+E17+E18</f>
        <v>6.4</v>
      </c>
      <c r="F16" s="9"/>
      <c r="G16" s="10"/>
    </row>
    <row r="17" spans="2:13" x14ac:dyDescent="0.3">
      <c r="C17" s="1" t="s">
        <v>2</v>
      </c>
      <c r="E17" s="13">
        <f>+E5*E9</f>
        <v>4</v>
      </c>
      <c r="G17" s="2"/>
    </row>
    <row r="18" spans="2:13" x14ac:dyDescent="0.3">
      <c r="C18" s="1" t="s">
        <v>8</v>
      </c>
      <c r="E18" s="13">
        <f>+E6*E10</f>
        <v>2.4</v>
      </c>
      <c r="G18" s="2"/>
      <c r="M18" s="41"/>
    </row>
    <row r="19" spans="2:13" ht="4.8" customHeight="1" x14ac:dyDescent="0.3">
      <c r="C19" s="3"/>
    </row>
    <row r="20" spans="2:13" x14ac:dyDescent="0.3">
      <c r="C20" s="9" t="s">
        <v>14</v>
      </c>
      <c r="D20" s="9"/>
      <c r="E20" s="15">
        <f>+E21+E22</f>
        <v>8.3240216462836312</v>
      </c>
      <c r="F20" s="9"/>
      <c r="G20" s="10"/>
    </row>
    <row r="21" spans="2:13" x14ac:dyDescent="0.3">
      <c r="C21" s="1" t="s">
        <v>2</v>
      </c>
      <c r="E21" s="13">
        <f>+E17*E13</f>
        <v>6.3262564511755599</v>
      </c>
      <c r="G21" s="2"/>
    </row>
    <row r="22" spans="2:13" x14ac:dyDescent="0.3">
      <c r="C22" s="1" t="s">
        <v>8</v>
      </c>
      <c r="E22" s="13">
        <f>+E18*E14</f>
        <v>1.9977651951080713</v>
      </c>
      <c r="G22" s="2"/>
    </row>
    <row r="23" spans="2:13" ht="4.8" customHeight="1" x14ac:dyDescent="0.3">
      <c r="C23" s="3"/>
    </row>
    <row r="24" spans="2:13" x14ac:dyDescent="0.3">
      <c r="B24" s="22" t="s">
        <v>1</v>
      </c>
      <c r="C24" s="16" t="s">
        <v>9</v>
      </c>
      <c r="D24" s="16"/>
      <c r="E24" s="17">
        <v>0.9</v>
      </c>
    </row>
    <row r="25" spans="2:13" x14ac:dyDescent="0.3">
      <c r="B25" s="23" t="s">
        <v>7</v>
      </c>
      <c r="C25" s="18" t="s">
        <v>10</v>
      </c>
      <c r="D25" s="18"/>
      <c r="E25" s="19">
        <v>9.9999999999999978E-2</v>
      </c>
    </row>
    <row r="26" spans="2:13" x14ac:dyDescent="0.3">
      <c r="B26" s="24" t="s">
        <v>1</v>
      </c>
      <c r="C26" s="20" t="s">
        <v>11</v>
      </c>
      <c r="D26" s="20"/>
      <c r="E26" s="21">
        <v>1</v>
      </c>
    </row>
    <row r="27" spans="2:13" ht="4.8" customHeight="1" x14ac:dyDescent="0.3">
      <c r="C27" s="3"/>
    </row>
    <row r="28" spans="2:13" x14ac:dyDescent="0.3">
      <c r="C28" s="9" t="s">
        <v>16</v>
      </c>
      <c r="D28" s="9"/>
      <c r="E28" s="15">
        <f>+E29+E30</f>
        <v>9.0269390297475809</v>
      </c>
      <c r="F28" s="9"/>
      <c r="G28" s="10"/>
    </row>
    <row r="29" spans="2:13" x14ac:dyDescent="0.3">
      <c r="C29" s="1" t="s">
        <v>2</v>
      </c>
      <c r="E29" s="13">
        <f>+E21/E24</f>
        <v>7.0291738346395105</v>
      </c>
      <c r="G29" s="2"/>
    </row>
    <row r="30" spans="2:13" x14ac:dyDescent="0.3">
      <c r="C30" s="1" t="s">
        <v>8</v>
      </c>
      <c r="E30" s="13">
        <f>+E22</f>
        <v>1.9977651951080713</v>
      </c>
      <c r="G30" s="2"/>
    </row>
    <row r="31" spans="2:13" ht="4.8" customHeight="1" x14ac:dyDescent="0.3">
      <c r="C31" s="3"/>
    </row>
    <row r="32" spans="2:13" x14ac:dyDescent="0.3">
      <c r="C32" s="9" t="s">
        <v>17</v>
      </c>
      <c r="E32" s="30" t="s">
        <v>19</v>
      </c>
      <c r="G32" s="30" t="s">
        <v>20</v>
      </c>
    </row>
    <row r="33" spans="2:7" x14ac:dyDescent="0.3">
      <c r="B33" s="22" t="s">
        <v>1</v>
      </c>
      <c r="C33" s="16" t="s">
        <v>9</v>
      </c>
      <c r="D33" s="16"/>
      <c r="E33" s="17">
        <v>0.3</v>
      </c>
      <c r="F33" s="17">
        <v>0.4</v>
      </c>
      <c r="G33" s="17">
        <v>0.4</v>
      </c>
    </row>
    <row r="34" spans="2:7" x14ac:dyDescent="0.3">
      <c r="B34" s="23" t="s">
        <v>7</v>
      </c>
      <c r="C34" s="18" t="s">
        <v>10</v>
      </c>
      <c r="D34" s="18"/>
      <c r="E34" s="19">
        <v>0.3</v>
      </c>
      <c r="F34" s="19">
        <v>0.4</v>
      </c>
      <c r="G34" s="19">
        <v>0.4</v>
      </c>
    </row>
    <row r="35" spans="2:7" x14ac:dyDescent="0.3">
      <c r="B35" s="24" t="s">
        <v>1</v>
      </c>
      <c r="C35" s="20" t="s">
        <v>11</v>
      </c>
      <c r="D35" s="20"/>
      <c r="E35" s="21">
        <v>0.3</v>
      </c>
      <c r="F35" s="21">
        <v>0.35</v>
      </c>
      <c r="G35" s="21">
        <v>0.35</v>
      </c>
    </row>
    <row r="36" spans="2:7" ht="4.8" customHeight="1" x14ac:dyDescent="0.3">
      <c r="C36" s="3"/>
      <c r="G36" s="1"/>
    </row>
    <row r="37" spans="2:7" x14ac:dyDescent="0.3">
      <c r="C37" s="9" t="s">
        <v>18</v>
      </c>
      <c r="E37" s="29">
        <f>+E38+E39+E40</f>
        <v>2.7080817089242744</v>
      </c>
      <c r="F37" s="29">
        <f t="shared" ref="F37:G37" si="1">+F38+F39+F40</f>
        <v>0</v>
      </c>
      <c r="G37" s="29">
        <f t="shared" si="1"/>
        <v>3.5108873521436297</v>
      </c>
    </row>
    <row r="38" spans="2:7" x14ac:dyDescent="0.3">
      <c r="B38" s="22" t="s">
        <v>1</v>
      </c>
      <c r="C38" s="16" t="s">
        <v>9</v>
      </c>
      <c r="D38" s="16"/>
      <c r="E38" s="25">
        <f>+E33*E21</f>
        <v>1.8978769353526679</v>
      </c>
      <c r="F38" s="25">
        <f t="shared" ref="F38" si="2">+F33*F21</f>
        <v>0</v>
      </c>
      <c r="G38" s="25">
        <f>+G33*E21</f>
        <v>2.5305025804702241</v>
      </c>
    </row>
    <row r="39" spans="2:7" x14ac:dyDescent="0.3">
      <c r="B39" s="23" t="s">
        <v>7</v>
      </c>
      <c r="C39" s="18" t="s">
        <v>10</v>
      </c>
      <c r="D39" s="18"/>
      <c r="E39" s="26">
        <f>+E34*E25*E29</f>
        <v>0.21087521503918527</v>
      </c>
      <c r="F39" s="26">
        <f t="shared" ref="F39" si="3">+F34*F25*F29</f>
        <v>0</v>
      </c>
      <c r="G39" s="26">
        <f>+G34*E25*E29</f>
        <v>0.2811669533855804</v>
      </c>
    </row>
    <row r="40" spans="2:7" x14ac:dyDescent="0.3">
      <c r="B40" s="24" t="s">
        <v>1</v>
      </c>
      <c r="C40" s="20" t="s">
        <v>11</v>
      </c>
      <c r="D40" s="20"/>
      <c r="E40" s="27">
        <f>+E35*E22</f>
        <v>0.59932955853242131</v>
      </c>
      <c r="F40" s="27">
        <f t="shared" ref="F40" si="4">+F35*F22</f>
        <v>0</v>
      </c>
      <c r="G40" s="27">
        <f>+G35*E22</f>
        <v>0.69921781828782492</v>
      </c>
    </row>
  </sheetData>
  <mergeCells count="2">
    <mergeCell ref="L6:N6"/>
    <mergeCell ref="L5:O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E7E7-F619-4757-96DC-2717E5D49897}">
  <dimension ref="A1:P34"/>
  <sheetViews>
    <sheetView tabSelected="1" zoomScale="90" zoomScaleNormal="90" workbookViewId="0">
      <selection activeCell="R15" sqref="R15"/>
    </sheetView>
  </sheetViews>
  <sheetFormatPr defaultRowHeight="14.4" x14ac:dyDescent="0.3"/>
  <cols>
    <col min="1" max="1" width="1.21875" style="1" customWidth="1"/>
    <col min="2" max="2" width="8.88671875" style="1"/>
    <col min="3" max="3" width="19.109375" style="1" customWidth="1"/>
    <col min="4" max="4" width="10.77734375" style="1" bestFit="1" customWidth="1"/>
    <col min="5" max="5" width="11" style="1" bestFit="1" customWidth="1"/>
    <col min="6" max="6" width="0.33203125" style="1" customWidth="1"/>
    <col min="7" max="7" width="12.109375" style="74" customWidth="1"/>
    <col min="8" max="8" width="8.88671875" style="1"/>
    <col min="9" max="9" width="25.21875" style="1" customWidth="1"/>
    <col min="10" max="16384" width="8.88671875" style="1"/>
  </cols>
  <sheetData>
    <row r="1" spans="1:16" s="33" customFormat="1" x14ac:dyDescent="0.3">
      <c r="A1" s="1"/>
      <c r="B1" s="4"/>
      <c r="C1" s="1"/>
      <c r="D1" s="1"/>
      <c r="E1" s="1"/>
      <c r="F1" s="1"/>
      <c r="G1" s="74"/>
      <c r="H1" s="1"/>
      <c r="I1" s="1"/>
      <c r="J1" s="1"/>
      <c r="K1" s="1"/>
      <c r="L1" s="1"/>
      <c r="M1" s="1"/>
      <c r="N1" s="1"/>
      <c r="O1" s="1"/>
      <c r="P1" s="1"/>
    </row>
    <row r="2" spans="1:16" s="33" customFormat="1" x14ac:dyDescent="0.3">
      <c r="A2" s="1"/>
      <c r="B2" s="1"/>
      <c r="C2" s="8" t="s">
        <v>1</v>
      </c>
      <c r="D2" s="5">
        <v>2024</v>
      </c>
      <c r="E2" s="6">
        <v>2030</v>
      </c>
      <c r="F2" s="54"/>
      <c r="G2" s="63" t="s">
        <v>3</v>
      </c>
      <c r="H2" s="1"/>
      <c r="I2" s="87" t="s">
        <v>45</v>
      </c>
      <c r="J2" s="88"/>
      <c r="K2" s="89"/>
      <c r="L2" s="1"/>
      <c r="M2" s="1"/>
      <c r="N2" s="1"/>
      <c r="O2" s="1"/>
      <c r="P2" s="1"/>
    </row>
    <row r="3" spans="1:16" s="33" customFormat="1" x14ac:dyDescent="0.3">
      <c r="A3" s="1"/>
      <c r="B3" s="1"/>
      <c r="C3" s="55"/>
      <c r="D3" s="56"/>
      <c r="E3" s="56"/>
      <c r="F3" s="56"/>
      <c r="G3" s="64"/>
      <c r="H3" s="1"/>
      <c r="I3" s="69"/>
      <c r="J3" s="70"/>
      <c r="K3" s="71"/>
      <c r="L3" s="1"/>
      <c r="M3" s="1"/>
      <c r="N3" s="1"/>
      <c r="O3" s="1"/>
      <c r="P3" s="1"/>
    </row>
    <row r="4" spans="1:16" s="33" customFormat="1" x14ac:dyDescent="0.3">
      <c r="A4" s="1"/>
      <c r="B4" s="1"/>
      <c r="C4" s="37" t="s">
        <v>40</v>
      </c>
      <c r="D4" s="57">
        <f>+D5+D6</f>
        <v>135</v>
      </c>
      <c r="E4" s="57">
        <f>+E5+E6</f>
        <v>180</v>
      </c>
      <c r="F4" s="57"/>
      <c r="G4" s="65">
        <f>+E4/D4-1</f>
        <v>0.33333333333333326</v>
      </c>
      <c r="H4" s="1"/>
      <c r="I4" s="69"/>
      <c r="J4" s="70"/>
      <c r="K4" s="71"/>
      <c r="L4" s="1"/>
      <c r="M4" s="1"/>
      <c r="N4" s="1"/>
      <c r="O4" s="1"/>
      <c r="P4" s="1"/>
    </row>
    <row r="5" spans="1:16" s="33" customFormat="1" x14ac:dyDescent="0.3">
      <c r="A5" s="1"/>
      <c r="B5" s="1"/>
      <c r="C5" s="36" t="s">
        <v>2</v>
      </c>
      <c r="D5" s="56">
        <v>75</v>
      </c>
      <c r="E5" s="56">
        <v>100</v>
      </c>
      <c r="F5" s="56"/>
      <c r="G5" s="66">
        <f t="shared" ref="G5:G6" si="0">+E5/D5-1</f>
        <v>0.33333333333333326</v>
      </c>
      <c r="H5" s="1"/>
      <c r="I5" s="82" t="s">
        <v>6</v>
      </c>
      <c r="J5" s="85"/>
      <c r="K5" s="86">
        <f>+K6+K7</f>
        <v>2.413966277422253</v>
      </c>
      <c r="L5" s="1"/>
      <c r="M5" s="1"/>
      <c r="N5" s="1"/>
      <c r="O5" s="1"/>
      <c r="P5" s="1"/>
    </row>
    <row r="6" spans="1:16" s="33" customFormat="1" x14ac:dyDescent="0.3">
      <c r="A6" s="1"/>
      <c r="B6" s="1"/>
      <c r="C6" s="36" t="s">
        <v>8</v>
      </c>
      <c r="D6" s="56">
        <v>60</v>
      </c>
      <c r="E6" s="56">
        <v>80</v>
      </c>
      <c r="F6" s="56"/>
      <c r="G6" s="66">
        <f t="shared" si="0"/>
        <v>0.33333333333333326</v>
      </c>
      <c r="H6" s="1"/>
      <c r="I6" s="69" t="s">
        <v>4</v>
      </c>
      <c r="J6" s="70"/>
      <c r="K6" s="72">
        <v>1.58156411279389</v>
      </c>
      <c r="L6" s="1"/>
      <c r="M6" s="1"/>
      <c r="N6" s="1"/>
      <c r="O6" s="1"/>
      <c r="P6" s="1"/>
    </row>
    <row r="7" spans="1:16" s="33" customFormat="1" x14ac:dyDescent="0.3">
      <c r="A7" s="1"/>
      <c r="B7" s="1"/>
      <c r="C7" s="55"/>
      <c r="D7" s="56"/>
      <c r="E7" s="56"/>
      <c r="F7" s="56"/>
      <c r="G7" s="64"/>
      <c r="H7" s="1"/>
      <c r="I7" s="69" t="s">
        <v>5</v>
      </c>
      <c r="J7" s="70"/>
      <c r="K7" s="72">
        <v>0.83240216462836303</v>
      </c>
      <c r="L7" s="1"/>
      <c r="M7" s="1"/>
      <c r="N7" s="1"/>
      <c r="O7" s="1"/>
      <c r="P7" s="1"/>
    </row>
    <row r="8" spans="1:16" s="33" customFormat="1" x14ac:dyDescent="0.3">
      <c r="A8" s="1"/>
      <c r="B8" s="1"/>
      <c r="C8" s="37" t="s">
        <v>39</v>
      </c>
      <c r="D8" s="57"/>
      <c r="E8" s="57"/>
      <c r="F8" s="57"/>
      <c r="G8" s="65"/>
      <c r="H8" s="1"/>
      <c r="I8" s="69"/>
      <c r="J8" s="70"/>
      <c r="K8" s="71"/>
      <c r="L8" s="1"/>
      <c r="M8" s="1"/>
      <c r="N8" s="1"/>
      <c r="O8" s="1"/>
      <c r="P8" s="1"/>
    </row>
    <row r="9" spans="1:16" s="33" customFormat="1" x14ac:dyDescent="0.3">
      <c r="A9" s="1"/>
      <c r="B9" s="1"/>
      <c r="C9" s="58" t="s">
        <v>2</v>
      </c>
      <c r="D9" s="59"/>
      <c r="E9" s="60">
        <v>0.04</v>
      </c>
      <c r="F9" s="56"/>
      <c r="G9" s="66"/>
      <c r="H9" s="1"/>
      <c r="I9" s="69"/>
      <c r="J9" s="70"/>
      <c r="K9" s="71"/>
      <c r="L9" s="1"/>
      <c r="M9" s="1"/>
      <c r="N9" s="1"/>
      <c r="O9" s="1"/>
      <c r="P9" s="1"/>
    </row>
    <row r="10" spans="1:16" s="33" customFormat="1" x14ac:dyDescent="0.3">
      <c r="A10" s="1"/>
      <c r="B10" s="1"/>
      <c r="C10" s="58" t="s">
        <v>8</v>
      </c>
      <c r="D10" s="59"/>
      <c r="E10" s="60">
        <v>0.03</v>
      </c>
      <c r="F10" s="56"/>
      <c r="G10" s="66"/>
      <c r="H10" s="1"/>
      <c r="I10" s="82" t="s">
        <v>44</v>
      </c>
      <c r="J10" s="85"/>
      <c r="K10" s="86">
        <f>+K11+K12</f>
        <v>16.59693418212894</v>
      </c>
      <c r="L10" s="1"/>
      <c r="M10" s="1"/>
      <c r="N10" s="1"/>
      <c r="O10" s="1"/>
      <c r="P10" s="1"/>
    </row>
    <row r="11" spans="1:16" s="33" customFormat="1" x14ac:dyDescent="0.3">
      <c r="A11" s="1"/>
      <c r="B11" s="1"/>
      <c r="C11" s="36"/>
      <c r="D11" s="56"/>
      <c r="E11" s="56"/>
      <c r="F11" s="56"/>
      <c r="G11" s="67"/>
      <c r="H11" s="1"/>
      <c r="I11" s="69" t="s">
        <v>4</v>
      </c>
      <c r="J11" s="70"/>
      <c r="K11" s="72">
        <v>11.017087473022499</v>
      </c>
      <c r="L11" s="1"/>
      <c r="M11" s="1"/>
      <c r="N11" s="1"/>
      <c r="O11" s="1"/>
      <c r="P11" s="1"/>
    </row>
    <row r="12" spans="1:16" s="33" customFormat="1" x14ac:dyDescent="0.3">
      <c r="A12" s="1"/>
      <c r="B12" s="1"/>
      <c r="C12" s="37" t="s">
        <v>13</v>
      </c>
      <c r="D12" s="57"/>
      <c r="E12" s="57">
        <f>+E13+E14</f>
        <v>6.4</v>
      </c>
      <c r="F12" s="56"/>
      <c r="G12" s="66"/>
      <c r="H12" s="1"/>
      <c r="I12" s="69" t="s">
        <v>5</v>
      </c>
      <c r="J12" s="70"/>
      <c r="K12" s="72">
        <v>5.5798467091064401</v>
      </c>
      <c r="L12" s="1"/>
      <c r="M12" s="1"/>
      <c r="N12" s="1"/>
      <c r="O12" s="1"/>
      <c r="P12" s="1"/>
    </row>
    <row r="13" spans="1:16" s="33" customFormat="1" x14ac:dyDescent="0.3">
      <c r="A13" s="1"/>
      <c r="B13" s="1"/>
      <c r="C13" s="36" t="s">
        <v>2</v>
      </c>
      <c r="D13" s="56"/>
      <c r="E13" s="61">
        <f>+E5*E9</f>
        <v>4</v>
      </c>
      <c r="F13" s="56"/>
      <c r="G13" s="66"/>
      <c r="H13" s="1"/>
      <c r="I13" s="69"/>
      <c r="J13" s="70"/>
      <c r="K13" s="71"/>
      <c r="L13" s="1"/>
      <c r="M13" s="1"/>
      <c r="N13" s="1"/>
      <c r="O13" s="1"/>
      <c r="P13" s="1"/>
    </row>
    <row r="14" spans="1:16" s="33" customFormat="1" x14ac:dyDescent="0.3">
      <c r="A14" s="1"/>
      <c r="B14" s="1"/>
      <c r="C14" s="40" t="s">
        <v>8</v>
      </c>
      <c r="D14" s="35"/>
      <c r="E14" s="62">
        <f>+E6*E10</f>
        <v>2.4</v>
      </c>
      <c r="F14" s="35"/>
      <c r="G14" s="68"/>
      <c r="H14" s="1"/>
      <c r="I14" s="82" t="s">
        <v>17</v>
      </c>
      <c r="J14" s="83" t="s">
        <v>19</v>
      </c>
      <c r="K14" s="84" t="s">
        <v>20</v>
      </c>
      <c r="L14" s="1"/>
      <c r="M14" s="1"/>
      <c r="N14" s="1"/>
      <c r="O14" s="1"/>
      <c r="P14" s="1"/>
    </row>
    <row r="15" spans="1:16" s="33" customFormat="1" x14ac:dyDescent="0.3">
      <c r="A15" s="1"/>
      <c r="B15" s="1"/>
      <c r="C15" s="1"/>
      <c r="D15" s="1"/>
      <c r="E15" s="1"/>
      <c r="F15" s="1"/>
      <c r="G15" s="75"/>
      <c r="H15" s="1"/>
      <c r="I15" s="69"/>
      <c r="J15" s="79"/>
      <c r="K15" s="80"/>
      <c r="L15" s="1"/>
      <c r="M15" s="1"/>
      <c r="N15" s="1"/>
      <c r="O15" s="1"/>
      <c r="P15" s="1"/>
    </row>
    <row r="16" spans="1:16" s="33" customFormat="1" x14ac:dyDescent="0.3">
      <c r="A16" s="1"/>
      <c r="B16" s="1"/>
      <c r="C16" s="8" t="s">
        <v>41</v>
      </c>
      <c r="D16" s="5" t="s">
        <v>42</v>
      </c>
      <c r="E16" s="6" t="s">
        <v>43</v>
      </c>
      <c r="F16" s="54"/>
      <c r="G16" s="63" t="s">
        <v>3</v>
      </c>
      <c r="H16" s="1"/>
      <c r="I16" s="69" t="s">
        <v>9</v>
      </c>
      <c r="J16" s="78">
        <v>0.3</v>
      </c>
      <c r="K16" s="19">
        <v>0.4</v>
      </c>
      <c r="L16" s="1"/>
      <c r="M16" s="1"/>
      <c r="N16" s="1"/>
      <c r="O16" s="1"/>
      <c r="P16" s="1"/>
    </row>
    <row r="17" spans="1:16" s="33" customFormat="1" x14ac:dyDescent="0.3">
      <c r="A17" s="1"/>
      <c r="B17" s="1"/>
      <c r="C17" s="55"/>
      <c r="D17" s="56"/>
      <c r="E17" s="56"/>
      <c r="F17" s="56"/>
      <c r="G17" s="64"/>
      <c r="H17" s="1"/>
      <c r="I17" s="73" t="s">
        <v>11</v>
      </c>
      <c r="J17" s="81">
        <v>0.3</v>
      </c>
      <c r="K17" s="21">
        <v>0.35</v>
      </c>
      <c r="L17" s="1"/>
      <c r="M17" s="1"/>
      <c r="N17" s="1"/>
      <c r="O17" s="1"/>
      <c r="P17" s="1"/>
    </row>
    <row r="18" spans="1:16" s="33" customFormat="1" x14ac:dyDescent="0.3">
      <c r="A18" s="1"/>
      <c r="B18" s="1"/>
      <c r="C18" s="37" t="s">
        <v>46</v>
      </c>
      <c r="D18" s="57">
        <f>+D19+D20</f>
        <v>1.92</v>
      </c>
      <c r="E18" s="57">
        <f>+E19+E20</f>
        <v>2.44</v>
      </c>
      <c r="F18" s="57"/>
      <c r="G18" s="65">
        <f>+E18/D18-1</f>
        <v>0.27083333333333326</v>
      </c>
      <c r="H18" s="1"/>
      <c r="L18" s="1"/>
      <c r="M18" s="1"/>
      <c r="N18" s="1"/>
      <c r="O18" s="1"/>
      <c r="P18" s="1"/>
    </row>
    <row r="19" spans="1:16" x14ac:dyDescent="0.3">
      <c r="C19" s="36" t="s">
        <v>2</v>
      </c>
      <c r="D19" s="76">
        <f>+E13*J16</f>
        <v>1.2</v>
      </c>
      <c r="E19" s="76">
        <f>+E13*K16</f>
        <v>1.6</v>
      </c>
      <c r="F19" s="56"/>
      <c r="G19" s="66">
        <f t="shared" ref="G19:G20" si="1">+E19/D19-1</f>
        <v>0.33333333333333348</v>
      </c>
    </row>
    <row r="20" spans="1:16" x14ac:dyDescent="0.3">
      <c r="C20" s="36" t="s">
        <v>8</v>
      </c>
      <c r="D20" s="76">
        <f>+E14*J17</f>
        <v>0.72</v>
      </c>
      <c r="E20" s="76">
        <f>+E14*K17</f>
        <v>0.84</v>
      </c>
      <c r="F20" s="56"/>
      <c r="G20" s="66">
        <f t="shared" si="1"/>
        <v>0.16666666666666674</v>
      </c>
    </row>
    <row r="21" spans="1:16" s="33" customFormat="1" x14ac:dyDescent="0.3">
      <c r="A21" s="1"/>
      <c r="B21" s="1"/>
      <c r="C21" s="55"/>
      <c r="D21" s="56"/>
      <c r="E21" s="56"/>
      <c r="F21" s="56"/>
      <c r="G21" s="64"/>
      <c r="H21" s="1"/>
      <c r="L21" s="1"/>
      <c r="M21" s="1"/>
      <c r="N21" s="1"/>
      <c r="O21" s="1"/>
      <c r="P21" s="1"/>
    </row>
    <row r="22" spans="1:16" s="33" customFormat="1" x14ac:dyDescent="0.3">
      <c r="A22" s="1"/>
      <c r="B22" s="1"/>
      <c r="C22" s="37" t="s">
        <v>47</v>
      </c>
      <c r="D22" s="77">
        <f>+D23+D24</f>
        <v>17.237994598183636</v>
      </c>
      <c r="E22" s="77">
        <f>+E23+E24</f>
        <v>22.314411192485409</v>
      </c>
      <c r="F22" s="57"/>
      <c r="G22" s="65"/>
      <c r="H22" s="1"/>
      <c r="L22" s="1"/>
      <c r="M22" s="1"/>
      <c r="N22" s="1"/>
      <c r="O22" s="1"/>
      <c r="P22" s="1"/>
    </row>
    <row r="23" spans="1:16" s="33" customFormat="1" x14ac:dyDescent="0.3">
      <c r="A23" s="1"/>
      <c r="B23" s="1"/>
      <c r="C23" s="36" t="s">
        <v>2</v>
      </c>
      <c r="D23" s="76">
        <f>+D19*$K$11</f>
        <v>13.220504967626999</v>
      </c>
      <c r="E23" s="76">
        <f>+E19*$K$11</f>
        <v>17.627339956836</v>
      </c>
      <c r="F23" s="56"/>
      <c r="G23" s="66"/>
      <c r="H23" s="1"/>
      <c r="L23" s="1"/>
      <c r="M23" s="1"/>
      <c r="N23" s="1"/>
      <c r="O23" s="1"/>
      <c r="P23" s="1"/>
    </row>
    <row r="24" spans="1:16" s="33" customFormat="1" x14ac:dyDescent="0.3">
      <c r="A24" s="1"/>
      <c r="B24" s="1"/>
      <c r="C24" s="36" t="s">
        <v>8</v>
      </c>
      <c r="D24" s="76">
        <f>+D20*$K$12</f>
        <v>4.0174896305566365</v>
      </c>
      <c r="E24" s="76">
        <f>+E20*$K$12</f>
        <v>4.6870712356494098</v>
      </c>
      <c r="F24" s="56"/>
      <c r="G24" s="66"/>
      <c r="H24" s="1"/>
      <c r="L24" s="1"/>
      <c r="M24" s="1"/>
      <c r="N24" s="1"/>
      <c r="O24" s="1"/>
      <c r="P24" s="1"/>
    </row>
    <row r="25" spans="1:16" s="33" customFormat="1" x14ac:dyDescent="0.3">
      <c r="A25" s="1"/>
      <c r="B25" s="1"/>
      <c r="C25" s="36"/>
      <c r="D25" s="56"/>
      <c r="E25" s="56"/>
      <c r="F25" s="56"/>
      <c r="G25" s="67"/>
      <c r="H25" s="1"/>
      <c r="I25" s="1"/>
      <c r="J25" s="1"/>
      <c r="K25" s="1"/>
      <c r="L25" s="1"/>
      <c r="M25" s="1"/>
      <c r="N25" s="1"/>
      <c r="O25" s="1"/>
      <c r="P25" s="1"/>
    </row>
    <row r="26" spans="1:16" s="33" customFormat="1" x14ac:dyDescent="0.3">
      <c r="A26" s="1"/>
      <c r="B26" s="1"/>
      <c r="C26" s="37" t="s">
        <v>48</v>
      </c>
      <c r="D26" s="77">
        <f>+D27+D28</f>
        <v>2.4972064938850891</v>
      </c>
      <c r="E26" s="77">
        <f>+E27+E28</f>
        <v>3.2297203987580492</v>
      </c>
      <c r="F26" s="56"/>
      <c r="G26" s="66"/>
      <c r="H26" s="1"/>
      <c r="I26" s="1"/>
      <c r="J26" s="1"/>
      <c r="K26" s="1"/>
      <c r="L26" s="1"/>
      <c r="M26" s="1"/>
      <c r="N26" s="1"/>
      <c r="O26" s="1"/>
      <c r="P26" s="1"/>
    </row>
    <row r="27" spans="1:16" s="33" customFormat="1" x14ac:dyDescent="0.3">
      <c r="A27" s="1"/>
      <c r="B27" s="1"/>
      <c r="C27" s="36" t="s">
        <v>2</v>
      </c>
      <c r="D27" s="61">
        <f>+D19*K6</f>
        <v>1.8978769353526679</v>
      </c>
      <c r="E27" s="61">
        <f>+E19*K6</f>
        <v>2.5305025804702241</v>
      </c>
      <c r="F27" s="61">
        <f>+F19*M13</f>
        <v>0</v>
      </c>
      <c r="G27" s="66"/>
      <c r="H27" s="1"/>
      <c r="I27" s="1"/>
      <c r="J27" s="1"/>
      <c r="K27" s="1"/>
      <c r="L27" s="1"/>
      <c r="M27" s="1"/>
      <c r="N27" s="1"/>
      <c r="O27" s="1"/>
      <c r="P27" s="1"/>
    </row>
    <row r="28" spans="1:16" s="33" customFormat="1" x14ac:dyDescent="0.3">
      <c r="A28" s="1"/>
      <c r="B28" s="1"/>
      <c r="C28" s="40" t="s">
        <v>8</v>
      </c>
      <c r="D28" s="62">
        <f>+D20*K7</f>
        <v>0.59932955853242131</v>
      </c>
      <c r="E28" s="62">
        <f>+E20*K7</f>
        <v>0.69921781828782492</v>
      </c>
      <c r="F28" s="35"/>
      <c r="G28" s="68"/>
      <c r="H28" s="1"/>
      <c r="I28" s="1"/>
      <c r="J28" s="1"/>
      <c r="K28" s="1"/>
      <c r="L28" s="1"/>
      <c r="M28" s="1"/>
      <c r="N28" s="1"/>
      <c r="O28" s="1"/>
      <c r="P28" s="1"/>
    </row>
    <row r="29" spans="1:16" s="33" customFormat="1" x14ac:dyDescent="0.3">
      <c r="A29" s="1"/>
      <c r="B29" s="1"/>
      <c r="H29" s="1"/>
      <c r="I29" s="1"/>
      <c r="J29" s="1"/>
      <c r="K29" s="1"/>
      <c r="L29" s="1"/>
      <c r="M29" s="1"/>
      <c r="N29" s="1"/>
      <c r="O29" s="1"/>
      <c r="P29" s="1"/>
    </row>
    <row r="30" spans="1:16" s="33" customFormat="1" x14ac:dyDescent="0.3">
      <c r="A30" s="1"/>
      <c r="B30" s="1"/>
      <c r="H30" s="1"/>
      <c r="I30" s="1"/>
      <c r="J30" s="1"/>
      <c r="K30" s="1"/>
      <c r="L30" s="1"/>
      <c r="M30" s="1"/>
      <c r="N30" s="1"/>
      <c r="O30" s="1"/>
      <c r="P30" s="1"/>
    </row>
    <row r="31" spans="1:16" s="33" customFormat="1" x14ac:dyDescent="0.3">
      <c r="A31" s="1"/>
      <c r="B31" s="1"/>
      <c r="H31" s="1"/>
      <c r="L31" s="1"/>
      <c r="M31" s="1"/>
      <c r="N31" s="1"/>
      <c r="O31" s="1"/>
      <c r="P31" s="1"/>
    </row>
    <row r="32" spans="1:16" s="33" customFormat="1" x14ac:dyDescent="0.3">
      <c r="A32" s="1"/>
      <c r="B32" s="1"/>
      <c r="H32" s="1"/>
      <c r="L32" s="1"/>
      <c r="M32" s="1"/>
      <c r="N32" s="1"/>
      <c r="O32" s="1"/>
      <c r="P32" s="1"/>
    </row>
    <row r="33" spans="1:16" s="33" customFormat="1" x14ac:dyDescent="0.3">
      <c r="A33" s="1"/>
      <c r="B33" s="1"/>
      <c r="H33" s="1"/>
      <c r="L33" s="1"/>
      <c r="M33" s="1"/>
      <c r="N33" s="1"/>
      <c r="O33" s="1"/>
      <c r="P33" s="1"/>
    </row>
    <row r="34" spans="1:16" x14ac:dyDescent="0.3">
      <c r="G34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385F-BCD8-43F2-864E-22253041F339}">
  <dimension ref="A1:F40"/>
  <sheetViews>
    <sheetView workbookViewId="0">
      <selection activeCell="F22" sqref="F22"/>
    </sheetView>
  </sheetViews>
  <sheetFormatPr defaultRowHeight="14.4" x14ac:dyDescent="0.3"/>
  <cols>
    <col min="1" max="1" width="8.88671875" style="1"/>
    <col min="2" max="2" width="22.88671875" style="1" customWidth="1"/>
    <col min="3" max="4" width="8.88671875" style="1"/>
    <col min="5" max="5" width="0.33203125" style="1" customWidth="1"/>
    <col min="6" max="6" width="9.5546875" style="1" customWidth="1"/>
    <col min="7" max="16384" width="8.88671875" style="1"/>
  </cols>
  <sheetData>
    <row r="1" spans="1:6" x14ac:dyDescent="0.3">
      <c r="A1" s="4"/>
      <c r="F1" s="4"/>
    </row>
    <row r="2" spans="1:6" x14ac:dyDescent="0.3">
      <c r="B2" s="8" t="s">
        <v>21</v>
      </c>
      <c r="C2" s="5">
        <v>2030</v>
      </c>
      <c r="D2" s="6">
        <v>2030</v>
      </c>
      <c r="F2" s="7" t="s">
        <v>3</v>
      </c>
    </row>
    <row r="3" spans="1:6" x14ac:dyDescent="0.3">
      <c r="B3" s="3"/>
      <c r="F3" s="4"/>
    </row>
    <row r="4" spans="1:6" x14ac:dyDescent="0.3">
      <c r="B4" s="9" t="s">
        <v>22</v>
      </c>
      <c r="C4" s="32">
        <v>75</v>
      </c>
      <c r="D4" s="32">
        <v>75</v>
      </c>
      <c r="E4" s="9"/>
      <c r="F4" s="10">
        <f>+D4/C4-1</f>
        <v>0</v>
      </c>
    </row>
    <row r="6" spans="1:6" x14ac:dyDescent="0.3">
      <c r="B6" s="9" t="s">
        <v>23</v>
      </c>
      <c r="C6" s="31">
        <v>0.18</v>
      </c>
      <c r="D6" s="31">
        <v>0.2</v>
      </c>
      <c r="E6" s="9"/>
      <c r="F6" s="10">
        <f>+D6/C6-1</f>
        <v>0.11111111111111116</v>
      </c>
    </row>
    <row r="8" spans="1:6" x14ac:dyDescent="0.3">
      <c r="B8" s="9" t="s">
        <v>24</v>
      </c>
      <c r="C8" s="29">
        <f>+C6*C4</f>
        <v>13.5</v>
      </c>
      <c r="D8" s="29">
        <f>+D6*D4</f>
        <v>15</v>
      </c>
      <c r="E8" s="9"/>
      <c r="F8" s="10">
        <f>+D8/C8-1</f>
        <v>0.11111111111111116</v>
      </c>
    </row>
    <row r="10" spans="1:6" x14ac:dyDescent="0.3">
      <c r="B10" s="9" t="s">
        <v>25</v>
      </c>
      <c r="C10" s="31">
        <v>0.1</v>
      </c>
      <c r="D10" s="31">
        <v>0.15</v>
      </c>
      <c r="E10" s="9"/>
      <c r="F10" s="10">
        <f>+D10/C10-1</f>
        <v>0.49999999999999978</v>
      </c>
    </row>
    <row r="12" spans="1:6" x14ac:dyDescent="0.3">
      <c r="B12" s="9" t="s">
        <v>15</v>
      </c>
      <c r="C12" s="29">
        <f>+C10*C8</f>
        <v>1.35</v>
      </c>
      <c r="D12" s="29">
        <f>+D10*D8</f>
        <v>2.25</v>
      </c>
      <c r="E12" s="9"/>
      <c r="F12" s="10">
        <f>+D12/C12-1</f>
        <v>0.66666666666666652</v>
      </c>
    </row>
    <row r="16" spans="1:6" x14ac:dyDescent="0.3">
      <c r="E16" s="9"/>
    </row>
    <row r="19" spans="4:5" x14ac:dyDescent="0.3">
      <c r="D19" s="33"/>
    </row>
    <row r="20" spans="4:5" x14ac:dyDescent="0.3">
      <c r="D20" s="42">
        <f>+D12/'CAR + CARDOM'!E13</f>
        <v>1.422642295559738</v>
      </c>
      <c r="E20" s="9"/>
    </row>
    <row r="21" spans="4:5" x14ac:dyDescent="0.3">
      <c r="D21" s="43">
        <f>+D20*1000</f>
        <v>1422.6422955597379</v>
      </c>
    </row>
    <row r="28" spans="4:5" x14ac:dyDescent="0.3">
      <c r="E28" s="9"/>
    </row>
    <row r="33" spans="5:5" x14ac:dyDescent="0.3">
      <c r="E33" s="17"/>
    </row>
    <row r="34" spans="5:5" x14ac:dyDescent="0.3">
      <c r="E34" s="19"/>
    </row>
    <row r="35" spans="5:5" x14ac:dyDescent="0.3">
      <c r="E35" s="21"/>
    </row>
    <row r="37" spans="5:5" x14ac:dyDescent="0.3">
      <c r="E37" s="29"/>
    </row>
    <row r="38" spans="5:5" x14ac:dyDescent="0.3">
      <c r="E38" s="25"/>
    </row>
    <row r="39" spans="5:5" x14ac:dyDescent="0.3">
      <c r="E39" s="26"/>
    </row>
    <row r="40" spans="5:5" x14ac:dyDescent="0.3">
      <c r="E40" s="2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2240-5BF1-4262-825F-255ABB08FE8A}">
  <dimension ref="A1:J38"/>
  <sheetViews>
    <sheetView workbookViewId="0">
      <selection activeCell="C4" sqref="C4"/>
    </sheetView>
  </sheetViews>
  <sheetFormatPr defaultRowHeight="14.4" x14ac:dyDescent="0.3"/>
  <cols>
    <col min="1" max="1" width="8.88671875" style="1"/>
    <col min="2" max="2" width="34.21875" style="1" bestFit="1" customWidth="1"/>
    <col min="3" max="4" width="8.88671875" style="1"/>
    <col min="5" max="5" width="0.33203125" style="1" customWidth="1"/>
    <col min="6" max="6" width="9.5546875" style="1" customWidth="1"/>
    <col min="7" max="9" width="8.88671875" style="1"/>
    <col min="10" max="10" width="11.109375" style="1" bestFit="1" customWidth="1"/>
    <col min="11" max="16384" width="8.88671875" style="1"/>
  </cols>
  <sheetData>
    <row r="1" spans="1:10" x14ac:dyDescent="0.3">
      <c r="A1" s="4"/>
      <c r="F1" s="4"/>
    </row>
    <row r="2" spans="1:10" x14ac:dyDescent="0.3">
      <c r="B2" s="8" t="s">
        <v>26</v>
      </c>
      <c r="C2" s="5">
        <v>2024</v>
      </c>
      <c r="D2" s="6">
        <v>2030</v>
      </c>
      <c r="F2" s="7" t="s">
        <v>3</v>
      </c>
    </row>
    <row r="3" spans="1:10" x14ac:dyDescent="0.3">
      <c r="B3" s="3"/>
      <c r="F3" s="4"/>
    </row>
    <row r="4" spans="1:10" x14ac:dyDescent="0.3">
      <c r="B4" s="9" t="s">
        <v>27</v>
      </c>
      <c r="C4" s="32">
        <v>695</v>
      </c>
      <c r="D4" s="32">
        <f>+C4*118%</f>
        <v>820.09999999999991</v>
      </c>
      <c r="E4" s="9"/>
      <c r="F4" s="10">
        <f>+D4/C4-1</f>
        <v>0.17999999999999994</v>
      </c>
    </row>
    <row r="5" spans="1:10" x14ac:dyDescent="0.3">
      <c r="B5" s="9"/>
      <c r="C5" s="32"/>
      <c r="D5" s="32"/>
      <c r="E5" s="9"/>
      <c r="F5" s="10"/>
    </row>
    <row r="6" spans="1:10" x14ac:dyDescent="0.3">
      <c r="B6" s="9" t="s">
        <v>28</v>
      </c>
      <c r="C6" s="32">
        <f>+C4*17%</f>
        <v>118.15</v>
      </c>
      <c r="D6" s="32">
        <f>+D4*17%</f>
        <v>139.417</v>
      </c>
      <c r="E6" s="9"/>
      <c r="F6" s="10">
        <f>+D6/C6-1</f>
        <v>0.17999999999999994</v>
      </c>
      <c r="J6" s="33"/>
    </row>
    <row r="7" spans="1:10" x14ac:dyDescent="0.3">
      <c r="J7" s="34"/>
    </row>
    <row r="8" spans="1:10" x14ac:dyDescent="0.3">
      <c r="B8" s="9" t="s">
        <v>30</v>
      </c>
      <c r="C8" s="32">
        <v>17</v>
      </c>
      <c r="D8" s="32">
        <v>20</v>
      </c>
      <c r="E8" s="9"/>
      <c r="F8" s="10">
        <f>+D8/C8-1</f>
        <v>0.17647058823529416</v>
      </c>
      <c r="J8" s="34"/>
    </row>
    <row r="10" spans="1:10" x14ac:dyDescent="0.3">
      <c r="B10" s="9" t="s">
        <v>29</v>
      </c>
      <c r="C10" s="31">
        <v>0.3</v>
      </c>
      <c r="D10" s="31">
        <v>0.35</v>
      </c>
      <c r="E10" s="9"/>
      <c r="F10" s="10">
        <f>+D10/C10-1</f>
        <v>0.16666666666666674</v>
      </c>
    </row>
    <row r="12" spans="1:10" x14ac:dyDescent="0.3">
      <c r="B12" s="9" t="s">
        <v>15</v>
      </c>
      <c r="C12" s="32">
        <f>+C10*C8</f>
        <v>5.0999999999999996</v>
      </c>
      <c r="D12" s="32">
        <f>+D10*D8</f>
        <v>7</v>
      </c>
      <c r="E12" s="9"/>
      <c r="F12" s="10">
        <f>+D12/C12-1</f>
        <v>0.37254901960784315</v>
      </c>
    </row>
    <row r="14" spans="1:10" x14ac:dyDescent="0.3">
      <c r="B14" s="9" t="s">
        <v>31</v>
      </c>
      <c r="C14" s="32"/>
      <c r="D14" s="32">
        <f>+D12-C12</f>
        <v>1.9000000000000004</v>
      </c>
      <c r="E14" s="9"/>
      <c r="F14" s="10"/>
    </row>
    <row r="15" spans="1:10" x14ac:dyDescent="0.3">
      <c r="J15" s="11"/>
    </row>
    <row r="18" spans="5:10" x14ac:dyDescent="0.3">
      <c r="E18" s="9"/>
      <c r="J18" s="11"/>
    </row>
    <row r="26" spans="5:10" x14ac:dyDescent="0.3">
      <c r="E26" s="9"/>
    </row>
    <row r="31" spans="5:10" x14ac:dyDescent="0.3">
      <c r="E31" s="17"/>
    </row>
    <row r="32" spans="5:10" x14ac:dyDescent="0.3">
      <c r="E32" s="19"/>
    </row>
    <row r="33" spans="5:5" x14ac:dyDescent="0.3">
      <c r="E33" s="21"/>
    </row>
    <row r="35" spans="5:5" x14ac:dyDescent="0.3">
      <c r="E35" s="29"/>
    </row>
    <row r="36" spans="5:5" x14ac:dyDescent="0.3">
      <c r="E36" s="25"/>
    </row>
    <row r="37" spans="5:5" x14ac:dyDescent="0.3">
      <c r="E37" s="26"/>
    </row>
    <row r="38" spans="5:5" x14ac:dyDescent="0.3">
      <c r="E38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 + CARDOM</vt:lpstr>
      <vt:lpstr>CAR + CARDOM (2)</vt:lpstr>
      <vt:lpstr>OEMs D2C (Toyota)</vt:lpstr>
      <vt:lpstr>D2C cash loan for 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2025-07-14T14:15:22Z</dcterms:created>
  <dcterms:modified xsi:type="dcterms:W3CDTF">2025-11-10T11:27:21Z</dcterms:modified>
</cp:coreProperties>
</file>