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bank-my.sharepoint.com/personal/vpouloupatis_eurobank_gr/Documents/Backup 2025/Desktop/McKinsey/"/>
    </mc:Choice>
  </mc:AlternateContent>
  <xr:revisionPtr revIDLastSave="0" documentId="13_ncr:1_{EF909A54-E6D1-46A6-903A-C79616AF562C}" xr6:coauthVersionLast="47" xr6:coauthVersionMax="47" xr10:uidLastSave="{00000000-0000-0000-0000-000000000000}"/>
  <bookViews>
    <workbookView xWindow="-108" yWindow="-108" windowWidth="23256" windowHeight="12456" xr2:uid="{58CC9DDD-68E5-4830-9483-810259AB9568}"/>
  </bookViews>
  <sheets>
    <sheet name="B2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0" i="1" l="1"/>
  <c r="F61" i="1" s="1"/>
  <c r="F59" i="1"/>
  <c r="F43" i="1" l="1"/>
  <c r="G43" i="1" s="1"/>
  <c r="E31" i="1"/>
  <c r="F31" i="1"/>
  <c r="H31" i="1" s="1"/>
  <c r="F25" i="1" l="1"/>
  <c r="F13" i="1" l="1"/>
  <c r="F12" i="1"/>
  <c r="F5" i="1"/>
  <c r="F4" i="1"/>
  <c r="E15" i="1" l="1"/>
  <c r="G15" i="1" s="1"/>
  <c r="E14" i="1"/>
  <c r="G14" i="1" s="1"/>
  <c r="E25" i="1" s="1"/>
  <c r="D13" i="1"/>
  <c r="E13" i="1" s="1"/>
  <c r="G13" i="1" s="1"/>
  <c r="E24" i="1" s="1"/>
  <c r="F24" i="1" s="1"/>
  <c r="F50" i="1" s="1"/>
  <c r="D12" i="1"/>
  <c r="E7" i="1"/>
  <c r="G7" i="1" s="1"/>
  <c r="E6" i="1"/>
  <c r="G6" i="1" s="1"/>
  <c r="D5" i="1"/>
  <c r="E5" i="1" s="1"/>
  <c r="G5" i="1" s="1"/>
  <c r="D4" i="1"/>
  <c r="D8" i="1" s="1"/>
  <c r="D16" i="1" l="1"/>
  <c r="E12" i="1"/>
  <c r="E4" i="1"/>
  <c r="E8" i="1" l="1"/>
  <c r="G4" i="1"/>
  <c r="G8" i="1" s="1"/>
  <c r="E16" i="1"/>
  <c r="G12" i="1"/>
  <c r="E23" i="1" s="1"/>
  <c r="E26" i="1" l="1"/>
  <c r="F23" i="1"/>
  <c r="G16" i="1"/>
  <c r="F26" i="1" l="1"/>
  <c r="H26" i="1" s="1"/>
  <c r="F49" i="1"/>
  <c r="E46" i="1"/>
  <c r="E48" i="1" s="1"/>
  <c r="D46" i="1"/>
  <c r="C46" i="1"/>
  <c r="G39" i="1"/>
  <c r="F51" i="1" l="1"/>
  <c r="G50" i="1" s="1"/>
  <c r="G49" i="1" l="1"/>
</calcChain>
</file>

<file path=xl/sharedStrings.xml><?xml version="1.0" encoding="utf-8"?>
<sst xmlns="http://schemas.openxmlformats.org/spreadsheetml/2006/main" count="97" uniqueCount="43">
  <si>
    <t>Dealerships</t>
  </si>
  <si>
    <t>RACs</t>
  </si>
  <si>
    <t>Total</t>
  </si>
  <si>
    <t>New</t>
  </si>
  <si>
    <t>Used</t>
  </si>
  <si>
    <t>B2B players</t>
  </si>
  <si>
    <t>Car type</t>
  </si>
  <si>
    <t>Unit of measure</t>
  </si>
  <si>
    <t>k#</t>
  </si>
  <si>
    <t>Car sales volumes (2024)</t>
  </si>
  <si>
    <t>Car sales value (2024)</t>
  </si>
  <si>
    <t>B€</t>
  </si>
  <si>
    <t>Note</t>
  </si>
  <si>
    <t>Car sales volumes (2030)</t>
  </si>
  <si>
    <t>Car sales value (2030)</t>
  </si>
  <si>
    <r>
      <t>Sales to end consumers (</t>
    </r>
    <r>
      <rPr>
        <sz val="11"/>
        <color rgb="FF000000"/>
        <rFont val="Aptos Narrow"/>
        <family val="2"/>
      </rPr>
      <t>~</t>
    </r>
    <r>
      <rPr>
        <sz val="11"/>
        <color rgb="FF000000"/>
        <rFont val="Aptos Narrow"/>
        <family val="2"/>
        <scheme val="minor"/>
      </rPr>
      <t>62 k#) plus 50-60% of RAC volumes (which are purchased via dealers' channel)</t>
    </r>
  </si>
  <si>
    <r>
      <t>Sales to end consumers (</t>
    </r>
    <r>
      <rPr>
        <sz val="11"/>
        <color rgb="FF000000"/>
        <rFont val="Aptos Narrow"/>
        <family val="2"/>
      </rPr>
      <t>~</t>
    </r>
    <r>
      <rPr>
        <sz val="11"/>
        <color rgb="FF000000"/>
        <rFont val="Aptos Narrow"/>
        <family val="2"/>
        <scheme val="minor"/>
      </rPr>
      <t>68 k#) plus 50-60% of RAC volumes (which are purchased via dealers' channel)</t>
    </r>
  </si>
  <si>
    <r>
      <t>Sales to end consumers (</t>
    </r>
    <r>
      <rPr>
        <sz val="11"/>
        <color rgb="FF000000"/>
        <rFont val="Aptos Narrow"/>
        <family val="2"/>
      </rPr>
      <t>~75</t>
    </r>
    <r>
      <rPr>
        <sz val="11"/>
        <color rgb="FF000000"/>
        <rFont val="Aptos Narrow"/>
        <family val="2"/>
        <scheme val="minor"/>
      </rPr>
      <t xml:space="preserve"> k#) plus 50-60% of RAC volumes (which are purchased via dealers' channel)</t>
    </r>
  </si>
  <si>
    <r>
      <t>Sales to end consumers (</t>
    </r>
    <r>
      <rPr>
        <sz val="11"/>
        <color rgb="FF000000"/>
        <rFont val="Aptos Narrow"/>
        <family val="2"/>
      </rPr>
      <t>~90</t>
    </r>
    <r>
      <rPr>
        <sz val="11"/>
        <color rgb="FF000000"/>
        <rFont val="Aptos Narrow"/>
        <family val="2"/>
        <scheme val="minor"/>
      </rPr>
      <t xml:space="preserve"> k#) plus 50-60% of RAC volumes (which are purchased via dealers' channel)</t>
    </r>
  </si>
  <si>
    <t>Note: differences may be due to rounding; LeaseCos are not included in the exercise</t>
  </si>
  <si>
    <t>Avg. Stock rotation</t>
  </si>
  <si>
    <t>Yearly disbursments</t>
  </si>
  <si>
    <t>1/years</t>
  </si>
  <si>
    <t>€B</t>
  </si>
  <si>
    <t>ERB Potential MS  2030, %</t>
  </si>
  <si>
    <t>%</t>
  </si>
  <si>
    <t>ERB loan disbursements  2030</t>
  </si>
  <si>
    <t>€M</t>
  </si>
  <si>
    <t xml:space="preserve">Considering 2.5% spread for floor plan financing (new cars) </t>
  </si>
  <si>
    <t>Considering 3% spread for Stock finance (used cars)</t>
  </si>
  <si>
    <t>B2B opportunity</t>
  </si>
  <si>
    <t>Incremental retail opportunity</t>
  </si>
  <si>
    <t>ERB RAR 2030</t>
  </si>
  <si>
    <t>Considering 900-1000€ RAR per car for RACs financing</t>
  </si>
  <si>
    <t>ERB Opex 2030</t>
  </si>
  <si>
    <t>3-5%</t>
  </si>
  <si>
    <t>Incremental ERB retail MS</t>
  </si>
  <si>
    <t>Incremental ERB RAR</t>
  </si>
  <si>
    <t>ERB PBT</t>
  </si>
  <si>
    <t>Incremental ERB retail loan disbursements (2030)</t>
  </si>
  <si>
    <t>Highly preliminary opex estimate</t>
  </si>
  <si>
    <t>15-20%</t>
  </si>
  <si>
    <r>
      <t xml:space="preserve">Considering </t>
    </r>
    <r>
      <rPr>
        <sz val="11"/>
        <rFont val="Aptos Narrow"/>
        <family val="2"/>
      </rPr>
      <t xml:space="preserve">~1B€ retail </t>
    </r>
    <r>
      <rPr>
        <sz val="11"/>
        <rFont val="Aptos Narrow"/>
        <family val="2"/>
        <scheme val="minor"/>
      </rPr>
      <t>auto loan disburments market via dealerships in 2030, accounting for ~90M€ RAR; highly preliminary opex estimate (decreased vs. Steering Commitee 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</si>
</sst>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_-;\-* #,##0_-;_-* &quot;-&quot;??_-;_-@_-"/>
  </numFmts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3366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sz val="11"/>
      <name val="Aptos Narrow"/>
      <family val="2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28">
    <xf numFmtId="0" fontId="0" fillId="0" borderId="0" xfId="0"/>
    <xf numFmtId="0" fontId="1" fillId="3" borderId="1" xfId="0" applyFont="1" applyFill="1" applyBorder="1"/>
    <xf numFmtId="0" fontId="2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6" fillId="0" borderId="0" xfId="0" applyFont="1"/>
    <xf numFmtId="0" fontId="8" fillId="0" borderId="1" xfId="0" applyFont="1" applyBorder="1"/>
    <xf numFmtId="0" fontId="10" fillId="0" borderId="1" xfId="0" applyFont="1" applyBorder="1"/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9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65" fontId="4" fillId="0" borderId="1" xfId="1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2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EBC24-5869-4973-A179-4A56D3EFAE93}">
  <dimension ref="B2:I61"/>
  <sheetViews>
    <sheetView showGridLines="0" tabSelected="1" topLeftCell="B1" zoomScale="70" zoomScaleNormal="70" workbookViewId="0">
      <selection activeCell="B28" sqref="A28:XFD31"/>
    </sheetView>
  </sheetViews>
  <sheetFormatPr defaultRowHeight="14.4" x14ac:dyDescent="0.3"/>
  <cols>
    <col min="2" max="2" width="14.109375" bestFit="1" customWidth="1"/>
    <col min="3" max="3" width="10.77734375" style="17" bestFit="1" customWidth="1"/>
    <col min="4" max="4" width="22.88671875" style="17" bestFit="1" customWidth="1"/>
    <col min="5" max="5" width="42.77734375" style="17" bestFit="1" customWidth="1"/>
    <col min="6" max="6" width="18.77734375" style="17" bestFit="1" customWidth="1"/>
    <col min="7" max="7" width="18.109375" style="17" bestFit="1" customWidth="1"/>
    <col min="8" max="8" width="18.109375" style="17" customWidth="1"/>
    <col min="9" max="9" width="149.5546875" bestFit="1" customWidth="1"/>
  </cols>
  <sheetData>
    <row r="2" spans="2:9" x14ac:dyDescent="0.3">
      <c r="B2" s="1" t="s">
        <v>5</v>
      </c>
      <c r="C2" s="8" t="s">
        <v>6</v>
      </c>
      <c r="D2" s="8" t="s">
        <v>9</v>
      </c>
      <c r="E2" s="8" t="s">
        <v>10</v>
      </c>
      <c r="F2" s="8" t="s">
        <v>20</v>
      </c>
      <c r="G2" s="8" t="s">
        <v>21</v>
      </c>
      <c r="H2" s="8"/>
      <c r="I2" s="1" t="s">
        <v>12</v>
      </c>
    </row>
    <row r="3" spans="2:9" x14ac:dyDescent="0.3">
      <c r="B3" s="2" t="s">
        <v>7</v>
      </c>
      <c r="C3" s="9"/>
      <c r="D3" s="9" t="s">
        <v>8</v>
      </c>
      <c r="E3" s="10" t="s">
        <v>11</v>
      </c>
      <c r="F3" s="10" t="s">
        <v>22</v>
      </c>
      <c r="G3" s="10" t="s">
        <v>23</v>
      </c>
      <c r="H3" s="10"/>
      <c r="I3" s="2"/>
    </row>
    <row r="4" spans="2:9" x14ac:dyDescent="0.3">
      <c r="B4" s="3" t="s">
        <v>0</v>
      </c>
      <c r="C4" s="11" t="s">
        <v>3</v>
      </c>
      <c r="D4" s="12">
        <f>62+16</f>
        <v>78</v>
      </c>
      <c r="E4" s="13">
        <f>D4*20000/1000000</f>
        <v>1.56</v>
      </c>
      <c r="F4" s="13">
        <f>1/8</f>
        <v>0.125</v>
      </c>
      <c r="G4" s="13">
        <f>E4*F4</f>
        <v>0.19500000000000001</v>
      </c>
      <c r="H4" s="13"/>
      <c r="I4" s="3" t="s">
        <v>15</v>
      </c>
    </row>
    <row r="5" spans="2:9" x14ac:dyDescent="0.3">
      <c r="B5" s="3" t="s">
        <v>0</v>
      </c>
      <c r="C5" s="11" t="s">
        <v>4</v>
      </c>
      <c r="D5" s="12">
        <f>68+8</f>
        <v>76</v>
      </c>
      <c r="E5" s="13">
        <f>D5*10000/1000000</f>
        <v>0.76</v>
      </c>
      <c r="F5" s="13">
        <f>1/8</f>
        <v>0.125</v>
      </c>
      <c r="G5" s="13">
        <f t="shared" ref="G5" si="0">E5*F5</f>
        <v>9.5000000000000001E-2</v>
      </c>
      <c r="H5" s="13"/>
      <c r="I5" s="3" t="s">
        <v>16</v>
      </c>
    </row>
    <row r="6" spans="2:9" x14ac:dyDescent="0.3">
      <c r="B6" s="3" t="s">
        <v>1</v>
      </c>
      <c r="C6" s="11" t="s">
        <v>3</v>
      </c>
      <c r="D6" s="11">
        <v>25</v>
      </c>
      <c r="E6" s="13">
        <f t="shared" ref="E6" si="1">D6*20000/1000000</f>
        <v>0.5</v>
      </c>
      <c r="F6" s="13">
        <v>3</v>
      </c>
      <c r="G6" s="13">
        <f>E6</f>
        <v>0.5</v>
      </c>
      <c r="H6" s="13"/>
      <c r="I6" s="3"/>
    </row>
    <row r="7" spans="2:9" x14ac:dyDescent="0.3">
      <c r="B7" s="3" t="s">
        <v>1</v>
      </c>
      <c r="C7" s="11" t="s">
        <v>4</v>
      </c>
      <c r="D7" s="11">
        <v>15</v>
      </c>
      <c r="E7" s="13">
        <f>D7*10000/1000000</f>
        <v>0.15</v>
      </c>
      <c r="F7" s="13">
        <v>3</v>
      </c>
      <c r="G7" s="13">
        <f>E7</f>
        <v>0.15</v>
      </c>
      <c r="H7" s="13"/>
      <c r="I7" s="3"/>
    </row>
    <row r="8" spans="2:9" x14ac:dyDescent="0.3">
      <c r="B8" s="4" t="s">
        <v>2</v>
      </c>
      <c r="C8" s="14" t="s">
        <v>2</v>
      </c>
      <c r="D8" s="15">
        <f>SUM(D4:D7)</f>
        <v>194</v>
      </c>
      <c r="E8" s="16">
        <f>SUM(E4:E7)</f>
        <v>2.97</v>
      </c>
      <c r="F8" s="16"/>
      <c r="G8" s="16">
        <f>SUM(G4:G7)</f>
        <v>0.94000000000000006</v>
      </c>
      <c r="H8" s="16"/>
      <c r="I8" s="3"/>
    </row>
    <row r="10" spans="2:9" x14ac:dyDescent="0.3">
      <c r="B10" s="1" t="s">
        <v>5</v>
      </c>
      <c r="C10" s="8" t="s">
        <v>6</v>
      </c>
      <c r="D10" s="8" t="s">
        <v>13</v>
      </c>
      <c r="E10" s="8" t="s">
        <v>14</v>
      </c>
      <c r="F10" s="8" t="s">
        <v>20</v>
      </c>
      <c r="G10" s="8" t="s">
        <v>21</v>
      </c>
      <c r="H10" s="8"/>
      <c r="I10" s="1" t="s">
        <v>12</v>
      </c>
    </row>
    <row r="11" spans="2:9" x14ac:dyDescent="0.3">
      <c r="B11" s="2" t="s">
        <v>7</v>
      </c>
      <c r="C11" s="9"/>
      <c r="D11" s="9" t="s">
        <v>8</v>
      </c>
      <c r="E11" s="10" t="s">
        <v>11</v>
      </c>
      <c r="F11" s="10" t="s">
        <v>22</v>
      </c>
      <c r="G11" s="10" t="s">
        <v>23</v>
      </c>
      <c r="H11" s="10"/>
      <c r="I11" s="2"/>
    </row>
    <row r="12" spans="2:9" x14ac:dyDescent="0.3">
      <c r="B12" s="3" t="s">
        <v>0</v>
      </c>
      <c r="C12" s="11" t="s">
        <v>3</v>
      </c>
      <c r="D12" s="12">
        <f>75+60%*D14</f>
        <v>93.6</v>
      </c>
      <c r="E12" s="13">
        <f>D12*25000/1000000</f>
        <v>2.34</v>
      </c>
      <c r="F12" s="13">
        <f>1/8</f>
        <v>0.125</v>
      </c>
      <c r="G12" s="13">
        <f>E12*F12</f>
        <v>0.29249999999999998</v>
      </c>
      <c r="H12" s="13"/>
      <c r="I12" s="3" t="s">
        <v>17</v>
      </c>
    </row>
    <row r="13" spans="2:9" x14ac:dyDescent="0.3">
      <c r="B13" s="3" t="s">
        <v>0</v>
      </c>
      <c r="C13" s="11" t="s">
        <v>4</v>
      </c>
      <c r="D13" s="12">
        <f>90+60%*D15</f>
        <v>99.6</v>
      </c>
      <c r="E13" s="13">
        <f>D13*15000/1000000</f>
        <v>1.494</v>
      </c>
      <c r="F13" s="13">
        <f>1/8</f>
        <v>0.125</v>
      </c>
      <c r="G13" s="13">
        <f t="shared" ref="G13" si="2">E13*F13</f>
        <v>0.18675</v>
      </c>
      <c r="H13" s="13"/>
      <c r="I13" s="3" t="s">
        <v>18</v>
      </c>
    </row>
    <row r="14" spans="2:9" x14ac:dyDescent="0.3">
      <c r="B14" s="3" t="s">
        <v>1</v>
      </c>
      <c r="C14" s="11" t="s">
        <v>3</v>
      </c>
      <c r="D14" s="11">
        <v>31</v>
      </c>
      <c r="E14" s="13">
        <f>D14*25000/1000000</f>
        <v>0.77500000000000002</v>
      </c>
      <c r="F14" s="13">
        <v>3</v>
      </c>
      <c r="G14" s="13">
        <f>E14</f>
        <v>0.77500000000000002</v>
      </c>
      <c r="H14" s="13"/>
      <c r="I14" s="3"/>
    </row>
    <row r="15" spans="2:9" x14ac:dyDescent="0.3">
      <c r="B15" s="3" t="s">
        <v>1</v>
      </c>
      <c r="C15" s="11" t="s">
        <v>4</v>
      </c>
      <c r="D15" s="11">
        <v>16</v>
      </c>
      <c r="E15" s="13">
        <f>D15*15000/1000000</f>
        <v>0.24</v>
      </c>
      <c r="F15" s="13">
        <v>3</v>
      </c>
      <c r="G15" s="13">
        <f>E15</f>
        <v>0.24</v>
      </c>
      <c r="H15" s="13"/>
      <c r="I15" s="3"/>
    </row>
    <row r="16" spans="2:9" x14ac:dyDescent="0.3">
      <c r="B16" s="4" t="s">
        <v>2</v>
      </c>
      <c r="C16" s="14" t="s">
        <v>2</v>
      </c>
      <c r="D16" s="15">
        <f>SUM(D12:D15)</f>
        <v>240.2</v>
      </c>
      <c r="E16" s="16">
        <f>SUM(E12:E15)</f>
        <v>4.8490000000000002</v>
      </c>
      <c r="F16" s="16"/>
      <c r="G16" s="16">
        <f>SUM(G12:G15)</f>
        <v>1.4942499999999999</v>
      </c>
      <c r="H16" s="16"/>
      <c r="I16" s="3"/>
    </row>
    <row r="18" spans="2:9" x14ac:dyDescent="0.3">
      <c r="B18" s="5" t="s">
        <v>19</v>
      </c>
    </row>
    <row r="19" spans="2:9" x14ac:dyDescent="0.3">
      <c r="B19" s="5"/>
    </row>
    <row r="20" spans="2:9" x14ac:dyDescent="0.3">
      <c r="B20" s="1" t="s">
        <v>30</v>
      </c>
      <c r="C20" s="8"/>
      <c r="D20" s="8"/>
      <c r="E20" s="8"/>
      <c r="F20" s="8"/>
      <c r="G20" s="8"/>
      <c r="H20" s="8"/>
      <c r="I20" s="1"/>
    </row>
    <row r="21" spans="2:9" x14ac:dyDescent="0.3">
      <c r="B21" s="1" t="s">
        <v>5</v>
      </c>
      <c r="C21" s="8" t="s">
        <v>6</v>
      </c>
      <c r="D21" s="8" t="s">
        <v>24</v>
      </c>
      <c r="E21" s="8" t="s">
        <v>26</v>
      </c>
      <c r="F21" s="8" t="s">
        <v>32</v>
      </c>
      <c r="G21" s="8" t="s">
        <v>34</v>
      </c>
      <c r="H21" s="8" t="s">
        <v>38</v>
      </c>
      <c r="I21" s="1" t="s">
        <v>12</v>
      </c>
    </row>
    <row r="22" spans="2:9" x14ac:dyDescent="0.3">
      <c r="B22" s="2" t="s">
        <v>7</v>
      </c>
      <c r="C22" s="9"/>
      <c r="D22" s="10" t="s">
        <v>25</v>
      </c>
      <c r="E22" s="10" t="s">
        <v>27</v>
      </c>
      <c r="F22" s="10" t="s">
        <v>27</v>
      </c>
      <c r="G22" s="10" t="s">
        <v>25</v>
      </c>
      <c r="H22" s="10" t="s">
        <v>27</v>
      </c>
      <c r="I22" s="2"/>
    </row>
    <row r="23" spans="2:9" x14ac:dyDescent="0.3">
      <c r="B23" s="3" t="s">
        <v>0</v>
      </c>
      <c r="C23" s="11" t="s">
        <v>3</v>
      </c>
      <c r="D23" s="18">
        <v>0.25</v>
      </c>
      <c r="E23" s="19">
        <f>D23*G12*1000</f>
        <v>73.125</v>
      </c>
      <c r="F23" s="13">
        <f>2.5%*E23</f>
        <v>1.828125</v>
      </c>
      <c r="G23" s="20"/>
      <c r="H23" s="20"/>
      <c r="I23" s="3" t="s">
        <v>28</v>
      </c>
    </row>
    <row r="24" spans="2:9" x14ac:dyDescent="0.3">
      <c r="B24" s="3" t="s">
        <v>0</v>
      </c>
      <c r="C24" s="11" t="s">
        <v>4</v>
      </c>
      <c r="D24" s="18">
        <v>0.25</v>
      </c>
      <c r="E24" s="19">
        <f>D24*G13*1000</f>
        <v>46.6875</v>
      </c>
      <c r="F24" s="13">
        <f>3%*E24</f>
        <v>1.400625</v>
      </c>
      <c r="G24" s="20"/>
      <c r="H24" s="20"/>
      <c r="I24" s="3" t="s">
        <v>29</v>
      </c>
    </row>
    <row r="25" spans="2:9" x14ac:dyDescent="0.3">
      <c r="B25" s="3" t="s">
        <v>1</v>
      </c>
      <c r="C25" s="11" t="s">
        <v>2</v>
      </c>
      <c r="D25" s="18">
        <v>0.1</v>
      </c>
      <c r="E25" s="19">
        <f>10%*(G14+G15)*1000</f>
        <v>101.50000000000001</v>
      </c>
      <c r="F25" s="13">
        <f>D25*(D6+D7)*950*1000/10^6</f>
        <v>3.8</v>
      </c>
      <c r="G25" s="20"/>
      <c r="H25" s="20"/>
      <c r="I25" s="3" t="s">
        <v>33</v>
      </c>
    </row>
    <row r="26" spans="2:9" x14ac:dyDescent="0.3">
      <c r="B26" s="4" t="s">
        <v>2</v>
      </c>
      <c r="C26" s="14" t="s">
        <v>2</v>
      </c>
      <c r="D26" s="18"/>
      <c r="E26" s="21">
        <f>SUM(E23:E25)</f>
        <v>221.3125</v>
      </c>
      <c r="F26" s="16">
        <f>SUM(F23:F25)</f>
        <v>7.0287499999999996</v>
      </c>
      <c r="G26" s="22">
        <v>0.4</v>
      </c>
      <c r="H26" s="23">
        <f>40%*F26</f>
        <v>2.8115000000000001</v>
      </c>
      <c r="I26" s="6" t="s">
        <v>40</v>
      </c>
    </row>
    <row r="28" spans="2:9" x14ac:dyDescent="0.3">
      <c r="B28" s="1" t="s">
        <v>31</v>
      </c>
      <c r="C28" s="8"/>
      <c r="D28" s="8"/>
      <c r="E28" s="8"/>
      <c r="F28" s="8"/>
      <c r="G28" s="8"/>
      <c r="H28" s="8"/>
      <c r="I28" s="1"/>
    </row>
    <row r="29" spans="2:9" x14ac:dyDescent="0.3">
      <c r="B29" s="1" t="s">
        <v>5</v>
      </c>
      <c r="C29" s="8" t="s">
        <v>6</v>
      </c>
      <c r="D29" s="8" t="s">
        <v>36</v>
      </c>
      <c r="E29" s="8" t="s">
        <v>39</v>
      </c>
      <c r="F29" s="8" t="s">
        <v>37</v>
      </c>
      <c r="G29" s="8" t="s">
        <v>34</v>
      </c>
      <c r="H29" s="8" t="s">
        <v>38</v>
      </c>
      <c r="I29" s="1" t="s">
        <v>12</v>
      </c>
    </row>
    <row r="30" spans="2:9" x14ac:dyDescent="0.3">
      <c r="B30" s="2" t="s">
        <v>7</v>
      </c>
      <c r="C30" s="9"/>
      <c r="D30" s="10" t="s">
        <v>25</v>
      </c>
      <c r="E30" s="10" t="s">
        <v>27</v>
      </c>
      <c r="F30" s="10" t="s">
        <v>27</v>
      </c>
      <c r="G30" s="10" t="s">
        <v>25</v>
      </c>
      <c r="H30" s="10" t="s">
        <v>27</v>
      </c>
      <c r="I30" s="2"/>
    </row>
    <row r="31" spans="2:9" x14ac:dyDescent="0.3">
      <c r="B31" s="4" t="s">
        <v>2</v>
      </c>
      <c r="C31" s="14" t="s">
        <v>2</v>
      </c>
      <c r="D31" s="22" t="s">
        <v>35</v>
      </c>
      <c r="E31" s="21">
        <f>3%*950</f>
        <v>28.5</v>
      </c>
      <c r="F31" s="15">
        <f>3%*90</f>
        <v>2.6999999999999997</v>
      </c>
      <c r="G31" s="22" t="s">
        <v>41</v>
      </c>
      <c r="H31" s="15">
        <f>F31*(1-17.5%)</f>
        <v>2.2274999999999996</v>
      </c>
      <c r="I31" s="7" t="s">
        <v>42</v>
      </c>
    </row>
    <row r="33" spans="2:7" x14ac:dyDescent="0.3">
      <c r="B33" s="5" t="s">
        <v>19</v>
      </c>
    </row>
    <row r="34" spans="2:7" x14ac:dyDescent="0.3">
      <c r="G34" s="24"/>
    </row>
    <row r="38" spans="2:7" x14ac:dyDescent="0.3">
      <c r="C38" s="17">
        <v>1</v>
      </c>
      <c r="D38" s="17">
        <v>2</v>
      </c>
      <c r="E38" s="17">
        <v>3</v>
      </c>
      <c r="F38" s="17">
        <v>4</v>
      </c>
      <c r="G38" s="17">
        <v>5</v>
      </c>
    </row>
    <row r="39" spans="2:7" x14ac:dyDescent="0.3">
      <c r="C39" s="17">
        <v>20</v>
      </c>
      <c r="D39" s="17">
        <v>50</v>
      </c>
      <c r="E39" s="17">
        <v>100</v>
      </c>
      <c r="F39" s="17">
        <v>180</v>
      </c>
      <c r="G39" s="24">
        <f>+E26</f>
        <v>221.3125</v>
      </c>
    </row>
    <row r="42" spans="2:7" x14ac:dyDescent="0.3">
      <c r="F42" s="17">
        <v>221</v>
      </c>
      <c r="G42" s="17">
        <v>5</v>
      </c>
    </row>
    <row r="43" spans="2:7" x14ac:dyDescent="0.3">
      <c r="F43" s="17">
        <f>+C39</f>
        <v>20</v>
      </c>
      <c r="G43" s="25">
        <f>+F43/F42*G42</f>
        <v>0.45248868778280543</v>
      </c>
    </row>
    <row r="46" spans="2:7" x14ac:dyDescent="0.3">
      <c r="C46" s="26">
        <f>+C39/E26*E31</f>
        <v>2.5755436317424456</v>
      </c>
      <c r="D46" s="26">
        <f>+D39/E26*E31</f>
        <v>6.4388590793561145</v>
      </c>
      <c r="E46" s="26">
        <f>+E39/E26*E31</f>
        <v>12.877718158712229</v>
      </c>
    </row>
    <row r="48" spans="2:7" x14ac:dyDescent="0.3">
      <c r="E48" s="27">
        <f>+F31/E46</f>
        <v>0.20966447368421048</v>
      </c>
    </row>
    <row r="49" spans="6:7" x14ac:dyDescent="0.3">
      <c r="F49" s="26">
        <f>+F25+F23</f>
        <v>5.6281249999999998</v>
      </c>
      <c r="G49" s="27">
        <f>+F49/F51</f>
        <v>0.80072914814156149</v>
      </c>
    </row>
    <row r="50" spans="6:7" x14ac:dyDescent="0.3">
      <c r="F50" s="26">
        <f>+F24</f>
        <v>1.400625</v>
      </c>
      <c r="G50" s="27">
        <f>+F50/F51</f>
        <v>0.19927085185843857</v>
      </c>
    </row>
    <row r="51" spans="6:7" x14ac:dyDescent="0.3">
      <c r="F51" s="26">
        <f>+F50+F49</f>
        <v>7.0287499999999996</v>
      </c>
    </row>
    <row r="58" spans="6:7" x14ac:dyDescent="0.3">
      <c r="F58" s="17">
        <v>50</v>
      </c>
    </row>
    <row r="59" spans="6:7" x14ac:dyDescent="0.3">
      <c r="F59" s="17">
        <f>+F58*27%</f>
        <v>13.5</v>
      </c>
    </row>
    <row r="60" spans="6:7" x14ac:dyDescent="0.3">
      <c r="F60" s="17">
        <f>30000000*5%</f>
        <v>1500000</v>
      </c>
    </row>
    <row r="61" spans="6:7" x14ac:dyDescent="0.3">
      <c r="F61" s="17">
        <f>+F60/1000000</f>
        <v>1.5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8686E0F17B98438C91AA640C188FFD" ma:contentTypeVersion="13" ma:contentTypeDescription="Creare un nuovo documento." ma:contentTypeScope="" ma:versionID="d82692f2b0ff85276e8310f2107ad088">
  <xsd:schema xmlns:xsd="http://www.w3.org/2001/XMLSchema" xmlns:xs="http://www.w3.org/2001/XMLSchema" xmlns:p="http://schemas.microsoft.com/office/2006/metadata/properties" xmlns:ns1="http://schemas.microsoft.com/sharepoint/v3" xmlns:ns2="68e55bdf-09da-4615-ad05-ac088d173743" xmlns:ns3="42e4a2d1-7a9a-46f4-96b1-e49f7be52138" targetNamespace="http://schemas.microsoft.com/office/2006/metadata/properties" ma:root="true" ma:fieldsID="fe09f734e01c274068f3812e7f4c97d1" ns1:_="" ns2:_="" ns3:_="">
    <xsd:import namespace="http://schemas.microsoft.com/sharepoint/v3"/>
    <xsd:import namespace="68e55bdf-09da-4615-ad05-ac088d173743"/>
    <xsd:import namespace="42e4a2d1-7a9a-46f4-96b1-e49f7be5213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SourceSystemTaxHTField" minOccurs="0"/>
                <xsd:element ref="ns2:TaxCatchAll" minOccurs="0"/>
                <xsd:element ref="ns2:TaxCatchAllLabel" minOccurs="0"/>
                <xsd:element ref="ns1:DataSourceTaxHTFiel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ourceSystemTaxHTField" ma:index="11" nillable="true" ma:taxonomy="true" ma:internalName="SourceSystemTaxHTField" ma:taxonomyFieldName="SourceSystem" ma:displayName="SourceSystem" ma:default="1;#SPE|e1155322-03d8-4904-a51c-d7d7cbd8ca84" ma:fieldId="{68c22041-dfe3-4104-9745-475326d7dc19}" ma:sspId="c9369470-76d8-40bb-9f83-c9dbb6c0fac8" ma:termSetId="14dc3a28-f268-42f7-8f59-1ae69d4ade2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ataSourceTaxHTField" ma:index="15" nillable="true" ma:taxonomy="true" ma:internalName="DataSourceTaxHTField" ma:taxonomyFieldName="DataSource" ma:displayName="DataSource" ma:default="2;#Internal|0b10eabc-00d3-4553-8252-f6efa1cda259" ma:fieldId="{e59fb67a-8e6b-4297-9efb-d86ae4d35911}" ma:sspId="c9369470-76d8-40bb-9f83-c9dbb6c0fac8" ma:termSetId="36ddf51e-868c-4a6e-ae2e-8e285ecab47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e55bdf-09da-4615-ad05-ac088d17374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e ID documento" ma:description="Valore dell'ID documento assegnato all'elemento." ma:indexed="true" ma:internalName="_dlc_DocId" ma:readOnly="true">
      <xsd:simpleType>
        <xsd:restriction base="dms:Text"/>
      </xsd:simpleType>
    </xsd:element>
    <xsd:element name="_dlc_DocIdUrl" ma:index="9" nillable="true" ma:displayName="ID documento" ma:description="Collegamento permanente al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2" nillable="true" ma:displayName="Taxonomy Catch All Column" ma:hidden="true" ma:list="{6b8d952e-3416-4953-abfd-23de153d5f96}" ma:internalName="TaxCatchAll" ma:showField="CatchAllData" ma:web="68e55bdf-09da-4615-ad05-ac088d173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6b8d952e-3416-4953-abfd-23de153d5f96}" ma:internalName="TaxCatchAllLabel" ma:readOnly="true" ma:showField="CatchAllDataLabel" ma:web="68e55bdf-09da-4615-ad05-ac088d173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e4a2d1-7a9a-46f4-96b1-e49f7be521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18eb3a52-a9ad-454e-96a1-46bb4cd16a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68e55bdf-09da-4615-ad05-ac088d173743">HJESJR6M7V5E-708027023-733</_dlc_DocId>
    <DataSourceTaxHTField xmlns="http://schemas.microsoft.com/sharepoint/v3">
      <Terms xmlns="http://schemas.microsoft.com/office/infopath/2007/PartnerControls"/>
    </DataSourceTaxHTField>
    <_dlc_DocIdUrl xmlns="68e55bdf-09da-4615-ad05-ac088d173743">
      <Url>https://mckinsey.sharepoint.com/sites/spe-int-g3shlooow/_layouts/15/DocIdRedir.aspx?ID=HJESJR6M7V5E-708027023-733</Url>
      <Description>HJESJR6M7V5E-708027023-733</Description>
    </_dlc_DocIdUrl>
    <SourceSystemTaxHTField xmlns="http://schemas.microsoft.com/sharepoint/v3">
      <Terms xmlns="http://schemas.microsoft.com/office/infopath/2007/PartnerControls"/>
    </SourceSystemTaxHTField>
    <lcf76f155ced4ddcb4097134ff3c332f xmlns="42e4a2d1-7a9a-46f4-96b1-e49f7be52138">
      <Terms xmlns="http://schemas.microsoft.com/office/infopath/2007/PartnerControls"/>
    </lcf76f155ced4ddcb4097134ff3c332f>
    <TaxCatchAll xmlns="68e55bdf-09da-4615-ad05-ac088d173743" xsi:nil="true"/>
  </documentManagement>
</p:properties>
</file>

<file path=customXml/itemProps1.xml><?xml version="1.0" encoding="utf-8"?>
<ds:datastoreItem xmlns:ds="http://schemas.openxmlformats.org/officeDocument/2006/customXml" ds:itemID="{8B63AE96-1FDC-4B1F-86BE-95A52AB21F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8e55bdf-09da-4615-ad05-ac088d173743"/>
    <ds:schemaRef ds:uri="42e4a2d1-7a9a-46f4-96b1-e49f7be521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4BB445-EF6B-4E2B-8DA5-522A2A386F70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2AC661E7-7B52-483D-8B49-A84DEEDA475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FC9202E-E2BB-4D72-B84F-154E4BC58B64}">
  <ds:schemaRefs>
    <ds:schemaRef ds:uri="http://schemas.microsoft.com/office/2006/metadata/properties"/>
    <ds:schemaRef ds:uri="http://schemas.microsoft.com/office/infopath/2007/PartnerControls"/>
    <ds:schemaRef ds:uri="68e55bdf-09da-4615-ad05-ac088d173743"/>
    <ds:schemaRef ds:uri="http://schemas.microsoft.com/sharepoint/v3"/>
    <ds:schemaRef ds:uri="42e4a2d1-7a9a-46f4-96b1-e49f7be5213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Magni</dc:creator>
  <cp:lastModifiedBy>Pouloupatis Vassileios</cp:lastModifiedBy>
  <dcterms:created xsi:type="dcterms:W3CDTF">2025-08-29T14:44:28Z</dcterms:created>
  <dcterms:modified xsi:type="dcterms:W3CDTF">2026-05-13T11:22:35Z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0x0101008A8686E0F17B98438C91AA640C188FFD</vt:lpwstr>
  </property>
  <property fmtid="{D5CDD505-2E9C-101B-9397-08002B2CF9AE}" pid="3" name="DataSource">
    <vt:lpwstr>2;#|0b10eabc-00d3-4553-8252-f6efa1cda259</vt:lpwstr>
  </property>
  <property fmtid="{D5CDD505-2E9C-101B-9397-08002B2CF9AE}" pid="4" name="_dlc_DocIdItemGuid">
    <vt:lpwstr>37b476db-3635-4bda-8bdc-d9d1acdbf4c6</vt:lpwstr>
  </property>
  <property fmtid="{D5CDD505-2E9C-101B-9397-08002B2CF9AE}" pid="5" name="SourceSystem">
    <vt:lpwstr>1;#|e1155322-03d8-4904-a51c-d7d7cbd8ca84</vt:lpwstr>
  </property>
  <property fmtid="{D5CDD505-2E9C-101B-9397-08002B2CF9AE}" pid="6" name="MSIP_Label_83303d7c-e5a3-4cc8-90eb-69bfd7570ac4_Enabled">
    <vt:lpwstr>True</vt:lpwstr>
  </property>
  <property fmtid="{D5CDD505-2E9C-101B-9397-08002B2CF9AE}" pid="7" name="MSIP_Label_83303d7c-e5a3-4cc8-90eb-69bfd7570ac4_SiteId">
    <vt:lpwstr>cc8936bc-9382-4fff-87cb-6f55999549e7</vt:lpwstr>
  </property>
  <property fmtid="{D5CDD505-2E9C-101B-9397-08002B2CF9AE}" pid="8" name="MSIP_Label_83303d7c-e5a3-4cc8-90eb-69bfd7570ac4_SetDate">
    <vt:lpwstr>2025-08-29T15:49:20Z</vt:lpwstr>
  </property>
  <property fmtid="{D5CDD505-2E9C-101B-9397-08002B2CF9AE}" pid="9" name="MSIP_Label_83303d7c-e5a3-4cc8-90eb-69bfd7570ac4_Name">
    <vt:lpwstr>Client Confidential</vt:lpwstr>
  </property>
  <property fmtid="{D5CDD505-2E9C-101B-9397-08002B2CF9AE}" pid="10" name="MSIP_Label_83303d7c-e5a3-4cc8-90eb-69bfd7570ac4_ActionId">
    <vt:lpwstr>66691470-47dd-4932-a071-b620a4983292</vt:lpwstr>
  </property>
  <property fmtid="{D5CDD505-2E9C-101B-9397-08002B2CF9AE}" pid="11" name="MSIP_Label_83303d7c-e5a3-4cc8-90eb-69bfd7570ac4_Removed">
    <vt:lpwstr>False</vt:lpwstr>
  </property>
  <property fmtid="{D5CDD505-2E9C-101B-9397-08002B2CF9AE}" pid="12" name="MSIP_Label_83303d7c-e5a3-4cc8-90eb-69bfd7570ac4_Extended_MSFT_Method">
    <vt:lpwstr>Standard</vt:lpwstr>
  </property>
  <property fmtid="{D5CDD505-2E9C-101B-9397-08002B2CF9AE}" pid="13" name="Sensitivity">
    <vt:lpwstr>Client Confidential</vt:lpwstr>
  </property>
  <property fmtid="{D5CDD505-2E9C-101B-9397-08002B2CF9AE}" pid="14" name="MediaServiceImageTags">
    <vt:lpwstr/>
  </property>
</Properties>
</file>