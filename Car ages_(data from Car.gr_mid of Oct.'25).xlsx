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pouloupatis\Desktop\"/>
    </mc:Choice>
  </mc:AlternateContent>
  <xr:revisionPtr revIDLastSave="0" documentId="13_ncr:1_{3CEC45BB-B5F5-4DEA-B95C-B543836FC281}" xr6:coauthVersionLast="47" xr6:coauthVersionMax="47" xr10:uidLastSave="{00000000-0000-0000-0000-000000000000}"/>
  <bookViews>
    <workbookView xWindow="-108" yWindow="-108" windowWidth="23256" windowHeight="12456" xr2:uid="{82327532-799C-4AC7-AFCF-AF35129EE4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5" i="1" l="1"/>
  <c r="Y25" i="1"/>
  <c r="Z25" i="1"/>
  <c r="AA25" i="1"/>
  <c r="AB25" i="1" s="1"/>
  <c r="AC25" i="1" s="1"/>
  <c r="AD25" i="1" s="1"/>
  <c r="AE25" i="1" s="1"/>
  <c r="AF25" i="1" s="1"/>
  <c r="AG25" i="1" s="1"/>
  <c r="AH25" i="1" s="1"/>
  <c r="AI25" i="1" s="1"/>
  <c r="AJ25" i="1" s="1"/>
  <c r="AK25" i="1" s="1"/>
  <c r="AL25" i="1" s="1"/>
  <c r="AM25" i="1" s="1"/>
  <c r="AN25" i="1" s="1"/>
  <c r="AO25" i="1" s="1"/>
  <c r="L4" i="1"/>
  <c r="L5" i="1"/>
  <c r="L6" i="1"/>
  <c r="K4" i="1"/>
  <c r="K5" i="1"/>
  <c r="K6" i="1"/>
  <c r="L3" i="1"/>
  <c r="K3" i="1"/>
  <c r="I2" i="1"/>
  <c r="I4" i="1"/>
  <c r="I5" i="1"/>
  <c r="I6" i="1"/>
  <c r="I3" i="1"/>
  <c r="H4" i="1"/>
  <c r="H5" i="1"/>
  <c r="H6" i="1"/>
  <c r="H3" i="1"/>
  <c r="G4" i="1"/>
  <c r="G5" i="1"/>
  <c r="G6" i="1"/>
  <c r="G3" i="1"/>
  <c r="C25" i="1"/>
  <c r="D25" i="1" s="1"/>
  <c r="E25" i="1" s="1"/>
  <c r="F25" i="1" s="1"/>
  <c r="G25" i="1" s="1"/>
  <c r="H25" i="1" s="1"/>
  <c r="I25" i="1" s="1"/>
  <c r="J25" i="1" s="1"/>
  <c r="K25" i="1" s="1"/>
  <c r="L25" i="1" s="1"/>
  <c r="M25" i="1" s="1"/>
  <c r="N25" i="1" s="1"/>
  <c r="O25" i="1" s="1"/>
  <c r="P25" i="1" s="1"/>
  <c r="Q25" i="1" s="1"/>
  <c r="R25" i="1" s="1"/>
  <c r="S25" i="1" s="1"/>
  <c r="T25" i="1" s="1"/>
  <c r="U25" i="1" s="1"/>
  <c r="V25" i="1" s="1"/>
  <c r="W25" i="1" s="1"/>
  <c r="C7" i="1"/>
  <c r="B7" i="1"/>
  <c r="D5" i="1"/>
  <c r="D6" i="1"/>
  <c r="D4" i="1"/>
  <c r="D3" i="1"/>
  <c r="D2" i="1"/>
  <c r="D7" i="1" l="1"/>
</calcChain>
</file>

<file path=xl/sharedStrings.xml><?xml version="1.0" encoding="utf-8"?>
<sst xmlns="http://schemas.openxmlformats.org/spreadsheetml/2006/main" count="16" uniqueCount="11">
  <si>
    <t>indiv.</t>
  </si>
  <si>
    <t>dealers</t>
  </si>
  <si>
    <t>0-3</t>
  </si>
  <si>
    <t>3-9</t>
  </si>
  <si>
    <t>9-12</t>
  </si>
  <si>
    <t>12+</t>
  </si>
  <si>
    <t>Car age</t>
  </si>
  <si>
    <t>Total</t>
  </si>
  <si>
    <t>age distribution</t>
  </si>
  <si>
    <t>segment distribution</t>
  </si>
  <si>
    <t>…..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</si>
</sst>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161"/>
      <scheme val="minor"/>
    </font>
    <font>
      <sz val="11"/>
      <color theme="1"/>
      <name val="Aptos Narrow"/>
      <family val="2"/>
      <charset val="161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/>
      <top style="double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8">
    <xf numFmtId="0" fontId="0" fillId="0" borderId="0" xfId="0"/>
    <xf numFmtId="49" fontId="0" fillId="2" borderId="0" xfId="0" applyNumberFormat="1" applyFill="1"/>
    <xf numFmtId="0" fontId="0" fillId="2" borderId="0" xfId="0" applyFill="1"/>
    <xf numFmtId="0" fontId="0" fillId="3" borderId="1" xfId="0" applyFill="1" applyBorder="1" applyAlignment="1">
      <alignment horizontal="center"/>
    </xf>
    <xf numFmtId="2" fontId="0" fillId="2" borderId="2" xfId="0" applyNumberFormat="1" applyFill="1" applyBorder="1"/>
    <xf numFmtId="2" fontId="0" fillId="2" borderId="5" xfId="0" applyNumberFormat="1" applyFill="1" applyBorder="1"/>
    <xf numFmtId="2" fontId="2" fillId="4" borderId="5" xfId="0" applyNumberFormat="1" applyFont="1" applyFill="1" applyBorder="1"/>
    <xf numFmtId="3" fontId="0" fillId="2" borderId="3" xfId="0" applyNumberFormat="1" applyFill="1" applyBorder="1"/>
    <xf numFmtId="3" fontId="0" fillId="2" borderId="4" xfId="0" applyNumberFormat="1" applyFill="1" applyBorder="1"/>
    <xf numFmtId="3" fontId="0" fillId="2" borderId="6" xfId="0" applyNumberFormat="1" applyFill="1" applyBorder="1"/>
    <xf numFmtId="3" fontId="0" fillId="2" borderId="7" xfId="0" applyNumberFormat="1" applyFill="1" applyBorder="1"/>
    <xf numFmtId="0" fontId="0" fillId="3" borderId="8" xfId="0" applyFill="1" applyBorder="1"/>
    <xf numFmtId="0" fontId="0" fillId="3" borderId="9" xfId="0" applyFill="1" applyBorder="1"/>
    <xf numFmtId="0" fontId="0" fillId="3" borderId="10" xfId="0" applyFill="1" applyBorder="1"/>
    <xf numFmtId="0" fontId="0" fillId="3" borderId="11" xfId="0" applyFill="1" applyBorder="1"/>
    <xf numFmtId="0" fontId="0" fillId="3" borderId="12" xfId="0" applyFill="1" applyBorder="1"/>
    <xf numFmtId="0" fontId="0" fillId="3" borderId="13" xfId="0" applyFill="1" applyBorder="1"/>
    <xf numFmtId="3" fontId="2" fillId="4" borderId="6" xfId="0" applyNumberFormat="1" applyFont="1" applyFill="1" applyBorder="1"/>
    <xf numFmtId="3" fontId="2" fillId="4" borderId="7" xfId="0" applyNumberFormat="1" applyFont="1" applyFill="1" applyBorder="1"/>
    <xf numFmtId="3" fontId="2" fillId="4" borderId="4" xfId="0" applyNumberFormat="1" applyFont="1" applyFill="1" applyBorder="1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2" fontId="3" fillId="3" borderId="1" xfId="0" applyNumberFormat="1" applyFont="1" applyFill="1" applyBorder="1" applyAlignment="1">
      <alignment horizontal="center"/>
    </xf>
    <xf numFmtId="9" fontId="0" fillId="2" borderId="0" xfId="1" applyFont="1" applyFill="1" applyAlignment="1">
      <alignment horizontal="center"/>
    </xf>
    <xf numFmtId="9" fontId="3" fillId="2" borderId="0" xfId="1" applyFont="1" applyFill="1" applyAlignment="1">
      <alignment horizontal="center"/>
    </xf>
    <xf numFmtId="0" fontId="0" fillId="3" borderId="1" xfId="0" applyFill="1" applyBorder="1" applyAlignment="1">
      <alignment horizontal="right"/>
    </xf>
    <xf numFmtId="2" fontId="2" fillId="3" borderId="1" xfId="0" applyNumberFormat="1" applyFont="1" applyFill="1" applyBorder="1" applyAlignment="1">
      <alignment horizontal="right"/>
    </xf>
    <xf numFmtId="0" fontId="0" fillId="3" borderId="1" xfId="0" applyFill="1" applyBorder="1" applyAlignment="1">
      <alignment horizontal="lef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0C476-4298-48D5-86AE-33ADE216D3B5}">
  <dimension ref="A1:AP26"/>
  <sheetViews>
    <sheetView tabSelected="1" workbookViewId="0">
      <selection activeCell="M13" sqref="M13"/>
    </sheetView>
  </sheetViews>
  <sheetFormatPr defaultRowHeight="14.4" x14ac:dyDescent="0.3"/>
  <cols>
    <col min="1" max="1" width="8.88671875" style="1"/>
    <col min="2" max="16384" width="8.88671875" style="2"/>
  </cols>
  <sheetData>
    <row r="1" spans="1:12" x14ac:dyDescent="0.3">
      <c r="G1" s="20" t="s">
        <v>8</v>
      </c>
      <c r="H1" s="21"/>
      <c r="I1" s="21"/>
      <c r="K1" s="20" t="s">
        <v>9</v>
      </c>
      <c r="L1" s="21"/>
    </row>
    <row r="2" spans="1:12" ht="15" thickBot="1" x14ac:dyDescent="0.35">
      <c r="A2" s="27" t="s">
        <v>6</v>
      </c>
      <c r="B2" s="25" t="s">
        <v>0</v>
      </c>
      <c r="C2" s="25" t="s">
        <v>1</v>
      </c>
      <c r="D2" s="26" t="str">
        <f>+A7</f>
        <v>Total</v>
      </c>
      <c r="G2" s="3" t="s">
        <v>0</v>
      </c>
      <c r="H2" s="3" t="s">
        <v>1</v>
      </c>
      <c r="I2" s="22" t="str">
        <f>+D2</f>
        <v>Total</v>
      </c>
      <c r="K2" s="3" t="s">
        <v>0</v>
      </c>
      <c r="L2" s="3" t="s">
        <v>1</v>
      </c>
    </row>
    <row r="3" spans="1:12" ht="15" thickTop="1" x14ac:dyDescent="0.3">
      <c r="A3" s="4" t="s">
        <v>2</v>
      </c>
      <c r="B3" s="7">
        <v>1154</v>
      </c>
      <c r="C3" s="8">
        <v>3190</v>
      </c>
      <c r="D3" s="19">
        <f>+C3+B3</f>
        <v>4344</v>
      </c>
      <c r="G3" s="23">
        <f>+B3/$B$7</f>
        <v>1.9300886435858838E-2</v>
      </c>
      <c r="H3" s="23">
        <f>+C3/$C$7</f>
        <v>4.5678446646428776E-2</v>
      </c>
      <c r="I3" s="24">
        <f>+D3/$D$7</f>
        <v>3.3511795473130393E-2</v>
      </c>
      <c r="K3" s="23">
        <f>+B3/D3</f>
        <v>0.26565377532228363</v>
      </c>
      <c r="L3" s="23">
        <f>+C3/D3</f>
        <v>0.73434622467771637</v>
      </c>
    </row>
    <row r="4" spans="1:12" x14ac:dyDescent="0.3">
      <c r="A4" s="5" t="s">
        <v>3</v>
      </c>
      <c r="B4" s="9">
        <v>10655</v>
      </c>
      <c r="C4" s="10">
        <v>32748</v>
      </c>
      <c r="D4" s="18">
        <f>+C4+B4</f>
        <v>43403</v>
      </c>
      <c r="G4" s="23">
        <f t="shared" ref="G4:I6" si="0">+B4/$B$7</f>
        <v>0.17820705803646095</v>
      </c>
      <c r="H4" s="23">
        <f t="shared" ref="H4:H6" si="1">+C4/$C$7</f>
        <v>0.46892720087061113</v>
      </c>
      <c r="I4" s="24">
        <f t="shared" ref="I4:I6" si="2">+D4/$D$7</f>
        <v>0.33483251816765153</v>
      </c>
      <c r="K4" s="23">
        <f t="shared" ref="K4:K6" si="3">+B4/D4</f>
        <v>0.24548994309149136</v>
      </c>
      <c r="L4" s="23">
        <f t="shared" ref="L4:L6" si="4">+C4/D4</f>
        <v>0.75451005690850859</v>
      </c>
    </row>
    <row r="5" spans="1:12" x14ac:dyDescent="0.3">
      <c r="A5" s="5" t="s">
        <v>4</v>
      </c>
      <c r="B5" s="9">
        <v>7097</v>
      </c>
      <c r="C5" s="10">
        <v>12831</v>
      </c>
      <c r="D5" s="18">
        <f t="shared" ref="D5:D7" si="5">+C5+B5</f>
        <v>19928</v>
      </c>
      <c r="G5" s="23">
        <f t="shared" si="0"/>
        <v>0.11869877906004349</v>
      </c>
      <c r="H5" s="23">
        <f t="shared" si="1"/>
        <v>0.18373045420699927</v>
      </c>
      <c r="I5" s="24">
        <f t="shared" si="2"/>
        <v>0.15373459028281364</v>
      </c>
      <c r="K5" s="23">
        <f t="shared" si="3"/>
        <v>0.35613207547169812</v>
      </c>
      <c r="L5" s="23">
        <f t="shared" si="4"/>
        <v>0.64386792452830188</v>
      </c>
    </row>
    <row r="6" spans="1:12" x14ac:dyDescent="0.3">
      <c r="A6" s="5" t="s">
        <v>5</v>
      </c>
      <c r="B6" s="9">
        <v>40884</v>
      </c>
      <c r="C6" s="10">
        <v>21067</v>
      </c>
      <c r="D6" s="18">
        <f t="shared" si="5"/>
        <v>61951</v>
      </c>
      <c r="G6" s="23">
        <f t="shared" si="0"/>
        <v>0.68379327646763677</v>
      </c>
      <c r="H6" s="23">
        <f t="shared" si="1"/>
        <v>0.3016638982759608</v>
      </c>
      <c r="I6" s="24">
        <f t="shared" si="2"/>
        <v>0.47792109607640443</v>
      </c>
      <c r="K6" s="23">
        <f t="shared" si="3"/>
        <v>0.65994092105050761</v>
      </c>
      <c r="L6" s="23">
        <f t="shared" si="4"/>
        <v>0.34005907894949233</v>
      </c>
    </row>
    <row r="7" spans="1:12" x14ac:dyDescent="0.3">
      <c r="A7" s="6" t="s">
        <v>7</v>
      </c>
      <c r="B7" s="17">
        <f>SUM(B3:B6)</f>
        <v>59790</v>
      </c>
      <c r="C7" s="17">
        <f>SUM(C3:C6)</f>
        <v>69836</v>
      </c>
      <c r="D7" s="18">
        <f t="shared" si="5"/>
        <v>129626</v>
      </c>
    </row>
    <row r="25" spans="2:42" x14ac:dyDescent="0.3">
      <c r="B25" s="11">
        <v>2025</v>
      </c>
      <c r="C25" s="12">
        <f>+B25-1</f>
        <v>2024</v>
      </c>
      <c r="D25" s="13">
        <f t="shared" ref="D25:W25" si="6">+C25-1</f>
        <v>2023</v>
      </c>
      <c r="E25" s="12">
        <f t="shared" si="6"/>
        <v>2022</v>
      </c>
      <c r="F25" s="12">
        <f t="shared" si="6"/>
        <v>2021</v>
      </c>
      <c r="G25" s="12">
        <f t="shared" si="6"/>
        <v>2020</v>
      </c>
      <c r="H25" s="12">
        <f t="shared" si="6"/>
        <v>2019</v>
      </c>
      <c r="I25" s="12">
        <f t="shared" si="6"/>
        <v>2018</v>
      </c>
      <c r="J25" s="13">
        <f t="shared" si="6"/>
        <v>2017</v>
      </c>
      <c r="K25" s="11">
        <f t="shared" si="6"/>
        <v>2016</v>
      </c>
      <c r="L25" s="12">
        <f t="shared" si="6"/>
        <v>2015</v>
      </c>
      <c r="M25" s="13">
        <f t="shared" si="6"/>
        <v>2014</v>
      </c>
      <c r="N25" s="2">
        <f t="shared" si="6"/>
        <v>2013</v>
      </c>
      <c r="O25" s="2">
        <f t="shared" si="6"/>
        <v>2012</v>
      </c>
      <c r="P25" s="2">
        <f t="shared" si="6"/>
        <v>2011</v>
      </c>
      <c r="Q25" s="2">
        <f t="shared" si="6"/>
        <v>2010</v>
      </c>
      <c r="R25" s="2">
        <f t="shared" si="6"/>
        <v>2009</v>
      </c>
      <c r="S25" s="2">
        <f t="shared" si="6"/>
        <v>2008</v>
      </c>
      <c r="T25" s="2">
        <f t="shared" si="6"/>
        <v>2007</v>
      </c>
      <c r="U25" s="2">
        <f t="shared" si="6"/>
        <v>2006</v>
      </c>
      <c r="V25" s="2">
        <f t="shared" si="6"/>
        <v>2005</v>
      </c>
      <c r="W25" s="2">
        <f t="shared" si="6"/>
        <v>2004</v>
      </c>
      <c r="X25" s="2">
        <f t="shared" ref="X25:AO25" si="7">+W25-1</f>
        <v>2003</v>
      </c>
      <c r="Y25" s="2">
        <f t="shared" si="7"/>
        <v>2002</v>
      </c>
      <c r="Z25" s="2">
        <f t="shared" si="7"/>
        <v>2001</v>
      </c>
      <c r="AA25" s="2">
        <f t="shared" si="7"/>
        <v>2000</v>
      </c>
      <c r="AB25" s="2">
        <f t="shared" si="7"/>
        <v>1999</v>
      </c>
      <c r="AC25" s="2">
        <f t="shared" si="7"/>
        <v>1998</v>
      </c>
      <c r="AD25" s="2">
        <f t="shared" si="7"/>
        <v>1997</v>
      </c>
      <c r="AE25" s="2">
        <f t="shared" si="7"/>
        <v>1996</v>
      </c>
      <c r="AF25" s="2">
        <f t="shared" si="7"/>
        <v>1995</v>
      </c>
      <c r="AG25" s="2">
        <f t="shared" si="7"/>
        <v>1994</v>
      </c>
      <c r="AH25" s="2">
        <f t="shared" si="7"/>
        <v>1993</v>
      </c>
      <c r="AI25" s="2">
        <f t="shared" si="7"/>
        <v>1992</v>
      </c>
      <c r="AJ25" s="2">
        <f t="shared" si="7"/>
        <v>1991</v>
      </c>
      <c r="AK25" s="2">
        <f t="shared" si="7"/>
        <v>1990</v>
      </c>
      <c r="AL25" s="2">
        <f t="shared" si="7"/>
        <v>1989</v>
      </c>
      <c r="AM25" s="2">
        <f t="shared" si="7"/>
        <v>1988</v>
      </c>
      <c r="AN25" s="2">
        <f t="shared" si="7"/>
        <v>1987</v>
      </c>
      <c r="AO25" s="2">
        <f t="shared" si="7"/>
        <v>1986</v>
      </c>
      <c r="AP25" s="2" t="s">
        <v>10</v>
      </c>
    </row>
    <row r="26" spans="2:42" x14ac:dyDescent="0.3">
      <c r="B26" s="14">
        <v>1</v>
      </c>
      <c r="C26" s="15">
        <v>2</v>
      </c>
      <c r="D26" s="16">
        <v>3</v>
      </c>
      <c r="E26" s="15">
        <v>4</v>
      </c>
      <c r="F26" s="15">
        <v>5</v>
      </c>
      <c r="G26" s="15">
        <v>6</v>
      </c>
      <c r="H26" s="15">
        <v>7</v>
      </c>
      <c r="I26" s="15">
        <v>8</v>
      </c>
      <c r="J26" s="16">
        <v>9</v>
      </c>
      <c r="K26" s="14">
        <v>10</v>
      </c>
      <c r="L26" s="15">
        <v>11</v>
      </c>
      <c r="M26" s="16">
        <v>12</v>
      </c>
      <c r="N26" s="2">
        <v>13</v>
      </c>
      <c r="O26" s="2">
        <v>14</v>
      </c>
      <c r="P26" s="2">
        <v>15</v>
      </c>
      <c r="Q26" s="2">
        <v>16</v>
      </c>
      <c r="R26" s="2">
        <v>17</v>
      </c>
      <c r="S26" s="2">
        <v>18</v>
      </c>
      <c r="T26" s="2">
        <v>19</v>
      </c>
      <c r="U26" s="2">
        <v>20</v>
      </c>
      <c r="V26" s="2">
        <v>21</v>
      </c>
      <c r="W26" s="2">
        <v>22</v>
      </c>
      <c r="X26" s="2">
        <v>23</v>
      </c>
      <c r="Y26" s="2">
        <v>24</v>
      </c>
      <c r="Z26" s="2">
        <v>25</v>
      </c>
      <c r="AA26" s="2">
        <v>26</v>
      </c>
      <c r="AB26" s="2">
        <v>27</v>
      </c>
      <c r="AC26" s="2">
        <v>28</v>
      </c>
      <c r="AD26" s="2">
        <v>29</v>
      </c>
      <c r="AE26" s="2">
        <v>30</v>
      </c>
      <c r="AF26" s="2">
        <v>31</v>
      </c>
      <c r="AG26" s="2">
        <v>32</v>
      </c>
      <c r="AH26" s="2">
        <v>33</v>
      </c>
      <c r="AI26" s="2">
        <v>34</v>
      </c>
      <c r="AJ26" s="2">
        <v>35</v>
      </c>
      <c r="AK26" s="2">
        <v>36</v>
      </c>
      <c r="AL26" s="2">
        <v>37</v>
      </c>
      <c r="AM26" s="2">
        <v>38</v>
      </c>
      <c r="AN26" s="2">
        <v>39</v>
      </c>
      <c r="AO26" s="2">
        <v>40</v>
      </c>
      <c r="AP26" s="2" t="s">
        <v>10</v>
      </c>
    </row>
  </sheetData>
  <mergeCells count="2">
    <mergeCell ref="G1:I1"/>
    <mergeCell ref="K1:L1"/>
  </mergeCells>
  <pageMargins left="0.7" right="0.7" top="0.75" bottom="0.75" header="0.3" footer="0.3"/>
  <ignoredErrors>
    <ignoredError sqref="H3 H4:H6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Pouloupatis Vassileios</dc:creator>
  <cp:lastModifiedBy>Pouloupatis Vassileios</cp:lastModifiedBy>
  <dcterms:created xsi:type="dcterms:W3CDTF">2025-10-13T07:36:00Z</dcterms:created>
  <dcterms:modified xsi:type="dcterms:W3CDTF">2025-10-13T07:59:50Z</dcterms:modified>
</cp:coreProperties>
</file>