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kinsey.sharepoint.com/sites/spe-int-g3shlooow/Shared Documents/04. Team Working Folder/02. Alain/"/>
    </mc:Choice>
  </mc:AlternateContent>
  <xr:revisionPtr revIDLastSave="0" documentId="8_{7E4A279C-EB1C-4442-AC33-4D9A6CDFFF43}" xr6:coauthVersionLast="47" xr6:coauthVersionMax="47" xr10:uidLastSave="{00000000-0000-0000-0000-000000000000}"/>
  <bookViews>
    <workbookView xWindow="-110" yWindow="-110" windowWidth="19420" windowHeight="11500" xr2:uid="{97CF77D9-F81E-461D-AA95-95D2C211018C}"/>
  </bookViews>
  <sheets>
    <sheet name="Leasing Busin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E36" i="1"/>
  <c r="D36" i="1"/>
  <c r="C36" i="1"/>
  <c r="B36" i="1"/>
  <c r="F17" i="1"/>
  <c r="E17" i="1"/>
  <c r="D17" i="1"/>
  <c r="C17" i="1"/>
  <c r="B17" i="1"/>
  <c r="F14" i="1"/>
  <c r="F15" i="1" s="1"/>
  <c r="E14" i="1"/>
  <c r="D14" i="1"/>
  <c r="C14" i="1"/>
  <c r="B14" i="1"/>
  <c r="K12" i="1"/>
  <c r="J12" i="1"/>
  <c r="I12" i="1"/>
  <c r="H12" i="1"/>
  <c r="I31" i="1" l="1"/>
  <c r="J31" i="1"/>
  <c r="K31" i="1"/>
  <c r="L31" i="1"/>
  <c r="H31" i="1"/>
  <c r="L12" i="1"/>
  <c r="F33" i="1"/>
  <c r="H11" i="1"/>
  <c r="E15" i="1"/>
  <c r="D15" i="1"/>
  <c r="C15" i="1"/>
  <c r="B15" i="1"/>
  <c r="L30" i="1"/>
  <c r="K30" i="1"/>
  <c r="J30" i="1"/>
  <c r="I30" i="1"/>
  <c r="H30" i="1"/>
  <c r="L11" i="1"/>
  <c r="K11" i="1"/>
  <c r="J11" i="1"/>
  <c r="I11" i="1"/>
  <c r="A28" i="1"/>
  <c r="A24" i="1"/>
  <c r="B33" i="1" l="1"/>
  <c r="C33" i="1"/>
  <c r="D33" i="1"/>
  <c r="E33" i="1"/>
  <c r="D34" i="1"/>
  <c r="C34" i="1" l="1"/>
  <c r="B34" i="1"/>
  <c r="E34" i="1"/>
  <c r="F34" i="1"/>
  <c r="F28" i="1"/>
  <c r="E28" i="1"/>
  <c r="D28" i="1"/>
  <c r="C28" i="1"/>
  <c r="B28" i="1"/>
  <c r="A26" i="1"/>
  <c r="A25" i="1"/>
  <c r="A7" i="1"/>
  <c r="A6" i="1"/>
  <c r="C9" i="1" l="1"/>
  <c r="F9" i="1"/>
  <c r="E9" i="1"/>
  <c r="D9" i="1"/>
  <c r="B9" i="1"/>
</calcChain>
</file>

<file path=xl/sharedStrings.xml><?xml version="1.0" encoding="utf-8"?>
<sst xmlns="http://schemas.openxmlformats.org/spreadsheetml/2006/main" count="37" uniqueCount="23">
  <si>
    <t>Y1</t>
  </si>
  <si>
    <t>Y2</t>
  </si>
  <si>
    <t>Y3</t>
  </si>
  <si>
    <t>Y4</t>
  </si>
  <si>
    <t>Y5</t>
  </si>
  <si>
    <t>Start with financial leasing and progressively build an operating lease offering</t>
  </si>
  <si>
    <t>Financial Lease</t>
  </si>
  <si>
    <t>Oerating Lease</t>
  </si>
  <si>
    <t>Services RAR per car</t>
  </si>
  <si>
    <t>Financing/ leasing RAR per car</t>
  </si>
  <si>
    <t>UCS RAR per car</t>
  </si>
  <si>
    <t>Total RAR per car</t>
  </si>
  <si>
    <t>Assumptions:</t>
  </si>
  <si>
    <t>1. Avg. car value New Car</t>
  </si>
  <si>
    <t>2. Avg. car value Used Car</t>
  </si>
  <si>
    <t>3. Production mix</t>
  </si>
  <si>
    <t>Market Shares (new production)</t>
  </si>
  <si>
    <t>No. of leased cars/fleet</t>
  </si>
  <si>
    <t>82%-12%</t>
  </si>
  <si>
    <t>Kick-start with both financial and operating lease focusing on individuals</t>
  </si>
  <si>
    <t>PBT</t>
  </si>
  <si>
    <t>Capex</t>
  </si>
  <si>
    <t>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</si>
</sst>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#,##0.000\ &quot;€&quot;;[Red]\-#,##0.000\ &quot;€&quot;"/>
  </numFmts>
  <fonts count="15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0"/>
      <color theme="1"/>
      <name val="Aptos Narrow"/>
      <family val="2"/>
      <charset val="161"/>
      <scheme val="minor"/>
    </font>
    <font>
      <sz val="10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4" fillId="0" borderId="0"/>
    <xf numFmtId="0" fontId="1" fillId="0" borderId="0"/>
  </cellStyleXfs>
  <cellXfs count="21">
    <xf numFmtId="0" fontId="0" fillId="0" borderId="0" xfId="0"/>
    <xf numFmtId="3" fontId="4" fillId="2" borderId="1" xfId="0" applyNumberFormat="1" applyFont="1" applyFill="1" applyBorder="1" applyProtection="1">
      <protection hidden="1"/>
    </xf>
    <xf numFmtId="3" fontId="5" fillId="0" borderId="1" xfId="0" applyNumberFormat="1" applyFont="1" applyBorder="1" applyProtection="1">
      <protection hidden="1"/>
    </xf>
    <xf numFmtId="0" fontId="7" fillId="3" borderId="0" xfId="0" applyFont="1" applyFill="1"/>
    <xf numFmtId="0" fontId="0" fillId="3" borderId="0" xfId="0" applyFill="1"/>
    <xf numFmtId="0" fontId="8" fillId="3" borderId="0" xfId="0" applyFont="1" applyFill="1"/>
    <xf numFmtId="3" fontId="9" fillId="0" borderId="1" xfId="0" applyNumberFormat="1" applyFont="1" applyBorder="1" applyProtection="1">
      <protection hidden="1"/>
    </xf>
    <xf numFmtId="9" fontId="5" fillId="0" borderId="1" xfId="1" applyFont="1" applyBorder="1" applyProtection="1">
      <protection hidden="1"/>
    </xf>
    <xf numFmtId="0" fontId="3" fillId="2" borderId="2" xfId="0" applyFont="1" applyFill="1" applyBorder="1" applyAlignment="1" applyProtection="1">
      <alignment horizontal="center"/>
      <protection hidden="1"/>
    </xf>
    <xf numFmtId="0" fontId="10" fillId="4" borderId="3" xfId="0" applyFont="1" applyFill="1" applyBorder="1"/>
    <xf numFmtId="0" fontId="11" fillId="4" borderId="4" xfId="0" applyFont="1" applyFill="1" applyBorder="1"/>
    <xf numFmtId="0" fontId="11" fillId="4" borderId="5" xfId="0" applyFont="1" applyFill="1" applyBorder="1"/>
    <xf numFmtId="0" fontId="12" fillId="3" borderId="0" xfId="0" applyFont="1" applyFill="1"/>
    <xf numFmtId="3" fontId="5" fillId="0" borderId="1" xfId="1" applyNumberFormat="1" applyFont="1" applyBorder="1" applyAlignment="1" applyProtection="1">
      <alignment horizontal="center"/>
      <protection hidden="1"/>
    </xf>
    <xf numFmtId="9" fontId="5" fillId="0" borderId="1" xfId="1" applyFont="1" applyBorder="1" applyAlignment="1" applyProtection="1">
      <alignment horizontal="center"/>
      <protection hidden="1"/>
    </xf>
    <xf numFmtId="0" fontId="11" fillId="4" borderId="0" xfId="0" applyFont="1" applyFill="1"/>
    <xf numFmtId="164" fontId="4" fillId="2" borderId="1" xfId="0" applyNumberFormat="1" applyFont="1" applyFill="1" applyBorder="1" applyProtection="1">
      <protection hidden="1"/>
    </xf>
    <xf numFmtId="1" fontId="4" fillId="5" borderId="1" xfId="0" applyNumberFormat="1" applyFont="1" applyFill="1" applyBorder="1" applyAlignment="1" applyProtection="1">
      <alignment horizontal="center"/>
      <protection hidden="1"/>
    </xf>
    <xf numFmtId="3" fontId="4" fillId="5" borderId="1" xfId="0" applyNumberFormat="1" applyFont="1" applyFill="1" applyBorder="1" applyAlignment="1" applyProtection="1">
      <alignment horizontal="center"/>
      <protection hidden="1"/>
    </xf>
    <xf numFmtId="165" fontId="13" fillId="5" borderId="0" xfId="0" applyNumberFormat="1" applyFont="1" applyFill="1"/>
    <xf numFmtId="0" fontId="0" fillId="5" borderId="0" xfId="0" applyFill="1"/>
  </cellXfs>
  <cellStyles count="4">
    <cellStyle name="Normal" xfId="0" builtinId="0"/>
    <cellStyle name="Normal 2" xfId="2" xr:uid="{59257563-7814-47F6-82FC-AC553C8CE9E2}"/>
    <cellStyle name="Normal 5" xfId="3" xr:uid="{DF814BAD-9E29-4CA1-AA02-2885F24A4596}"/>
    <cellStyle name="Percent" xfId="1" builtinId="5"/>
  </cellStyles>
  <dxfs count="18">
    <dxf>
      <fill>
        <patternFill>
          <bgColor rgb="FFE6E6E6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 style="thick">
          <color auto="1"/>
        </bottom>
        <vertical/>
        <horizontal/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</dxfs>
  <tableStyles count="7" defaultTableStyle="TableStyleMedium2" defaultPivotStyle="PivotStyleLight16">
    <tableStyle name="Firm Table 1" pivot="0" count="3" xr9:uid="{5EAF999D-AC14-433C-BDDE-0A1579E2383D}">
      <tableStyleElement type="wholeTable" dxfId="17"/>
      <tableStyleElement type="headerRow" dxfId="16"/>
      <tableStyleElement type="firstColumn" dxfId="15"/>
    </tableStyle>
    <tableStyle name="Firm Table 2" pivot="0" count="2" xr9:uid="{7FE25AC0-10A9-4064-9FD3-80585022FC48}">
      <tableStyleElement type="headerRow" dxfId="14"/>
      <tableStyleElement type="firstColumn" dxfId="13"/>
    </tableStyle>
    <tableStyle name="Firm Table 3" pivot="0" count="2" xr9:uid="{38F7213F-D1F3-4788-A09A-7AA06600EA7F}">
      <tableStyleElement type="headerRow" dxfId="12"/>
      <tableStyleElement type="firstColumn" dxfId="11"/>
    </tableStyle>
    <tableStyle name="Firm Table 4" pivot="0" count="3" xr9:uid="{E901BFC4-D261-4385-BD42-2B30F152CD38}">
      <tableStyleElement type="wholeTable" dxfId="10"/>
      <tableStyleElement type="headerRow" dxfId="9"/>
      <tableStyleElement type="firstColumn" dxfId="8"/>
    </tableStyle>
    <tableStyle name="Firm Table 5" pivot="0" count="2" xr9:uid="{953E5FB3-BD23-4079-AFFD-9A1C6FC7E5A8}">
      <tableStyleElement type="headerRow" dxfId="7"/>
      <tableStyleElement type="firstColumn" dxfId="6"/>
    </tableStyle>
    <tableStyle name="Firm Table 6" pivot="0" count="3" xr9:uid="{00DF9129-9EBB-45D3-AB0A-AB43501EAAAF}">
      <tableStyleElement type="wholeTable" dxfId="5"/>
      <tableStyleElement type="headerRow" dxfId="4"/>
      <tableStyleElement type="firstColumn" dxfId="3"/>
    </tableStyle>
    <tableStyle name="Firm Table 7" pivot="0" count="3" xr9:uid="{AAC56B80-CAD8-4780-95EB-40769D3337FB}">
      <tableStyleElement type="headerRow" dxfId="2"/>
      <tableStyleElement type="firstColumn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1356360</xdr:colOff>
      <xdr:row>19</xdr:row>
      <xdr:rowOff>68580</xdr:rowOff>
    </xdr:from>
    <xdr:to>
      <xdr:col>0</xdr:col>
      <xdr:colOff>1792514</xdr:colOff>
      <xdr:row>21</xdr:row>
      <xdr:rowOff>137160</xdr:rowOff>
    </xdr:to>
    <xdr:pic>
      <xdr:nvPicPr>
        <xdr:cNvPr id="3" name="Graphic 2" descr="Badge outline">
          <a:extLst>
            <a:ext uri="{FF2B5EF4-FFF2-40B4-BE49-F238E27FC236}">
              <a16:creationId xmlns:a16="http://schemas.microsoft.com/office/drawing/2014/main" id="{D9C4716F-FC3E-AA1C-9EBD-D1EFB155A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56360" y="2514600"/>
          <a:ext cx="434340" cy="434340"/>
        </a:xfrm>
        <a:prstGeom prst="rect">
          <a:avLst/>
        </a:prstGeom>
      </xdr:spPr>
    </xdr:pic>
    <xdr:clientData/>
  </xdr:twoCellAnchor>
  <xdr:twoCellAnchor editAs="oneCell">
    <xdr:from>
      <xdr:col>0</xdr:col>
      <xdr:colOff>1384440</xdr:colOff>
      <xdr:row>0</xdr:row>
      <xdr:rowOff>0</xdr:rowOff>
    </xdr:from>
    <xdr:to>
      <xdr:col>0</xdr:col>
      <xdr:colOff>1807754</xdr:colOff>
      <xdr:row>2</xdr:row>
      <xdr:rowOff>124320</xdr:rowOff>
    </xdr:to>
    <xdr:pic>
      <xdr:nvPicPr>
        <xdr:cNvPr id="5" name="Graphic 4" descr="Badge 1 with solid fill">
          <a:extLst>
            <a:ext uri="{FF2B5EF4-FFF2-40B4-BE49-F238E27FC236}">
              <a16:creationId xmlns:a16="http://schemas.microsoft.com/office/drawing/2014/main" id="{D425C419-0C8C-3AC6-9601-545A76D1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84440" y="0"/>
          <a:ext cx="421500" cy="42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F130-F2CE-4B6C-B944-C6DC570BA127}">
  <dimension ref="A1:P37"/>
  <sheetViews>
    <sheetView tabSelected="1" zoomScale="81" workbookViewId="0">
      <selection activeCell="N19" sqref="N19"/>
    </sheetView>
  </sheetViews>
  <sheetFormatPr defaultRowHeight="14.5" x14ac:dyDescent="0.35"/>
  <cols>
    <col min="1" max="1" width="27.08984375" customWidth="1"/>
    <col min="2" max="2" width="8.90625" customWidth="1"/>
    <col min="8" max="12" width="7.6328125" customWidth="1"/>
    <col min="13" max="13" width="4.54296875" style="20" customWidth="1"/>
    <col min="14" max="14" width="22.08984375" bestFit="1" customWidth="1"/>
  </cols>
  <sheetData>
    <row r="1" spans="1:16" ht="9" customHeigh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6" x14ac:dyDescent="0.35">
      <c r="A2" s="3"/>
      <c r="B2" s="9" t="s">
        <v>5</v>
      </c>
      <c r="C2" s="10"/>
      <c r="D2" s="10"/>
      <c r="E2" s="10"/>
      <c r="F2" s="10"/>
      <c r="G2" s="10"/>
      <c r="H2" s="11"/>
      <c r="I2" s="11"/>
      <c r="J2" s="11"/>
      <c r="K2" s="15"/>
      <c r="L2" s="15"/>
      <c r="M2" s="15"/>
    </row>
    <row r="3" spans="1:16" x14ac:dyDescent="0.35">
      <c r="A3" s="3"/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3"/>
      <c r="H3" s="4"/>
      <c r="I3" s="4"/>
      <c r="J3" s="4"/>
      <c r="K3" s="4"/>
      <c r="L3" s="4"/>
      <c r="M3" s="4"/>
    </row>
    <row r="4" spans="1:16" ht="5.4" customHeight="1" x14ac:dyDescent="0.35">
      <c r="A4" s="3"/>
      <c r="B4" s="3"/>
      <c r="C4" s="3"/>
      <c r="D4" s="3"/>
      <c r="E4" s="3"/>
      <c r="F4" s="3"/>
      <c r="G4" s="3"/>
      <c r="H4" s="4"/>
      <c r="I4" s="4"/>
      <c r="J4" s="4"/>
      <c r="K4" s="4"/>
      <c r="L4" s="4"/>
      <c r="M4" s="4"/>
    </row>
    <row r="5" spans="1:16" x14ac:dyDescent="0.35">
      <c r="A5" s="3" t="s">
        <v>16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</row>
    <row r="6" spans="1:16" x14ac:dyDescent="0.35">
      <c r="A6" s="5" t="str">
        <f>+A10</f>
        <v>Financial Lease</v>
      </c>
      <c r="B6" s="7">
        <v>0.1</v>
      </c>
      <c r="C6" s="7">
        <v>0.15</v>
      </c>
      <c r="D6" s="7">
        <v>0.18</v>
      </c>
      <c r="E6" s="7">
        <v>0.18</v>
      </c>
      <c r="F6" s="7">
        <v>0.2</v>
      </c>
      <c r="G6" s="3"/>
      <c r="H6" s="4"/>
      <c r="I6" s="4"/>
      <c r="J6" s="4"/>
      <c r="K6" s="4"/>
      <c r="L6" s="4"/>
      <c r="M6" s="4"/>
    </row>
    <row r="7" spans="1:16" x14ac:dyDescent="0.35">
      <c r="A7" s="5" t="str">
        <f>+A11</f>
        <v>Oerating Lease</v>
      </c>
      <c r="B7" s="7">
        <v>0</v>
      </c>
      <c r="C7" s="7">
        <v>0</v>
      </c>
      <c r="D7" s="7">
        <v>0.1</v>
      </c>
      <c r="E7" s="7">
        <v>0.13</v>
      </c>
      <c r="F7" s="7">
        <v>0.15</v>
      </c>
      <c r="G7" s="3"/>
      <c r="H7" s="4"/>
      <c r="I7" s="4"/>
      <c r="J7" s="4"/>
      <c r="K7" s="4"/>
      <c r="L7" s="4"/>
      <c r="M7" s="4"/>
    </row>
    <row r="8" spans="1:16" ht="5.4" customHeight="1" x14ac:dyDescent="0.35">
      <c r="A8" s="3"/>
      <c r="B8" s="3"/>
      <c r="C8" s="3"/>
      <c r="D8" s="3"/>
      <c r="E8" s="3"/>
      <c r="F8" s="3"/>
      <c r="G8" s="3"/>
      <c r="H8" s="4"/>
      <c r="I8" s="4"/>
      <c r="J8" s="4"/>
      <c r="K8" s="4"/>
      <c r="L8" s="4"/>
      <c r="M8" s="4"/>
    </row>
    <row r="9" spans="1:16" x14ac:dyDescent="0.35">
      <c r="A9" s="3" t="s">
        <v>17</v>
      </c>
      <c r="B9" s="16">
        <f>+B10+B11</f>
        <v>0.49360622046905611</v>
      </c>
      <c r="C9" s="1">
        <f t="shared" ref="C9:F9" si="0">+C10+C11</f>
        <v>1.2881571567551102</v>
      </c>
      <c r="D9" s="1">
        <f t="shared" si="0"/>
        <v>4.5697683186467373</v>
      </c>
      <c r="E9" s="1">
        <f t="shared" si="0"/>
        <v>8.5361912298501821</v>
      </c>
      <c r="F9" s="1">
        <f t="shared" si="0"/>
        <v>11.985340030111663</v>
      </c>
      <c r="G9" s="3"/>
      <c r="H9" s="4"/>
      <c r="I9" s="4"/>
      <c r="J9" s="4"/>
      <c r="K9" s="4"/>
      <c r="L9" s="4"/>
      <c r="M9" s="4"/>
      <c r="N9" s="4"/>
      <c r="O9" s="4"/>
      <c r="P9" s="4"/>
    </row>
    <row r="10" spans="1:16" x14ac:dyDescent="0.35">
      <c r="A10" s="5" t="s">
        <v>6</v>
      </c>
      <c r="B10" s="2">
        <v>0.49360622046905611</v>
      </c>
      <c r="C10" s="2">
        <v>1.2881571567551102</v>
      </c>
      <c r="D10" s="2">
        <v>2.3065882069973394</v>
      </c>
      <c r="E10" s="2">
        <v>3.1431860737040038</v>
      </c>
      <c r="F10" s="2">
        <v>3.5224143399862076</v>
      </c>
      <c r="G10" s="3"/>
      <c r="H10" s="19">
        <v>0</v>
      </c>
      <c r="I10" s="20"/>
      <c r="J10" s="20"/>
      <c r="K10" s="20"/>
      <c r="L10" s="20"/>
      <c r="M10" s="4"/>
      <c r="N10" s="12" t="s">
        <v>12</v>
      </c>
      <c r="O10" s="8">
        <v>2024</v>
      </c>
      <c r="P10" s="4"/>
    </row>
    <row r="11" spans="1:16" x14ac:dyDescent="0.35">
      <c r="A11" s="5" t="s">
        <v>7</v>
      </c>
      <c r="B11" s="2">
        <v>0</v>
      </c>
      <c r="C11" s="2">
        <v>0</v>
      </c>
      <c r="D11" s="2">
        <v>2.2631801116493984</v>
      </c>
      <c r="E11" s="2">
        <v>5.3930051561461774</v>
      </c>
      <c r="F11" s="2">
        <v>8.4629256901254557</v>
      </c>
      <c r="G11" s="3"/>
      <c r="H11" s="17" t="str">
        <f>+B3</f>
        <v>Y1</v>
      </c>
      <c r="I11" s="17" t="str">
        <f>+C3</f>
        <v>Y2</v>
      </c>
      <c r="J11" s="17" t="str">
        <f>+D3</f>
        <v>Y3</v>
      </c>
      <c r="K11" s="17" t="str">
        <f>+E3</f>
        <v>Y4</v>
      </c>
      <c r="L11" s="17" t="str">
        <f>+F3</f>
        <v>Y5</v>
      </c>
      <c r="M11" s="4"/>
      <c r="N11" s="4" t="s">
        <v>13</v>
      </c>
      <c r="O11" s="13">
        <v>25000</v>
      </c>
      <c r="P11" s="4"/>
    </row>
    <row r="12" spans="1:16" x14ac:dyDescent="0.35">
      <c r="A12" s="3" t="s">
        <v>11</v>
      </c>
      <c r="B12" s="1">
        <v>964.09917382218498</v>
      </c>
      <c r="C12" s="1">
        <v>988.81966545865123</v>
      </c>
      <c r="D12" s="1">
        <v>1014.1740158550269</v>
      </c>
      <c r="E12" s="1">
        <v>1040.1784778000276</v>
      </c>
      <c r="F12" s="1">
        <v>1066.8497208205413</v>
      </c>
      <c r="G12" s="3"/>
      <c r="H12" s="18">
        <f>B13*B10+B12*B11</f>
        <v>217.68034322685375</v>
      </c>
      <c r="I12" s="18">
        <f>C13*C10+C12*C11</f>
        <v>582.24703485330986</v>
      </c>
      <c r="J12" s="18">
        <f>D13*D10+D12*D11</f>
        <v>3365.5153904814642</v>
      </c>
      <c r="K12" s="18">
        <f>E13*E10+E12*E11</f>
        <v>7105.8444651709369</v>
      </c>
      <c r="L12" s="18">
        <f t="shared" ref="L12" si="1">F13*F10+F12*F11</f>
        <v>10747.608107748598</v>
      </c>
      <c r="M12" s="4"/>
      <c r="N12" s="4" t="s">
        <v>14</v>
      </c>
      <c r="O12" s="13">
        <v>13000</v>
      </c>
      <c r="P12" s="4"/>
    </row>
    <row r="13" spans="1:16" x14ac:dyDescent="0.35">
      <c r="A13" s="5" t="s">
        <v>9</v>
      </c>
      <c r="B13" s="6">
        <v>441</v>
      </c>
      <c r="C13" s="6">
        <v>452</v>
      </c>
      <c r="D13" s="6">
        <v>464</v>
      </c>
      <c r="E13" s="6">
        <v>476</v>
      </c>
      <c r="F13" s="6">
        <v>488</v>
      </c>
      <c r="G13" s="3"/>
      <c r="H13" s="4"/>
      <c r="I13" s="4"/>
      <c r="J13" s="4"/>
      <c r="K13" s="4"/>
      <c r="L13" s="4"/>
      <c r="M13" s="4"/>
      <c r="N13" s="4" t="s">
        <v>15</v>
      </c>
      <c r="O13" s="14" t="s">
        <v>18</v>
      </c>
      <c r="P13" s="4"/>
    </row>
    <row r="14" spans="1:16" x14ac:dyDescent="0.35">
      <c r="A14" s="5" t="s">
        <v>8</v>
      </c>
      <c r="B14" s="6">
        <f>37.5%*B$12</f>
        <v>361.53719018331935</v>
      </c>
      <c r="C14" s="6">
        <f>37.5%*C$12</f>
        <v>370.8073745469942</v>
      </c>
      <c r="D14" s="6">
        <f>37.5%*D$12</f>
        <v>380.3152559456351</v>
      </c>
      <c r="E14" s="6">
        <f>37.5%*E$12</f>
        <v>390.06692917501039</v>
      </c>
      <c r="F14" s="6">
        <f>37.5%*F$12</f>
        <v>400.06864530770298</v>
      </c>
      <c r="G14" s="3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35">
      <c r="A15" s="5" t="s">
        <v>10</v>
      </c>
      <c r="B15" s="6">
        <f>B12-SUM(B13:B14)</f>
        <v>161.56198363886563</v>
      </c>
      <c r="C15" s="6">
        <f>C12-SUM(C13:C14)</f>
        <v>166.01229091165703</v>
      </c>
      <c r="D15" s="6">
        <f>D12-SUM(D13:D14)</f>
        <v>169.85875990939189</v>
      </c>
      <c r="E15" s="6">
        <f>E12-SUM(E13:E14)</f>
        <v>174.11154862501724</v>
      </c>
      <c r="F15" s="6">
        <f>F12-SUM(F13:F14)</f>
        <v>178.78107551283824</v>
      </c>
      <c r="G15" s="3"/>
      <c r="H15" s="4"/>
      <c r="I15" s="4"/>
      <c r="J15" s="4"/>
      <c r="K15" s="4"/>
      <c r="L15" s="4"/>
      <c r="M15" s="4"/>
    </row>
    <row r="16" spans="1:16" x14ac:dyDescent="0.35">
      <c r="A16" s="5" t="s">
        <v>22</v>
      </c>
      <c r="B16" s="6">
        <v>500</v>
      </c>
      <c r="C16" s="6">
        <v>1500</v>
      </c>
      <c r="D16" s="6">
        <v>2000</v>
      </c>
      <c r="E16" s="6">
        <v>2500</v>
      </c>
      <c r="F16" s="6">
        <v>3000</v>
      </c>
      <c r="G16" s="3"/>
      <c r="H16" s="4"/>
      <c r="I16" s="4"/>
      <c r="J16" s="4"/>
      <c r="K16" s="4"/>
      <c r="L16" s="4"/>
      <c r="M16" s="4"/>
    </row>
    <row r="17" spans="1:13" x14ac:dyDescent="0.35">
      <c r="A17" s="5" t="s">
        <v>20</v>
      </c>
      <c r="B17" s="6">
        <f>H12-B16</f>
        <v>-282.31965677314622</v>
      </c>
      <c r="C17" s="6">
        <f>I12-C16</f>
        <v>-917.75296514669014</v>
      </c>
      <c r="D17" s="6">
        <f>J12-D16</f>
        <v>1365.5153904814642</v>
      </c>
      <c r="E17" s="6">
        <f>K12-E16</f>
        <v>4605.8444651709369</v>
      </c>
      <c r="F17" s="6">
        <f>L12-F16</f>
        <v>7747.6081077485978</v>
      </c>
      <c r="G17" s="3"/>
      <c r="H17" s="4"/>
      <c r="I17" s="4"/>
      <c r="J17" s="4"/>
      <c r="K17" s="4"/>
      <c r="L17" s="4"/>
      <c r="M17" s="4"/>
    </row>
    <row r="18" spans="1:13" x14ac:dyDescent="0.35">
      <c r="A18" s="5" t="s">
        <v>21</v>
      </c>
      <c r="B18" s="6">
        <v>500</v>
      </c>
      <c r="C18" s="6">
        <v>1000</v>
      </c>
      <c r="D18" s="6"/>
      <c r="E18" s="6"/>
      <c r="F18" s="6"/>
      <c r="G18" s="3"/>
      <c r="H18" s="4"/>
      <c r="I18" s="4"/>
      <c r="J18" s="4"/>
      <c r="K18" s="4"/>
      <c r="L18" s="4"/>
      <c r="M18" s="4"/>
    </row>
    <row r="19" spans="1:13" x14ac:dyDescent="0.35">
      <c r="A19" s="3"/>
      <c r="B19" s="3"/>
      <c r="C19" s="3"/>
      <c r="D19" s="3"/>
      <c r="E19" s="3"/>
      <c r="F19" s="3"/>
      <c r="G19" s="3"/>
      <c r="H19" s="4"/>
      <c r="I19" s="4"/>
      <c r="J19" s="4"/>
      <c r="K19" s="4"/>
      <c r="L19" s="4"/>
      <c r="M19" s="4"/>
    </row>
    <row r="20" spans="1:13" x14ac:dyDescent="0.35">
      <c r="A20" s="3"/>
      <c r="B20" s="3"/>
      <c r="C20" s="3"/>
      <c r="D20" s="3"/>
      <c r="E20" s="3"/>
      <c r="F20" s="3"/>
      <c r="G20" s="3"/>
      <c r="H20" s="4"/>
      <c r="I20" s="4"/>
      <c r="J20" s="4"/>
      <c r="K20" s="4"/>
      <c r="L20" s="4"/>
      <c r="M20" s="4"/>
    </row>
    <row r="21" spans="1:13" x14ac:dyDescent="0.35">
      <c r="A21" s="3"/>
      <c r="B21" s="9" t="s">
        <v>19</v>
      </c>
      <c r="C21" s="10"/>
      <c r="D21" s="10"/>
      <c r="E21" s="10"/>
      <c r="F21" s="10"/>
      <c r="G21" s="10"/>
      <c r="H21" s="11"/>
      <c r="I21" s="11"/>
      <c r="J21" s="11"/>
      <c r="K21" s="15"/>
      <c r="L21" s="15"/>
      <c r="M21" s="4"/>
    </row>
    <row r="22" spans="1:13" x14ac:dyDescent="0.35">
      <c r="A22" s="3"/>
      <c r="B22" s="8" t="s">
        <v>0</v>
      </c>
      <c r="C22" s="8" t="s">
        <v>1</v>
      </c>
      <c r="D22" s="8" t="s">
        <v>2</v>
      </c>
      <c r="E22" s="8" t="s">
        <v>3</v>
      </c>
      <c r="F22" s="8" t="s">
        <v>4</v>
      </c>
      <c r="G22" s="3"/>
      <c r="H22" s="4"/>
      <c r="I22" s="4"/>
      <c r="J22" s="4"/>
      <c r="K22" s="4"/>
      <c r="L22" s="4"/>
      <c r="M22" s="4"/>
    </row>
    <row r="23" spans="1:13" ht="5.4" customHeight="1" x14ac:dyDescent="0.35">
      <c r="A23" s="3"/>
      <c r="B23" s="3"/>
      <c r="C23" s="3"/>
      <c r="D23" s="3"/>
      <c r="E23" s="3"/>
      <c r="F23" s="3"/>
      <c r="G23" s="3"/>
      <c r="H23" s="4"/>
      <c r="I23" s="4"/>
      <c r="J23" s="4"/>
      <c r="K23" s="4"/>
      <c r="L23" s="4"/>
      <c r="M23" s="4"/>
    </row>
    <row r="24" spans="1:13" x14ac:dyDescent="0.35">
      <c r="A24" s="3" t="str">
        <f>+A5</f>
        <v>Market Shares (new production)</v>
      </c>
      <c r="B24" s="4"/>
      <c r="C24" s="4"/>
      <c r="D24" s="4"/>
      <c r="E24" s="4"/>
      <c r="F24" s="4"/>
      <c r="G24" s="3"/>
      <c r="H24" s="4"/>
      <c r="I24" s="4"/>
      <c r="J24" s="4"/>
      <c r="K24" s="4"/>
      <c r="L24" s="4"/>
      <c r="M24" s="4"/>
    </row>
    <row r="25" spans="1:13" x14ac:dyDescent="0.35">
      <c r="A25" s="5" t="str">
        <f>+A29</f>
        <v>Financial Lease</v>
      </c>
      <c r="B25" s="7">
        <v>0.1</v>
      </c>
      <c r="C25" s="7">
        <v>0.15</v>
      </c>
      <c r="D25" s="7">
        <v>0.18</v>
      </c>
      <c r="E25" s="7">
        <v>0.18</v>
      </c>
      <c r="F25" s="7">
        <v>0.2</v>
      </c>
      <c r="G25" s="3"/>
      <c r="H25" s="4"/>
      <c r="I25" s="4"/>
      <c r="J25" s="4"/>
      <c r="K25" s="4"/>
      <c r="L25" s="4"/>
      <c r="M25" s="4"/>
    </row>
    <row r="26" spans="1:13" x14ac:dyDescent="0.35">
      <c r="A26" s="5" t="str">
        <f>+A30</f>
        <v>Oerating Lease</v>
      </c>
      <c r="B26" s="7">
        <v>0.05</v>
      </c>
      <c r="C26" s="7">
        <v>0.1</v>
      </c>
      <c r="D26" s="7">
        <v>0.15</v>
      </c>
      <c r="E26" s="7">
        <v>0.18</v>
      </c>
      <c r="F26" s="7">
        <v>0.2</v>
      </c>
      <c r="G26" s="3"/>
      <c r="H26" s="4"/>
      <c r="I26" s="4"/>
      <c r="J26" s="4"/>
      <c r="K26" s="4"/>
      <c r="L26" s="4"/>
      <c r="M26" s="4"/>
    </row>
    <row r="27" spans="1:13" ht="5.4" customHeight="1" x14ac:dyDescent="0.35">
      <c r="A27" s="3"/>
      <c r="B27" s="3"/>
      <c r="C27" s="3"/>
      <c r="D27" s="3"/>
      <c r="E27" s="3"/>
      <c r="F27" s="3"/>
      <c r="G27" s="3"/>
      <c r="H27" s="4"/>
      <c r="I27" s="4"/>
      <c r="J27" s="4"/>
      <c r="K27" s="4"/>
      <c r="L27" s="4"/>
      <c r="M27" s="4"/>
    </row>
    <row r="28" spans="1:13" x14ac:dyDescent="0.35">
      <c r="A28" s="3" t="str">
        <f>+A9</f>
        <v>No. of leased cars/fleet</v>
      </c>
      <c r="B28" s="1">
        <f>+B29+B30</f>
        <v>1.0498389713365017</v>
      </c>
      <c r="C28" s="1">
        <f t="shared" ref="C28" si="2">+C29+C30</f>
        <v>3.0775655005819726</v>
      </c>
      <c r="D28" s="1">
        <f t="shared" ref="D28" si="3">+D29+D30</f>
        <v>7.4907667182982998</v>
      </c>
      <c r="E28" s="1">
        <f t="shared" ref="E28" si="4">+E29+E30</f>
        <v>12.382852117336011</v>
      </c>
      <c r="F28" s="1">
        <f t="shared" ref="F28" si="5">+F29+F30</f>
        <v>15.960603590343821</v>
      </c>
      <c r="G28" s="3"/>
      <c r="H28" s="4"/>
      <c r="I28" s="4"/>
      <c r="J28" s="4"/>
      <c r="K28" s="4"/>
      <c r="L28" s="4"/>
      <c r="M28" s="4"/>
    </row>
    <row r="29" spans="1:13" x14ac:dyDescent="0.35">
      <c r="A29" s="5" t="s">
        <v>6</v>
      </c>
      <c r="B29" s="2">
        <v>0.49360622046905611</v>
      </c>
      <c r="C29" s="2">
        <v>1.2881571567551102</v>
      </c>
      <c r="D29" s="2">
        <v>2.3065882069973394</v>
      </c>
      <c r="E29" s="2">
        <v>3.1431860737040038</v>
      </c>
      <c r="F29" s="2">
        <v>3.5224143399862076</v>
      </c>
      <c r="G29" s="3"/>
      <c r="H29" s="19">
        <v>0</v>
      </c>
      <c r="I29" s="20"/>
      <c r="J29" s="20"/>
      <c r="K29" s="20"/>
      <c r="L29" s="20"/>
      <c r="M29" s="4"/>
    </row>
    <row r="30" spans="1:13" x14ac:dyDescent="0.35">
      <c r="A30" s="5" t="s">
        <v>7</v>
      </c>
      <c r="B30" s="2">
        <v>0.5562327508674455</v>
      </c>
      <c r="C30" s="2">
        <v>1.7894083438268624</v>
      </c>
      <c r="D30" s="2">
        <v>5.18417851130096</v>
      </c>
      <c r="E30" s="2">
        <v>9.2396660436320079</v>
      </c>
      <c r="F30" s="2">
        <v>12.438189250357613</v>
      </c>
      <c r="G30" s="3"/>
      <c r="H30" s="17" t="str">
        <f>+B22</f>
        <v>Y1</v>
      </c>
      <c r="I30" s="17" t="str">
        <f>+C22</f>
        <v>Y2</v>
      </c>
      <c r="J30" s="17" t="str">
        <f>+D22</f>
        <v>Y3</v>
      </c>
      <c r="K30" s="17" t="str">
        <f>+E22</f>
        <v>Y4</v>
      </c>
      <c r="L30" s="17" t="str">
        <f>+F22</f>
        <v>Y5</v>
      </c>
      <c r="M30" s="4"/>
    </row>
    <row r="31" spans="1:13" x14ac:dyDescent="0.35">
      <c r="A31" s="3" t="s">
        <v>11</v>
      </c>
      <c r="B31" s="1">
        <v>964.09917382218498</v>
      </c>
      <c r="C31" s="1">
        <v>988.81966545865123</v>
      </c>
      <c r="D31" s="1">
        <v>1014.1740158550269</v>
      </c>
      <c r="E31" s="1">
        <v>1040.1784778000276</v>
      </c>
      <c r="F31" s="1">
        <v>1066.8497208205413</v>
      </c>
      <c r="G31" s="3"/>
      <c r="H31" s="18">
        <f>+B32*B29+B31*B30</f>
        <v>753.94387879099918</v>
      </c>
      <c r="I31" s="18">
        <f t="shared" ref="I31:L31" si="6">+C32*C29+C31*C30</f>
        <v>2351.649194765107</v>
      </c>
      <c r="J31" s="18">
        <f t="shared" si="6"/>
        <v>6327.9160677621949</v>
      </c>
      <c r="K31" s="18">
        <f t="shared" si="6"/>
        <v>11107.058331728851</v>
      </c>
      <c r="L31" s="18">
        <f t="shared" si="6"/>
        <v>14988.616927170346</v>
      </c>
      <c r="M31" s="4"/>
    </row>
    <row r="32" spans="1:13" x14ac:dyDescent="0.35">
      <c r="A32" s="5" t="s">
        <v>9</v>
      </c>
      <c r="B32" s="6">
        <v>441</v>
      </c>
      <c r="C32" s="6">
        <v>452</v>
      </c>
      <c r="D32" s="6">
        <v>464</v>
      </c>
      <c r="E32" s="6">
        <v>476</v>
      </c>
      <c r="F32" s="6">
        <v>488</v>
      </c>
      <c r="G32" s="3"/>
      <c r="H32" s="4"/>
      <c r="I32" s="4"/>
      <c r="J32" s="4"/>
      <c r="K32" s="4"/>
      <c r="L32" s="4"/>
      <c r="M32" s="4"/>
    </row>
    <row r="33" spans="1:13" x14ac:dyDescent="0.35">
      <c r="A33" s="5" t="s">
        <v>8</v>
      </c>
      <c r="B33" s="6">
        <f t="shared" ref="B33" si="7">37.5%*B$31</f>
        <v>361.53719018331935</v>
      </c>
      <c r="C33" s="6">
        <f>37.5%*C$31</f>
        <v>370.8073745469942</v>
      </c>
      <c r="D33" s="6">
        <f>37.5%*D$31</f>
        <v>380.3152559456351</v>
      </c>
      <c r="E33" s="6">
        <f>37.5%*E$31</f>
        <v>390.06692917501039</v>
      </c>
      <c r="F33" s="6">
        <f>37.5%*F$31</f>
        <v>400.06864530770298</v>
      </c>
      <c r="G33" s="3"/>
      <c r="H33" s="4"/>
      <c r="I33" s="4"/>
      <c r="J33" s="4"/>
      <c r="K33" s="4"/>
      <c r="L33" s="4"/>
      <c r="M33" s="4"/>
    </row>
    <row r="34" spans="1:13" x14ac:dyDescent="0.35">
      <c r="A34" s="5" t="s">
        <v>10</v>
      </c>
      <c r="B34" s="6">
        <f>B31-SUM(B32:B33)</f>
        <v>161.56198363886563</v>
      </c>
      <c r="C34" s="6">
        <f t="shared" ref="C34" si="8">C31-SUM(C32:C33)</f>
        <v>166.01229091165703</v>
      </c>
      <c r="D34" s="6">
        <f t="shared" ref="D34" si="9">D31-SUM(D32:D33)</f>
        <v>169.85875990939189</v>
      </c>
      <c r="E34" s="6">
        <f t="shared" ref="E34" si="10">E31-SUM(E32:E33)</f>
        <v>174.11154862501724</v>
      </c>
      <c r="F34" s="6">
        <f t="shared" ref="F34" si="11">F31-SUM(F32:F33)</f>
        <v>178.78107551283824</v>
      </c>
      <c r="G34" s="3"/>
      <c r="H34" s="4"/>
      <c r="I34" s="4"/>
      <c r="J34" s="4"/>
      <c r="K34" s="4"/>
      <c r="L34" s="4"/>
      <c r="M34" s="4"/>
    </row>
    <row r="35" spans="1:13" x14ac:dyDescent="0.35">
      <c r="A35" s="5" t="s">
        <v>22</v>
      </c>
      <c r="B35" s="6">
        <v>2000</v>
      </c>
      <c r="C35" s="6">
        <v>2500</v>
      </c>
      <c r="D35" s="6">
        <v>3000</v>
      </c>
      <c r="E35" s="6">
        <v>3500</v>
      </c>
      <c r="F35" s="6">
        <v>3500</v>
      </c>
      <c r="G35" s="3"/>
      <c r="H35" s="4"/>
      <c r="I35" s="4"/>
      <c r="J35" s="4"/>
      <c r="K35" s="4"/>
      <c r="L35" s="4"/>
      <c r="M35" s="4"/>
    </row>
    <row r="36" spans="1:13" x14ac:dyDescent="0.35">
      <c r="A36" s="5" t="s">
        <v>20</v>
      </c>
      <c r="B36" s="6">
        <f>H31-B35</f>
        <v>-1246.0561212090008</v>
      </c>
      <c r="C36" s="6">
        <f>I31-C35</f>
        <v>-148.35080523489296</v>
      </c>
      <c r="D36" s="6">
        <f>J31-D35</f>
        <v>3327.9160677621949</v>
      </c>
      <c r="E36" s="6">
        <f>K31-E35</f>
        <v>7607.058331728851</v>
      </c>
      <c r="F36" s="6">
        <f>L31-F35</f>
        <v>11488.616927170346</v>
      </c>
      <c r="G36" s="3"/>
      <c r="H36" s="4"/>
      <c r="I36" s="4"/>
      <c r="J36" s="4"/>
      <c r="K36" s="4"/>
      <c r="L36" s="4"/>
      <c r="M36" s="4"/>
    </row>
    <row r="37" spans="1:13" x14ac:dyDescent="0.35">
      <c r="A37" s="5" t="s">
        <v>21</v>
      </c>
      <c r="B37" s="6">
        <v>1500</v>
      </c>
      <c r="C37" s="6"/>
      <c r="D37" s="6"/>
      <c r="E37" s="6"/>
      <c r="F37" s="6"/>
      <c r="G37" s="3"/>
      <c r="H37" s="4"/>
      <c r="I37" s="4"/>
      <c r="J37" s="4"/>
      <c r="K37" s="4"/>
      <c r="L37" s="4"/>
      <c r="M37" s="4"/>
    </row>
  </sheetData>
  <phoneticPr fontId="6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8686E0F17B98438C91AA640C188FFD" ma:contentTypeVersion="13" ma:contentTypeDescription="Create a new document." ma:contentTypeScope="" ma:versionID="a00b06ad32e11f95d2cb64f0cbc4564b">
  <xsd:schema xmlns:xsd="http://www.w3.org/2001/XMLSchema" xmlns:xs="http://www.w3.org/2001/XMLSchema" xmlns:p="http://schemas.microsoft.com/office/2006/metadata/properties" xmlns:ns1="http://schemas.microsoft.com/sharepoint/v3" xmlns:ns2="68e55bdf-09da-4615-ad05-ac088d173743" xmlns:ns3="42e4a2d1-7a9a-46f4-96b1-e49f7be52138" targetNamespace="http://schemas.microsoft.com/office/2006/metadata/properties" ma:root="true" ma:fieldsID="6a26cbd4267670edac215513d8ab14d1" ns1:_="" ns2:_="" ns3:_="">
    <xsd:import namespace="http://schemas.microsoft.com/sharepoint/v3"/>
    <xsd:import namespace="68e55bdf-09da-4615-ad05-ac088d173743"/>
    <xsd:import namespace="42e4a2d1-7a9a-46f4-96b1-e49f7be5213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SourceSystemTaxHTField" minOccurs="0"/>
                <xsd:element ref="ns2:TaxCatchAll" minOccurs="0"/>
                <xsd:element ref="ns2:TaxCatchAllLabel" minOccurs="0"/>
                <xsd:element ref="ns1:DataSourceTaxHTFie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ourceSystemTaxHTField" ma:index="11" nillable="true" ma:taxonomy="true" ma:internalName="SourceSystemTaxHTField" ma:taxonomyFieldName="SourceSystem" ma:displayName="SourceSystem" ma:default="1;#SPE|e1155322-03d8-4904-a51c-d7d7cbd8ca84" ma:fieldId="{68c22041-dfe3-4104-9745-475326d7dc19}" ma:sspId="c9369470-76d8-40bb-9f83-c9dbb6c0fac8" ma:termSetId="14dc3a28-f268-42f7-8f59-1ae69d4ade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taSourceTaxHTField" ma:index="15" nillable="true" ma:taxonomy="true" ma:internalName="DataSourceTaxHTField" ma:taxonomyFieldName="DataSource" ma:displayName="DataSource" ma:default="2;#Internal|0b10eabc-00d3-4553-8252-f6efa1cda259" ma:fieldId="{e59fb67a-8e6b-4297-9efb-d86ae4d35911}" ma:sspId="c9369470-76d8-40bb-9f83-c9dbb6c0fac8" ma:termSetId="36ddf51e-868c-4a6e-ae2e-8e285ecab4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e55bdf-09da-4615-ad05-ac088d17374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2" nillable="true" ma:displayName="Taxonomy Catch All Column" ma:hidden="true" ma:list="{6b8d952e-3416-4953-abfd-23de153d5f96}" ma:internalName="TaxCatchAll" ma:showField="CatchAllData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6b8d952e-3416-4953-abfd-23de153d5f96}" ma:internalName="TaxCatchAllLabel" ma:readOnly="true" ma:showField="CatchAllDataLabel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4a2d1-7a9a-46f4-96b1-e49f7be521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8eb3a52-a9ad-454e-96a1-46bb4cd16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SystemTaxHTField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SPE</TermName>
          <TermId xmlns="http://schemas.microsoft.com/office/infopath/2007/PartnerControls">e1155322-03d8-4904-a51c-d7d7cbd8ca84</TermId>
        </TermInfo>
      </Terms>
    </SourceSystemTaxHTField>
    <DataSourceTaxHTField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</TermName>
          <TermId xmlns="http://schemas.microsoft.com/office/infopath/2007/PartnerControls">0b10eabc-00d3-4553-8252-f6efa1cda259</TermId>
        </TermInfo>
      </Terms>
    </DataSourceTaxHTField>
    <TaxCatchAll xmlns="68e55bdf-09da-4615-ad05-ac088d173743">
      <Value>2</Value>
      <Value>1</Value>
    </TaxCatchAll>
    <lcf76f155ced4ddcb4097134ff3c332f xmlns="42e4a2d1-7a9a-46f4-96b1-e49f7be52138">
      <Terms xmlns="http://schemas.microsoft.com/office/infopath/2007/PartnerControls"/>
    </lcf76f155ced4ddcb4097134ff3c332f>
    <_dlc_DocId xmlns="68e55bdf-09da-4615-ad05-ac088d173743">HJESJR6M7V5E-708027023-564</_dlc_DocId>
    <_dlc_DocIdUrl xmlns="68e55bdf-09da-4615-ad05-ac088d173743">
      <Url>https://mckinsey.sharepoint.com/sites/spe-int-g3shlooow/_layouts/15/DocIdRedir.aspx?ID=HJESJR6M7V5E-708027023-564</Url>
      <Description>HJESJR6M7V5E-708027023-564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1E98DB-2AE0-40B3-BF36-C8C7B46D090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D3DC3E6-CBA9-4E32-A264-3778E4DCA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e55bdf-09da-4615-ad05-ac088d173743"/>
    <ds:schemaRef ds:uri="42e4a2d1-7a9a-46f4-96b1-e49f7be521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84F138-A23B-4E6C-90CD-9CACA60526B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8e55bdf-09da-4615-ad05-ac088d173743"/>
    <ds:schemaRef ds:uri="42e4a2d1-7a9a-46f4-96b1-e49f7be52138"/>
  </ds:schemaRefs>
</ds:datastoreItem>
</file>

<file path=customXml/itemProps4.xml><?xml version="1.0" encoding="utf-8"?>
<ds:datastoreItem xmlns:ds="http://schemas.openxmlformats.org/officeDocument/2006/customXml" ds:itemID="{AC038584-E583-4F9D-841B-1202E70025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Leasing Business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Alain El Gemayel</cp:lastModifiedBy>
  <dcterms:created xsi:type="dcterms:W3CDTF">2025-07-14T11:28:46Z</dcterms:created>
  <dcterms:modified xsi:type="dcterms:W3CDTF">2025-07-21T14:27:36Z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0x0101008A8686E0F17B98438C91AA640C188FFD</vt:lpwstr>
  </property>
  <property fmtid="{D5CDD505-2E9C-101B-9397-08002B2CF9AE}" pid="3" name="DataSource">
    <vt:i4>2</vt:i4>
  </property>
  <property fmtid="{D5CDD505-2E9C-101B-9397-08002B2CF9AE}" pid="4" name="_dlc_DocIdItemGuid">
    <vt:lpwstr>aa0ec965-3a4e-4111-86c2-f2ee62d03c8f</vt:lpwstr>
  </property>
  <property fmtid="{D5CDD505-2E9C-101B-9397-08002B2CF9AE}" pid="5" name="SourceSystem">
    <vt:i4>1</vt:i4>
  </property>
</Properties>
</file>