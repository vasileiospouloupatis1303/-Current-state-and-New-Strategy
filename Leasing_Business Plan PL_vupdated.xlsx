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6ED2A06A-8B83-4F89-B164-030D6E810D19}" xr6:coauthVersionLast="47" xr6:coauthVersionMax="47" xr10:uidLastSave="{00000000-0000-0000-0000-000000000000}"/>
  <bookViews>
    <workbookView xWindow="-108" yWindow="-108" windowWidth="23256" windowHeight="12456" xr2:uid="{97CF77D9-F81E-461D-AA95-95D2C211018C}"/>
  </bookViews>
  <sheets>
    <sheet name="Leasing Bus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S35" i="1"/>
  <c r="S34" i="1"/>
  <c r="P32" i="1"/>
  <c r="R32" i="1"/>
  <c r="S32" i="1"/>
  <c r="T32" i="1"/>
  <c r="U32" i="1"/>
  <c r="V32" i="1"/>
  <c r="W32" i="1"/>
  <c r="X32" i="1"/>
  <c r="Y32" i="1"/>
  <c r="Z32" i="1"/>
  <c r="AA32" i="1"/>
  <c r="AB32" i="1"/>
  <c r="Q32" i="1"/>
  <c r="R30" i="1"/>
  <c r="S30" i="1"/>
  <c r="T30" i="1"/>
  <c r="U30" i="1"/>
  <c r="V30" i="1"/>
  <c r="W30" i="1"/>
  <c r="X30" i="1"/>
  <c r="Y30" i="1"/>
  <c r="Z30" i="1"/>
  <c r="AA30" i="1"/>
  <c r="AB30" i="1"/>
  <c r="Q30" i="1"/>
  <c r="P30" i="1" s="1"/>
  <c r="R26" i="1"/>
  <c r="S26" i="1" s="1"/>
  <c r="T26" i="1" s="1"/>
  <c r="U26" i="1" s="1"/>
  <c r="V26" i="1" s="1"/>
  <c r="W26" i="1" s="1"/>
  <c r="X26" i="1" s="1"/>
  <c r="Q29" i="1"/>
  <c r="O32" i="1"/>
  <c r="O29" i="1"/>
  <c r="O30" i="1"/>
  <c r="J37" i="1"/>
  <c r="I37" i="1"/>
  <c r="H37" i="1"/>
  <c r="J36" i="1"/>
  <c r="I36" i="1"/>
  <c r="H36" i="1"/>
  <c r="R29" i="1" l="1"/>
  <c r="T29" i="1"/>
  <c r="S29" i="1"/>
  <c r="H18" i="1"/>
  <c r="I18" i="1"/>
  <c r="J18" i="1"/>
  <c r="I17" i="1"/>
  <c r="J17" i="1"/>
  <c r="H17" i="1"/>
  <c r="L34" i="1"/>
  <c r="K34" i="1"/>
  <c r="J34" i="1"/>
  <c r="I34" i="1"/>
  <c r="H34" i="1"/>
  <c r="L33" i="1"/>
  <c r="K33" i="1"/>
  <c r="J33" i="1"/>
  <c r="I33" i="1"/>
  <c r="H33" i="1"/>
  <c r="I14" i="1"/>
  <c r="J14" i="1"/>
  <c r="K14" i="1"/>
  <c r="L14" i="1"/>
  <c r="I15" i="1"/>
  <c r="J15" i="1"/>
  <c r="K15" i="1"/>
  <c r="L15" i="1"/>
  <c r="H15" i="1"/>
  <c r="H14" i="1"/>
  <c r="L30" i="1"/>
  <c r="K30" i="1"/>
  <c r="J30" i="1"/>
  <c r="I30" i="1"/>
  <c r="H30" i="1"/>
  <c r="L11" i="1"/>
  <c r="K11" i="1"/>
  <c r="J11" i="1"/>
  <c r="I11" i="1"/>
  <c r="H11" i="1"/>
  <c r="A28" i="1"/>
  <c r="A24" i="1"/>
  <c r="U29" i="1" l="1"/>
  <c r="B33" i="1"/>
  <c r="C33" i="1"/>
  <c r="D33" i="1"/>
  <c r="E33" i="1"/>
  <c r="F33" i="1"/>
  <c r="C32" i="1"/>
  <c r="D32" i="1"/>
  <c r="D34" i="1" s="1"/>
  <c r="E32" i="1"/>
  <c r="F32" i="1"/>
  <c r="B32" i="1"/>
  <c r="C13" i="1"/>
  <c r="D13" i="1"/>
  <c r="E13" i="1"/>
  <c r="F13" i="1"/>
  <c r="C14" i="1"/>
  <c r="D14" i="1"/>
  <c r="D15" i="1" s="1"/>
  <c r="E14" i="1"/>
  <c r="F14" i="1"/>
  <c r="B14" i="1"/>
  <c r="B13" i="1"/>
  <c r="B15" i="1" s="1"/>
  <c r="V29" i="1" l="1"/>
  <c r="F15" i="1"/>
  <c r="C34" i="1"/>
  <c r="E15" i="1"/>
  <c r="B34" i="1"/>
  <c r="E34" i="1"/>
  <c r="F34" i="1"/>
  <c r="C15" i="1"/>
  <c r="F28" i="1"/>
  <c r="L31" i="1" s="1"/>
  <c r="E28" i="1"/>
  <c r="K31" i="1" s="1"/>
  <c r="D28" i="1"/>
  <c r="J31" i="1" s="1"/>
  <c r="C28" i="1"/>
  <c r="I31" i="1" s="1"/>
  <c r="B28" i="1"/>
  <c r="H31" i="1" s="1"/>
  <c r="A26" i="1"/>
  <c r="A25" i="1"/>
  <c r="A7" i="1"/>
  <c r="A6" i="1"/>
  <c r="W29" i="1" l="1"/>
  <c r="C9" i="1"/>
  <c r="I12" i="1" s="1"/>
  <c r="F9" i="1"/>
  <c r="L12" i="1" s="1"/>
  <c r="E9" i="1"/>
  <c r="K12" i="1" s="1"/>
  <c r="D9" i="1"/>
  <c r="J12" i="1" s="1"/>
  <c r="B9" i="1"/>
  <c r="H12" i="1" s="1"/>
  <c r="X29" i="1" l="1"/>
  <c r="Y29" i="1" l="1"/>
  <c r="Z29" i="1" l="1"/>
  <c r="AB29" i="1" l="1"/>
  <c r="AA29" i="1"/>
  <c r="P29" i="1" l="1"/>
</calcChain>
</file>

<file path=xl/sharedStrings.xml><?xml version="1.0" encoding="utf-8"?>
<sst xmlns="http://schemas.openxmlformats.org/spreadsheetml/2006/main" count="37" uniqueCount="23">
  <si>
    <t>Y1</t>
  </si>
  <si>
    <t>Y2</t>
  </si>
  <si>
    <t>Y3</t>
  </si>
  <si>
    <t>Y4</t>
  </si>
  <si>
    <t>Y5</t>
  </si>
  <si>
    <t>Start with financial leasing and progressively build an operating lease offering</t>
  </si>
  <si>
    <t>Financial Lease</t>
  </si>
  <si>
    <t>Oerating Lease</t>
  </si>
  <si>
    <t>Services RAR per car</t>
  </si>
  <si>
    <t>Financing/ leasing RAR per car</t>
  </si>
  <si>
    <t>UCS RAR per car</t>
  </si>
  <si>
    <t>Total RAR per car</t>
  </si>
  <si>
    <t>Assumptions:</t>
  </si>
  <si>
    <t>1. Avg. car value New Car</t>
  </si>
  <si>
    <t>2. Avg. car value Used Car</t>
  </si>
  <si>
    <t>3. Production mix</t>
  </si>
  <si>
    <t>Market Shares (new production)</t>
  </si>
  <si>
    <t>No. of leased cars/fleet</t>
  </si>
  <si>
    <t>82%-12%</t>
  </si>
  <si>
    <t>Kick-start with both financial and operating lease focusing on individuals</t>
  </si>
  <si>
    <t>PBT</t>
  </si>
  <si>
    <t>Capex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</si>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</sst>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&quot;€&quot;;[Red]\-#,##0.000\ &quot;€&quot;"/>
  </numFmts>
  <fonts count="1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3" fillId="2" borderId="1" xfId="0" applyNumberFormat="1" applyFont="1" applyFill="1" applyBorder="1" applyProtection="1">
      <protection hidden="1"/>
    </xf>
    <xf numFmtId="3" fontId="4" fillId="0" borderId="1" xfId="0" applyNumberFormat="1" applyFont="1" applyBorder="1" applyProtection="1">
      <protection hidden="1"/>
    </xf>
    <xf numFmtId="0" fontId="6" fillId="3" borderId="0" xfId="0" applyFont="1" applyFill="1"/>
    <xf numFmtId="0" fontId="0" fillId="3" borderId="0" xfId="0" applyFill="1"/>
    <xf numFmtId="0" fontId="7" fillId="3" borderId="0" xfId="0" applyFont="1" applyFill="1"/>
    <xf numFmtId="3" fontId="8" fillId="0" borderId="1" xfId="0" applyNumberFormat="1" applyFont="1" applyBorder="1" applyProtection="1">
      <protection hidden="1"/>
    </xf>
    <xf numFmtId="9" fontId="4" fillId="0" borderId="1" xfId="1" applyFont="1" applyBorder="1" applyProtection="1"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9" fillId="4" borderId="3" xfId="0" applyFont="1" applyFill="1" applyBorder="1"/>
    <xf numFmtId="0" fontId="10" fillId="4" borderId="4" xfId="0" applyFont="1" applyFill="1" applyBorder="1"/>
    <xf numFmtId="0" fontId="10" fillId="4" borderId="5" xfId="0" applyFont="1" applyFill="1" applyBorder="1"/>
    <xf numFmtId="0" fontId="11" fillId="3" borderId="0" xfId="0" applyFont="1" applyFill="1"/>
    <xf numFmtId="3" fontId="4" fillId="0" borderId="1" xfId="1" applyNumberFormat="1" applyFont="1" applyBorder="1" applyAlignment="1" applyProtection="1">
      <alignment horizontal="center"/>
      <protection hidden="1"/>
    </xf>
    <xf numFmtId="9" fontId="4" fillId="0" borderId="1" xfId="1" applyFont="1" applyBorder="1" applyAlignment="1" applyProtection="1">
      <alignment horizontal="center"/>
      <protection hidden="1"/>
    </xf>
    <xf numFmtId="0" fontId="10" fillId="4" borderId="0" xfId="0" applyFont="1" applyFill="1"/>
    <xf numFmtId="1" fontId="3" fillId="5" borderId="1" xfId="0" applyNumberFormat="1" applyFont="1" applyFill="1" applyBorder="1" applyAlignment="1" applyProtection="1">
      <alignment horizontal="center"/>
      <protection hidden="1"/>
    </xf>
    <xf numFmtId="3" fontId="3" fillId="5" borderId="1" xfId="0" applyNumberFormat="1" applyFont="1" applyFill="1" applyBorder="1" applyAlignment="1" applyProtection="1">
      <alignment horizontal="center"/>
      <protection hidden="1"/>
    </xf>
    <xf numFmtId="164" fontId="12" fillId="5" borderId="0" xfId="0" applyNumberFormat="1" applyFont="1" applyFill="1"/>
    <xf numFmtId="0" fontId="0" fillId="5" borderId="0" xfId="0" applyFill="1"/>
    <xf numFmtId="4" fontId="3" fillId="2" borderId="1" xfId="0" applyNumberFormat="1" applyFont="1" applyFill="1" applyBorder="1" applyProtection="1">
      <protection hidden="1"/>
    </xf>
    <xf numFmtId="4" fontId="4" fillId="0" borderId="1" xfId="0" applyNumberFormat="1" applyFont="1" applyBorder="1" applyProtection="1">
      <protection hidden="1"/>
    </xf>
    <xf numFmtId="3" fontId="0" fillId="3" borderId="0" xfId="0" applyNumberFormat="1" applyFill="1"/>
    <xf numFmtId="9" fontId="0" fillId="0" borderId="0" xfId="1" applyFont="1"/>
    <xf numFmtId="3" fontId="0" fillId="0" borderId="0" xfId="0" applyNumberFormat="1"/>
    <xf numFmtId="17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1356360</xdr:colOff>
      <xdr:row>19</xdr:row>
      <xdr:rowOff>68580</xdr:rowOff>
    </xdr:from>
    <xdr:to>
      <xdr:col>0</xdr:col>
      <xdr:colOff>1792514</xdr:colOff>
      <xdr:row>21</xdr:row>
      <xdr:rowOff>137160</xdr:rowOff>
    </xdr:to>
    <xdr:pic>
      <xdr:nvPicPr>
        <xdr:cNvPr id="3" name="Graphic 2" descr="Badge outline">
          <a:extLst>
            <a:ext uri="{FF2B5EF4-FFF2-40B4-BE49-F238E27FC236}">
              <a16:creationId xmlns:a16="http://schemas.microsoft.com/office/drawing/2014/main" id="{D9C4716F-FC3E-AA1C-9EBD-D1EFB155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6360" y="2514600"/>
          <a:ext cx="434340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1384440</xdr:colOff>
      <xdr:row>0</xdr:row>
      <xdr:rowOff>0</xdr:rowOff>
    </xdr:from>
    <xdr:to>
      <xdr:col>0</xdr:col>
      <xdr:colOff>1807754</xdr:colOff>
      <xdr:row>2</xdr:row>
      <xdr:rowOff>124320</xdr:rowOff>
    </xdr:to>
    <xdr:pic>
      <xdr:nvPicPr>
        <xdr:cNvPr id="5" name="Graphic 4" descr="Badge 1 with solid fill">
          <a:extLst>
            <a:ext uri="{FF2B5EF4-FFF2-40B4-BE49-F238E27FC236}">
              <a16:creationId xmlns:a16="http://schemas.microsoft.com/office/drawing/2014/main" id="{D425C419-0C8C-3AC6-9601-545A76D1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84440" y="0"/>
          <a:ext cx="421500" cy="42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130-F2CE-4B6C-B944-C6DC570BA127}">
  <dimension ref="A1:AB37"/>
  <sheetViews>
    <sheetView tabSelected="1" topLeftCell="D11" zoomScale="90" zoomScaleNormal="90" workbookViewId="0">
      <selection activeCell="U28" sqref="U28"/>
    </sheetView>
  </sheetViews>
  <sheetFormatPr defaultRowHeight="14.4" x14ac:dyDescent="0.3"/>
  <cols>
    <col min="1" max="1" width="27.109375" customWidth="1"/>
    <col min="2" max="2" width="8.88671875" customWidth="1"/>
    <col min="8" max="12" width="7.6640625" customWidth="1"/>
    <col min="13" max="13" width="4.5546875" style="19" customWidth="1"/>
    <col min="14" max="14" width="22.109375" bestFit="1" customWidth="1"/>
  </cols>
  <sheetData>
    <row r="1" spans="1:16" ht="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x14ac:dyDescent="0.3">
      <c r="A2" s="3"/>
      <c r="B2" s="9" t="s">
        <v>5</v>
      </c>
      <c r="C2" s="10"/>
      <c r="D2" s="10"/>
      <c r="E2" s="10"/>
      <c r="F2" s="10"/>
      <c r="G2" s="10"/>
      <c r="H2" s="11"/>
      <c r="I2" s="11"/>
      <c r="J2" s="11"/>
      <c r="K2" s="15"/>
      <c r="L2" s="15"/>
      <c r="M2" s="15"/>
    </row>
    <row r="3" spans="1:16" x14ac:dyDescent="0.3">
      <c r="A3" s="3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3"/>
      <c r="H3" s="4"/>
      <c r="I3" s="4"/>
      <c r="J3" s="4"/>
      <c r="K3" s="4"/>
      <c r="L3" s="4"/>
      <c r="M3" s="4"/>
    </row>
    <row r="4" spans="1:16" ht="5.4" customHeight="1" x14ac:dyDescent="0.3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4"/>
    </row>
    <row r="5" spans="1:16" x14ac:dyDescent="0.3">
      <c r="A5" s="3" t="s">
        <v>16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</row>
    <row r="6" spans="1:16" x14ac:dyDescent="0.3">
      <c r="A6" s="5" t="str">
        <f>+A10</f>
        <v>Financial Lease</v>
      </c>
      <c r="B6" s="7">
        <v>0.1</v>
      </c>
      <c r="C6" s="7">
        <v>0.15</v>
      </c>
      <c r="D6" s="7">
        <v>0.18</v>
      </c>
      <c r="E6" s="7">
        <v>0.18</v>
      </c>
      <c r="F6" s="7">
        <v>0.2</v>
      </c>
      <c r="G6" s="3"/>
      <c r="H6" s="4"/>
      <c r="I6" s="4"/>
      <c r="J6" s="4"/>
      <c r="K6" s="4"/>
      <c r="L6" s="4"/>
      <c r="M6" s="4"/>
    </row>
    <row r="7" spans="1:16" x14ac:dyDescent="0.3">
      <c r="A7" s="5" t="str">
        <f>+A11</f>
        <v>Oerating Lease</v>
      </c>
      <c r="B7" s="7">
        <v>0</v>
      </c>
      <c r="C7" s="7">
        <v>0</v>
      </c>
      <c r="D7" s="7">
        <v>0.1</v>
      </c>
      <c r="E7" s="7">
        <v>0.13</v>
      </c>
      <c r="F7" s="7">
        <v>0.15</v>
      </c>
      <c r="G7" s="3"/>
      <c r="H7" s="4"/>
      <c r="I7" s="4"/>
      <c r="J7" s="4"/>
      <c r="K7" s="4"/>
      <c r="L7" s="4"/>
      <c r="M7" s="4"/>
    </row>
    <row r="8" spans="1:16" ht="5.4" customHeight="1" x14ac:dyDescent="0.3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</row>
    <row r="9" spans="1:16" x14ac:dyDescent="0.3">
      <c r="A9" s="3" t="s">
        <v>17</v>
      </c>
      <c r="B9" s="20">
        <f>+B10+B11</f>
        <v>0.49360622046905611</v>
      </c>
      <c r="C9" s="20">
        <f t="shared" ref="C9:F9" si="0">+C10+C11</f>
        <v>1.2881571567551102</v>
      </c>
      <c r="D9" s="20">
        <f t="shared" si="0"/>
        <v>4.5697683186467373</v>
      </c>
      <c r="E9" s="20">
        <f t="shared" si="0"/>
        <v>8.5361912298501821</v>
      </c>
      <c r="F9" s="20">
        <f t="shared" si="0"/>
        <v>11.985340030111663</v>
      </c>
      <c r="G9" s="3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5" t="s">
        <v>6</v>
      </c>
      <c r="B10" s="21">
        <v>0.49360622046905611</v>
      </c>
      <c r="C10" s="21">
        <v>1.2881571567551102</v>
      </c>
      <c r="D10" s="21">
        <v>2.3065882069973394</v>
      </c>
      <c r="E10" s="21">
        <v>3.1431860737040038</v>
      </c>
      <c r="F10" s="21">
        <v>3.5224143399862076</v>
      </c>
      <c r="G10" s="3"/>
      <c r="H10" s="18">
        <v>0</v>
      </c>
      <c r="I10" s="19"/>
      <c r="J10" s="19"/>
      <c r="K10" s="19"/>
      <c r="L10" s="19"/>
      <c r="M10" s="4"/>
      <c r="N10" s="12" t="s">
        <v>12</v>
      </c>
      <c r="O10" s="8">
        <v>2024</v>
      </c>
      <c r="P10" s="4"/>
    </row>
    <row r="11" spans="1:16" x14ac:dyDescent="0.3">
      <c r="A11" s="5" t="s">
        <v>7</v>
      </c>
      <c r="B11" s="21">
        <v>0</v>
      </c>
      <c r="C11" s="21">
        <v>0</v>
      </c>
      <c r="D11" s="21">
        <v>2.2631801116493984</v>
      </c>
      <c r="E11" s="21">
        <v>5.3930051561461774</v>
      </c>
      <c r="F11" s="21">
        <v>8.4629256901254557</v>
      </c>
      <c r="G11" s="3"/>
      <c r="H11" s="16" t="str">
        <f>+B3</f>
        <v>Y1</v>
      </c>
      <c r="I11" s="16" t="str">
        <f>+C3</f>
        <v>Y2</v>
      </c>
      <c r="J11" s="16" t="str">
        <f>+D3</f>
        <v>Y3</v>
      </c>
      <c r="K11" s="16" t="str">
        <f>+E3</f>
        <v>Y4</v>
      </c>
      <c r="L11" s="16" t="str">
        <f>+F3</f>
        <v>Y5</v>
      </c>
      <c r="M11" s="4"/>
      <c r="N11" s="4" t="s">
        <v>13</v>
      </c>
      <c r="O11" s="13">
        <v>25000</v>
      </c>
      <c r="P11" s="4"/>
    </row>
    <row r="12" spans="1:16" x14ac:dyDescent="0.3">
      <c r="A12" s="3" t="s">
        <v>11</v>
      </c>
      <c r="B12" s="1">
        <v>964.09917382218498</v>
      </c>
      <c r="C12" s="1">
        <v>988.81966545865123</v>
      </c>
      <c r="D12" s="1">
        <v>1014.1740158550269</v>
      </c>
      <c r="E12" s="1">
        <v>1040.1784778000276</v>
      </c>
      <c r="F12" s="1">
        <v>1066.8497208205413</v>
      </c>
      <c r="G12" s="3"/>
      <c r="H12" s="17">
        <f t="shared" ref="H12:K12" si="1">+B12*B9</f>
        <v>475.88534934770831</v>
      </c>
      <c r="I12" s="17">
        <f t="shared" si="1"/>
        <v>1273.7551288007555</v>
      </c>
      <c r="J12" s="17">
        <f t="shared" si="1"/>
        <v>4634.5402872490358</v>
      </c>
      <c r="K12" s="17">
        <f t="shared" si="1"/>
        <v>8879.1623996755079</v>
      </c>
      <c r="L12" s="17">
        <f>+F12*F9</f>
        <v>12786.556665063887</v>
      </c>
      <c r="M12" s="4"/>
      <c r="N12" s="4" t="s">
        <v>14</v>
      </c>
      <c r="O12" s="13">
        <v>13000</v>
      </c>
      <c r="P12" s="4"/>
    </row>
    <row r="13" spans="1:16" x14ac:dyDescent="0.3">
      <c r="A13" s="5" t="s">
        <v>9</v>
      </c>
      <c r="B13" s="6">
        <f>37.5%*B$12</f>
        <v>361.53719018331935</v>
      </c>
      <c r="C13" s="6">
        <f t="shared" ref="C13:F14" si="2">37.5%*C$12</f>
        <v>370.8073745469942</v>
      </c>
      <c r="D13" s="6">
        <f t="shared" si="2"/>
        <v>380.3152559456351</v>
      </c>
      <c r="E13" s="6">
        <f t="shared" si="2"/>
        <v>390.06692917501039</v>
      </c>
      <c r="F13" s="6">
        <f t="shared" si="2"/>
        <v>400.06864530770298</v>
      </c>
      <c r="G13" s="3"/>
      <c r="H13" s="4"/>
      <c r="I13" s="4"/>
      <c r="J13" s="4"/>
      <c r="K13" s="4"/>
      <c r="L13" s="4"/>
      <c r="M13" s="4"/>
      <c r="N13" s="4" t="s">
        <v>15</v>
      </c>
      <c r="O13" s="14" t="s">
        <v>18</v>
      </c>
      <c r="P13" s="4"/>
    </row>
    <row r="14" spans="1:16" x14ac:dyDescent="0.3">
      <c r="A14" s="5" t="s">
        <v>8</v>
      </c>
      <c r="B14" s="6">
        <f>37.5%*B$12</f>
        <v>361.53719018331935</v>
      </c>
      <c r="C14" s="6">
        <f t="shared" si="2"/>
        <v>370.8073745469942</v>
      </c>
      <c r="D14" s="6">
        <f t="shared" si="2"/>
        <v>380.3152559456351</v>
      </c>
      <c r="E14" s="6">
        <f t="shared" si="2"/>
        <v>390.06692917501039</v>
      </c>
      <c r="F14" s="6">
        <f t="shared" si="2"/>
        <v>400.06864530770298</v>
      </c>
      <c r="G14" s="3"/>
      <c r="H14" s="22">
        <f>+H12*(B10/B9)</f>
        <v>475.88534934770831</v>
      </c>
      <c r="I14" s="22">
        <f t="shared" ref="I14:L14" si="3">+I12*(C10/C9)</f>
        <v>1273.7551288007555</v>
      </c>
      <c r="J14" s="22">
        <f t="shared" si="3"/>
        <v>2339.2818248143376</v>
      </c>
      <c r="K14" s="22">
        <f t="shared" si="3"/>
        <v>3269.474505587676</v>
      </c>
      <c r="L14" s="22">
        <f t="shared" si="3"/>
        <v>3757.8867552285574</v>
      </c>
      <c r="M14" s="4"/>
      <c r="N14" s="4"/>
      <c r="O14" s="4"/>
      <c r="P14" s="4"/>
    </row>
    <row r="15" spans="1:16" x14ac:dyDescent="0.3">
      <c r="A15" s="5" t="s">
        <v>10</v>
      </c>
      <c r="B15" s="6">
        <f>B12-SUM(B13:B14)</f>
        <v>241.02479345554627</v>
      </c>
      <c r="C15" s="6">
        <f t="shared" ref="C15:F15" si="4">C12-SUM(C13:C14)</f>
        <v>247.20491636466284</v>
      </c>
      <c r="D15" s="6">
        <f t="shared" si="4"/>
        <v>253.54350396375673</v>
      </c>
      <c r="E15" s="6">
        <f t="shared" si="4"/>
        <v>260.04461945000685</v>
      </c>
      <c r="F15" s="6">
        <f t="shared" si="4"/>
        <v>266.71243020513532</v>
      </c>
      <c r="G15" s="3"/>
      <c r="H15" s="22">
        <f>+H12*(B11/B9)</f>
        <v>0</v>
      </c>
      <c r="I15" s="22">
        <f t="shared" ref="I15:L15" si="5">+I12*(C11/C9)</f>
        <v>0</v>
      </c>
      <c r="J15" s="22">
        <f t="shared" si="5"/>
        <v>2295.2584624346987</v>
      </c>
      <c r="K15" s="22">
        <f t="shared" si="5"/>
        <v>5609.6878940878314</v>
      </c>
      <c r="L15" s="22">
        <f t="shared" si="5"/>
        <v>9028.6699098353292</v>
      </c>
      <c r="M15" s="4"/>
    </row>
    <row r="16" spans="1:16" x14ac:dyDescent="0.3">
      <c r="A16" s="5" t="s">
        <v>22</v>
      </c>
      <c r="B16" s="6"/>
      <c r="C16" s="6"/>
      <c r="D16" s="6"/>
      <c r="E16" s="6"/>
      <c r="F16" s="6"/>
      <c r="G16" s="3"/>
      <c r="H16" s="4"/>
      <c r="I16" s="4"/>
      <c r="J16" s="4"/>
      <c r="K16" s="4"/>
      <c r="L16" s="4"/>
      <c r="M16" s="4"/>
    </row>
    <row r="17" spans="1:28" x14ac:dyDescent="0.3">
      <c r="A17" s="5" t="s">
        <v>20</v>
      </c>
      <c r="B17" s="6"/>
      <c r="C17" s="6"/>
      <c r="D17" s="6"/>
      <c r="E17" s="6"/>
      <c r="F17" s="6"/>
      <c r="G17" s="3"/>
      <c r="H17" s="22">
        <f>+B10*1000</f>
        <v>493.6062204690561</v>
      </c>
      <c r="I17" s="22">
        <f t="shared" ref="I17:J17" si="6">+C10*1000</f>
        <v>1288.1571567551102</v>
      </c>
      <c r="J17" s="22">
        <f t="shared" si="6"/>
        <v>2306.5882069973395</v>
      </c>
      <c r="K17" s="4"/>
      <c r="L17" s="4"/>
      <c r="M17" s="4"/>
    </row>
    <row r="18" spans="1:28" x14ac:dyDescent="0.3">
      <c r="A18" s="5" t="s">
        <v>21</v>
      </c>
      <c r="B18" s="6"/>
      <c r="C18" s="6"/>
      <c r="D18" s="6"/>
      <c r="E18" s="6"/>
      <c r="F18" s="6"/>
      <c r="G18" s="3"/>
      <c r="H18" s="22">
        <f>+B11*1000</f>
        <v>0</v>
      </c>
      <c r="I18" s="22">
        <f t="shared" ref="I18" si="7">+C11*1000</f>
        <v>0</v>
      </c>
      <c r="J18" s="22">
        <f t="shared" ref="J18" si="8">+D11*1000</f>
        <v>2263.1801116493984</v>
      </c>
      <c r="K18" s="4"/>
      <c r="L18" s="4"/>
      <c r="M18" s="4"/>
    </row>
    <row r="19" spans="1:28" x14ac:dyDescent="0.3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</row>
    <row r="20" spans="1:28" x14ac:dyDescent="0.3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</row>
    <row r="21" spans="1:28" x14ac:dyDescent="0.3">
      <c r="A21" s="3"/>
      <c r="B21" s="9" t="s">
        <v>19</v>
      </c>
      <c r="C21" s="10"/>
      <c r="D21" s="10"/>
      <c r="E21" s="10"/>
      <c r="F21" s="10"/>
      <c r="G21" s="10"/>
      <c r="H21" s="11"/>
      <c r="I21" s="11"/>
      <c r="J21" s="11"/>
      <c r="K21" s="15"/>
      <c r="L21" s="15"/>
      <c r="M21" s="4"/>
    </row>
    <row r="22" spans="1:28" x14ac:dyDescent="0.3">
      <c r="A22" s="3"/>
      <c r="B22" s="8" t="s">
        <v>0</v>
      </c>
      <c r="C22" s="8" t="s">
        <v>1</v>
      </c>
      <c r="D22" s="8" t="s">
        <v>2</v>
      </c>
      <c r="E22" s="8" t="s">
        <v>3</v>
      </c>
      <c r="F22" s="8" t="s">
        <v>4</v>
      </c>
      <c r="G22" s="3"/>
      <c r="H22" s="4"/>
      <c r="I22" s="4"/>
      <c r="J22" s="4"/>
      <c r="K22" s="4"/>
      <c r="L22" s="4"/>
      <c r="M22" s="4"/>
    </row>
    <row r="23" spans="1:28" ht="5.4" customHeight="1" x14ac:dyDescent="0.3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4"/>
      <c r="M23" s="4"/>
    </row>
    <row r="24" spans="1:28" x14ac:dyDescent="0.3">
      <c r="A24" s="3" t="str">
        <f>+A5</f>
        <v>Market Shares (new production)</v>
      </c>
      <c r="B24" s="4"/>
      <c r="C24" s="4"/>
      <c r="D24" s="4"/>
      <c r="E24" s="4"/>
      <c r="F24" s="4"/>
      <c r="G24" s="3"/>
      <c r="H24" s="4"/>
      <c r="I24" s="4"/>
      <c r="J24" s="4"/>
      <c r="K24" s="4"/>
      <c r="L24" s="4"/>
      <c r="M24" s="4"/>
    </row>
    <row r="25" spans="1:28" x14ac:dyDescent="0.3">
      <c r="A25" s="5" t="str">
        <f>+A29</f>
        <v>Financial Lease</v>
      </c>
      <c r="B25" s="7">
        <v>0.1</v>
      </c>
      <c r="C25" s="7">
        <v>0.15</v>
      </c>
      <c r="D25" s="7">
        <v>0.18</v>
      </c>
      <c r="E25" s="7">
        <v>0.18</v>
      </c>
      <c r="F25" s="7">
        <v>0.2</v>
      </c>
      <c r="G25" s="3"/>
      <c r="H25" s="4"/>
      <c r="I25" s="4"/>
      <c r="J25" s="4"/>
      <c r="K25" s="4"/>
      <c r="L25" s="4"/>
      <c r="M25" s="4"/>
    </row>
    <row r="26" spans="1:28" x14ac:dyDescent="0.3">
      <c r="A26" s="5" t="str">
        <f>+A30</f>
        <v>Oerating Lease</v>
      </c>
      <c r="B26" s="7">
        <v>0.05</v>
      </c>
      <c r="C26" s="7">
        <v>0.1</v>
      </c>
      <c r="D26" s="7">
        <v>0.15</v>
      </c>
      <c r="E26" s="7">
        <v>0.18</v>
      </c>
      <c r="F26" s="7">
        <v>0.2</v>
      </c>
      <c r="G26" s="3"/>
      <c r="H26" s="4"/>
      <c r="I26" s="4"/>
      <c r="J26" s="4"/>
      <c r="K26" s="4"/>
      <c r="L26" s="4"/>
      <c r="M26" s="4"/>
      <c r="Q26" s="26">
        <v>0.03</v>
      </c>
      <c r="R26" s="26">
        <f>+Q26+1%</f>
        <v>0.04</v>
      </c>
      <c r="S26" s="26">
        <f t="shared" ref="S26:AB26" si="9">+R26+1%</f>
        <v>0.05</v>
      </c>
      <c r="T26" s="26">
        <f t="shared" si="9"/>
        <v>6.0000000000000005E-2</v>
      </c>
      <c r="U26" s="26">
        <f t="shared" si="9"/>
        <v>7.0000000000000007E-2</v>
      </c>
      <c r="V26" s="26">
        <f t="shared" si="9"/>
        <v>0.08</v>
      </c>
      <c r="W26" s="26">
        <f t="shared" si="9"/>
        <v>0.09</v>
      </c>
      <c r="X26" s="26">
        <f t="shared" si="9"/>
        <v>9.9999999999999992E-2</v>
      </c>
      <c r="Y26" s="26">
        <v>0.11</v>
      </c>
      <c r="Z26" s="26">
        <v>0.12</v>
      </c>
      <c r="AA26" s="26">
        <v>0.12</v>
      </c>
      <c r="AB26" s="26">
        <v>0.13</v>
      </c>
    </row>
    <row r="27" spans="1:28" ht="5.4" customHeight="1" x14ac:dyDescent="0.3">
      <c r="A27" s="3"/>
      <c r="B27" s="3"/>
      <c r="C27" s="3"/>
      <c r="D27" s="3"/>
      <c r="E27" s="3"/>
      <c r="F27" s="3"/>
      <c r="G27" s="3"/>
      <c r="H27" s="4"/>
      <c r="I27" s="4"/>
      <c r="J27" s="4"/>
      <c r="K27" s="4"/>
      <c r="L27" s="4"/>
      <c r="M27" s="4"/>
    </row>
    <row r="28" spans="1:28" x14ac:dyDescent="0.3">
      <c r="A28" s="3" t="str">
        <f>+A9</f>
        <v>No. of leased cars/fleet</v>
      </c>
      <c r="B28" s="1">
        <f>+B29+B30</f>
        <v>1.0498389713365017</v>
      </c>
      <c r="C28" s="1">
        <f t="shared" ref="C28" si="10">+C29+C30</f>
        <v>3.0775655005819726</v>
      </c>
      <c r="D28" s="1">
        <f t="shared" ref="D28" si="11">+D29+D30</f>
        <v>7.4907667182982998</v>
      </c>
      <c r="E28" s="1">
        <f t="shared" ref="E28" si="12">+E29+E30</f>
        <v>12.382852117336011</v>
      </c>
      <c r="F28" s="1">
        <f t="shared" ref="F28" si="13">+F29+F30</f>
        <v>15.960603590343821</v>
      </c>
      <c r="G28" s="3"/>
      <c r="H28" s="4"/>
      <c r="I28" s="4"/>
      <c r="J28" s="4"/>
      <c r="K28" s="4"/>
      <c r="L28" s="4"/>
      <c r="M28" s="4"/>
      <c r="Q28" s="25">
        <v>46023</v>
      </c>
      <c r="R28" s="25">
        <v>46054</v>
      </c>
      <c r="S28" s="25">
        <v>46082</v>
      </c>
      <c r="T28" s="25">
        <v>46113</v>
      </c>
      <c r="U28" s="25">
        <v>46143</v>
      </c>
      <c r="V28" s="25">
        <v>46174</v>
      </c>
      <c r="W28" s="25">
        <v>46204</v>
      </c>
      <c r="X28" s="25">
        <v>46235</v>
      </c>
      <c r="Y28" s="25">
        <v>46266</v>
      </c>
      <c r="Z28" s="25">
        <v>46296</v>
      </c>
      <c r="AA28" s="25">
        <v>46327</v>
      </c>
      <c r="AB28" s="25">
        <v>46357</v>
      </c>
    </row>
    <row r="29" spans="1:28" x14ac:dyDescent="0.3">
      <c r="A29" s="5" t="s">
        <v>6</v>
      </c>
      <c r="B29" s="2">
        <v>0.49360622046905611</v>
      </c>
      <c r="C29" s="2">
        <v>1.2881571567551102</v>
      </c>
      <c r="D29" s="2">
        <v>2.3065882069973394</v>
      </c>
      <c r="E29" s="2">
        <v>3.1431860737040038</v>
      </c>
      <c r="F29" s="2">
        <v>3.5224143399862076</v>
      </c>
      <c r="G29" s="3"/>
      <c r="H29" s="18">
        <v>0</v>
      </c>
      <c r="I29" s="19"/>
      <c r="J29" s="19"/>
      <c r="K29" s="19"/>
      <c r="L29" s="19"/>
      <c r="M29" s="4"/>
      <c r="O29" s="24">
        <f>+B29*1000</f>
        <v>493.6062204690561</v>
      </c>
      <c r="P29" s="27">
        <f>SUM(Q29:AB29)-O29</f>
        <v>0</v>
      </c>
      <c r="Q29" s="27">
        <f>+$O$29*Q26</f>
        <v>14.808186614071682</v>
      </c>
      <c r="R29" s="27">
        <f t="shared" ref="R29:AB29" si="14">+$O$29*R26</f>
        <v>19.744248818762244</v>
      </c>
      <c r="S29" s="27">
        <f t="shared" si="14"/>
        <v>24.680311023452806</v>
      </c>
      <c r="T29" s="27">
        <f t="shared" si="14"/>
        <v>29.616373228143367</v>
      </c>
      <c r="U29" s="27">
        <f t="shared" si="14"/>
        <v>34.552435432833931</v>
      </c>
      <c r="V29" s="27">
        <f t="shared" si="14"/>
        <v>39.488497637524489</v>
      </c>
      <c r="W29" s="27">
        <f t="shared" si="14"/>
        <v>44.424559842215047</v>
      </c>
      <c r="X29" s="27">
        <f t="shared" si="14"/>
        <v>49.360622046905604</v>
      </c>
      <c r="Y29" s="27">
        <f t="shared" si="14"/>
        <v>54.296684251596169</v>
      </c>
      <c r="Z29" s="27">
        <f t="shared" si="14"/>
        <v>59.232746456286726</v>
      </c>
      <c r="AA29" s="27">
        <f t="shared" si="14"/>
        <v>59.232746456286726</v>
      </c>
      <c r="AB29" s="27">
        <f t="shared" si="14"/>
        <v>64.168808660977291</v>
      </c>
    </row>
    <row r="30" spans="1:28" x14ac:dyDescent="0.3">
      <c r="A30" s="5" t="s">
        <v>7</v>
      </c>
      <c r="B30" s="2">
        <v>0.5562327508674455</v>
      </c>
      <c r="C30" s="2">
        <v>1.7894083438268624</v>
      </c>
      <c r="D30" s="2">
        <v>5.18417851130096</v>
      </c>
      <c r="E30" s="2">
        <v>9.2396660436320079</v>
      </c>
      <c r="F30" s="2">
        <v>12.438189250357613</v>
      </c>
      <c r="G30" s="3"/>
      <c r="H30" s="16" t="str">
        <f>+B22</f>
        <v>Y1</v>
      </c>
      <c r="I30" s="16" t="str">
        <f>+C22</f>
        <v>Y2</v>
      </c>
      <c r="J30" s="16" t="str">
        <f>+D22</f>
        <v>Y3</v>
      </c>
      <c r="K30" s="16" t="str">
        <f>+E22</f>
        <v>Y4</v>
      </c>
      <c r="L30" s="16" t="str">
        <f>+F22</f>
        <v>Y5</v>
      </c>
      <c r="M30" s="4"/>
      <c r="O30" s="24">
        <f>+B30*1000</f>
        <v>556.23275086744547</v>
      </c>
      <c r="P30" s="27">
        <f>SUM(Q30:AB30)-O30</f>
        <v>0</v>
      </c>
      <c r="Q30" s="27">
        <f>+$O$30*Q26</f>
        <v>16.686982526023364</v>
      </c>
      <c r="R30" s="27">
        <f t="shared" ref="R30:AB30" si="15">+$O$30*R26</f>
        <v>22.249310034697821</v>
      </c>
      <c r="S30" s="27">
        <f t="shared" si="15"/>
        <v>27.811637543372274</v>
      </c>
      <c r="T30" s="27">
        <f t="shared" si="15"/>
        <v>33.373965052046728</v>
      </c>
      <c r="U30" s="27">
        <f t="shared" si="15"/>
        <v>38.936292560721185</v>
      </c>
      <c r="V30" s="27">
        <f t="shared" si="15"/>
        <v>44.498620069395642</v>
      </c>
      <c r="W30" s="27">
        <f t="shared" si="15"/>
        <v>50.060947578070092</v>
      </c>
      <c r="X30" s="27">
        <f t="shared" si="15"/>
        <v>55.623275086744542</v>
      </c>
      <c r="Y30" s="27">
        <f t="shared" si="15"/>
        <v>61.185602595419006</v>
      </c>
      <c r="Z30" s="27">
        <f t="shared" si="15"/>
        <v>66.747930104093456</v>
      </c>
      <c r="AA30" s="27">
        <f t="shared" si="15"/>
        <v>66.747930104093456</v>
      </c>
      <c r="AB30" s="27">
        <f t="shared" si="15"/>
        <v>72.310257612767913</v>
      </c>
    </row>
    <row r="31" spans="1:28" x14ac:dyDescent="0.3">
      <c r="A31" s="3" t="s">
        <v>11</v>
      </c>
      <c r="B31" s="1">
        <v>964.09917382218498</v>
      </c>
      <c r="C31" s="1">
        <v>988.81966545865123</v>
      </c>
      <c r="D31" s="1">
        <v>1014.1740158550269</v>
      </c>
      <c r="E31" s="1">
        <v>1040.1784778000276</v>
      </c>
      <c r="F31" s="1">
        <v>1066.8497208205413</v>
      </c>
      <c r="G31" s="3"/>
      <c r="H31" s="17">
        <f t="shared" ref="H31" si="16">+B31*B28</f>
        <v>1012.1488849118539</v>
      </c>
      <c r="I31" s="17">
        <f t="shared" ref="I31" si="17">+C31*C28</f>
        <v>3043.1572887125526</v>
      </c>
      <c r="J31" s="17">
        <f t="shared" ref="J31" si="18">+D31*D28</f>
        <v>7596.9409645297683</v>
      </c>
      <c r="K31" s="17">
        <f t="shared" ref="K31" si="19">+E31*E28</f>
        <v>12880.376266233421</v>
      </c>
      <c r="L31" s="17">
        <f>+F31*F28</f>
        <v>17027.565484485633</v>
      </c>
      <c r="M31" s="4"/>
      <c r="P31" s="27"/>
    </row>
    <row r="32" spans="1:28" x14ac:dyDescent="0.3">
      <c r="A32" s="5" t="s">
        <v>9</v>
      </c>
      <c r="B32" s="6">
        <f>37.5%*B$31</f>
        <v>361.53719018331935</v>
      </c>
      <c r="C32" s="6">
        <f t="shared" ref="C32:F33" si="20">37.5%*C$31</f>
        <v>370.8073745469942</v>
      </c>
      <c r="D32" s="6">
        <f t="shared" si="20"/>
        <v>380.3152559456351</v>
      </c>
      <c r="E32" s="6">
        <f t="shared" si="20"/>
        <v>390.06692917501039</v>
      </c>
      <c r="F32" s="6">
        <f t="shared" si="20"/>
        <v>400.06864530770298</v>
      </c>
      <c r="G32" s="3"/>
      <c r="H32" s="4"/>
      <c r="I32" s="4"/>
      <c r="J32" s="4"/>
      <c r="K32" s="4"/>
      <c r="L32" s="4"/>
      <c r="M32" s="4"/>
      <c r="O32" s="24">
        <f>+O30+O29</f>
        <v>1049.8389713365016</v>
      </c>
      <c r="P32" s="27">
        <f t="shared" ref="P31:P32" si="21">SUM(Q32:AB32)-O32</f>
        <v>0</v>
      </c>
      <c r="Q32" s="27">
        <f>+$O$32*Q26</f>
        <v>31.495169140095047</v>
      </c>
      <c r="R32" s="27">
        <f t="shared" ref="R32:AB32" si="22">+$O$32*R26</f>
        <v>41.993558853460065</v>
      </c>
      <c r="S32" s="27">
        <f t="shared" si="22"/>
        <v>52.49194856682508</v>
      </c>
      <c r="T32" s="27">
        <f t="shared" si="22"/>
        <v>62.990338280190102</v>
      </c>
      <c r="U32" s="27">
        <f t="shared" si="22"/>
        <v>73.488727993555116</v>
      </c>
      <c r="V32" s="27">
        <f t="shared" si="22"/>
        <v>83.987117706920131</v>
      </c>
      <c r="W32" s="27">
        <f t="shared" si="22"/>
        <v>94.485507420285131</v>
      </c>
      <c r="X32" s="27">
        <f t="shared" si="22"/>
        <v>104.98389713365015</v>
      </c>
      <c r="Y32" s="27">
        <f t="shared" si="22"/>
        <v>115.48228684701517</v>
      </c>
      <c r="Z32" s="27">
        <f t="shared" si="22"/>
        <v>125.98067656038019</v>
      </c>
      <c r="AA32" s="27">
        <f t="shared" si="22"/>
        <v>125.98067656038019</v>
      </c>
      <c r="AB32" s="27">
        <f t="shared" si="22"/>
        <v>136.47906627374522</v>
      </c>
    </row>
    <row r="33" spans="1:19" x14ac:dyDescent="0.3">
      <c r="A33" s="5" t="s">
        <v>8</v>
      </c>
      <c r="B33" s="6">
        <f t="shared" ref="B33" si="23">37.5%*B$31</f>
        <v>361.53719018331935</v>
      </c>
      <c r="C33" s="6">
        <f t="shared" si="20"/>
        <v>370.8073745469942</v>
      </c>
      <c r="D33" s="6">
        <f t="shared" si="20"/>
        <v>380.3152559456351</v>
      </c>
      <c r="E33" s="6">
        <f t="shared" si="20"/>
        <v>390.06692917501039</v>
      </c>
      <c r="F33" s="6">
        <f t="shared" si="20"/>
        <v>400.06864530770298</v>
      </c>
      <c r="G33" s="3"/>
      <c r="H33" s="22">
        <f>+H31*(B29/B28)</f>
        <v>475.88534934770831</v>
      </c>
      <c r="I33" s="22">
        <f t="shared" ref="I33" si="24">+I31*(C29/C28)</f>
        <v>1273.7551288007553</v>
      </c>
      <c r="J33" s="22">
        <f t="shared" ref="J33" si="25">+J31*(D29/D28)</f>
        <v>2339.2818248143376</v>
      </c>
      <c r="K33" s="22">
        <f t="shared" ref="K33" si="26">+K31*(E29/E28)</f>
        <v>3269.474505587676</v>
      </c>
      <c r="L33" s="22">
        <f t="shared" ref="L33" si="27">+L31*(F29/F28)</f>
        <v>3757.886755228556</v>
      </c>
      <c r="M33" s="4"/>
    </row>
    <row r="34" spans="1:19" x14ac:dyDescent="0.3">
      <c r="A34" s="5" t="s">
        <v>10</v>
      </c>
      <c r="B34" s="6">
        <f>B31-SUM(B32:B33)</f>
        <v>241.02479345554627</v>
      </c>
      <c r="C34" s="6">
        <f t="shared" ref="C34" si="28">C31-SUM(C32:C33)</f>
        <v>247.20491636466284</v>
      </c>
      <c r="D34" s="6">
        <f t="shared" ref="D34" si="29">D31-SUM(D32:D33)</f>
        <v>253.54350396375673</v>
      </c>
      <c r="E34" s="6">
        <f t="shared" ref="E34" si="30">E31-SUM(E32:E33)</f>
        <v>260.04461945000685</v>
      </c>
      <c r="F34" s="6">
        <f t="shared" ref="F34" si="31">F31-SUM(F32:F33)</f>
        <v>266.71243020513532</v>
      </c>
      <c r="G34" s="3"/>
      <c r="H34" s="22">
        <f>+H31*(B30/B28)</f>
        <v>536.26353556414551</v>
      </c>
      <c r="I34" s="22">
        <f t="shared" ref="I34" si="32">+I31*(C30/C28)</f>
        <v>1769.4021599117973</v>
      </c>
      <c r="J34" s="22">
        <f t="shared" ref="J34" si="33">+J31*(D30/D28)</f>
        <v>5257.6591397154298</v>
      </c>
      <c r="K34" s="22">
        <f t="shared" ref="K34" si="34">+K31*(E30/E28)</f>
        <v>9610.9017606457455</v>
      </c>
      <c r="L34" s="22">
        <f t="shared" ref="L34" si="35">+L31*(F30/F28)</f>
        <v>13269.678729257075</v>
      </c>
      <c r="M34" s="4"/>
      <c r="S34" s="27">
        <f>SUM(Q32:S32)</f>
        <v>125.9806765603802</v>
      </c>
    </row>
    <row r="35" spans="1:19" x14ac:dyDescent="0.3">
      <c r="A35" s="5" t="s">
        <v>22</v>
      </c>
      <c r="B35" s="6"/>
      <c r="C35" s="6"/>
      <c r="D35" s="6"/>
      <c r="E35" s="6"/>
      <c r="F35" s="6"/>
      <c r="G35" s="3"/>
      <c r="H35" s="4"/>
      <c r="I35" s="4"/>
      <c r="J35" s="4"/>
      <c r="K35" s="4"/>
      <c r="L35" s="4"/>
      <c r="M35" s="4"/>
      <c r="S35" s="23">
        <f>+S34/O32</f>
        <v>0.12000000000000001</v>
      </c>
    </row>
    <row r="36" spans="1:19" x14ac:dyDescent="0.3">
      <c r="A36" s="5" t="s">
        <v>20</v>
      </c>
      <c r="B36" s="6"/>
      <c r="C36" s="6"/>
      <c r="D36" s="6"/>
      <c r="E36" s="6"/>
      <c r="F36" s="6"/>
      <c r="G36" s="3"/>
      <c r="H36" s="22">
        <f>+B29*1000</f>
        <v>493.6062204690561</v>
      </c>
      <c r="I36" s="22">
        <f t="shared" ref="I36:I37" si="36">+C29*1000</f>
        <v>1288.1571567551102</v>
      </c>
      <c r="J36" s="22">
        <f t="shared" ref="J36:J37" si="37">+D29*1000</f>
        <v>2306.5882069973395</v>
      </c>
      <c r="K36" s="4"/>
      <c r="L36" s="4"/>
      <c r="M36" s="4"/>
      <c r="S36">
        <f>+O32*15%</f>
        <v>157.47584570047522</v>
      </c>
    </row>
    <row r="37" spans="1:19" x14ac:dyDescent="0.3">
      <c r="A37" s="5" t="s">
        <v>21</v>
      </c>
      <c r="B37" s="6"/>
      <c r="C37" s="6"/>
      <c r="D37" s="6"/>
      <c r="E37" s="6"/>
      <c r="F37" s="6"/>
      <c r="G37" s="3"/>
      <c r="H37" s="22">
        <f>+B30*1000</f>
        <v>556.23275086744547</v>
      </c>
      <c r="I37" s="22">
        <f t="shared" si="36"/>
        <v>1789.4083438268624</v>
      </c>
      <c r="J37" s="22">
        <f t="shared" si="37"/>
        <v>5184.1785113009601</v>
      </c>
      <c r="K37" s="4"/>
      <c r="L37" s="4"/>
      <c r="M37" s="4"/>
    </row>
  </sheetData>
  <phoneticPr fontId="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SPE</TermName>
          <TermId xmlns="http://schemas.microsoft.com/office/infopath/2007/PartnerControls">e1155322-03d8-4904-a51c-d7d7cbd8ca84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TaxCatchAll xmlns="68e55bdf-09da-4615-ad05-ac088d173743">
      <Value>2</Value>
      <Value>1</Value>
    </TaxCatchAll>
    <lcf76f155ced4ddcb4097134ff3c332f xmlns="42e4a2d1-7a9a-46f4-96b1-e49f7be52138">
      <Terms xmlns="http://schemas.microsoft.com/office/infopath/2007/PartnerControls"/>
    </lcf76f155ced4ddcb4097134ff3c332f>
    <_dlc_DocId xmlns="68e55bdf-09da-4615-ad05-ac088d173743">HJESJR6M7V5E-708027023-564</_dlc_DocId>
    <_dlc_DocIdUrl xmlns="68e55bdf-09da-4615-ad05-ac088d173743">
      <Url>https://mckinsey.sharepoint.com/sites/spe-int-g3shlooow/_layouts/15/DocIdRedir.aspx?ID=HJESJR6M7V5E-708027023-564</Url>
      <Description>HJESJR6M7V5E-708027023-564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C038584-E583-4F9D-841B-1202E70025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4F138-A23B-4E6C-90CD-9CACA60526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e55bdf-09da-4615-ad05-ac088d173743"/>
    <ds:schemaRef ds:uri="42e4a2d1-7a9a-46f4-96b1-e49f7be52138"/>
  </ds:schemaRefs>
</ds:datastoreItem>
</file>

<file path=customXml/itemProps3.xml><?xml version="1.0" encoding="utf-8"?>
<ds:datastoreItem xmlns:ds="http://schemas.openxmlformats.org/officeDocument/2006/customXml" ds:itemID="{8D3DC3E6-CBA9-4E32-A264-3778E4DCA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71E98DB-2AE0-40B3-BF36-C8C7B46D090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 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2025-07-14T11:28:46Z</dcterms:created>
  <dcterms:modified xsi:type="dcterms:W3CDTF">2025-09-18T11:59:10Z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0x0101008A8686E0F17B98438C91AA640C188FFD</vt:lpwstr>
  </property>
  <property fmtid="{D5CDD505-2E9C-101B-9397-08002B2CF9AE}" pid="3" name="DataSource">
    <vt:i4>2</vt:i4>
  </property>
  <property fmtid="{D5CDD505-2E9C-101B-9397-08002B2CF9AE}" pid="4" name="_dlc_DocIdItemGuid">
    <vt:lpwstr>aa0ec965-3a4e-4111-86c2-f2ee62d03c8f</vt:lpwstr>
  </property>
  <property fmtid="{D5CDD505-2E9C-101B-9397-08002B2CF9AE}" pid="5" name="SourceSystem">
    <vt:i4>1</vt:i4>
  </property>
</Properties>
</file>