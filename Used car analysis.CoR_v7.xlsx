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zoulis\Desktop\Used Car Analysis\"/>
    </mc:Choice>
  </mc:AlternateContent>
  <xr:revisionPtr revIDLastSave="0" documentId="13_ncr:1_{29519159-D21E-4F9C-BE34-5AC4A9F2579B}" xr6:coauthVersionLast="47" xr6:coauthVersionMax="47" xr10:uidLastSave="{00000000-0000-0000-0000-000000000000}"/>
  <bookViews>
    <workbookView xWindow="-120" yWindow="-120" windowWidth="29040" windowHeight="15720" tabRatio="545" firstSheet="1" activeTab="1" xr2:uid="{21252052-83E8-43D3-9642-6838CCCFE45F}"/>
  </bookViews>
  <sheets>
    <sheet name="Used car analysis draft" sheetId="5" state="hidden" r:id="rId1"/>
    <sheet name="Used car analysis" sheetId="6" r:id="rId2"/>
    <sheet name="New car analysis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F12" i="6"/>
  <c r="G12" i="6"/>
  <c r="H12" i="6"/>
  <c r="I12" i="6"/>
  <c r="J15" i="6"/>
  <c r="W11" i="6"/>
  <c r="V11" i="6"/>
  <c r="U11" i="6"/>
  <c r="T11" i="6"/>
  <c r="S11" i="6"/>
  <c r="X29" i="5" l="1"/>
  <c r="W29" i="5"/>
  <c r="V29" i="5"/>
  <c r="U29" i="5"/>
  <c r="T29" i="5"/>
  <c r="S29" i="5"/>
  <c r="Q29" i="5"/>
  <c r="P29" i="5"/>
  <c r="O29" i="5"/>
  <c r="N29" i="5"/>
  <c r="M29" i="5"/>
  <c r="L29" i="5"/>
  <c r="J29" i="5"/>
  <c r="I29" i="5"/>
  <c r="H29" i="5"/>
  <c r="G29" i="5"/>
  <c r="F29" i="5"/>
  <c r="E29" i="5"/>
  <c r="I28" i="6"/>
  <c r="G28" i="6"/>
  <c r="F28" i="6"/>
  <c r="Q43" i="6"/>
  <c r="M43" i="6" s="1"/>
  <c r="P43" i="6"/>
  <c r="O43" i="6"/>
  <c r="I43" i="6"/>
  <c r="H43" i="6"/>
  <c r="G43" i="6"/>
  <c r="F43" i="6"/>
  <c r="E43" i="6"/>
  <c r="J38" i="6"/>
  <c r="Q37" i="6"/>
  <c r="X37" i="6" s="1"/>
  <c r="N37" i="6"/>
  <c r="I37" i="6"/>
  <c r="H37" i="6"/>
  <c r="G37" i="6"/>
  <c r="F37" i="6"/>
  <c r="E37" i="6"/>
  <c r="Q36" i="6"/>
  <c r="X36" i="6" s="1"/>
  <c r="P36" i="6"/>
  <c r="I36" i="6"/>
  <c r="H36" i="6"/>
  <c r="G36" i="6"/>
  <c r="F36" i="6"/>
  <c r="E36" i="6"/>
  <c r="P35" i="6"/>
  <c r="I35" i="6"/>
  <c r="I33" i="6" s="1"/>
  <c r="H35" i="6"/>
  <c r="H33" i="6" s="1"/>
  <c r="G35" i="6"/>
  <c r="F35" i="6"/>
  <c r="E35" i="6"/>
  <c r="Q32" i="6"/>
  <c r="X32" i="6" s="1"/>
  <c r="P32" i="6"/>
  <c r="O32" i="6"/>
  <c r="N32" i="6"/>
  <c r="I32" i="6"/>
  <c r="H32" i="6"/>
  <c r="G32" i="6"/>
  <c r="F32" i="6"/>
  <c r="E32" i="6"/>
  <c r="Q31" i="6"/>
  <c r="O31" i="6" s="1"/>
  <c r="O38" i="6" s="1"/>
  <c r="P31" i="6"/>
  <c r="P38" i="6" s="1"/>
  <c r="I31" i="6"/>
  <c r="I38" i="6" s="1"/>
  <c r="H31" i="6"/>
  <c r="H38" i="6" s="1"/>
  <c r="G31" i="6"/>
  <c r="G38" i="6" s="1"/>
  <c r="F31" i="6"/>
  <c r="F38" i="6" s="1"/>
  <c r="E31" i="6"/>
  <c r="E38" i="6" s="1"/>
  <c r="Q30" i="6"/>
  <c r="O30" i="6" s="1"/>
  <c r="I30" i="6"/>
  <c r="H30" i="6"/>
  <c r="G30" i="6"/>
  <c r="F30" i="6"/>
  <c r="E30" i="6"/>
  <c r="P28" i="6"/>
  <c r="O28" i="6"/>
  <c r="X24" i="6"/>
  <c r="Q24" i="6"/>
  <c r="J24" i="6"/>
  <c r="W23" i="6"/>
  <c r="V23" i="6"/>
  <c r="U23" i="6"/>
  <c r="T23" i="6"/>
  <c r="S23" i="6"/>
  <c r="P23" i="6"/>
  <c r="O23" i="6"/>
  <c r="N23" i="6"/>
  <c r="M23" i="6"/>
  <c r="L23" i="6"/>
  <c r="I23" i="6"/>
  <c r="H23" i="6"/>
  <c r="G23" i="6"/>
  <c r="F23" i="6"/>
  <c r="E23" i="6"/>
  <c r="I22" i="6"/>
  <c r="P22" i="6" s="1"/>
  <c r="W22" i="6" s="1"/>
  <c r="H22" i="6"/>
  <c r="O22" i="6" s="1"/>
  <c r="V22" i="6" s="1"/>
  <c r="G22" i="6"/>
  <c r="N22" i="6" s="1"/>
  <c r="U22" i="6" s="1"/>
  <c r="F22" i="6"/>
  <c r="M22" i="6" s="1"/>
  <c r="T22" i="6" s="1"/>
  <c r="E22" i="6"/>
  <c r="L22" i="6" s="1"/>
  <c r="R20" i="6"/>
  <c r="K20" i="6"/>
  <c r="D20" i="6"/>
  <c r="E28" i="6"/>
  <c r="X6" i="6"/>
  <c r="Q6" i="6"/>
  <c r="J6" i="6"/>
  <c r="P5" i="6"/>
  <c r="W5" i="6" s="1"/>
  <c r="W35" i="6" s="1"/>
  <c r="O5" i="6"/>
  <c r="N5" i="6"/>
  <c r="M5" i="6"/>
  <c r="M35" i="6" s="1"/>
  <c r="L5" i="6"/>
  <c r="L35" i="6" s="1"/>
  <c r="D5" i="6"/>
  <c r="AA3" i="6"/>
  <c r="AA20" i="6" s="1"/>
  <c r="Z3" i="6"/>
  <c r="Z20" i="6" s="1"/>
  <c r="Y3" i="6"/>
  <c r="Y20" i="6" s="1"/>
  <c r="AA20" i="5"/>
  <c r="Z20" i="5"/>
  <c r="AA3" i="5"/>
  <c r="Z3" i="5"/>
  <c r="Y3" i="5"/>
  <c r="Y20" i="5"/>
  <c r="R20" i="5"/>
  <c r="K20" i="5"/>
  <c r="D20" i="5"/>
  <c r="X43" i="5"/>
  <c r="W43" i="5"/>
  <c r="V43" i="5"/>
  <c r="U43" i="5"/>
  <c r="T43" i="5"/>
  <c r="S43" i="5"/>
  <c r="R43" i="5" s="1"/>
  <c r="X24" i="5"/>
  <c r="W23" i="5"/>
  <c r="V23" i="5"/>
  <c r="U23" i="5"/>
  <c r="T23" i="5"/>
  <c r="S23" i="5"/>
  <c r="X6" i="5"/>
  <c r="I30" i="5"/>
  <c r="H30" i="5"/>
  <c r="G30" i="5"/>
  <c r="F30" i="5"/>
  <c r="E30" i="5"/>
  <c r="Q43" i="5"/>
  <c r="P43" i="5" s="1"/>
  <c r="Q32" i="5"/>
  <c r="X32" i="5" s="1"/>
  <c r="W32" i="5" s="1"/>
  <c r="P23" i="5"/>
  <c r="O23" i="5"/>
  <c r="N23" i="5"/>
  <c r="M23" i="5"/>
  <c r="L23" i="5"/>
  <c r="I22" i="5"/>
  <c r="P22" i="5" s="1"/>
  <c r="W22" i="5" s="1"/>
  <c r="H22" i="5"/>
  <c r="O22" i="5" s="1"/>
  <c r="V22" i="5" s="1"/>
  <c r="G22" i="5"/>
  <c r="N22" i="5" s="1"/>
  <c r="U22" i="5" s="1"/>
  <c r="F22" i="5"/>
  <c r="M22" i="5" s="1"/>
  <c r="T22" i="5" s="1"/>
  <c r="E22" i="5"/>
  <c r="L22" i="5" s="1"/>
  <c r="S22" i="5" s="1"/>
  <c r="O37" i="6" l="1"/>
  <c r="M37" i="6"/>
  <c r="N43" i="6"/>
  <c r="P37" i="6"/>
  <c r="X43" i="6"/>
  <c r="Q38" i="6"/>
  <c r="H34" i="6"/>
  <c r="L43" i="6"/>
  <c r="K43" i="6" s="1"/>
  <c r="L37" i="6"/>
  <c r="T37" i="6"/>
  <c r="U37" i="6"/>
  <c r="W37" i="6"/>
  <c r="V37" i="6"/>
  <c r="S37" i="6"/>
  <c r="I34" i="6"/>
  <c r="D22" i="6"/>
  <c r="G33" i="6"/>
  <c r="G34" i="6" s="1"/>
  <c r="G39" i="6" s="1"/>
  <c r="G40" i="6" s="1"/>
  <c r="G41" i="6" s="1"/>
  <c r="G42" i="6" s="1"/>
  <c r="G44" i="6" s="1"/>
  <c r="X30" i="6"/>
  <c r="H39" i="6"/>
  <c r="H40" i="6" s="1"/>
  <c r="H41" i="6" s="1"/>
  <c r="H42" i="6" s="1"/>
  <c r="H44" i="6" s="1"/>
  <c r="S5" i="6"/>
  <c r="S35" i="6" s="1"/>
  <c r="T5" i="6"/>
  <c r="T35" i="6" s="1"/>
  <c r="X23" i="6"/>
  <c r="S43" i="6"/>
  <c r="Q23" i="6"/>
  <c r="D11" i="6"/>
  <c r="J11" i="6" s="1"/>
  <c r="O34" i="6"/>
  <c r="O39" i="6" s="1"/>
  <c r="O40" i="6" s="1"/>
  <c r="O41" i="6" s="1"/>
  <c r="N35" i="6"/>
  <c r="U5" i="6"/>
  <c r="U35" i="6" s="1"/>
  <c r="S22" i="6"/>
  <c r="R22" i="6" s="1"/>
  <c r="K22" i="6"/>
  <c r="E33" i="6"/>
  <c r="E34" i="6" s="1"/>
  <c r="F33" i="6"/>
  <c r="F34" i="6" s="1"/>
  <c r="F39" i="6" s="1"/>
  <c r="F40" i="6" s="1"/>
  <c r="F41" i="6" s="1"/>
  <c r="F42" i="6" s="1"/>
  <c r="F44" i="6" s="1"/>
  <c r="D30" i="6"/>
  <c r="D32" i="6"/>
  <c r="D36" i="6"/>
  <c r="W36" i="6"/>
  <c r="V36" i="6"/>
  <c r="U36" i="6"/>
  <c r="T36" i="6"/>
  <c r="S36" i="6"/>
  <c r="R36" i="6" s="1"/>
  <c r="D35" i="6"/>
  <c r="J35" i="6" s="1"/>
  <c r="J33" i="6" s="1"/>
  <c r="J34" i="6" s="1"/>
  <c r="V32" i="6"/>
  <c r="U32" i="6"/>
  <c r="T32" i="6"/>
  <c r="S32" i="6"/>
  <c r="D37" i="6"/>
  <c r="D31" i="6"/>
  <c r="W32" i="6"/>
  <c r="J23" i="6"/>
  <c r="D38" i="6"/>
  <c r="I39" i="6"/>
  <c r="I40" i="6" s="1"/>
  <c r="I41" i="6" s="1"/>
  <c r="I42" i="6" s="1"/>
  <c r="I44" i="6" s="1"/>
  <c r="P33" i="6"/>
  <c r="P34" i="6" s="1"/>
  <c r="P39" i="6" s="1"/>
  <c r="P40" i="6" s="1"/>
  <c r="P41" i="6" s="1"/>
  <c r="P42" i="6" s="1"/>
  <c r="P44" i="6" s="1"/>
  <c r="K37" i="6"/>
  <c r="D43" i="6"/>
  <c r="L36" i="6"/>
  <c r="K5" i="6"/>
  <c r="M36" i="6"/>
  <c r="P30" i="6"/>
  <c r="N30" i="6"/>
  <c r="M30" i="6"/>
  <c r="L30" i="6"/>
  <c r="L32" i="6"/>
  <c r="N36" i="6"/>
  <c r="H28" i="6"/>
  <c r="D28" i="6" s="1"/>
  <c r="N31" i="6"/>
  <c r="N38" i="6" s="1"/>
  <c r="M31" i="6"/>
  <c r="M38" i="6" s="1"/>
  <c r="M33" i="6" s="1"/>
  <c r="L31" i="6"/>
  <c r="X31" i="6"/>
  <c r="M32" i="6"/>
  <c r="O36" i="6"/>
  <c r="O35" i="6"/>
  <c r="O33" i="6" s="1"/>
  <c r="V5" i="6"/>
  <c r="V35" i="6" s="1"/>
  <c r="R22" i="5"/>
  <c r="X23" i="5"/>
  <c r="S32" i="5"/>
  <c r="T32" i="5"/>
  <c r="U32" i="5"/>
  <c r="V32" i="5"/>
  <c r="Q23" i="5"/>
  <c r="L32" i="5"/>
  <c r="M32" i="5"/>
  <c r="N32" i="5"/>
  <c r="O32" i="5"/>
  <c r="P32" i="5"/>
  <c r="L43" i="5"/>
  <c r="M43" i="5"/>
  <c r="N43" i="5"/>
  <c r="O43" i="5"/>
  <c r="K22" i="5"/>
  <c r="D22" i="5"/>
  <c r="R37" i="6" l="1"/>
  <c r="D34" i="6"/>
  <c r="W43" i="6"/>
  <c r="T43" i="6"/>
  <c r="R43" i="6" s="1"/>
  <c r="U43" i="6"/>
  <c r="V43" i="6"/>
  <c r="K30" i="6"/>
  <c r="E39" i="6"/>
  <c r="E40" i="6" s="1"/>
  <c r="E41" i="6" s="1"/>
  <c r="V30" i="6"/>
  <c r="W30" i="6"/>
  <c r="U30" i="6"/>
  <c r="S30" i="6"/>
  <c r="T30" i="6"/>
  <c r="O42" i="6"/>
  <c r="O44" i="6" s="1"/>
  <c r="J28" i="6"/>
  <c r="J12" i="6"/>
  <c r="D33" i="6"/>
  <c r="R35" i="6"/>
  <c r="X35" i="6" s="1"/>
  <c r="M34" i="6"/>
  <c r="M39" i="6" s="1"/>
  <c r="M40" i="6" s="1"/>
  <c r="M41" i="6" s="1"/>
  <c r="M42" i="6" s="1"/>
  <c r="M44" i="6" s="1"/>
  <c r="K32" i="6"/>
  <c r="X38" i="6"/>
  <c r="U31" i="6"/>
  <c r="U38" i="6" s="1"/>
  <c r="U33" i="6" s="1"/>
  <c r="U34" i="6" s="1"/>
  <c r="W31" i="6"/>
  <c r="W38" i="6" s="1"/>
  <c r="V31" i="6"/>
  <c r="V38" i="6" s="1"/>
  <c r="V33" i="6" s="1"/>
  <c r="V34" i="6" s="1"/>
  <c r="T31" i="6"/>
  <c r="T38" i="6" s="1"/>
  <c r="S31" i="6"/>
  <c r="K36" i="6"/>
  <c r="N33" i="6"/>
  <c r="N34" i="6" s="1"/>
  <c r="N39" i="6" s="1"/>
  <c r="N40" i="6" s="1"/>
  <c r="N41" i="6" s="1"/>
  <c r="N42" i="6" s="1"/>
  <c r="N44" i="6" s="1"/>
  <c r="K35" i="6"/>
  <c r="Q35" i="6" s="1"/>
  <c r="Q33" i="6" s="1"/>
  <c r="K11" i="6"/>
  <c r="Q11" i="6" s="1"/>
  <c r="Q28" i="6" s="1"/>
  <c r="L28" i="6"/>
  <c r="Q34" i="6"/>
  <c r="J39" i="6"/>
  <c r="J40" i="6" s="1"/>
  <c r="J41" i="6" s="1"/>
  <c r="J42" i="6" s="1"/>
  <c r="J44" i="6" s="1"/>
  <c r="L38" i="6"/>
  <c r="K31" i="6"/>
  <c r="R32" i="6"/>
  <c r="R5" i="6"/>
  <c r="M28" i="6"/>
  <c r="N28" i="6"/>
  <c r="K32" i="5"/>
  <c r="R32" i="5"/>
  <c r="K43" i="5"/>
  <c r="K28" i="6" l="1"/>
  <c r="D40" i="6"/>
  <c r="D39" i="6"/>
  <c r="R30" i="6"/>
  <c r="T33" i="6"/>
  <c r="T34" i="6" s="1"/>
  <c r="T39" i="6" s="1"/>
  <c r="T40" i="6" s="1"/>
  <c r="T41" i="6" s="1"/>
  <c r="T42" i="6" s="1"/>
  <c r="T44" i="6" s="1"/>
  <c r="V39" i="6"/>
  <c r="V40" i="6" s="1"/>
  <c r="V41" i="6" s="1"/>
  <c r="V42" i="6" s="1"/>
  <c r="V44" i="6" s="1"/>
  <c r="K38" i="6"/>
  <c r="L33" i="6"/>
  <c r="S28" i="6"/>
  <c r="R11" i="6"/>
  <c r="X11" i="6" s="1"/>
  <c r="X28" i="6" s="1"/>
  <c r="W39" i="6"/>
  <c r="W40" i="6" s="1"/>
  <c r="W41" i="6" s="1"/>
  <c r="W42" i="6" s="1"/>
  <c r="W44" i="6" s="1"/>
  <c r="W33" i="6"/>
  <c r="W34" i="6" s="1"/>
  <c r="T28" i="6"/>
  <c r="U39" i="6"/>
  <c r="U40" i="6" s="1"/>
  <c r="U41" i="6" s="1"/>
  <c r="U42" i="6" s="1"/>
  <c r="U44" i="6" s="1"/>
  <c r="X34" i="6"/>
  <c r="X39" i="6" s="1"/>
  <c r="X40" i="6" s="1"/>
  <c r="X41" i="6" s="1"/>
  <c r="X42" i="6" s="1"/>
  <c r="X44" i="6" s="1"/>
  <c r="Q39" i="6"/>
  <c r="Q40" i="6" s="1"/>
  <c r="Q41" i="6" s="1"/>
  <c r="Q42" i="6" s="1"/>
  <c r="Q44" i="6" s="1"/>
  <c r="D41" i="6"/>
  <c r="E42" i="6"/>
  <c r="U28" i="6"/>
  <c r="S38" i="6"/>
  <c r="R31" i="6"/>
  <c r="V28" i="6"/>
  <c r="X33" i="6"/>
  <c r="W28" i="6"/>
  <c r="R28" i="6" l="1"/>
  <c r="R38" i="6"/>
  <c r="S33" i="6"/>
  <c r="K33" i="6"/>
  <c r="L34" i="6"/>
  <c r="D42" i="6"/>
  <c r="E44" i="6"/>
  <c r="K34" i="6" l="1"/>
  <c r="L39" i="6"/>
  <c r="D44" i="6"/>
  <c r="R33" i="6"/>
  <c r="S34" i="6"/>
  <c r="R34" i="6" l="1"/>
  <c r="S39" i="6"/>
  <c r="K39" i="6"/>
  <c r="L40" i="6"/>
  <c r="L41" i="6" l="1"/>
  <c r="K40" i="6"/>
  <c r="S40" i="6"/>
  <c r="R39" i="6"/>
  <c r="Q6" i="5"/>
  <c r="J6" i="5"/>
  <c r="P5" i="5"/>
  <c r="W5" i="5" s="1"/>
  <c r="W35" i="5" s="1"/>
  <c r="O5" i="5"/>
  <c r="V5" i="5" s="1"/>
  <c r="V35" i="5" s="1"/>
  <c r="N5" i="5"/>
  <c r="U5" i="5" s="1"/>
  <c r="U35" i="5" s="1"/>
  <c r="M5" i="5"/>
  <c r="T5" i="5" s="1"/>
  <c r="T35" i="5" s="1"/>
  <c r="L5" i="5"/>
  <c r="S5" i="5" s="1"/>
  <c r="I43" i="5"/>
  <c r="H43" i="5"/>
  <c r="G43" i="5"/>
  <c r="F43" i="5"/>
  <c r="E43" i="5"/>
  <c r="I37" i="5"/>
  <c r="H37" i="5"/>
  <c r="G37" i="5"/>
  <c r="F37" i="5"/>
  <c r="E37" i="5"/>
  <c r="I36" i="5"/>
  <c r="H36" i="5"/>
  <c r="G36" i="5"/>
  <c r="F36" i="5"/>
  <c r="E36" i="5"/>
  <c r="J38" i="5"/>
  <c r="I32" i="5"/>
  <c r="H32" i="5"/>
  <c r="G32" i="5"/>
  <c r="F32" i="5"/>
  <c r="E32" i="5"/>
  <c r="I31" i="5"/>
  <c r="I38" i="5" s="1"/>
  <c r="H31" i="5"/>
  <c r="H38" i="5" s="1"/>
  <c r="G31" i="5"/>
  <c r="G38" i="5" s="1"/>
  <c r="F31" i="5"/>
  <c r="F38" i="5" s="1"/>
  <c r="E31" i="5"/>
  <c r="E38" i="5" s="1"/>
  <c r="K41" i="6" l="1"/>
  <c r="L42" i="6"/>
  <c r="S41" i="6"/>
  <c r="R40" i="6"/>
  <c r="R5" i="5"/>
  <c r="S35" i="5"/>
  <c r="O35" i="5"/>
  <c r="L35" i="5"/>
  <c r="N35" i="5"/>
  <c r="P35" i="5"/>
  <c r="M35" i="5"/>
  <c r="K5" i="5"/>
  <c r="S42" i="6" l="1"/>
  <c r="R41" i="6"/>
  <c r="K42" i="6"/>
  <c r="L44" i="6"/>
  <c r="R35" i="5"/>
  <c r="X35" i="5" s="1"/>
  <c r="K35" i="5"/>
  <c r="Q35" i="5" s="1"/>
  <c r="K44" i="6" l="1"/>
  <c r="S44" i="6"/>
  <c r="R42" i="6"/>
  <c r="R44" i="6" l="1"/>
  <c r="I11" i="5" l="1"/>
  <c r="H11" i="5"/>
  <c r="G11" i="5"/>
  <c r="F11" i="5"/>
  <c r="E11" i="5"/>
  <c r="I35" i="5" l="1"/>
  <c r="I33" i="5" s="1"/>
  <c r="I34" i="5" s="1"/>
  <c r="I39" i="5" s="1"/>
  <c r="I23" i="5"/>
  <c r="H35" i="5"/>
  <c r="H33" i="5" s="1"/>
  <c r="H34" i="5" s="1"/>
  <c r="H39" i="5" s="1"/>
  <c r="H28" i="5"/>
  <c r="H23" i="5"/>
  <c r="G35" i="5"/>
  <c r="G33" i="5" s="1"/>
  <c r="G34" i="5" s="1"/>
  <c r="G39" i="5" s="1"/>
  <c r="G23" i="5"/>
  <c r="F35" i="5"/>
  <c r="F33" i="5" s="1"/>
  <c r="F34" i="5" s="1"/>
  <c r="F39" i="5" s="1"/>
  <c r="F28" i="5"/>
  <c r="F23" i="5"/>
  <c r="E35" i="5"/>
  <c r="E23" i="5"/>
  <c r="G28" i="5"/>
  <c r="I28" i="5"/>
  <c r="E28" i="5"/>
  <c r="D5" i="5"/>
  <c r="J23" i="5" l="1"/>
  <c r="E33" i="5"/>
  <c r="E34" i="5" s="1"/>
  <c r="E39" i="5" s="1"/>
  <c r="D39" i="5" s="1"/>
  <c r="D38" i="5"/>
  <c r="D37" i="5"/>
  <c r="D36" i="5"/>
  <c r="D43" i="5"/>
  <c r="D28" i="5"/>
  <c r="D32" i="5"/>
  <c r="D31" i="5"/>
  <c r="D30" i="5"/>
  <c r="D35" i="5"/>
  <c r="J35" i="5" s="1"/>
  <c r="J33" i="5" s="1"/>
  <c r="J34" i="5" s="1"/>
  <c r="J39" i="5" s="1"/>
  <c r="H40" i="5"/>
  <c r="H41" i="5" s="1"/>
  <c r="H42" i="5" s="1"/>
  <c r="H44" i="5" s="1"/>
  <c r="G40" i="5"/>
  <c r="G41" i="5" s="1"/>
  <c r="G42" i="5" s="1"/>
  <c r="G44" i="5" s="1"/>
  <c r="F40" i="5"/>
  <c r="F41" i="5" s="1"/>
  <c r="F42" i="5" s="1"/>
  <c r="F44" i="5" s="1"/>
  <c r="I40" i="5"/>
  <c r="I41" i="5" s="1"/>
  <c r="I42" i="5" s="1"/>
  <c r="I44" i="5" s="1"/>
  <c r="D11" i="5"/>
  <c r="D33" i="5" l="1"/>
  <c r="E40" i="5"/>
  <c r="D34" i="5"/>
  <c r="E41" i="5" l="1"/>
  <c r="D40" i="5"/>
  <c r="E42" i="5" l="1"/>
  <c r="D41" i="5"/>
  <c r="J40" i="5"/>
  <c r="Q36" i="5"/>
  <c r="X36" i="5" s="1"/>
  <c r="W36" i="5" l="1"/>
  <c r="U36" i="5"/>
  <c r="V36" i="5"/>
  <c r="S36" i="5"/>
  <c r="T36" i="5"/>
  <c r="N36" i="5"/>
  <c r="M36" i="5"/>
  <c r="L36" i="5"/>
  <c r="P36" i="5"/>
  <c r="O36" i="5"/>
  <c r="E44" i="5"/>
  <c r="D44" i="5" s="1"/>
  <c r="D42" i="5"/>
  <c r="J41" i="5"/>
  <c r="J42" i="5" s="1"/>
  <c r="J44" i="5" s="1"/>
  <c r="R36" i="5" l="1"/>
  <c r="K36" i="5"/>
  <c r="Q37" i="5"/>
  <c r="X37" i="5" s="1"/>
  <c r="Q34" i="5"/>
  <c r="X34" i="5" s="1"/>
  <c r="Q31" i="5"/>
  <c r="X31" i="5" s="1"/>
  <c r="Q24" i="5"/>
  <c r="J24" i="5"/>
  <c r="X38" i="5" l="1"/>
  <c r="X33" i="5" s="1"/>
  <c r="W31" i="5"/>
  <c r="W38" i="5" s="1"/>
  <c r="W33" i="5" s="1"/>
  <c r="W34" i="5" s="1"/>
  <c r="W39" i="5" s="1"/>
  <c r="W40" i="5" s="1"/>
  <c r="V31" i="5"/>
  <c r="V38" i="5" s="1"/>
  <c r="V33" i="5" s="1"/>
  <c r="V34" i="5" s="1"/>
  <c r="V39" i="5" s="1"/>
  <c r="V40" i="5" s="1"/>
  <c r="U31" i="5"/>
  <c r="U38" i="5" s="1"/>
  <c r="T31" i="5"/>
  <c r="T38" i="5" s="1"/>
  <c r="S31" i="5"/>
  <c r="X39" i="5"/>
  <c r="X40" i="5" s="1"/>
  <c r="X41" i="5" s="1"/>
  <c r="X42" i="5" s="1"/>
  <c r="X44" i="5" s="1"/>
  <c r="W37" i="5"/>
  <c r="V37" i="5"/>
  <c r="U37" i="5"/>
  <c r="T37" i="5"/>
  <c r="S37" i="5"/>
  <c r="R37" i="5" s="1"/>
  <c r="Q38" i="5"/>
  <c r="Q33" i="5" s="1"/>
  <c r="P31" i="5"/>
  <c r="P38" i="5" s="1"/>
  <c r="O31" i="5"/>
  <c r="O38" i="5" s="1"/>
  <c r="L31" i="5"/>
  <c r="N31" i="5"/>
  <c r="N38" i="5" s="1"/>
  <c r="M31" i="5"/>
  <c r="M38" i="5" s="1"/>
  <c r="N37" i="5"/>
  <c r="M37" i="5"/>
  <c r="P37" i="5"/>
  <c r="O37" i="5"/>
  <c r="L37" i="5"/>
  <c r="Q39" i="5"/>
  <c r="Q40" i="5" s="1"/>
  <c r="Q41" i="5" s="1"/>
  <c r="Q42" i="5" s="1"/>
  <c r="Q44" i="5" s="1"/>
  <c r="J28" i="5"/>
  <c r="J14" i="5"/>
  <c r="Q30" i="5"/>
  <c r="X30" i="5" s="1"/>
  <c r="W30" i="5" l="1"/>
  <c r="T30" i="5"/>
  <c r="U30" i="5"/>
  <c r="V30" i="5"/>
  <c r="S30" i="5"/>
  <c r="R30" i="5" s="1"/>
  <c r="S38" i="5"/>
  <c r="R31" i="5"/>
  <c r="T33" i="5"/>
  <c r="T34" i="5" s="1"/>
  <c r="T39" i="5" s="1"/>
  <c r="T40" i="5" s="1"/>
  <c r="T41" i="5" s="1"/>
  <c r="T42" i="5" s="1"/>
  <c r="T44" i="5" s="1"/>
  <c r="U33" i="5"/>
  <c r="U34" i="5" s="1"/>
  <c r="U39" i="5" s="1"/>
  <c r="U40" i="5" s="1"/>
  <c r="U41" i="5" s="1"/>
  <c r="U42" i="5" s="1"/>
  <c r="U44" i="5" s="1"/>
  <c r="V41" i="5"/>
  <c r="V42" i="5" s="1"/>
  <c r="V44" i="5" s="1"/>
  <c r="W41" i="5"/>
  <c r="W42" i="5" s="1"/>
  <c r="W44" i="5" s="1"/>
  <c r="P30" i="5"/>
  <c r="N30" i="5"/>
  <c r="O30" i="5"/>
  <c r="M30" i="5"/>
  <c r="L30" i="5"/>
  <c r="M33" i="5"/>
  <c r="M34" i="5" s="1"/>
  <c r="M39" i="5" s="1"/>
  <c r="M40" i="5" s="1"/>
  <c r="M41" i="5" s="1"/>
  <c r="M42" i="5" s="1"/>
  <c r="M44" i="5" s="1"/>
  <c r="N33" i="5"/>
  <c r="N34" i="5" s="1"/>
  <c r="N39" i="5" s="1"/>
  <c r="N40" i="5" s="1"/>
  <c r="N41" i="5" s="1"/>
  <c r="N42" i="5" s="1"/>
  <c r="N44" i="5" s="1"/>
  <c r="L38" i="5"/>
  <c r="K31" i="5"/>
  <c r="O33" i="5"/>
  <c r="O34" i="5" s="1"/>
  <c r="O39" i="5" s="1"/>
  <c r="O40" i="5" s="1"/>
  <c r="O41" i="5" s="1"/>
  <c r="O42" i="5" s="1"/>
  <c r="O44" i="5" s="1"/>
  <c r="P33" i="5"/>
  <c r="P34" i="5" s="1"/>
  <c r="P39" i="5" s="1"/>
  <c r="P40" i="5" s="1"/>
  <c r="P41" i="5" s="1"/>
  <c r="P42" i="5" s="1"/>
  <c r="P44" i="5" s="1"/>
  <c r="K37" i="5"/>
  <c r="R38" i="5" l="1"/>
  <c r="S33" i="5"/>
  <c r="K30" i="5"/>
  <c r="K38" i="5"/>
  <c r="L33" i="5"/>
  <c r="D20" i="3"/>
  <c r="F22" i="3"/>
  <c r="F9" i="3"/>
  <c r="Q11" i="5"/>
  <c r="X11" i="5" s="1"/>
  <c r="X28" i="5" l="1"/>
  <c r="T11" i="5"/>
  <c r="T28" i="5" s="1"/>
  <c r="U11" i="5"/>
  <c r="U28" i="5" s="1"/>
  <c r="V11" i="5"/>
  <c r="V28" i="5" s="1"/>
  <c r="S11" i="5"/>
  <c r="W11" i="5"/>
  <c r="W28" i="5" s="1"/>
  <c r="R33" i="5"/>
  <c r="S34" i="5"/>
  <c r="K33" i="5"/>
  <c r="L34" i="5"/>
  <c r="P11" i="5"/>
  <c r="P28" i="5" s="1"/>
  <c r="O11" i="5"/>
  <c r="O28" i="5" s="1"/>
  <c r="N11" i="5"/>
  <c r="N28" i="5" s="1"/>
  <c r="M11" i="5"/>
  <c r="M28" i="5" s="1"/>
  <c r="L11" i="5"/>
  <c r="L28" i="5" s="1"/>
  <c r="Q28" i="5"/>
  <c r="J12" i="5"/>
  <c r="S28" i="5" l="1"/>
  <c r="R28" i="5" s="1"/>
  <c r="R11" i="5"/>
  <c r="Q12" i="5"/>
  <c r="X12" i="5"/>
  <c r="W12" i="5" s="1"/>
  <c r="R34" i="5"/>
  <c r="S39" i="5"/>
  <c r="X45" i="5"/>
  <c r="X46" i="5" s="1"/>
  <c r="V12" i="5"/>
  <c r="U12" i="5"/>
  <c r="T12" i="5"/>
  <c r="S12" i="5"/>
  <c r="K28" i="5"/>
  <c r="K34" i="5"/>
  <c r="L39" i="5"/>
  <c r="K11" i="5"/>
  <c r="I12" i="5"/>
  <c r="H12" i="5"/>
  <c r="G12" i="5"/>
  <c r="F12" i="5"/>
  <c r="E12" i="5"/>
  <c r="J45" i="5"/>
  <c r="J46" i="5" s="1"/>
  <c r="J13" i="5"/>
  <c r="Q13" i="5" s="1"/>
  <c r="X13" i="5" s="1"/>
  <c r="R12" i="5" l="1"/>
  <c r="T45" i="5"/>
  <c r="T46" i="5" s="1"/>
  <c r="U45" i="5"/>
  <c r="U46" i="5" s="1"/>
  <c r="W13" i="5"/>
  <c r="W14" i="5" s="1"/>
  <c r="W15" i="5" s="1"/>
  <c r="V13" i="5"/>
  <c r="S13" i="5"/>
  <c r="T13" i="5"/>
  <c r="T14" i="5" s="1"/>
  <c r="T15" i="5" s="1"/>
  <c r="U13" i="5"/>
  <c r="U14" i="5" s="1"/>
  <c r="U15" i="5" s="1"/>
  <c r="V45" i="5"/>
  <c r="V46" i="5" s="1"/>
  <c r="V14" i="5"/>
  <c r="V15" i="5" s="1"/>
  <c r="X14" i="5"/>
  <c r="X15" i="5" s="1"/>
  <c r="W45" i="5"/>
  <c r="W46" i="5" s="1"/>
  <c r="R39" i="5"/>
  <c r="S40" i="5"/>
  <c r="K39" i="5"/>
  <c r="L40" i="5"/>
  <c r="Q14" i="5"/>
  <c r="I13" i="5"/>
  <c r="I14" i="5" s="1"/>
  <c r="H13" i="5"/>
  <c r="G13" i="5"/>
  <c r="F13" i="5"/>
  <c r="E13" i="5"/>
  <c r="E14" i="5" s="1"/>
  <c r="E45" i="5"/>
  <c r="E46" i="5" s="1"/>
  <c r="D12" i="5"/>
  <c r="F45" i="5"/>
  <c r="F46" i="5" s="1"/>
  <c r="G45" i="5"/>
  <c r="G46" i="5" s="1"/>
  <c r="H45" i="5"/>
  <c r="H46" i="5" s="1"/>
  <c r="I45" i="5"/>
  <c r="I46" i="5" s="1"/>
  <c r="R13" i="5" l="1"/>
  <c r="R40" i="5"/>
  <c r="S41" i="5"/>
  <c r="R29" i="5"/>
  <c r="S14" i="5"/>
  <c r="D46" i="5"/>
  <c r="I15" i="5"/>
  <c r="F14" i="5"/>
  <c r="F15" i="5" s="1"/>
  <c r="K40" i="5"/>
  <c r="L41" i="5"/>
  <c r="H14" i="5"/>
  <c r="H15" i="5" s="1"/>
  <c r="G14" i="5"/>
  <c r="G15" i="5" s="1"/>
  <c r="E15" i="5"/>
  <c r="P13" i="5"/>
  <c r="O13" i="5"/>
  <c r="N13" i="5"/>
  <c r="M13" i="5"/>
  <c r="L13" i="5"/>
  <c r="D45" i="5"/>
  <c r="D29" i="5"/>
  <c r="D13" i="5"/>
  <c r="R14" i="5" l="1"/>
  <c r="S15" i="5"/>
  <c r="R15" i="5" s="1"/>
  <c r="R41" i="5"/>
  <c r="S42" i="5"/>
  <c r="D14" i="5"/>
  <c r="K41" i="5"/>
  <c r="L42" i="5"/>
  <c r="D15" i="5"/>
  <c r="K13" i="5"/>
  <c r="O12" i="5"/>
  <c r="P12" i="5"/>
  <c r="M12" i="5"/>
  <c r="N12" i="5"/>
  <c r="Q45" i="5"/>
  <c r="Q46" i="5" s="1"/>
  <c r="Q15" i="5"/>
  <c r="L12" i="5"/>
  <c r="R42" i="5" l="1"/>
  <c r="S44" i="5"/>
  <c r="M14" i="5"/>
  <c r="M15" i="5" s="1"/>
  <c r="M45" i="5"/>
  <c r="M46" i="5" s="1"/>
  <c r="P14" i="5"/>
  <c r="P15" i="5" s="1"/>
  <c r="P45" i="5"/>
  <c r="P46" i="5" s="1"/>
  <c r="K42" i="5"/>
  <c r="L44" i="5"/>
  <c r="K44" i="5" s="1"/>
  <c r="K12" i="5"/>
  <c r="L14" i="5"/>
  <c r="O14" i="5"/>
  <c r="O15" i="5" s="1"/>
  <c r="O45" i="5"/>
  <c r="O46" i="5" s="1"/>
  <c r="N14" i="5"/>
  <c r="N15" i="5" s="1"/>
  <c r="N45" i="5"/>
  <c r="N46" i="5" s="1"/>
  <c r="R44" i="5" l="1"/>
  <c r="S45" i="5"/>
  <c r="K14" i="5"/>
  <c r="L15" i="5"/>
  <c r="K15" i="5" s="1"/>
  <c r="L45" i="5"/>
  <c r="K29" i="5"/>
  <c r="R45" i="5" l="1"/>
  <c r="S46" i="5"/>
  <c r="R46" i="5" s="1"/>
  <c r="L46" i="5"/>
  <c r="K46" i="5" s="1"/>
  <c r="K45" i="5"/>
  <c r="E29" i="6"/>
  <c r="S12" i="6"/>
  <c r="S29" i="6" s="1"/>
  <c r="L12" i="6"/>
  <c r="W12" i="6"/>
  <c r="N12" i="6"/>
  <c r="N29" i="6" s="1"/>
  <c r="N45" i="6" s="1"/>
  <c r="N46" i="6" s="1"/>
  <c r="V12" i="6"/>
  <c r="V29" i="6" s="1"/>
  <c r="V45" i="6" s="1"/>
  <c r="V46" i="6" s="1"/>
  <c r="O12" i="6"/>
  <c r="O29" i="6" s="1"/>
  <c r="O45" i="6" s="1"/>
  <c r="O46" i="6" s="1"/>
  <c r="J29" i="6"/>
  <c r="J45" i="6" s="1"/>
  <c r="J46" i="6" s="1"/>
  <c r="I29" i="6"/>
  <c r="I45" i="6" s="1"/>
  <c r="I46" i="6" s="1"/>
  <c r="H29" i="6"/>
  <c r="H45" i="6" s="1"/>
  <c r="H46" i="6" s="1"/>
  <c r="U12" i="6"/>
  <c r="G29" i="6"/>
  <c r="G45" i="6" s="1"/>
  <c r="G46" i="6" s="1"/>
  <c r="J13" i="6"/>
  <c r="E13" i="6" s="1"/>
  <c r="P12" i="6"/>
  <c r="L29" i="6" l="1"/>
  <c r="L45" i="6" s="1"/>
  <c r="L46" i="6" s="1"/>
  <c r="U29" i="6"/>
  <c r="U45" i="6" s="1"/>
  <c r="U46" i="6" s="1"/>
  <c r="S45" i="6"/>
  <c r="P29" i="6"/>
  <c r="P45" i="6" s="1"/>
  <c r="P46" i="6" s="1"/>
  <c r="L13" i="6"/>
  <c r="S13" i="6"/>
  <c r="E14" i="6"/>
  <c r="W29" i="6"/>
  <c r="W45" i="6" s="1"/>
  <c r="W46" i="6" s="1"/>
  <c r="I13" i="6"/>
  <c r="G13" i="6"/>
  <c r="H13" i="6"/>
  <c r="E45" i="6"/>
  <c r="V13" i="6" l="1"/>
  <c r="V14" i="6" s="1"/>
  <c r="V15" i="6" s="1"/>
  <c r="H14" i="6"/>
  <c r="H15" i="6" s="1"/>
  <c r="O13" i="6"/>
  <c r="O14" i="6" s="1"/>
  <c r="O15" i="6" s="1"/>
  <c r="I14" i="6"/>
  <c r="I15" i="6" s="1"/>
  <c r="W13" i="6"/>
  <c r="W14" i="6" s="1"/>
  <c r="W15" i="6" s="1"/>
  <c r="P13" i="6"/>
  <c r="P14" i="6" s="1"/>
  <c r="P15" i="6" s="1"/>
  <c r="E15" i="6"/>
  <c r="E46" i="6"/>
  <c r="N13" i="6"/>
  <c r="N14" i="6" s="1"/>
  <c r="N15" i="6" s="1"/>
  <c r="G14" i="6"/>
  <c r="G15" i="6" s="1"/>
  <c r="U13" i="6"/>
  <c r="U14" i="6" s="1"/>
  <c r="U15" i="6" s="1"/>
  <c r="S46" i="6"/>
  <c r="S14" i="6"/>
  <c r="L14" i="6"/>
  <c r="L15" i="6" l="1"/>
  <c r="S15" i="6"/>
  <c r="T12" i="6"/>
  <c r="F13" i="6"/>
  <c r="F14" i="6" s="1"/>
  <c r="F15" i="6" s="1"/>
  <c r="D15" i="6" s="1"/>
  <c r="D13" i="6"/>
  <c r="F29" i="6"/>
  <c r="D29" i="6" s="1"/>
  <c r="M12" i="6"/>
  <c r="M29" i="6" s="1"/>
  <c r="K12" i="6"/>
  <c r="Q12" i="6" s="1"/>
  <c r="Q29" i="6" s="1"/>
  <c r="Q45" i="6" s="1"/>
  <c r="Q46" i="6" s="1"/>
  <c r="D12" i="6"/>
  <c r="F45" i="6" l="1"/>
  <c r="F46" i="6" s="1"/>
  <c r="D46" i="6" s="1"/>
  <c r="R12" i="6"/>
  <c r="X12" i="6" s="1"/>
  <c r="X29" i="6" s="1"/>
  <c r="X45" i="6" s="1"/>
  <c r="X46" i="6" s="1"/>
  <c r="T13" i="6"/>
  <c r="R13" i="6" s="1"/>
  <c r="X13" i="6" s="1"/>
  <c r="M13" i="6"/>
  <c r="M14" i="6" s="1"/>
  <c r="K14" i="6" s="1"/>
  <c r="D45" i="6"/>
  <c r="K29" i="6"/>
  <c r="M45" i="6"/>
  <c r="D14" i="6"/>
  <c r="T29" i="6"/>
  <c r="T14" i="6" l="1"/>
  <c r="M15" i="6"/>
  <c r="K15" i="6" s="1"/>
  <c r="K13" i="6"/>
  <c r="Q13" i="6" s="1"/>
  <c r="Q14" i="6" s="1"/>
  <c r="Q15" i="6" s="1"/>
  <c r="X14" i="6"/>
  <c r="X15" i="6" s="1"/>
  <c r="R29" i="6"/>
  <c r="T45" i="6"/>
  <c r="M46" i="6"/>
  <c r="K46" i="6" s="1"/>
  <c r="K45" i="6"/>
  <c r="T15" i="6" l="1"/>
  <c r="R15" i="6" s="1"/>
  <c r="R14" i="6"/>
  <c r="T46" i="6"/>
  <c r="R46" i="6" s="1"/>
  <c r="R4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tc={9507B251-CE94-4D0D-B5B3-A85A10E70140}</author>
    <author>tc={4ECE6856-01C1-4940-AEE0-F7160F616C9B}</author>
    <author>tc={1318938D-723E-421C-BD93-DDAB57332D5A}</author>
  </authors>
  <commentList>
    <comment ref="D8" authorId="0" shapeId="0" xr:uid="{9507B251-CE94-4D0D-B5B3-A85A10E701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Bad rate at mob 18 of 2023</t>
      </text>
    </comment>
    <comment ref="D9" authorId="1" shapeId="0" xr:uid="{4ECE6856-01C1-4940-AEE0-F7160F61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Retail Finance tables (vintage 18 of 2023 new cars)</t>
      </text>
    </comment>
    <comment ref="D20" authorId="2" shapeId="0" xr:uid="{1318938D-723E-421C-BD93-DDAB57332D5A}">
      <text>
        <t>[Threaded comment]
Your version of Excel allows you to read this threaded comment; however, any edits to it will get removed if the file is opened in a newer version of Excel. Learn more: https://go.microsoft.com/fwlink/?linkid=870924
Comment:
    = bad rate * new LGL</t>
      </text>
    </comment>
  </commentList>
</comments>
</file>

<file path=xl/sharedStrings.xml><?xml version="1.0" encoding="utf-8"?>
<sst xmlns="http://schemas.openxmlformats.org/spreadsheetml/2006/main" count="309" uniqueCount="92">
  <si>
    <t>Scenario A: Eurobank does not develop repossession capabilities</t>
  </si>
  <si>
    <t>Owner</t>
  </si>
  <si>
    <t>Credit policy</t>
  </si>
  <si>
    <t>Business</t>
  </si>
  <si>
    <t>Initiative:</t>
  </si>
  <si>
    <t>Metrics</t>
  </si>
  <si>
    <t xml:space="preserve">(1) No initiative </t>
  </si>
  <si>
    <t>Bad rates, %</t>
  </si>
  <si>
    <t>Applications disbursed, %</t>
  </si>
  <si>
    <t>Applications Approved &amp; Cancelled, %</t>
  </si>
  <si>
    <t>Applications Rejected, %</t>
  </si>
  <si>
    <t>RAR, €M</t>
  </si>
  <si>
    <t>Financing disbursements, €M</t>
  </si>
  <si>
    <t>Cost of Risk, %</t>
  </si>
  <si>
    <t>Scenario B: Eurobank develops repossession capabilities</t>
  </si>
  <si>
    <t>Car residual value, %</t>
  </si>
  <si>
    <t xml:space="preserve">Bad rates, % </t>
  </si>
  <si>
    <t>Applications Counteroffer &amp; Cancelled, %</t>
  </si>
  <si>
    <t xml:space="preserve">not necessary </t>
  </si>
  <si>
    <t>LGD</t>
  </si>
  <si>
    <t>NEW ESTIMATED LGD based on RV 43% as calculated in the excel "Repossesion Business Case" =</t>
  </si>
  <si>
    <t>Cure Rates %</t>
  </si>
  <si>
    <t>Payment Rates %</t>
  </si>
  <si>
    <t>(3) Evolve Bank's risk appetite final</t>
  </si>
  <si>
    <t>Yearly depreciation rate</t>
  </si>
  <si>
    <t>Downpayment %</t>
  </si>
  <si>
    <t>O/B at default as % of disbursed (amort effect)</t>
  </si>
  <si>
    <t>Car residual value, % of disb amount</t>
  </si>
  <si>
    <t>Car residual value, % of default amount</t>
  </si>
  <si>
    <t>Interest rate for NPV calc</t>
  </si>
  <si>
    <t>Car residual value, % of default amount (NPV)</t>
  </si>
  <si>
    <t>Assumptions on parameters / Sources / Comments</t>
  </si>
  <si>
    <t>mob 18 PD at 2023 after policy mitigation actions as shown in the below PBI image, source Retail Risk</t>
  </si>
  <si>
    <t>Minor increase is estimated, like total bad rate of 2022 when no mandatory downpayment was in place (see PBI image below), source Retail Risk</t>
  </si>
  <si>
    <t>80% of (1-LGD) is assumed to come from cure and the rest from cash payment of non-cures based on historical recovery data, source CAC</t>
  </si>
  <si>
    <t>Same as above</t>
  </si>
  <si>
    <t>Same scalar applied to cash payment rate</t>
  </si>
  <si>
    <t>Starting point LGD calculated as cost of risk / PD</t>
  </si>
  <si>
    <t>Higher LGD due to lower cure and payment rate of this segment</t>
  </si>
  <si>
    <t>From Retail Finance tables (vintage 18 of 2023 used cars), source Retail Risk / Retail Finance</t>
  </si>
  <si>
    <t>Cost of Risk = PD * LGD</t>
  </si>
  <si>
    <t>Same as with no repossession scenario above</t>
  </si>
  <si>
    <t>Cash payment rates for non-cured are turned to 0. Either the account cures or the car is repossessed.</t>
  </si>
  <si>
    <t>Auto Loans average interest rate for NPV calculation of car residual value</t>
  </si>
  <si>
    <t>This is the expected recovery rate at disbursement from repossession as a ratio to the disbursed amount.</t>
  </si>
  <si>
    <t>This is the expected recovery rate at default from repossession as a ratio to the defaulted amount.</t>
  </si>
  <si>
    <t>Same as above but in terms of NPV at the point of default. 1 year of discounting between default and repossession.</t>
  </si>
  <si>
    <t>LGD including repossession value.</t>
  </si>
  <si>
    <t>Amortization effect between disbursement and month 20 of the loan which is the last month that a payment will be made in case of default. Default is assumed at 24 months, i.e. 2 years from disbursement. source "Auto Lending_Working file_Risk_exercise", amortization tab</t>
  </si>
  <si>
    <t>Total</t>
  </si>
  <si>
    <t>DP 0-10</t>
  </si>
  <si>
    <t>DP 10-20</t>
  </si>
  <si>
    <t>DP 20-35</t>
  </si>
  <si>
    <t>DP 35-50</t>
  </si>
  <si>
    <t>DP 50+</t>
  </si>
  <si>
    <t>Repossesion costs variable as % of residual car value before costs</t>
  </si>
  <si>
    <t>Repossesion costs fixed as % of residual car value before costs</t>
  </si>
  <si>
    <t>Repossesion costs total as % of residual car value before costs</t>
  </si>
  <si>
    <t>Car residual value before costs, % of car value at disb</t>
  </si>
  <si>
    <t>Car residual value after costs, % of car value at disb</t>
  </si>
  <si>
    <t>Repossession success rate</t>
  </si>
  <si>
    <t>Car residual value, % of default amount (NPV) &amp; success rate</t>
  </si>
  <si>
    <t>Weighted average</t>
  </si>
  <si>
    <t>Downpayment band</t>
  </si>
  <si>
    <t>Share in Total</t>
  </si>
  <si>
    <t>2024 mix, source Retail Risk</t>
  </si>
  <si>
    <t>2022 mix, source Retail Risk</t>
  </si>
  <si>
    <t>New mix, source "Auto Lending_Working file_Risk_exercise", amortization tab</t>
  </si>
  <si>
    <t>Mix with the assumption that the extra disbursements will fall under the High-risk segment PD as depicted below (average of 20121-2-3), source Retail Risk</t>
  </si>
  <si>
    <t>95% of initial based on worse downpayment %,based on defaults and cures of 2021-2025, source CAC</t>
  </si>
  <si>
    <t>80% of initial based on worse downpayment %,based on defaults and cures of 2021-2025, source CAC</t>
  </si>
  <si>
    <t>7% across all scenarios, source "Auto Lending_Working file_Risk_exercise", depreciation tabs</t>
  </si>
  <si>
    <t>Additional depreciation due to aggravated condition of repossessed vehicles = 10% + Channel sales margin (average of dealers and other channels) = 5% + Additional discount for not repurchased cars = 3%</t>
  </si>
  <si>
    <t>Fixed costs per repossession = 1.5 k, divided by residual car value. Average disbursement amount assumed at 10k, downpayment % and depreciation % are included in the calculation.</t>
  </si>
  <si>
    <t>Sum of variable and fixed costs.</t>
  </si>
  <si>
    <t>Downpayment % of each band per each scenario.</t>
  </si>
  <si>
    <t>Repossession occurs 3 years after disbursement, i.e. 1 year after default. This includes only deprecation of the vehicle value.</t>
  </si>
  <si>
    <t>Value after costs applied at depreciated amount</t>
  </si>
  <si>
    <t>This is the repossession success rate</t>
  </si>
  <si>
    <t>This is the expected recovery amount of the vehicle afte taking into account the repossession success rate.</t>
  </si>
  <si>
    <t>Cure rate is assumed to drop by 40% due to repossession. Only natural curing will occur.</t>
  </si>
  <si>
    <t>(2) Return to 2021 policy for downpayment</t>
  </si>
  <si>
    <t>mob 18 PD at 2023 after policy mitigation actions, source Retail Risk</t>
  </si>
  <si>
    <t>Increase is estimated, like total bad rate of 2021 when no mandatory downpayment was in place, source Retail Risk</t>
  </si>
  <si>
    <t>2023 mix, source Retail Risk</t>
  </si>
  <si>
    <t>2021 mix, source Retail Risk</t>
  </si>
  <si>
    <t>New mix</t>
  </si>
  <si>
    <t>Mix with the assumption that the extra disbursements in the low downpayments will have a higher bad rate.</t>
  </si>
  <si>
    <t>Higher LGD due to lower cure and payment rate of the mix</t>
  </si>
  <si>
    <t>80% of (1-LGD) is assumed to come from cure and the rest from cash payment of non-cures based on historical recovery data, scalars applied per dp segment based on defaults and cures of 2021-2025, source CAC</t>
  </si>
  <si>
    <t>Cure rates per segment are the same, weighted average cure rate drops due to portfolio mix.</t>
  </si>
  <si>
    <t>Starting point LGD = 61,5, source 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</si>
</sst>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3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6"/>
      <name val="Arial"/>
      <family val="2"/>
      <scheme val="minor"/>
    </font>
    <font>
      <b/>
      <sz val="22"/>
      <name val="Georgia"/>
      <family val="2"/>
      <scheme val="major"/>
    </font>
    <font>
      <sz val="11"/>
      <color theme="3"/>
      <name val="Arial"/>
      <family val="2"/>
      <scheme val="minor"/>
    </font>
    <font>
      <sz val="11"/>
      <color rgb="FF0000FF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b/>
      <sz val="11"/>
      <color rgb="FF003366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61"/>
      <scheme val="minor"/>
    </font>
    <font>
      <b/>
      <sz val="11"/>
      <color theme="0"/>
      <name val="Arial"/>
      <family val="2"/>
      <charset val="161"/>
      <scheme val="minor"/>
    </font>
    <font>
      <b/>
      <sz val="11"/>
      <color rgb="FF000000"/>
      <name val="Arial"/>
      <family val="2"/>
      <charset val="161"/>
      <scheme val="minor"/>
    </font>
    <font>
      <b/>
      <sz val="11"/>
      <color rgb="FF0000FF"/>
      <name val="Arial"/>
      <family val="2"/>
      <charset val="161"/>
      <scheme val="minor"/>
    </font>
    <font>
      <sz val="11"/>
      <name val="Arial"/>
      <family val="2"/>
      <charset val="161"/>
      <scheme val="minor"/>
    </font>
    <font>
      <sz val="11"/>
      <color rgb="FF0000FF"/>
      <name val="Arial"/>
      <family val="2"/>
      <charset val="161"/>
      <scheme val="minor"/>
    </font>
    <font>
      <b/>
      <sz val="11"/>
      <color theme="1"/>
      <name val="Arial"/>
      <family val="2"/>
      <charset val="161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00206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7F7F7F"/>
      </bottom>
      <diagonal/>
    </border>
    <border>
      <left/>
      <right/>
      <top style="thick">
        <color rgb="FF4D4D4D"/>
      </top>
      <bottom style="thick">
        <color rgb="FF4D4D4D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auto="1"/>
      </top>
      <bottom style="hair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0">
    <xf numFmtId="0" fontId="0" fillId="0" borderId="0"/>
    <xf numFmtId="0" fontId="15" fillId="11" borderId="0" applyNumberFormat="0" applyAlignment="0" applyProtection="0">
      <alignment vertical="center"/>
    </xf>
    <xf numFmtId="0" fontId="10" fillId="0" borderId="0" applyNumberFormat="0" applyAlignment="0" applyProtection="0"/>
    <xf numFmtId="0" fontId="3" fillId="0" borderId="6" applyNumberFormat="0" applyAlignment="0" applyProtection="0"/>
    <xf numFmtId="0" fontId="7" fillId="8" borderId="0" applyNumberFormat="0" applyAlignment="0" applyProtection="0">
      <alignment vertical="center"/>
    </xf>
    <xf numFmtId="0" fontId="2" fillId="2" borderId="1" applyNumberFormat="0" applyProtection="0">
      <alignment vertical="center"/>
    </xf>
    <xf numFmtId="0" fontId="16" fillId="0" borderId="0" applyNumberFormat="0" applyAlignment="0" applyProtection="0">
      <alignment vertical="center"/>
    </xf>
    <xf numFmtId="0" fontId="1" fillId="10" borderId="0" applyNumberFormat="0" applyAlignment="0" applyProtection="0">
      <alignment vertical="center"/>
    </xf>
    <xf numFmtId="0" fontId="11" fillId="3" borderId="0" applyNumberFormat="0" applyBorder="0" applyAlignment="0" applyProtection="0"/>
    <xf numFmtId="0" fontId="4" fillId="4" borderId="2" applyNumberFormat="0" applyAlignment="0" applyProtection="0"/>
    <xf numFmtId="0" fontId="5" fillId="5" borderId="2" applyNumberFormat="0" applyAlignment="0" applyProtection="0"/>
    <xf numFmtId="0" fontId="6" fillId="0" borderId="3" applyNumberFormat="0" applyFill="0" applyAlignment="0" applyProtection="0"/>
    <xf numFmtId="0" fontId="7" fillId="6" borderId="4" applyNumberFormat="0" applyAlignment="0" applyProtection="0"/>
    <xf numFmtId="0" fontId="8" fillId="0" borderId="0" applyNumberFormat="0" applyFill="0" applyBorder="0" applyAlignment="0" applyProtection="0"/>
    <xf numFmtId="0" fontId="1" fillId="7" borderId="5" applyNumberFormat="0" applyFont="0" applyAlignment="0" applyProtection="0"/>
    <xf numFmtId="0" fontId="9" fillId="0" borderId="0" applyNumberFormat="0" applyFill="0" applyBorder="0" applyAlignment="0" applyProtection="0"/>
    <xf numFmtId="0" fontId="14" fillId="0" borderId="0" applyNumberFormat="0" applyAlignment="0" applyProtection="0"/>
    <xf numFmtId="0" fontId="3" fillId="9" borderId="0" applyNumberFormat="0" applyAlignment="0" applyProtection="0">
      <alignment vertical="center"/>
    </xf>
    <xf numFmtId="0" fontId="3" fillId="0" borderId="7" applyNumberFormat="0" applyAlignment="0" applyProtection="0"/>
    <xf numFmtId="0" fontId="12" fillId="0" borderId="0" applyNumberFormat="0" applyAlignment="0" applyProtection="0">
      <alignment vertical="center"/>
    </xf>
    <xf numFmtId="0" fontId="13" fillId="0" borderId="0" applyNumberFormat="0" applyAlignment="0" applyProtection="0">
      <alignment vertical="center"/>
    </xf>
    <xf numFmtId="0" fontId="8" fillId="0" borderId="0" applyNumberFormat="0" applyAlignment="0" applyProtection="0">
      <alignment vertical="center"/>
    </xf>
    <xf numFmtId="0" fontId="17" fillId="0" borderId="0" applyNumberFormat="0" applyAlignment="0" applyProtection="0">
      <alignment vertical="center"/>
    </xf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0" borderId="0"/>
    <xf numFmtId="0" fontId="1" fillId="0" borderId="0"/>
    <xf numFmtId="0" fontId="20" fillId="0" borderId="0"/>
    <xf numFmtId="0" fontId="1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7" fillId="14" borderId="9" xfId="0" applyFont="1" applyFill="1" applyBorder="1"/>
    <xf numFmtId="0" fontId="19" fillId="0" borderId="9" xfId="0" applyFont="1" applyBorder="1"/>
    <xf numFmtId="0" fontId="18" fillId="15" borderId="8" xfId="0" applyFont="1" applyFill="1" applyBorder="1"/>
    <xf numFmtId="0" fontId="18" fillId="15" borderId="0" xfId="0" applyFont="1" applyFill="1"/>
    <xf numFmtId="0" fontId="19" fillId="0" borderId="11" xfId="0" applyFont="1" applyBorder="1"/>
    <xf numFmtId="0" fontId="19" fillId="0" borderId="10" xfId="0" applyFont="1" applyBorder="1"/>
    <xf numFmtId="0" fontId="19" fillId="0" borderId="12" xfId="0" applyFont="1" applyBorder="1"/>
    <xf numFmtId="164" fontId="0" fillId="0" borderId="0" xfId="0" applyNumberFormat="1"/>
    <xf numFmtId="0" fontId="11" fillId="0" borderId="0" xfId="0" applyFont="1"/>
    <xf numFmtId="0" fontId="7" fillId="14" borderId="9" xfId="0" applyFont="1" applyFill="1" applyBorder="1" applyAlignment="1">
      <alignment horizontal="center"/>
    </xf>
    <xf numFmtId="0" fontId="18" fillId="15" borderId="8" xfId="0" applyFont="1" applyFill="1" applyBorder="1" applyAlignment="1">
      <alignment horizontal="center"/>
    </xf>
    <xf numFmtId="9" fontId="16" fillId="0" borderId="11" xfId="0" applyNumberFormat="1" applyFont="1" applyBorder="1" applyAlignment="1">
      <alignment horizontal="center"/>
    </xf>
    <xf numFmtId="9" fontId="16" fillId="0" borderId="9" xfId="0" applyNumberFormat="1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64" fontId="16" fillId="0" borderId="9" xfId="0" applyNumberFormat="1" applyFont="1" applyBorder="1" applyAlignment="1">
      <alignment horizontal="center"/>
    </xf>
    <xf numFmtId="164" fontId="16" fillId="0" borderId="12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64" fontId="16" fillId="0" borderId="9" xfId="29" applyNumberFormat="1" applyFont="1" applyBorder="1" applyAlignment="1">
      <alignment horizontal="center"/>
    </xf>
    <xf numFmtId="9" fontId="16" fillId="17" borderId="10" xfId="0" applyNumberFormat="1" applyFont="1" applyFill="1" applyBorder="1" applyAlignment="1">
      <alignment horizontal="center"/>
    </xf>
    <xf numFmtId="164" fontId="0" fillId="17" borderId="0" xfId="0" applyNumberForma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164" fontId="11" fillId="0" borderId="12" xfId="29" applyNumberFormat="1" applyFont="1" applyBorder="1" applyAlignment="1">
      <alignment horizontal="center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18" fillId="15" borderId="8" xfId="0" applyFont="1" applyFill="1" applyBorder="1" applyAlignment="1">
      <alignment vertical="center"/>
    </xf>
    <xf numFmtId="0" fontId="18" fillId="15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2" fillId="0" borderId="9" xfId="0" applyFont="1" applyBorder="1" applyAlignment="1">
      <alignment vertical="center"/>
    </xf>
    <xf numFmtId="0" fontId="7" fillId="14" borderId="9" xfId="0" applyFont="1" applyFill="1" applyBorder="1" applyAlignment="1">
      <alignment vertical="center"/>
    </xf>
    <xf numFmtId="0" fontId="19" fillId="0" borderId="11" xfId="0" applyFont="1" applyBorder="1" applyAlignment="1">
      <alignment vertical="center"/>
    </xf>
    <xf numFmtId="9" fontId="16" fillId="0" borderId="11" xfId="0" applyNumberFormat="1" applyFont="1" applyBorder="1" applyAlignment="1">
      <alignment horizontal="center" vertical="center" wrapText="1"/>
    </xf>
    <xf numFmtId="9" fontId="24" fillId="0" borderId="11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vertical="center"/>
    </xf>
    <xf numFmtId="0" fontId="16" fillId="0" borderId="9" xfId="0" applyFont="1" applyBorder="1" applyAlignment="1">
      <alignment horizontal="center" vertical="center" wrapText="1"/>
    </xf>
    <xf numFmtId="9" fontId="24" fillId="0" borderId="9" xfId="0" applyNumberFormat="1" applyFont="1" applyBorder="1" applyAlignment="1">
      <alignment horizontal="center" vertical="center" wrapText="1"/>
    </xf>
    <xf numFmtId="0" fontId="19" fillId="0" borderId="8" xfId="0" applyFont="1" applyBorder="1" applyAlignment="1">
      <alignment vertical="center"/>
    </xf>
    <xf numFmtId="164" fontId="16" fillId="0" borderId="8" xfId="0" applyNumberFormat="1" applyFont="1" applyBorder="1" applyAlignment="1">
      <alignment horizontal="center" vertical="center" wrapText="1"/>
    </xf>
    <xf numFmtId="0" fontId="22" fillId="0" borderId="8" xfId="0" applyFont="1" applyBorder="1" applyAlignment="1">
      <alignment vertical="center"/>
    </xf>
    <xf numFmtId="0" fontId="22" fillId="18" borderId="12" xfId="0" applyFont="1" applyFill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64" fontId="16" fillId="0" borderId="8" xfId="29" applyNumberFormat="1" applyFont="1" applyBorder="1" applyAlignment="1">
      <alignment horizontal="center" vertical="center" wrapText="1"/>
    </xf>
    <xf numFmtId="164" fontId="23" fillId="0" borderId="8" xfId="29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24" fillId="18" borderId="12" xfId="0" applyNumberFormat="1" applyFont="1" applyFill="1" applyBorder="1" applyAlignment="1">
      <alignment horizontal="center" vertical="center" wrapText="1"/>
    </xf>
    <xf numFmtId="164" fontId="16" fillId="0" borderId="8" xfId="29" applyNumberFormat="1" applyFont="1" applyFill="1" applyBorder="1" applyAlignment="1">
      <alignment horizontal="center" vertical="center" wrapText="1"/>
    </xf>
    <xf numFmtId="9" fontId="18" fillId="15" borderId="8" xfId="0" applyNumberFormat="1" applyFont="1" applyFill="1" applyBorder="1" applyAlignment="1">
      <alignment horizontal="center" vertical="center" wrapText="1"/>
    </xf>
    <xf numFmtId="164" fontId="25" fillId="0" borderId="8" xfId="29" applyNumberFormat="1" applyFont="1" applyBorder="1" applyAlignment="1">
      <alignment horizontal="center" vertical="center" wrapText="1"/>
    </xf>
    <xf numFmtId="164" fontId="25" fillId="0" borderId="11" xfId="0" applyNumberFormat="1" applyFont="1" applyBorder="1" applyAlignment="1">
      <alignment horizontal="center" vertical="center" wrapText="1"/>
    </xf>
    <xf numFmtId="164" fontId="25" fillId="0" borderId="8" xfId="0" applyNumberFormat="1" applyFont="1" applyBorder="1" applyAlignment="1">
      <alignment horizontal="center" vertical="center" wrapText="1"/>
    </xf>
    <xf numFmtId="0" fontId="18" fillId="15" borderId="0" xfId="0" applyFont="1" applyFill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18" fillId="15" borderId="16" xfId="0" applyFont="1" applyFill="1" applyBorder="1" applyAlignment="1">
      <alignment horizontal="center" vertical="center" wrapText="1"/>
    </xf>
    <xf numFmtId="0" fontId="18" fillId="15" borderId="17" xfId="0" applyFont="1" applyFill="1" applyBorder="1" applyAlignment="1">
      <alignment horizontal="center" vertical="center" wrapText="1"/>
    </xf>
    <xf numFmtId="164" fontId="18" fillId="15" borderId="16" xfId="0" applyNumberFormat="1" applyFont="1" applyFill="1" applyBorder="1" applyAlignment="1">
      <alignment horizontal="center" vertical="center" wrapText="1"/>
    </xf>
    <xf numFmtId="9" fontId="18" fillId="15" borderId="17" xfId="0" applyNumberFormat="1" applyFont="1" applyFill="1" applyBorder="1" applyAlignment="1">
      <alignment horizontal="center" vertical="center" wrapText="1"/>
    </xf>
    <xf numFmtId="9" fontId="16" fillId="0" borderId="18" xfId="0" applyNumberFormat="1" applyFont="1" applyBorder="1" applyAlignment="1">
      <alignment horizontal="center" vertical="center" wrapText="1"/>
    </xf>
    <xf numFmtId="9" fontId="16" fillId="0" borderId="19" xfId="0" applyNumberFormat="1" applyFont="1" applyBorder="1" applyAlignment="1">
      <alignment horizontal="center" vertical="center" wrapText="1"/>
    </xf>
    <xf numFmtId="164" fontId="25" fillId="0" borderId="18" xfId="0" applyNumberFormat="1" applyFont="1" applyBorder="1" applyAlignment="1">
      <alignment horizontal="center" vertical="center" wrapText="1"/>
    </xf>
    <xf numFmtId="164" fontId="25" fillId="0" borderId="19" xfId="0" applyNumberFormat="1" applyFont="1" applyBorder="1" applyAlignment="1">
      <alignment horizontal="center" vertical="center" wrapText="1"/>
    </xf>
    <xf numFmtId="164" fontId="25" fillId="0" borderId="17" xfId="0" applyNumberFormat="1" applyFont="1" applyBorder="1" applyAlignment="1">
      <alignment horizontal="center" vertical="center" wrapText="1"/>
    </xf>
    <xf numFmtId="164" fontId="23" fillId="18" borderId="20" xfId="0" applyNumberFormat="1" applyFont="1" applyFill="1" applyBorder="1" applyAlignment="1">
      <alignment horizontal="center" vertical="center" wrapText="1"/>
    </xf>
    <xf numFmtId="164" fontId="23" fillId="18" borderId="21" xfId="0" applyNumberFormat="1" applyFont="1" applyFill="1" applyBorder="1" applyAlignment="1">
      <alignment horizontal="center" vertical="center" wrapText="1"/>
    </xf>
    <xf numFmtId="164" fontId="23" fillId="18" borderId="22" xfId="0" applyNumberFormat="1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164" fontId="25" fillId="0" borderId="11" xfId="29" applyNumberFormat="1" applyFont="1" applyBorder="1" applyAlignment="1">
      <alignment horizontal="center" vertical="center" wrapText="1"/>
    </xf>
    <xf numFmtId="164" fontId="25" fillId="0" borderId="19" xfId="29" applyNumberFormat="1" applyFont="1" applyBorder="1" applyAlignment="1">
      <alignment horizontal="center" vertical="center" wrapText="1"/>
    </xf>
    <xf numFmtId="164" fontId="16" fillId="0" borderId="17" xfId="29" applyNumberFormat="1" applyFont="1" applyBorder="1" applyAlignment="1">
      <alignment horizontal="center" vertical="center" wrapText="1"/>
    </xf>
    <xf numFmtId="164" fontId="16" fillId="0" borderId="17" xfId="29" applyNumberFormat="1" applyFont="1" applyFill="1" applyBorder="1" applyAlignment="1">
      <alignment horizontal="center" vertical="center" wrapText="1"/>
    </xf>
    <xf numFmtId="164" fontId="16" fillId="0" borderId="17" xfId="0" applyNumberFormat="1" applyFont="1" applyBorder="1" applyAlignment="1">
      <alignment horizontal="center" vertical="center" wrapText="1"/>
    </xf>
    <xf numFmtId="164" fontId="23" fillId="0" borderId="18" xfId="0" applyNumberFormat="1" applyFont="1" applyBorder="1" applyAlignment="1">
      <alignment horizontal="center" vertical="center" wrapText="1"/>
    </xf>
    <xf numFmtId="164" fontId="23" fillId="0" borderId="17" xfId="29" applyNumberFormat="1" applyFont="1" applyBorder="1" applyAlignment="1">
      <alignment horizontal="center" vertical="center" wrapText="1"/>
    </xf>
    <xf numFmtId="164" fontId="25" fillId="20" borderId="8" xfId="0" applyNumberFormat="1" applyFont="1" applyFill="1" applyBorder="1" applyAlignment="1">
      <alignment horizontal="center" vertical="center" wrapText="1"/>
    </xf>
    <xf numFmtId="9" fontId="16" fillId="20" borderId="19" xfId="0" applyNumberFormat="1" applyFont="1" applyFill="1" applyBorder="1" applyAlignment="1">
      <alignment horizontal="center" vertical="center" wrapText="1"/>
    </xf>
    <xf numFmtId="164" fontId="23" fillId="0" borderId="11" xfId="29" applyNumberFormat="1" applyFont="1" applyBorder="1" applyAlignment="1">
      <alignment horizontal="center" vertical="center" wrapText="1"/>
    </xf>
    <xf numFmtId="164" fontId="23" fillId="0" borderId="19" xfId="29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164" fontId="23" fillId="20" borderId="11" xfId="0" applyNumberFormat="1" applyFont="1" applyFill="1" applyBorder="1" applyAlignment="1">
      <alignment horizontal="center" vertical="center" wrapText="1"/>
    </xf>
    <xf numFmtId="164" fontId="23" fillId="0" borderId="19" xfId="0" applyNumberFormat="1" applyFont="1" applyBorder="1" applyAlignment="1">
      <alignment horizontal="center" vertical="center" wrapText="1"/>
    </xf>
    <xf numFmtId="164" fontId="23" fillId="0" borderId="8" xfId="0" applyNumberFormat="1" applyFont="1" applyBorder="1" applyAlignment="1">
      <alignment horizontal="center" vertical="center" wrapText="1"/>
    </xf>
    <xf numFmtId="164" fontId="23" fillId="0" borderId="17" xfId="0" applyNumberFormat="1" applyFont="1" applyBorder="1" applyAlignment="1">
      <alignment horizontal="center" vertical="center" wrapText="1"/>
    </xf>
    <xf numFmtId="9" fontId="24" fillId="0" borderId="11" xfId="0" applyNumberFormat="1" applyFont="1" applyBorder="1" applyAlignment="1">
      <alignment horizontal="center" vertical="center" wrapText="1"/>
    </xf>
    <xf numFmtId="0" fontId="7" fillId="19" borderId="11" xfId="0" applyFont="1" applyFill="1" applyBorder="1" applyAlignment="1">
      <alignment horizontal="center" vertical="center" wrapText="1"/>
    </xf>
    <xf numFmtId="164" fontId="24" fillId="0" borderId="8" xfId="0" applyNumberFormat="1" applyFont="1" applyBorder="1" applyAlignment="1">
      <alignment horizontal="center" vertical="center" wrapText="1"/>
    </xf>
    <xf numFmtId="0" fontId="18" fillId="15" borderId="13" xfId="0" applyFont="1" applyFill="1" applyBorder="1" applyAlignment="1">
      <alignment horizontal="center" vertical="center" wrapText="1"/>
    </xf>
    <xf numFmtId="0" fontId="18" fillId="15" borderId="14" xfId="0" applyFont="1" applyFill="1" applyBorder="1" applyAlignment="1">
      <alignment horizontal="center" vertical="center" wrapText="1"/>
    </xf>
    <xf numFmtId="0" fontId="18" fillId="15" borderId="15" xfId="0" applyFont="1" applyFill="1" applyBorder="1" applyAlignment="1">
      <alignment horizontal="center" vertical="center" wrapText="1"/>
    </xf>
    <xf numFmtId="9" fontId="24" fillId="0" borderId="18" xfId="0" applyNumberFormat="1" applyFont="1" applyBorder="1" applyAlignment="1">
      <alignment horizontal="center" vertical="center" wrapText="1"/>
    </xf>
    <xf numFmtId="0" fontId="18" fillId="15" borderId="8" xfId="0" applyFont="1" applyFill="1" applyBorder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18" fillId="15" borderId="10" xfId="0" applyFont="1" applyFill="1" applyBorder="1" applyAlignment="1">
      <alignment horizontal="left" vertical="center"/>
    </xf>
    <xf numFmtId="164" fontId="24" fillId="18" borderId="12" xfId="0" applyNumberFormat="1" applyFont="1" applyFill="1" applyBorder="1" applyAlignment="1">
      <alignment horizontal="center" vertical="center" wrapText="1"/>
    </xf>
    <xf numFmtId="0" fontId="21" fillId="16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 wrapText="1"/>
    </xf>
    <xf numFmtId="164" fontId="25" fillId="0" borderId="18" xfId="0" applyNumberFormat="1" applyFont="1" applyFill="1" applyBorder="1" applyAlignment="1">
      <alignment horizontal="center" vertical="center" wrapText="1"/>
    </xf>
  </cellXfs>
  <cellStyles count="30">
    <cellStyle name="Accent4" xfId="23" builtinId="41" customBuiltin="1"/>
    <cellStyle name="Accent6" xfId="24" builtinId="49" customBuiltin="1"/>
    <cellStyle name="Bad" xfId="8" builtinId="27" customBuiltin="1"/>
    <cellStyle name="Calculation" xfId="10" builtinId="22" hidden="1"/>
    <cellStyle name="Calculation" xfId="19" xr:uid="{BA044971-647E-4B43-BDF3-B9F90685EA06}"/>
    <cellStyle name="Check Cell" xfId="12" builtinId="23" hidden="1"/>
    <cellStyle name="Explanatory Text" xfId="15" builtinId="53" hidden="1"/>
    <cellStyle name="Heading 1" xfId="2" builtinId="16" customBuiltin="1"/>
    <cellStyle name="Heading 2" xfId="3" builtinId="17" customBuiltin="1"/>
    <cellStyle name="Heading 3" xfId="4" builtinId="18" customBuiltin="1"/>
    <cellStyle name="Heading 4" xfId="17" builtinId="19" customBuiltin="1"/>
    <cellStyle name="Input" xfId="9" builtinId="20" hidden="1"/>
    <cellStyle name="Link" xfId="20" xr:uid="{F6F335AB-58A7-4135-B553-B7C2CE08F402}"/>
    <cellStyle name="Linked Cell" xfId="11" builtinId="24" hidden="1"/>
    <cellStyle name="Normal" xfId="0" builtinId="0"/>
    <cellStyle name="Normal 2" xfId="26" xr:uid="{770D50FD-DD2F-483F-9ABC-7018C05E1B79}"/>
    <cellStyle name="Normal 2 2" xfId="28" xr:uid="{416271FE-68E1-445B-9E85-6658959DF572}"/>
    <cellStyle name="Normal 3" xfId="27" xr:uid="{ECB42AC0-7323-4064-872C-CEB0E14D469D}"/>
    <cellStyle name="Normal 4" xfId="25" xr:uid="{43F4F976-4ABC-4995-9E29-B80BDC5D2807}"/>
    <cellStyle name="Note" xfId="14" builtinId="10" hidden="1"/>
    <cellStyle name="Notes" xfId="22" xr:uid="{7BF13CA6-F5E1-45BE-8ABA-DF8882E10889}"/>
    <cellStyle name="Output" xfId="5" builtinId="21" hidden="1" customBuiltin="1"/>
    <cellStyle name="Output" xfId="1" xr:uid="{DDC8B129-E4EA-4CC9-B7C4-EEF8799DAD76}"/>
    <cellStyle name="Percent" xfId="29" builtinId="5"/>
    <cellStyle name="Raw Data" xfId="6" xr:uid="{6E154805-33DE-42D5-80BA-AF332D8E7637}"/>
    <cellStyle name="Title" xfId="16" builtinId="15" customBuiltin="1"/>
    <cellStyle name="Total" xfId="18" builtinId="25" customBuiltin="1"/>
    <cellStyle name="Variables" xfId="7" xr:uid="{F06CDAB5-849E-4246-87E8-405DA417694B}"/>
    <cellStyle name="Warning" xfId="21" xr:uid="{270F583D-5642-40BB-8274-77A9A43F50AB}"/>
    <cellStyle name="Warning Text" xfId="13" builtinId="11" hidden="1"/>
  </cellStyles>
  <dxfs count="18"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7" defaultTableStyle="Firm Table 1" defaultPivotStyle="PivotStyleLight16">
    <tableStyle name="Firm Table 1" pivot="0" count="3" xr9:uid="{EBA62709-C567-4EE8-B22C-FB062E3CEA69}">
      <tableStyleElement type="wholeTable" dxfId="17"/>
      <tableStyleElement type="headerRow" dxfId="16"/>
      <tableStyleElement type="firstColumn" dxfId="15"/>
    </tableStyle>
    <tableStyle name="Firm Table 2" pivot="0" count="2" xr9:uid="{B876A247-FB3A-4EAD-8ABF-DECA13B726A4}">
      <tableStyleElement type="headerRow" dxfId="14"/>
      <tableStyleElement type="firstColumn" dxfId="13"/>
    </tableStyle>
    <tableStyle name="Firm Table 3" pivot="0" count="2" xr9:uid="{2B6AAF42-6E59-4306-B0DA-5849423BC35A}">
      <tableStyleElement type="headerRow" dxfId="12"/>
      <tableStyleElement type="firstColumn" dxfId="11"/>
    </tableStyle>
    <tableStyle name="Firm Table 4" pivot="0" count="3" xr9:uid="{32B30501-1584-4AD4-A03A-1FBBE68503FC}">
      <tableStyleElement type="wholeTable" dxfId="10"/>
      <tableStyleElement type="headerRow" dxfId="9"/>
      <tableStyleElement type="firstColumn" dxfId="8"/>
    </tableStyle>
    <tableStyle name="Firm Table 5" pivot="0" count="2" xr9:uid="{5186B738-23FD-49C9-A79F-52302289DB42}">
      <tableStyleElement type="headerRow" dxfId="7"/>
      <tableStyleElement type="firstColumn" dxfId="6"/>
    </tableStyle>
    <tableStyle name="Firm Table 6" pivot="0" count="3" xr9:uid="{5115FDC7-826F-425C-92C7-D20F38226ADA}">
      <tableStyleElement type="wholeTable" dxfId="5"/>
      <tableStyleElement type="headerRow" dxfId="4"/>
      <tableStyleElement type="firstColumn" dxfId="3"/>
    </tableStyle>
    <tableStyle name="Firm Table 7" pivot="0" count="3" xr9:uid="{084FD9DC-CC97-454E-8CBD-B2EE3CD956D6}">
      <tableStyleElement type="headerRow" dxfId="2"/>
      <tableStyleElement type="firstColumn" dxfId="1"/>
      <tableStyleElement type="secondRowStripe" dxfId="0"/>
    </tableStyle>
  </tableStyles>
  <colors>
    <mruColors>
      <color rgb="FFE73535"/>
      <color rgb="FF0000FF"/>
      <color rgb="FFF2F2F2"/>
      <color rgb="FFD0D0D0"/>
      <color rgb="FF7F7F7F"/>
      <color rgb="FF0080B7"/>
      <color rgb="FFE6E6E6"/>
      <color rgb="FFFAA082"/>
      <color rgb="FF71D2F1"/>
      <color rgb="FF8C5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10</xdr:col>
      <xdr:colOff>951036</xdr:colOff>
      <xdr:row>76</xdr:row>
      <xdr:rowOff>109365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8A64C2-D337-438A-BD63-3DCE79888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" y="4556760"/>
          <a:ext cx="12239898" cy="44908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130969</xdr:colOff>
      <xdr:row>52</xdr:row>
      <xdr:rowOff>35719</xdr:rowOff>
    </xdr:from>
    <xdr:to>
      <xdr:col>2</xdr:col>
      <xdr:colOff>4252913</xdr:colOff>
      <xdr:row>67</xdr:row>
      <xdr:rowOff>107156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6FA8FC-232F-53C8-1A8F-F1F9B52B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157" y="14930438"/>
          <a:ext cx="6050756" cy="2750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3</xdr:col>
      <xdr:colOff>623065</xdr:colOff>
      <xdr:row>30</xdr:row>
      <xdr:rowOff>19967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CAE3C3-B291-DF5D-2C49-2C93BA187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5405" y="4376351"/>
          <a:ext cx="3485714" cy="8952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sematika Kyriaki" id="{B8362976-ED7F-46B6-A87F-D0DB6C3A9FD3}" userId="S::kpsematika@eurobank.gr::7866e73e-89f0-4abb-a556-f92f299a3357" providerId="AD"/>
</personList>
</file>

<file path=xl/theme/theme1.xml><?xml version="1.0" encoding="utf-8"?>
<a:theme xmlns:a="http://schemas.openxmlformats.org/drawingml/2006/main" name="excel">
  <a:themeElements>
    <a:clrScheme name="Custom 24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061F79"/>
      </a:accent1>
      <a:accent2>
        <a:srgbClr val="00A9F4"/>
      </a:accent2>
      <a:accent3>
        <a:srgbClr val="2251FF"/>
      </a:accent3>
      <a:accent4>
        <a:srgbClr val="99E6FF"/>
      </a:accent4>
      <a:accent5>
        <a:srgbClr val="0679C3"/>
      </a:accent5>
      <a:accent6>
        <a:srgbClr val="75F0E7"/>
      </a:accent6>
      <a:hlink>
        <a:srgbClr val="1F40E6"/>
      </a:hlink>
      <a:folHlink>
        <a:srgbClr val="8C5AC8"/>
      </a:folHlink>
    </a:clrScheme>
    <a:fontScheme name="Scheme Whit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61F79"/>
        </a:accent1>
        <a:accent2>
          <a:srgbClr val="00A9F4"/>
        </a:accent2>
        <a:accent3>
          <a:srgbClr val="2251FF"/>
        </a:accent3>
        <a:accent4>
          <a:srgbClr val="99E6FF"/>
        </a:accent4>
        <a:accent5>
          <a:srgbClr val="0679C3"/>
        </a:accent5>
        <a:accent6>
          <a:srgbClr val="75F0E7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Electric Blue 900">
      <a:srgbClr val="061F79"/>
    </a:custClr>
    <a:custClr name="Electric Blue 700">
      <a:srgbClr val="1537BA"/>
    </a:custClr>
    <a:custClr name="Electric Blue 500">
      <a:srgbClr val="2251FF"/>
    </a:custClr>
    <a:custClr name="Electric Blue 300">
      <a:srgbClr val="5E9DFF"/>
    </a:custClr>
    <a:custClr name="Electric Blue 200">
      <a:srgbClr val="99C4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Deep Blue 900">
      <a:srgbClr val="051C2C"/>
    </a:custClr>
    <a:custClr name="Electric Blue 800">
      <a:srgbClr val="0E2B99"/>
    </a:custClr>
    <a:custClr name="Electric Blue 500">
      <a:srgbClr val="2251FF"/>
    </a:custClr>
    <a:custClr name="Electric Blue 200">
      <a:srgbClr val="99C4FF"/>
    </a:custClr>
    <a:custClr name="Gray 10%">
      <a:srgbClr val="E6E6E6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Marine Green 900">
      <a:srgbClr val="108980"/>
    </a:custClr>
    <a:custClr name="Marine Green 700">
      <a:srgbClr val="14B8AB"/>
    </a:custClr>
    <a:custClr name="Marine Green 500">
      <a:srgbClr val="0BDACB"/>
    </a:custClr>
    <a:custClr name="Marine Green 300">
      <a:srgbClr val="75F0E7"/>
    </a:custClr>
    <a:custClr name="Sand Neutral 300">
      <a:srgbClr val="E6D7BC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Gray 70%">
      <a:srgbClr val="4D4D4D"/>
    </a:custClr>
    <a:custClr name="Gray 54%">
      <a:srgbClr val="757575"/>
    </a:custClr>
    <a:custClr name="Gray 30%">
      <a:srgbClr val="B3B3B3"/>
    </a:custClr>
    <a:custClr name="Gray 20%">
      <a:srgbClr val="CCCCCC"/>
    </a:custClr>
    <a:custClr name="Gray 10%">
      <a:srgbClr val="E6E6E6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Marine Green 500">
      <a:srgbClr val="0BDACB"/>
    </a:custClr>
    <a:custClr name="Amber Yellow 500">
      <a:srgbClr val="FFA800"/>
    </a:custClr>
    <a:custClr name="Crimson Red 500">
      <a:srgbClr val="E33B3B"/>
    </a:custClr>
    <a:custClr name="Deep Blue 900">
      <a:srgbClr val="051C2C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</a:custClrLst>
  <a:extLst>
    <a:ext uri="{05A4C25C-085E-4340-85A3-A5531E510DB2}">
      <thm15:themeFamily xmlns:thm15="http://schemas.microsoft.com/office/thememl/2012/main" name="mck" id="{5C06EE14-FD0C-4D84-95B7-A7A2283B4F1A}" vid="{E155375D-59B9-41EA-8544-0CDF30FD128F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7-17T14:30:19.56" personId="{B8362976-ED7F-46B6-A87F-D0DB6C3A9FD3}" id="{9507B251-CE94-4D0D-B5B3-A85A10E70140}">
    <text>Actual Bad rate at mob 18 of 2023</text>
  </threadedComment>
  <threadedComment ref="D9" dT="2025-07-17T11:16:15.52" personId="{B8362976-ED7F-46B6-A87F-D0DB6C3A9FD3}" id="{4ECE6856-01C1-4940-AEE0-F7160F616C9B}">
    <text>From Retail Finance tables (vintage 18 of 2023 new cars)</text>
  </threadedComment>
  <threadedComment ref="D20" dT="2025-07-17T11:19:55.43" personId="{B8362976-ED7F-46B6-A87F-D0DB6C3A9FD3}" id="{1318938D-723E-421C-BD93-DDAB57332D5A}">
    <text>= bad rate * new LGL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E9E6-2068-4605-A724-60A9CD2F189C}">
  <dimension ref="B2:AA50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E11" sqref="E11:H12"/>
    </sheetView>
  </sheetViews>
  <sheetFormatPr defaultColWidth="9" defaultRowHeight="14.25" x14ac:dyDescent="0.2"/>
  <cols>
    <col min="1" max="1" width="4.625" style="29" customWidth="1"/>
    <col min="2" max="2" width="25.25" style="29" customWidth="1"/>
    <col min="3" max="3" width="56.75" style="29" bestFit="1" customWidth="1"/>
    <col min="4" max="4" width="17.25" style="47" bestFit="1" customWidth="1"/>
    <col min="5" max="5" width="7.625" style="47" bestFit="1" customWidth="1"/>
    <col min="6" max="8" width="8.625" style="47" bestFit="1" customWidth="1"/>
    <col min="9" max="10" width="7.625" style="47" bestFit="1" customWidth="1"/>
    <col min="11" max="11" width="17.25" style="47" bestFit="1" customWidth="1"/>
    <col min="12" max="12" width="7.625" style="47" bestFit="1" customWidth="1"/>
    <col min="13" max="15" width="8.625" style="47" bestFit="1" customWidth="1"/>
    <col min="16" max="17" width="7.625" style="47" bestFit="1" customWidth="1"/>
    <col min="18" max="18" width="17.25" style="47" bestFit="1" customWidth="1"/>
    <col min="19" max="19" width="7.625" style="47" bestFit="1" customWidth="1"/>
    <col min="20" max="22" width="8.625" style="47" bestFit="1" customWidth="1"/>
    <col min="23" max="23" width="7.625" style="47" bestFit="1" customWidth="1"/>
    <col min="24" max="24" width="7" style="47" bestFit="1" customWidth="1"/>
    <col min="25" max="27" width="31.875" style="47" customWidth="1"/>
    <col min="28" max="16384" width="9" style="29"/>
  </cols>
  <sheetData>
    <row r="2" spans="2:27" ht="15.75" thickBot="1" x14ac:dyDescent="0.25">
      <c r="B2" s="31" t="s">
        <v>0</v>
      </c>
      <c r="C2" s="31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88" t="s">
        <v>31</v>
      </c>
      <c r="Z2" s="88"/>
      <c r="AA2" s="88"/>
    </row>
    <row r="3" spans="2:27" ht="30" x14ac:dyDescent="0.2">
      <c r="B3" s="27" t="s">
        <v>4</v>
      </c>
      <c r="C3" s="27"/>
      <c r="D3" s="90" t="s">
        <v>6</v>
      </c>
      <c r="E3" s="91"/>
      <c r="F3" s="91"/>
      <c r="G3" s="91"/>
      <c r="H3" s="91"/>
      <c r="I3" s="91"/>
      <c r="J3" s="92"/>
      <c r="K3" s="90" t="s">
        <v>81</v>
      </c>
      <c r="L3" s="91"/>
      <c r="M3" s="91"/>
      <c r="N3" s="91"/>
      <c r="O3" s="91"/>
      <c r="P3" s="91"/>
      <c r="Q3" s="92"/>
      <c r="R3" s="90" t="s">
        <v>23</v>
      </c>
      <c r="S3" s="91"/>
      <c r="T3" s="91"/>
      <c r="U3" s="91"/>
      <c r="V3" s="91"/>
      <c r="W3" s="91"/>
      <c r="X3" s="92"/>
      <c r="Y3" s="28" t="str">
        <f>D3</f>
        <v xml:space="preserve">(1) No initiative </v>
      </c>
      <c r="Z3" s="28" t="str">
        <f>K3</f>
        <v>(2) Return to 2021 policy for downpayment</v>
      </c>
      <c r="AA3" s="28" t="str">
        <f>R3</f>
        <v>(3) Evolve Bank's risk appetite final</v>
      </c>
    </row>
    <row r="4" spans="2:27" ht="15" x14ac:dyDescent="0.2">
      <c r="B4" s="27"/>
      <c r="C4" s="27"/>
      <c r="D4" s="57" t="s">
        <v>62</v>
      </c>
      <c r="E4" s="28" t="s">
        <v>50</v>
      </c>
      <c r="F4" s="28" t="s">
        <v>51</v>
      </c>
      <c r="G4" s="28" t="s">
        <v>52</v>
      </c>
      <c r="H4" s="28" t="s">
        <v>53</v>
      </c>
      <c r="I4" s="28" t="s">
        <v>54</v>
      </c>
      <c r="J4" s="58" t="s">
        <v>49</v>
      </c>
      <c r="K4" s="57" t="s">
        <v>62</v>
      </c>
      <c r="L4" s="28" t="s">
        <v>50</v>
      </c>
      <c r="M4" s="28" t="s">
        <v>51</v>
      </c>
      <c r="N4" s="28" t="s">
        <v>52</v>
      </c>
      <c r="O4" s="28" t="s">
        <v>53</v>
      </c>
      <c r="P4" s="28" t="s">
        <v>54</v>
      </c>
      <c r="Q4" s="58" t="s">
        <v>49</v>
      </c>
      <c r="R4" s="57" t="s">
        <v>62</v>
      </c>
      <c r="S4" s="28" t="s">
        <v>50</v>
      </c>
      <c r="T4" s="28" t="s">
        <v>51</v>
      </c>
      <c r="U4" s="28" t="s">
        <v>52</v>
      </c>
      <c r="V4" s="28" t="s">
        <v>53</v>
      </c>
      <c r="W4" s="28" t="s">
        <v>54</v>
      </c>
      <c r="X4" s="58" t="s">
        <v>49</v>
      </c>
      <c r="Y4" s="28"/>
      <c r="Z4" s="28"/>
      <c r="AA4" s="28"/>
    </row>
    <row r="5" spans="2:27" ht="15" x14ac:dyDescent="0.2">
      <c r="B5" s="27"/>
      <c r="C5" s="27" t="s">
        <v>63</v>
      </c>
      <c r="D5" s="59">
        <f>SUMPRODUCT(E5:I5,$E$6:$I$6)</f>
        <v>0.32152500000000001</v>
      </c>
      <c r="E5" s="51">
        <v>0.05</v>
      </c>
      <c r="F5" s="51">
        <v>0.15</v>
      </c>
      <c r="G5" s="51">
        <v>0.27500000000000002</v>
      </c>
      <c r="H5" s="51">
        <v>0.42499999999999999</v>
      </c>
      <c r="I5" s="51">
        <v>0.6</v>
      </c>
      <c r="J5" s="58"/>
      <c r="K5" s="59">
        <f>SUMPRODUCT(L5:P5,$L$6:$P$6)</f>
        <v>0.28682999999999997</v>
      </c>
      <c r="L5" s="51">
        <f>E5</f>
        <v>0.05</v>
      </c>
      <c r="M5" s="51">
        <f>F5</f>
        <v>0.15</v>
      </c>
      <c r="N5" s="51">
        <f>G5</f>
        <v>0.27500000000000002</v>
      </c>
      <c r="O5" s="51">
        <f>H5</f>
        <v>0.42499999999999999</v>
      </c>
      <c r="P5" s="51">
        <f>I5</f>
        <v>0.6</v>
      </c>
      <c r="Q5" s="58"/>
      <c r="R5" s="59">
        <f>SUMPRODUCT(S5:W5,$S$6:$W$6)</f>
        <v>0.10915</v>
      </c>
      <c r="S5" s="51">
        <f>L5</f>
        <v>0.05</v>
      </c>
      <c r="T5" s="51">
        <f>M5</f>
        <v>0.15</v>
      </c>
      <c r="U5" s="51">
        <f>N5</f>
        <v>0.27500000000000002</v>
      </c>
      <c r="V5" s="51">
        <f>O5</f>
        <v>0.42499999999999999</v>
      </c>
      <c r="W5" s="51">
        <f>P5</f>
        <v>0.6</v>
      </c>
      <c r="X5" s="58"/>
      <c r="Y5" s="28"/>
      <c r="Z5" s="28"/>
      <c r="AA5" s="28"/>
    </row>
    <row r="6" spans="2:27" ht="60" x14ac:dyDescent="0.2">
      <c r="B6" s="27"/>
      <c r="C6" s="27"/>
      <c r="D6" s="59" t="s">
        <v>64</v>
      </c>
      <c r="E6" s="51">
        <v>0.13</v>
      </c>
      <c r="F6" s="51">
        <v>0.152</v>
      </c>
      <c r="G6" s="51">
        <v>0.28520000000000001</v>
      </c>
      <c r="H6" s="51">
        <v>0.26219999999999999</v>
      </c>
      <c r="I6" s="51">
        <v>0.1706</v>
      </c>
      <c r="J6" s="60">
        <f>SUM(E6:I6)</f>
        <v>1</v>
      </c>
      <c r="K6" s="59" t="s">
        <v>64</v>
      </c>
      <c r="L6" s="51">
        <v>0.1784</v>
      </c>
      <c r="M6" s="51">
        <v>0.1736</v>
      </c>
      <c r="N6" s="51">
        <v>0.31459999999999999</v>
      </c>
      <c r="O6" s="51">
        <v>0.19819999999999999</v>
      </c>
      <c r="P6" s="51">
        <v>0.13519999999999999</v>
      </c>
      <c r="Q6" s="60">
        <f>SUM(L6:P6)</f>
        <v>1</v>
      </c>
      <c r="R6" s="59" t="s">
        <v>64</v>
      </c>
      <c r="S6" s="51">
        <v>0.67900000000000005</v>
      </c>
      <c r="T6" s="51">
        <v>0.17799999999999999</v>
      </c>
      <c r="U6" s="51">
        <v>0.09</v>
      </c>
      <c r="V6" s="51">
        <v>4.5999999999999999E-2</v>
      </c>
      <c r="W6" s="51">
        <v>7.0000000000000001E-3</v>
      </c>
      <c r="X6" s="60">
        <f>SUM(S6:W6)</f>
        <v>1</v>
      </c>
      <c r="Y6" s="28" t="s">
        <v>65</v>
      </c>
      <c r="Z6" s="28" t="s">
        <v>66</v>
      </c>
      <c r="AA6" s="28" t="s">
        <v>67</v>
      </c>
    </row>
    <row r="7" spans="2:27" x14ac:dyDescent="0.2">
      <c r="B7" s="94" t="s">
        <v>5</v>
      </c>
      <c r="C7" s="32" t="s">
        <v>8</v>
      </c>
      <c r="D7" s="61"/>
      <c r="E7" s="29"/>
      <c r="F7" s="29"/>
      <c r="G7" s="29"/>
      <c r="H7" s="29"/>
      <c r="I7" s="29"/>
      <c r="J7" s="62">
        <v>0.37</v>
      </c>
      <c r="K7" s="61"/>
      <c r="L7" s="33"/>
      <c r="M7" s="33"/>
      <c r="N7" s="33"/>
      <c r="O7" s="33"/>
      <c r="P7" s="33"/>
      <c r="Q7" s="62">
        <v>0.45</v>
      </c>
      <c r="R7" s="61"/>
      <c r="S7" s="33"/>
      <c r="T7" s="33"/>
      <c r="U7" s="33"/>
      <c r="V7" s="33"/>
      <c r="W7" s="33"/>
      <c r="X7" s="62">
        <v>0.7</v>
      </c>
      <c r="Y7" s="34"/>
      <c r="Z7" s="34"/>
      <c r="AA7" s="34"/>
    </row>
    <row r="8" spans="2:27" x14ac:dyDescent="0.2">
      <c r="B8" s="95"/>
      <c r="C8" s="35" t="s">
        <v>9</v>
      </c>
      <c r="D8" s="61"/>
      <c r="E8" s="33"/>
      <c r="F8" s="33"/>
      <c r="G8" s="33"/>
      <c r="H8" s="33"/>
      <c r="I8" s="33"/>
      <c r="J8" s="62"/>
      <c r="K8" s="61"/>
      <c r="L8" s="33"/>
      <c r="M8" s="33"/>
      <c r="N8" s="33"/>
      <c r="O8" s="33"/>
      <c r="P8" s="33"/>
      <c r="Q8" s="62"/>
      <c r="R8" s="61"/>
      <c r="S8" s="33"/>
      <c r="T8" s="33"/>
      <c r="U8" s="33"/>
      <c r="V8" s="33"/>
      <c r="W8" s="33"/>
      <c r="X8" s="62"/>
      <c r="Y8" s="37"/>
      <c r="Z8" s="37"/>
      <c r="AA8" s="34"/>
    </row>
    <row r="9" spans="2:27" x14ac:dyDescent="0.2">
      <c r="B9" s="95"/>
      <c r="C9" s="35" t="s">
        <v>17</v>
      </c>
      <c r="D9" s="61"/>
      <c r="E9" s="33"/>
      <c r="F9" s="33"/>
      <c r="G9" s="33"/>
      <c r="H9" s="33"/>
      <c r="I9" s="33"/>
      <c r="J9" s="62"/>
      <c r="K9" s="61"/>
      <c r="L9" s="33"/>
      <c r="M9" s="33"/>
      <c r="N9" s="33"/>
      <c r="O9" s="33"/>
      <c r="P9" s="33"/>
      <c r="Q9" s="62"/>
      <c r="R9" s="61"/>
      <c r="S9" s="33"/>
      <c r="T9" s="33"/>
      <c r="U9" s="33"/>
      <c r="V9" s="33"/>
      <c r="W9" s="33"/>
      <c r="X9" s="62"/>
      <c r="Y9" s="37"/>
      <c r="Z9" s="37"/>
      <c r="AA9" s="34"/>
    </row>
    <row r="10" spans="2:27" x14ac:dyDescent="0.2">
      <c r="B10" s="95"/>
      <c r="C10" s="35" t="s">
        <v>10</v>
      </c>
      <c r="D10" s="61"/>
      <c r="E10" s="33"/>
      <c r="F10" s="33"/>
      <c r="G10" s="33"/>
      <c r="H10" s="33"/>
      <c r="I10" s="33"/>
      <c r="J10" s="62">
        <v>0.33</v>
      </c>
      <c r="K10" s="61"/>
      <c r="L10" s="33"/>
      <c r="M10" s="33"/>
      <c r="N10" s="33"/>
      <c r="O10" s="33"/>
      <c r="P10" s="33"/>
      <c r="Q10" s="62">
        <v>0.3</v>
      </c>
      <c r="R10" s="61"/>
      <c r="S10" s="33"/>
      <c r="T10" s="33"/>
      <c r="U10" s="33"/>
      <c r="V10" s="33"/>
      <c r="W10" s="33"/>
      <c r="X10" s="62">
        <v>0.2</v>
      </c>
      <c r="Y10" s="37"/>
      <c r="Z10" s="37"/>
      <c r="AA10" s="34"/>
    </row>
    <row r="11" spans="2:27" ht="66.75" customHeight="1" x14ac:dyDescent="0.2">
      <c r="B11" s="95"/>
      <c r="C11" s="30" t="s">
        <v>16</v>
      </c>
      <c r="D11" s="63">
        <f>SUMPRODUCT(E11:I11,$E$6:$I$6)</f>
        <v>2.6000000000000002E-2</v>
      </c>
      <c r="E11" s="53">
        <f>J11</f>
        <v>2.5999999999999999E-2</v>
      </c>
      <c r="F11" s="53">
        <f>J11</f>
        <v>2.5999999999999999E-2</v>
      </c>
      <c r="G11" s="53">
        <f>J11</f>
        <v>2.5999999999999999E-2</v>
      </c>
      <c r="H11" s="53">
        <f>J11</f>
        <v>2.5999999999999999E-2</v>
      </c>
      <c r="I11" s="53">
        <f>J11</f>
        <v>2.5999999999999999E-2</v>
      </c>
      <c r="J11" s="64">
        <v>2.5999999999999999E-2</v>
      </c>
      <c r="K11" s="63">
        <f>SUMPRODUCT(L11:P11,$L$6:$P$6)</f>
        <v>3.0622222222222224E-2</v>
      </c>
      <c r="L11" s="53">
        <f>Q11</f>
        <v>3.0622222222222224E-2</v>
      </c>
      <c r="M11" s="53">
        <f>Q11</f>
        <v>3.0622222222222224E-2</v>
      </c>
      <c r="N11" s="53">
        <f>Q11</f>
        <v>3.0622222222222224E-2</v>
      </c>
      <c r="O11" s="53">
        <f>Q11</f>
        <v>3.0622222222222224E-2</v>
      </c>
      <c r="P11" s="53">
        <f>Q11</f>
        <v>3.0622222222222224E-2</v>
      </c>
      <c r="Q11" s="64">
        <f>((J7*J11)+(Q7-J7)*(J11*2))/Q7</f>
        <v>3.0622222222222224E-2</v>
      </c>
      <c r="R11" s="63">
        <f>SUMPRODUCT(S11:W11,$S$6:$W$6)</f>
        <v>5.7900000000000007E-2</v>
      </c>
      <c r="S11" s="53">
        <f>X11</f>
        <v>5.79E-2</v>
      </c>
      <c r="T11" s="53">
        <f>X11</f>
        <v>5.79E-2</v>
      </c>
      <c r="U11" s="53">
        <f>X11</f>
        <v>5.79E-2</v>
      </c>
      <c r="V11" s="53">
        <f>X11</f>
        <v>5.79E-2</v>
      </c>
      <c r="W11" s="53">
        <f>X11</f>
        <v>5.79E-2</v>
      </c>
      <c r="X11" s="64">
        <f>(Q7*Q11+(X7-Q7)*10.7%)/X7</f>
        <v>5.79E-2</v>
      </c>
      <c r="Y11" s="37" t="s">
        <v>32</v>
      </c>
      <c r="Z11" s="37" t="s">
        <v>33</v>
      </c>
      <c r="AA11" s="34" t="s">
        <v>68</v>
      </c>
    </row>
    <row r="12" spans="2:27" ht="66.75" customHeight="1" x14ac:dyDescent="0.2">
      <c r="B12" s="95"/>
      <c r="C12" s="38" t="s">
        <v>21</v>
      </c>
      <c r="D12" s="63">
        <f>SUMPRODUCT(E12:I12,$E$6:$I$6)</f>
        <v>0.30769230769230771</v>
      </c>
      <c r="E12" s="54">
        <f>J12</f>
        <v>0.30769230769230771</v>
      </c>
      <c r="F12" s="54">
        <f>J12</f>
        <v>0.30769230769230771</v>
      </c>
      <c r="G12" s="54">
        <f>J12</f>
        <v>0.30769230769230771</v>
      </c>
      <c r="H12" s="54">
        <f>J12</f>
        <v>0.30769230769230771</v>
      </c>
      <c r="I12" s="54">
        <f>J12</f>
        <v>0.30769230769230771</v>
      </c>
      <c r="J12" s="65">
        <f>0.8*(1-J14)</f>
        <v>0.30769230769230771</v>
      </c>
      <c r="K12" s="63">
        <f>SUMPRODUCT(L12:P12,$L$6:$P$6)</f>
        <v>0.29230769230769232</v>
      </c>
      <c r="L12" s="54">
        <f>Q12</f>
        <v>0.29230769230769232</v>
      </c>
      <c r="M12" s="54">
        <f>Q12</f>
        <v>0.29230769230769232</v>
      </c>
      <c r="N12" s="54">
        <f>Q12</f>
        <v>0.29230769230769232</v>
      </c>
      <c r="O12" s="54">
        <f>Q12</f>
        <v>0.29230769230769232</v>
      </c>
      <c r="P12" s="54">
        <f>Q12</f>
        <v>0.29230769230769232</v>
      </c>
      <c r="Q12" s="65">
        <f>0.95*J12</f>
        <v>0.29230769230769232</v>
      </c>
      <c r="R12" s="63">
        <f>SUMPRODUCT(S12:W12,$S$6:$W$6)</f>
        <v>0.2461538461538462</v>
      </c>
      <c r="S12" s="54">
        <f>X12</f>
        <v>0.24615384615384617</v>
      </c>
      <c r="T12" s="54">
        <f>X12</f>
        <v>0.24615384615384617</v>
      </c>
      <c r="U12" s="54">
        <f>X12</f>
        <v>0.24615384615384617</v>
      </c>
      <c r="V12" s="54">
        <f>X12</f>
        <v>0.24615384615384617</v>
      </c>
      <c r="W12" s="54">
        <f>X12</f>
        <v>0.24615384615384617</v>
      </c>
      <c r="X12" s="65">
        <f>0.8*J12</f>
        <v>0.24615384615384617</v>
      </c>
      <c r="Y12" s="37" t="s">
        <v>34</v>
      </c>
      <c r="Z12" s="37" t="s">
        <v>69</v>
      </c>
      <c r="AA12" s="37" t="s">
        <v>70</v>
      </c>
    </row>
    <row r="13" spans="2:27" ht="66.75" customHeight="1" x14ac:dyDescent="0.2">
      <c r="B13" s="95"/>
      <c r="C13" s="38" t="s">
        <v>22</v>
      </c>
      <c r="D13" s="63">
        <f>SUMPRODUCT(E13:I13,$E$6:$I$6)</f>
        <v>7.6923076923076872E-2</v>
      </c>
      <c r="E13" s="54">
        <f>J13</f>
        <v>7.6923076923076872E-2</v>
      </c>
      <c r="F13" s="54">
        <f>J13</f>
        <v>7.6923076923076872E-2</v>
      </c>
      <c r="G13" s="54">
        <f>J13</f>
        <v>7.6923076923076872E-2</v>
      </c>
      <c r="H13" s="54">
        <f>J13</f>
        <v>7.6923076923076872E-2</v>
      </c>
      <c r="I13" s="54">
        <f>J13</f>
        <v>7.6923076923076872E-2</v>
      </c>
      <c r="J13" s="65">
        <f>1-J14-J12</f>
        <v>7.6923076923076872E-2</v>
      </c>
      <c r="K13" s="63">
        <f>SUMPRODUCT(L13:P13,$L$6:$P$6)</f>
        <v>7.3076923076923012E-2</v>
      </c>
      <c r="L13" s="54">
        <f>Q13</f>
        <v>7.3076923076923025E-2</v>
      </c>
      <c r="M13" s="54">
        <f>Q13</f>
        <v>7.3076923076923025E-2</v>
      </c>
      <c r="N13" s="54">
        <f>Q13</f>
        <v>7.3076923076923025E-2</v>
      </c>
      <c r="O13" s="54">
        <f>Q13</f>
        <v>7.3076923076923025E-2</v>
      </c>
      <c r="P13" s="54">
        <f>Q13</f>
        <v>7.3076923076923025E-2</v>
      </c>
      <c r="Q13" s="65">
        <f>0.95*J13</f>
        <v>7.3076923076923025E-2</v>
      </c>
      <c r="R13" s="63">
        <f>SUMPRODUCT(S13:W13,$S$6:$W$6)</f>
        <v>5.8461538461538426E-2</v>
      </c>
      <c r="S13" s="54">
        <f>X13</f>
        <v>5.8461538461538426E-2</v>
      </c>
      <c r="T13" s="54">
        <f>X13</f>
        <v>5.8461538461538426E-2</v>
      </c>
      <c r="U13" s="54">
        <f>X13</f>
        <v>5.8461538461538426E-2</v>
      </c>
      <c r="V13" s="54">
        <f>X13</f>
        <v>5.8461538461538426E-2</v>
      </c>
      <c r="W13" s="54">
        <f>X13</f>
        <v>5.8461538461538426E-2</v>
      </c>
      <c r="X13" s="65">
        <f>0.8*Q13</f>
        <v>5.8461538461538426E-2</v>
      </c>
      <c r="Y13" s="37" t="s">
        <v>35</v>
      </c>
      <c r="Z13" s="34" t="s">
        <v>36</v>
      </c>
      <c r="AA13" s="34" t="s">
        <v>36</v>
      </c>
    </row>
    <row r="14" spans="2:27" ht="66.75" customHeight="1" x14ac:dyDescent="0.2">
      <c r="B14" s="95"/>
      <c r="C14" s="40" t="s">
        <v>19</v>
      </c>
      <c r="D14" s="63">
        <f>SUMPRODUCT(E14:I14,$E$6:$I$6)</f>
        <v>0.61538461538461542</v>
      </c>
      <c r="E14" s="54">
        <f>MAX((1-E12-E13),0)</f>
        <v>0.61538461538461542</v>
      </c>
      <c r="F14" s="54">
        <f t="shared" ref="F14:I14" si="0">MAX((1-F12-F13),0)</f>
        <v>0.61538461538461542</v>
      </c>
      <c r="G14" s="54">
        <f t="shared" si="0"/>
        <v>0.61538461538461542</v>
      </c>
      <c r="H14" s="54">
        <f t="shared" si="0"/>
        <v>0.61538461538461542</v>
      </c>
      <c r="I14" s="54">
        <f t="shared" si="0"/>
        <v>0.61538461538461542</v>
      </c>
      <c r="J14" s="65">
        <f>J15/J11</f>
        <v>0.61538461538461542</v>
      </c>
      <c r="K14" s="63">
        <f>SUMPRODUCT(L14:P14,$L$6:$P$6)</f>
        <v>0.63461538461538458</v>
      </c>
      <c r="L14" s="54">
        <f t="shared" ref="L14:Q14" si="1">MAX((1-L12-L13),0)</f>
        <v>0.63461538461538458</v>
      </c>
      <c r="M14" s="54">
        <f t="shared" si="1"/>
        <v>0.63461538461538458</v>
      </c>
      <c r="N14" s="54">
        <f t="shared" si="1"/>
        <v>0.63461538461538458</v>
      </c>
      <c r="O14" s="54">
        <f t="shared" si="1"/>
        <v>0.63461538461538458</v>
      </c>
      <c r="P14" s="54">
        <f t="shared" si="1"/>
        <v>0.63461538461538458</v>
      </c>
      <c r="Q14" s="65">
        <f t="shared" si="1"/>
        <v>0.63461538461538458</v>
      </c>
      <c r="R14" s="63">
        <f>SUMPRODUCT(S14:W14,$S$6:$W$6)</f>
        <v>0.69538461538461538</v>
      </c>
      <c r="S14" s="54">
        <f t="shared" ref="S14" si="2">MAX((1-S12-S13),0)</f>
        <v>0.69538461538461538</v>
      </c>
      <c r="T14" s="54">
        <f t="shared" ref="T14" si="3">MAX((1-T12-T13),0)</f>
        <v>0.69538461538461538</v>
      </c>
      <c r="U14" s="54">
        <f t="shared" ref="U14" si="4">MAX((1-U12-U13),0)</f>
        <v>0.69538461538461538</v>
      </c>
      <c r="V14" s="54">
        <f t="shared" ref="V14" si="5">MAX((1-V12-V13),0)</f>
        <v>0.69538461538461538</v>
      </c>
      <c r="W14" s="54">
        <f t="shared" ref="W14" si="6">MAX((1-W12-W13),0)</f>
        <v>0.69538461538461538</v>
      </c>
      <c r="X14" s="65">
        <f t="shared" ref="X14" si="7">MAX((1-X12-X13),0)</f>
        <v>0.69538461538461538</v>
      </c>
      <c r="Y14" s="37" t="s">
        <v>37</v>
      </c>
      <c r="Z14" s="34" t="s">
        <v>38</v>
      </c>
      <c r="AA14" s="34" t="s">
        <v>38</v>
      </c>
    </row>
    <row r="15" spans="2:27" ht="66.75" customHeight="1" thickBot="1" x14ac:dyDescent="0.25">
      <c r="B15" s="95"/>
      <c r="C15" s="41" t="s">
        <v>13</v>
      </c>
      <c r="D15" s="66">
        <f>SUMPRODUCT(E15:I15,$E$6:$I$6)</f>
        <v>1.6E-2</v>
      </c>
      <c r="E15" s="67">
        <f>MAX(E11*E14,0)</f>
        <v>1.6E-2</v>
      </c>
      <c r="F15" s="67">
        <f>MAX(F11*F14,0)</f>
        <v>1.6E-2</v>
      </c>
      <c r="G15" s="67">
        <f>MAX(G11*G14,0)</f>
        <v>1.6E-2</v>
      </c>
      <c r="H15" s="67">
        <f>MAX(H11*H14,0)</f>
        <v>1.6E-2</v>
      </c>
      <c r="I15" s="67">
        <f>MAX(I11*I14,0)</f>
        <v>1.6E-2</v>
      </c>
      <c r="J15" s="68">
        <v>1.6E-2</v>
      </c>
      <c r="K15" s="66">
        <f>SUMPRODUCT(L15:P15,$E$6:$I$6)</f>
        <v>1.9433333333333334E-2</v>
      </c>
      <c r="L15" s="67">
        <f t="shared" ref="L15:Q15" si="8">MAX(L11*L14,0)</f>
        <v>1.9433333333333334E-2</v>
      </c>
      <c r="M15" s="67">
        <f t="shared" si="8"/>
        <v>1.9433333333333334E-2</v>
      </c>
      <c r="N15" s="67">
        <f t="shared" si="8"/>
        <v>1.9433333333333334E-2</v>
      </c>
      <c r="O15" s="67">
        <f t="shared" si="8"/>
        <v>1.9433333333333334E-2</v>
      </c>
      <c r="P15" s="67">
        <f t="shared" si="8"/>
        <v>1.9433333333333334E-2</v>
      </c>
      <c r="Q15" s="68">
        <f t="shared" si="8"/>
        <v>1.9433333333333334E-2</v>
      </c>
      <c r="R15" s="66">
        <f>SUMPRODUCT(S15:W15,$S$6:$W$6)</f>
        <v>4.0262769230769234E-2</v>
      </c>
      <c r="S15" s="67">
        <f t="shared" ref="S15:X15" si="9">MAX(S11*S14,0)</f>
        <v>4.0262769230769234E-2</v>
      </c>
      <c r="T15" s="67">
        <f t="shared" si="9"/>
        <v>4.0262769230769234E-2</v>
      </c>
      <c r="U15" s="67">
        <f t="shared" si="9"/>
        <v>4.0262769230769234E-2</v>
      </c>
      <c r="V15" s="67">
        <f t="shared" si="9"/>
        <v>4.0262769230769234E-2</v>
      </c>
      <c r="W15" s="67">
        <f t="shared" si="9"/>
        <v>4.0262769230769234E-2</v>
      </c>
      <c r="X15" s="68">
        <f t="shared" si="9"/>
        <v>4.0262769230769234E-2</v>
      </c>
      <c r="Y15" s="49" t="s">
        <v>39</v>
      </c>
      <c r="Z15" s="49" t="s">
        <v>40</v>
      </c>
      <c r="AA15" s="49" t="s">
        <v>40</v>
      </c>
    </row>
    <row r="16" spans="2:27" x14ac:dyDescent="0.2">
      <c r="B16" s="95"/>
      <c r="C16" s="42" t="s">
        <v>11</v>
      </c>
      <c r="D16" s="43"/>
      <c r="E16" s="43"/>
      <c r="F16" s="43"/>
      <c r="G16" s="43"/>
      <c r="H16" s="43"/>
      <c r="I16" s="43"/>
      <c r="J16" s="43">
        <v>4</v>
      </c>
      <c r="K16" s="43"/>
      <c r="L16" s="43"/>
      <c r="M16" s="43"/>
      <c r="N16" s="43"/>
      <c r="O16" s="43"/>
      <c r="P16" s="43"/>
      <c r="Q16" s="43">
        <v>8</v>
      </c>
      <c r="R16" s="43"/>
      <c r="S16" s="43"/>
      <c r="T16" s="43"/>
      <c r="U16" s="43"/>
      <c r="V16" s="43"/>
      <c r="W16" s="43"/>
      <c r="X16" s="43">
        <v>8</v>
      </c>
      <c r="Y16" s="43"/>
      <c r="Z16" s="43"/>
      <c r="AA16" s="43"/>
    </row>
    <row r="17" spans="2:27" x14ac:dyDescent="0.2">
      <c r="B17" s="96"/>
      <c r="C17" s="35" t="s">
        <v>12</v>
      </c>
      <c r="D17" s="36"/>
      <c r="E17" s="36"/>
      <c r="F17" s="36"/>
      <c r="G17" s="36"/>
      <c r="H17" s="36"/>
      <c r="I17" s="36"/>
      <c r="J17" s="36"/>
      <c r="K17" s="44"/>
      <c r="L17" s="44"/>
      <c r="M17" s="44"/>
      <c r="N17" s="44"/>
      <c r="O17" s="44"/>
      <c r="P17" s="44"/>
      <c r="Q17" s="36"/>
      <c r="R17" s="44"/>
      <c r="S17" s="44"/>
      <c r="T17" s="44"/>
      <c r="U17" s="44"/>
      <c r="V17" s="44"/>
      <c r="W17" s="44"/>
      <c r="X17" s="36"/>
      <c r="Y17" s="36"/>
      <c r="Z17" s="36"/>
      <c r="AA17" s="44"/>
    </row>
    <row r="19" spans="2:27" ht="15" customHeight="1" thickBot="1" x14ac:dyDescent="0.25">
      <c r="B19" s="31" t="s">
        <v>14</v>
      </c>
      <c r="C19" s="31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88" t="s">
        <v>31</v>
      </c>
      <c r="Z19" s="88"/>
      <c r="AA19" s="88"/>
    </row>
    <row r="20" spans="2:27" ht="30" x14ac:dyDescent="0.2">
      <c r="B20" s="27" t="s">
        <v>4</v>
      </c>
      <c r="C20" s="27"/>
      <c r="D20" s="90" t="str">
        <f>D3</f>
        <v xml:space="preserve">(1) No initiative </v>
      </c>
      <c r="E20" s="91"/>
      <c r="F20" s="91"/>
      <c r="G20" s="91"/>
      <c r="H20" s="91"/>
      <c r="I20" s="91"/>
      <c r="J20" s="92"/>
      <c r="K20" s="90" t="str">
        <f>K3</f>
        <v>(2) Return to 2021 policy for downpayment</v>
      </c>
      <c r="L20" s="91"/>
      <c r="M20" s="91"/>
      <c r="N20" s="91"/>
      <c r="O20" s="91"/>
      <c r="P20" s="91"/>
      <c r="Q20" s="92"/>
      <c r="R20" s="90" t="str">
        <f>R3</f>
        <v>(3) Evolve Bank's risk appetite final</v>
      </c>
      <c r="S20" s="91"/>
      <c r="T20" s="91"/>
      <c r="U20" s="91"/>
      <c r="V20" s="91"/>
      <c r="W20" s="91"/>
      <c r="X20" s="92"/>
      <c r="Y20" s="28" t="str">
        <f>Y3</f>
        <v xml:space="preserve">(1) No initiative </v>
      </c>
      <c r="Z20" s="28" t="str">
        <f>Z3</f>
        <v>(2) Return to 2021 policy for downpayment</v>
      </c>
      <c r="AA20" s="28" t="str">
        <f>AA3</f>
        <v>(3) Evolve Bank's risk appetite final</v>
      </c>
    </row>
    <row r="21" spans="2:27" ht="15" x14ac:dyDescent="0.2">
      <c r="B21" s="27"/>
      <c r="C21" s="27"/>
      <c r="D21" s="57" t="s">
        <v>62</v>
      </c>
      <c r="E21" s="28" t="s">
        <v>50</v>
      </c>
      <c r="F21" s="28" t="s">
        <v>51</v>
      </c>
      <c r="G21" s="28" t="s">
        <v>52</v>
      </c>
      <c r="H21" s="28" t="s">
        <v>53</v>
      </c>
      <c r="I21" s="28" t="s">
        <v>54</v>
      </c>
      <c r="J21" s="58" t="s">
        <v>49</v>
      </c>
      <c r="K21" s="57" t="s">
        <v>62</v>
      </c>
      <c r="L21" s="28" t="s">
        <v>50</v>
      </c>
      <c r="M21" s="28" t="s">
        <v>51</v>
      </c>
      <c r="N21" s="28" t="s">
        <v>52</v>
      </c>
      <c r="O21" s="28" t="s">
        <v>53</v>
      </c>
      <c r="P21" s="28" t="s">
        <v>54</v>
      </c>
      <c r="Q21" s="58" t="s">
        <v>49</v>
      </c>
      <c r="R21" s="57" t="s">
        <v>62</v>
      </c>
      <c r="S21" s="28" t="s">
        <v>50</v>
      </c>
      <c r="T21" s="28" t="s">
        <v>51</v>
      </c>
      <c r="U21" s="28" t="s">
        <v>52</v>
      </c>
      <c r="V21" s="28" t="s">
        <v>53</v>
      </c>
      <c r="W21" s="28" t="s">
        <v>54</v>
      </c>
      <c r="X21" s="58" t="s">
        <v>49</v>
      </c>
      <c r="Y21" s="55"/>
      <c r="Z21" s="55"/>
      <c r="AA21" s="55"/>
    </row>
    <row r="22" spans="2:27" ht="15" x14ac:dyDescent="0.2">
      <c r="B22" s="27"/>
      <c r="C22" s="27"/>
      <c r="D22" s="59">
        <f>SUMPRODUCT(E22:I22,$E$6:$I$6)</f>
        <v>0.32152500000000001</v>
      </c>
      <c r="E22" s="51">
        <f t="shared" ref="E22:I23" si="10">E5</f>
        <v>0.05</v>
      </c>
      <c r="F22" s="51">
        <f t="shared" si="10"/>
        <v>0.15</v>
      </c>
      <c r="G22" s="51">
        <f t="shared" si="10"/>
        <v>0.27500000000000002</v>
      </c>
      <c r="H22" s="51">
        <f t="shared" si="10"/>
        <v>0.42499999999999999</v>
      </c>
      <c r="I22" s="51">
        <f t="shared" si="10"/>
        <v>0.6</v>
      </c>
      <c r="J22" s="58"/>
      <c r="K22" s="59">
        <f>SUMPRODUCT(L22:P22,$L$6:$P$6)</f>
        <v>0.28682999999999997</v>
      </c>
      <c r="L22" s="51">
        <f>E22</f>
        <v>0.05</v>
      </c>
      <c r="M22" s="51">
        <f>F22</f>
        <v>0.15</v>
      </c>
      <c r="N22" s="51">
        <f>G22</f>
        <v>0.27500000000000002</v>
      </c>
      <c r="O22" s="51">
        <f>H22</f>
        <v>0.42499999999999999</v>
      </c>
      <c r="P22" s="51">
        <f>I22</f>
        <v>0.6</v>
      </c>
      <c r="Q22" s="58"/>
      <c r="R22" s="59">
        <f>SUMPRODUCT(S22:W22,$S$6:$W$6)</f>
        <v>0.10915</v>
      </c>
      <c r="S22" s="51">
        <f>L22</f>
        <v>0.05</v>
      </c>
      <c r="T22" s="51">
        <f>M22</f>
        <v>0.15</v>
      </c>
      <c r="U22" s="51">
        <f>N22</f>
        <v>0.27500000000000002</v>
      </c>
      <c r="V22" s="51">
        <f>O22</f>
        <v>0.42499999999999999</v>
      </c>
      <c r="W22" s="51">
        <f>P22</f>
        <v>0.6</v>
      </c>
      <c r="X22" s="58"/>
      <c r="Y22" s="55"/>
      <c r="Z22" s="55"/>
      <c r="AA22" s="55"/>
    </row>
    <row r="23" spans="2:27" ht="15" x14ac:dyDescent="0.2">
      <c r="B23" s="27"/>
      <c r="C23" s="27"/>
      <c r="D23" s="59" t="s">
        <v>64</v>
      </c>
      <c r="E23" s="51">
        <f t="shared" si="10"/>
        <v>0.13</v>
      </c>
      <c r="F23" s="51">
        <f t="shared" si="10"/>
        <v>0.152</v>
      </c>
      <c r="G23" s="51">
        <f t="shared" si="10"/>
        <v>0.28520000000000001</v>
      </c>
      <c r="H23" s="51">
        <f t="shared" si="10"/>
        <v>0.26219999999999999</v>
      </c>
      <c r="I23" s="51">
        <f t="shared" si="10"/>
        <v>0.1706</v>
      </c>
      <c r="J23" s="60">
        <f>SUM(E23:I23)</f>
        <v>1</v>
      </c>
      <c r="K23" s="57"/>
      <c r="L23" s="51">
        <f t="shared" ref="L23:P23" si="11">L6</f>
        <v>0.1784</v>
      </c>
      <c r="M23" s="51">
        <f t="shared" si="11"/>
        <v>0.1736</v>
      </c>
      <c r="N23" s="51">
        <f t="shared" si="11"/>
        <v>0.31459999999999999</v>
      </c>
      <c r="O23" s="51">
        <f t="shared" si="11"/>
        <v>0.19819999999999999</v>
      </c>
      <c r="P23" s="51">
        <f t="shared" si="11"/>
        <v>0.13519999999999999</v>
      </c>
      <c r="Q23" s="60">
        <f>SUM(L23:P23)</f>
        <v>1</v>
      </c>
      <c r="R23" s="57"/>
      <c r="S23" s="51">
        <f t="shared" ref="S23:W23" si="12">S6</f>
        <v>0.67900000000000005</v>
      </c>
      <c r="T23" s="51">
        <f t="shared" si="12"/>
        <v>0.17799999999999999</v>
      </c>
      <c r="U23" s="51">
        <f t="shared" si="12"/>
        <v>0.09</v>
      </c>
      <c r="V23" s="51">
        <f t="shared" si="12"/>
        <v>4.5999999999999999E-2</v>
      </c>
      <c r="W23" s="51">
        <f t="shared" si="12"/>
        <v>7.0000000000000001E-3</v>
      </c>
      <c r="X23" s="60">
        <f>SUM(S23:W23)</f>
        <v>1</v>
      </c>
      <c r="Y23" s="55"/>
      <c r="Z23" s="55"/>
      <c r="AA23" s="55"/>
    </row>
    <row r="24" spans="2:27" x14ac:dyDescent="0.2">
      <c r="B24" s="94" t="s">
        <v>5</v>
      </c>
      <c r="C24" s="32" t="s">
        <v>8</v>
      </c>
      <c r="D24" s="61"/>
      <c r="E24" s="29"/>
      <c r="F24" s="29"/>
      <c r="G24" s="29"/>
      <c r="H24" s="29"/>
      <c r="I24" s="29"/>
      <c r="J24" s="62">
        <f>J7</f>
        <v>0.37</v>
      </c>
      <c r="K24" s="61"/>
      <c r="L24" s="33"/>
      <c r="M24" s="33"/>
      <c r="N24" s="33"/>
      <c r="O24" s="33"/>
      <c r="P24" s="33"/>
      <c r="Q24" s="62">
        <f>Q7</f>
        <v>0.45</v>
      </c>
      <c r="R24" s="61"/>
      <c r="S24" s="33"/>
      <c r="T24" s="33"/>
      <c r="U24" s="33"/>
      <c r="V24" s="33"/>
      <c r="W24" s="33"/>
      <c r="X24" s="62">
        <f>X7</f>
        <v>0.7</v>
      </c>
      <c r="Y24" s="34"/>
      <c r="Z24" s="34"/>
      <c r="AA24" s="34"/>
    </row>
    <row r="25" spans="2:27" x14ac:dyDescent="0.2">
      <c r="B25" s="95"/>
      <c r="C25" s="35" t="s">
        <v>9</v>
      </c>
      <c r="D25" s="69"/>
      <c r="E25" s="44"/>
      <c r="F25" s="44"/>
      <c r="G25" s="44"/>
      <c r="H25" s="44"/>
      <c r="I25" s="44"/>
      <c r="J25" s="70"/>
      <c r="K25" s="69"/>
      <c r="L25" s="44"/>
      <c r="M25" s="44"/>
      <c r="N25" s="44"/>
      <c r="O25" s="44"/>
      <c r="P25" s="44"/>
      <c r="Q25" s="70"/>
      <c r="R25" s="69"/>
      <c r="S25" s="44"/>
      <c r="T25" s="44"/>
      <c r="U25" s="44"/>
      <c r="V25" s="44"/>
      <c r="W25" s="44"/>
      <c r="X25" s="70"/>
      <c r="Y25" s="37"/>
      <c r="Z25" s="37"/>
      <c r="AA25" s="34"/>
    </row>
    <row r="26" spans="2:27" x14ac:dyDescent="0.2">
      <c r="B26" s="95"/>
      <c r="C26" s="35" t="s">
        <v>17</v>
      </c>
      <c r="D26" s="69"/>
      <c r="E26" s="44"/>
      <c r="F26" s="44"/>
      <c r="G26" s="44"/>
      <c r="H26" s="44"/>
      <c r="I26" s="44"/>
      <c r="J26" s="70"/>
      <c r="K26" s="69"/>
      <c r="L26" s="44"/>
      <c r="M26" s="44"/>
      <c r="N26" s="44"/>
      <c r="O26" s="44"/>
      <c r="P26" s="44"/>
      <c r="Q26" s="70"/>
      <c r="R26" s="69"/>
      <c r="S26" s="44"/>
      <c r="T26" s="44"/>
      <c r="U26" s="44"/>
      <c r="V26" s="44"/>
      <c r="W26" s="44"/>
      <c r="X26" s="70"/>
      <c r="Y26" s="37"/>
      <c r="Z26" s="37"/>
      <c r="AA26" s="34"/>
    </row>
    <row r="27" spans="2:27" x14ac:dyDescent="0.2">
      <c r="B27" s="95"/>
      <c r="C27" s="35" t="s">
        <v>10</v>
      </c>
      <c r="D27" s="69"/>
      <c r="E27" s="44"/>
      <c r="F27" s="44"/>
      <c r="G27" s="44"/>
      <c r="H27" s="44"/>
      <c r="I27" s="44"/>
      <c r="J27" s="70"/>
      <c r="K27" s="69"/>
      <c r="L27" s="44"/>
      <c r="M27" s="44"/>
      <c r="N27" s="44"/>
      <c r="O27" s="44"/>
      <c r="P27" s="44"/>
      <c r="Q27" s="70"/>
      <c r="R27" s="69"/>
      <c r="S27" s="44"/>
      <c r="T27" s="44"/>
      <c r="U27" s="44"/>
      <c r="V27" s="44"/>
      <c r="W27" s="44"/>
      <c r="X27" s="70"/>
      <c r="Y27" s="37"/>
      <c r="Z27" s="37"/>
      <c r="AA27" s="34"/>
    </row>
    <row r="28" spans="2:27" ht="15" x14ac:dyDescent="0.2">
      <c r="B28" s="95"/>
      <c r="C28" s="30" t="s">
        <v>7</v>
      </c>
      <c r="D28" s="63">
        <f t="shared" ref="D28:D46" si="13">SUMPRODUCT(E28:I28,$E$23:$I$23)</f>
        <v>2.6000000000000002E-2</v>
      </c>
      <c r="E28" s="71">
        <f t="shared" ref="E28:J28" si="14">E11</f>
        <v>2.5999999999999999E-2</v>
      </c>
      <c r="F28" s="71">
        <f t="shared" si="14"/>
        <v>2.5999999999999999E-2</v>
      </c>
      <c r="G28" s="71">
        <f t="shared" si="14"/>
        <v>2.5999999999999999E-2</v>
      </c>
      <c r="H28" s="71">
        <f t="shared" si="14"/>
        <v>2.5999999999999999E-2</v>
      </c>
      <c r="I28" s="71">
        <f t="shared" si="14"/>
        <v>2.5999999999999999E-2</v>
      </c>
      <c r="J28" s="72">
        <f t="shared" si="14"/>
        <v>2.5999999999999999E-2</v>
      </c>
      <c r="K28" s="63">
        <f>SUMPRODUCT(L28:P28,$L$23:$P$23)</f>
        <v>3.0622222222222224E-2</v>
      </c>
      <c r="L28" s="71">
        <f t="shared" ref="L28:Q28" si="15">L11</f>
        <v>3.0622222222222224E-2</v>
      </c>
      <c r="M28" s="71">
        <f t="shared" si="15"/>
        <v>3.0622222222222224E-2</v>
      </c>
      <c r="N28" s="71">
        <f t="shared" si="15"/>
        <v>3.0622222222222224E-2</v>
      </c>
      <c r="O28" s="71">
        <f t="shared" si="15"/>
        <v>3.0622222222222224E-2</v>
      </c>
      <c r="P28" s="71">
        <f t="shared" si="15"/>
        <v>3.0622222222222224E-2</v>
      </c>
      <c r="Q28" s="72">
        <f t="shared" si="15"/>
        <v>3.0622222222222224E-2</v>
      </c>
      <c r="R28" s="63">
        <f t="shared" ref="R28:R46" si="16">SUMPRODUCT(S28:W28,$S$6:$W$6)</f>
        <v>5.7900000000000007E-2</v>
      </c>
      <c r="S28" s="71">
        <f t="shared" ref="S28:X28" si="17">S11</f>
        <v>5.79E-2</v>
      </c>
      <c r="T28" s="71">
        <f t="shared" si="17"/>
        <v>5.79E-2</v>
      </c>
      <c r="U28" s="71">
        <f t="shared" si="17"/>
        <v>5.79E-2</v>
      </c>
      <c r="V28" s="71">
        <f t="shared" si="17"/>
        <v>5.79E-2</v>
      </c>
      <c r="W28" s="71">
        <f t="shared" si="17"/>
        <v>5.79E-2</v>
      </c>
      <c r="X28" s="72">
        <f t="shared" si="17"/>
        <v>5.79E-2</v>
      </c>
      <c r="Y28" s="89" t="s">
        <v>41</v>
      </c>
      <c r="Z28" s="89"/>
      <c r="AA28" s="89"/>
    </row>
    <row r="29" spans="2:27" x14ac:dyDescent="0.2">
      <c r="B29" s="95"/>
      <c r="C29" s="38" t="s">
        <v>21</v>
      </c>
      <c r="D29" s="63">
        <f t="shared" si="13"/>
        <v>0.18461538461538463</v>
      </c>
      <c r="E29" s="52">
        <f>E12*0.6</f>
        <v>0.18461538461538463</v>
      </c>
      <c r="F29" s="52">
        <f t="shared" ref="F29:J29" si="18">F12*0.6</f>
        <v>0.18461538461538463</v>
      </c>
      <c r="G29" s="52">
        <f t="shared" si="18"/>
        <v>0.18461538461538463</v>
      </c>
      <c r="H29" s="52">
        <f t="shared" si="18"/>
        <v>0.18461538461538463</v>
      </c>
      <c r="I29" s="52">
        <f t="shared" si="18"/>
        <v>0.18461538461538463</v>
      </c>
      <c r="J29" s="73">
        <f t="shared" si="18"/>
        <v>0.18461538461538463</v>
      </c>
      <c r="K29" s="63">
        <f t="shared" ref="K29:K46" si="19">SUMPRODUCT(L29:P29,$L$23:$P$23)</f>
        <v>0.17538461538461542</v>
      </c>
      <c r="L29" s="52">
        <f>L12*0.6</f>
        <v>0.17538461538461539</v>
      </c>
      <c r="M29" s="52">
        <f t="shared" ref="M29:Q29" si="20">M12*0.6</f>
        <v>0.17538461538461539</v>
      </c>
      <c r="N29" s="52">
        <f t="shared" si="20"/>
        <v>0.17538461538461539</v>
      </c>
      <c r="O29" s="52">
        <f t="shared" si="20"/>
        <v>0.17538461538461539</v>
      </c>
      <c r="P29" s="52">
        <f t="shared" si="20"/>
        <v>0.17538461538461539</v>
      </c>
      <c r="Q29" s="73">
        <f t="shared" si="20"/>
        <v>0.17538461538461539</v>
      </c>
      <c r="R29" s="63">
        <f t="shared" si="16"/>
        <v>0.14769230769230771</v>
      </c>
      <c r="S29" s="52">
        <f>S12*0.6</f>
        <v>0.14769230769230771</v>
      </c>
      <c r="T29" s="52">
        <f t="shared" ref="T29:X29" si="21">T12*0.6</f>
        <v>0.14769230769230771</v>
      </c>
      <c r="U29" s="52">
        <f t="shared" si="21"/>
        <v>0.14769230769230771</v>
      </c>
      <c r="V29" s="52">
        <f t="shared" si="21"/>
        <v>0.14769230769230771</v>
      </c>
      <c r="W29" s="52">
        <f t="shared" si="21"/>
        <v>0.14769230769230771</v>
      </c>
      <c r="X29" s="73">
        <f t="shared" si="21"/>
        <v>0.14769230769230771</v>
      </c>
      <c r="Y29" s="89" t="s">
        <v>80</v>
      </c>
      <c r="Z29" s="89"/>
      <c r="AA29" s="89"/>
    </row>
    <row r="30" spans="2:27" x14ac:dyDescent="0.2">
      <c r="B30" s="95"/>
      <c r="C30" s="38" t="s">
        <v>22</v>
      </c>
      <c r="D30" s="63">
        <f t="shared" si="13"/>
        <v>0</v>
      </c>
      <c r="E30" s="45">
        <f>J30</f>
        <v>0</v>
      </c>
      <c r="F30" s="45">
        <f>J30</f>
        <v>0</v>
      </c>
      <c r="G30" s="45">
        <f>J30</f>
        <v>0</v>
      </c>
      <c r="H30" s="45">
        <f>J30</f>
        <v>0</v>
      </c>
      <c r="I30" s="45">
        <f>J30</f>
        <v>0</v>
      </c>
      <c r="J30" s="73">
        <v>0</v>
      </c>
      <c r="K30" s="63">
        <f t="shared" si="19"/>
        <v>0</v>
      </c>
      <c r="L30" s="45">
        <f>Q30</f>
        <v>0</v>
      </c>
      <c r="M30" s="45">
        <f>Q30</f>
        <v>0</v>
      </c>
      <c r="N30" s="45">
        <f>Q30</f>
        <v>0</v>
      </c>
      <c r="O30" s="45">
        <f>Q30</f>
        <v>0</v>
      </c>
      <c r="P30" s="45">
        <f>Q30</f>
        <v>0</v>
      </c>
      <c r="Q30" s="73">
        <f>J30</f>
        <v>0</v>
      </c>
      <c r="R30" s="63">
        <f t="shared" si="16"/>
        <v>0</v>
      </c>
      <c r="S30" s="45">
        <f>X30</f>
        <v>0</v>
      </c>
      <c r="T30" s="45">
        <f>X30</f>
        <v>0</v>
      </c>
      <c r="U30" s="45">
        <f>X30</f>
        <v>0</v>
      </c>
      <c r="V30" s="45">
        <f>X30</f>
        <v>0</v>
      </c>
      <c r="W30" s="45">
        <f>X30</f>
        <v>0</v>
      </c>
      <c r="X30" s="73">
        <f>Q30</f>
        <v>0</v>
      </c>
      <c r="Y30" s="89" t="s">
        <v>42</v>
      </c>
      <c r="Z30" s="89"/>
      <c r="AA30" s="89"/>
    </row>
    <row r="31" spans="2:27" ht="45.75" customHeight="1" x14ac:dyDescent="0.2">
      <c r="B31" s="95"/>
      <c r="C31" s="38" t="s">
        <v>24</v>
      </c>
      <c r="D31" s="63">
        <f t="shared" si="13"/>
        <v>7.0000000000000007E-2</v>
      </c>
      <c r="E31" s="39">
        <f>J31</f>
        <v>7.0000000000000007E-2</v>
      </c>
      <c r="F31" s="39">
        <f>J31</f>
        <v>7.0000000000000007E-2</v>
      </c>
      <c r="G31" s="39">
        <f>J31</f>
        <v>7.0000000000000007E-2</v>
      </c>
      <c r="H31" s="39">
        <f>J31</f>
        <v>7.0000000000000007E-2</v>
      </c>
      <c r="I31" s="39">
        <f>J31</f>
        <v>7.0000000000000007E-2</v>
      </c>
      <c r="J31" s="73">
        <v>7.0000000000000007E-2</v>
      </c>
      <c r="K31" s="63">
        <f t="shared" si="19"/>
        <v>7.0000000000000007E-2</v>
      </c>
      <c r="L31" s="39">
        <f>Q31</f>
        <v>7.0000000000000007E-2</v>
      </c>
      <c r="M31" s="39">
        <f>Q31</f>
        <v>7.0000000000000007E-2</v>
      </c>
      <c r="N31" s="39">
        <f>Q31</f>
        <v>7.0000000000000007E-2</v>
      </c>
      <c r="O31" s="39">
        <f>Q31</f>
        <v>7.0000000000000007E-2</v>
      </c>
      <c r="P31" s="39">
        <f>Q31</f>
        <v>7.0000000000000007E-2</v>
      </c>
      <c r="Q31" s="73">
        <f>J31</f>
        <v>7.0000000000000007E-2</v>
      </c>
      <c r="R31" s="63">
        <f t="shared" si="16"/>
        <v>7.0000000000000021E-2</v>
      </c>
      <c r="S31" s="39">
        <f>X31</f>
        <v>7.0000000000000007E-2</v>
      </c>
      <c r="T31" s="39">
        <f>X31</f>
        <v>7.0000000000000007E-2</v>
      </c>
      <c r="U31" s="39">
        <f>X31</f>
        <v>7.0000000000000007E-2</v>
      </c>
      <c r="V31" s="39">
        <f>X31</f>
        <v>7.0000000000000007E-2</v>
      </c>
      <c r="W31" s="39">
        <f>X31</f>
        <v>7.0000000000000007E-2</v>
      </c>
      <c r="X31" s="73">
        <f>Q31</f>
        <v>7.0000000000000007E-2</v>
      </c>
      <c r="Y31" s="87" t="s">
        <v>71</v>
      </c>
      <c r="Z31" s="87"/>
      <c r="AA31" s="87"/>
    </row>
    <row r="32" spans="2:27" ht="45.75" customHeight="1" x14ac:dyDescent="0.2">
      <c r="B32" s="95"/>
      <c r="C32" s="38" t="s">
        <v>55</v>
      </c>
      <c r="D32" s="63">
        <f t="shared" si="13"/>
        <v>0.18</v>
      </c>
      <c r="E32" s="39">
        <f>J32</f>
        <v>0.18</v>
      </c>
      <c r="F32" s="39">
        <f>J32</f>
        <v>0.18</v>
      </c>
      <c r="G32" s="39">
        <f>J32</f>
        <v>0.18</v>
      </c>
      <c r="H32" s="39">
        <f>J32</f>
        <v>0.18</v>
      </c>
      <c r="I32" s="39">
        <f>J32</f>
        <v>0.18</v>
      </c>
      <c r="J32" s="73">
        <v>0.18</v>
      </c>
      <c r="K32" s="63">
        <f t="shared" si="19"/>
        <v>0.18</v>
      </c>
      <c r="L32" s="39">
        <f>Q32</f>
        <v>0.18</v>
      </c>
      <c r="M32" s="39">
        <f>Q32</f>
        <v>0.18</v>
      </c>
      <c r="N32" s="39">
        <f>Q32</f>
        <v>0.18</v>
      </c>
      <c r="O32" s="39">
        <f>Q32</f>
        <v>0.18</v>
      </c>
      <c r="P32" s="39">
        <f>Q32</f>
        <v>0.18</v>
      </c>
      <c r="Q32" s="73">
        <f>J32</f>
        <v>0.18</v>
      </c>
      <c r="R32" s="63">
        <f t="shared" si="16"/>
        <v>0.18000000000000002</v>
      </c>
      <c r="S32" s="39">
        <f>X32</f>
        <v>0.18</v>
      </c>
      <c r="T32" s="39">
        <f>X32</f>
        <v>0.18</v>
      </c>
      <c r="U32" s="39">
        <f>X32</f>
        <v>0.18</v>
      </c>
      <c r="V32" s="39">
        <f>X32</f>
        <v>0.18</v>
      </c>
      <c r="W32" s="39">
        <f>X32</f>
        <v>0.18</v>
      </c>
      <c r="X32" s="73">
        <f>Q32</f>
        <v>0.18</v>
      </c>
      <c r="Y32" s="87" t="s">
        <v>72</v>
      </c>
      <c r="Z32" s="87"/>
      <c r="AA32" s="87"/>
    </row>
    <row r="33" spans="2:27" ht="45.75" customHeight="1" x14ac:dyDescent="0.2">
      <c r="B33" s="95"/>
      <c r="C33" s="38" t="s">
        <v>56</v>
      </c>
      <c r="D33" s="63">
        <f t="shared" si="13"/>
        <v>0.12882436708860759</v>
      </c>
      <c r="E33" s="50">
        <f t="shared" ref="E33:J33" si="22">0.15*(1-E35)/E38</f>
        <v>0.18037974683544303</v>
      </c>
      <c r="F33" s="50">
        <f t="shared" si="22"/>
        <v>0.16139240506329114</v>
      </c>
      <c r="G33" s="50">
        <f t="shared" si="22"/>
        <v>0.13765822784810125</v>
      </c>
      <c r="H33" s="50">
        <f t="shared" si="22"/>
        <v>0.1091772151898734</v>
      </c>
      <c r="I33" s="50">
        <f t="shared" si="22"/>
        <v>7.5949367088607583E-2</v>
      </c>
      <c r="J33" s="74">
        <f t="shared" si="22"/>
        <v>0.12882436708860759</v>
      </c>
      <c r="K33" s="63">
        <f t="shared" si="19"/>
        <v>0.13541202531645569</v>
      </c>
      <c r="L33" s="50">
        <f t="shared" ref="L33:Q33" si="23">0.15*(1-L35)/L38</f>
        <v>0.18037974683544303</v>
      </c>
      <c r="M33" s="50">
        <f t="shared" si="23"/>
        <v>0.16139240506329114</v>
      </c>
      <c r="N33" s="50">
        <f t="shared" si="23"/>
        <v>0.13765822784810125</v>
      </c>
      <c r="O33" s="50">
        <f t="shared" si="23"/>
        <v>0.1091772151898734</v>
      </c>
      <c r="P33" s="50">
        <f t="shared" si="23"/>
        <v>7.5949367088607583E-2</v>
      </c>
      <c r="Q33" s="74">
        <f t="shared" si="23"/>
        <v>0.13541202531645571</v>
      </c>
      <c r="R33" s="63">
        <f t="shared" si="16"/>
        <v>0.16914873417721521</v>
      </c>
      <c r="S33" s="50">
        <f t="shared" ref="S33:X33" si="24">0.15*(1-S35)/S38</f>
        <v>0.18037974683544303</v>
      </c>
      <c r="T33" s="50">
        <f t="shared" si="24"/>
        <v>0.16139240506329114</v>
      </c>
      <c r="U33" s="50">
        <f t="shared" si="24"/>
        <v>0.13765822784810125</v>
      </c>
      <c r="V33" s="50">
        <f t="shared" si="24"/>
        <v>0.1091772151898734</v>
      </c>
      <c r="W33" s="50">
        <f t="shared" si="24"/>
        <v>7.5949367088607583E-2</v>
      </c>
      <c r="X33" s="74">
        <f t="shared" si="24"/>
        <v>0.16914873417721518</v>
      </c>
      <c r="Y33" s="87" t="s">
        <v>73</v>
      </c>
      <c r="Z33" s="87"/>
      <c r="AA33" s="87"/>
    </row>
    <row r="34" spans="2:27" ht="45.75" customHeight="1" x14ac:dyDescent="0.2">
      <c r="B34" s="95"/>
      <c r="C34" s="38" t="s">
        <v>57</v>
      </c>
      <c r="D34" s="63">
        <f t="shared" si="13"/>
        <v>0.30882436708860755</v>
      </c>
      <c r="E34" s="39">
        <f t="shared" ref="E34:J34" si="25">E32+E33</f>
        <v>0.36037974683544305</v>
      </c>
      <c r="F34" s="39">
        <f t="shared" si="25"/>
        <v>0.34139240506329116</v>
      </c>
      <c r="G34" s="39">
        <f t="shared" si="25"/>
        <v>0.31765822784810127</v>
      </c>
      <c r="H34" s="39">
        <f t="shared" si="25"/>
        <v>0.28917721518987338</v>
      </c>
      <c r="I34" s="39">
        <f t="shared" si="25"/>
        <v>0.2559493670886076</v>
      </c>
      <c r="J34" s="75">
        <f t="shared" si="25"/>
        <v>0.30882436708860761</v>
      </c>
      <c r="K34" s="63">
        <f t="shared" si="19"/>
        <v>0.31541202531645568</v>
      </c>
      <c r="L34" s="39">
        <f>L32+L33</f>
        <v>0.36037974683544305</v>
      </c>
      <c r="M34" s="39">
        <f>M32+M33</f>
        <v>0.34139240506329116</v>
      </c>
      <c r="N34" s="39">
        <f>N32+N33</f>
        <v>0.31765822784810127</v>
      </c>
      <c r="O34" s="39">
        <f>O32+O33</f>
        <v>0.28917721518987338</v>
      </c>
      <c r="P34" s="39">
        <f>P32+P33</f>
        <v>0.2559493670886076</v>
      </c>
      <c r="Q34" s="73">
        <f>J34</f>
        <v>0.30882436708860761</v>
      </c>
      <c r="R34" s="63">
        <f t="shared" si="16"/>
        <v>0.3491487341772152</v>
      </c>
      <c r="S34" s="39">
        <f>S32+S33</f>
        <v>0.36037974683544305</v>
      </c>
      <c r="T34" s="39">
        <f>T32+T33</f>
        <v>0.34139240506329116</v>
      </c>
      <c r="U34" s="39">
        <f>U32+U33</f>
        <v>0.31765822784810127</v>
      </c>
      <c r="V34" s="39">
        <f>V32+V33</f>
        <v>0.28917721518987338</v>
      </c>
      <c r="W34" s="39">
        <f>W32+W33</f>
        <v>0.2559493670886076</v>
      </c>
      <c r="X34" s="73">
        <f>Q34</f>
        <v>0.30882436708860761</v>
      </c>
      <c r="Y34" s="87" t="s">
        <v>74</v>
      </c>
      <c r="Z34" s="87"/>
      <c r="AA34" s="87"/>
    </row>
    <row r="35" spans="2:27" ht="45.75" customHeight="1" x14ac:dyDescent="0.2">
      <c r="B35" s="95"/>
      <c r="C35" s="38" t="s">
        <v>25</v>
      </c>
      <c r="D35" s="63">
        <f t="shared" si="13"/>
        <v>0.32152500000000001</v>
      </c>
      <c r="E35" s="50">
        <f>E5</f>
        <v>0.05</v>
      </c>
      <c r="F35" s="50">
        <f>F5</f>
        <v>0.15</v>
      </c>
      <c r="G35" s="50">
        <f>G5</f>
        <v>0.27500000000000002</v>
      </c>
      <c r="H35" s="50">
        <f>H5</f>
        <v>0.42499999999999999</v>
      </c>
      <c r="I35" s="50">
        <f>I5</f>
        <v>0.6</v>
      </c>
      <c r="J35" s="74">
        <f>D35</f>
        <v>0.32152500000000001</v>
      </c>
      <c r="K35" s="63">
        <f t="shared" si="19"/>
        <v>0.28682999999999997</v>
      </c>
      <c r="L35" s="50">
        <f>L5</f>
        <v>0.05</v>
      </c>
      <c r="M35" s="50">
        <f>M5</f>
        <v>0.15</v>
      </c>
      <c r="N35" s="50">
        <f>N5</f>
        <v>0.27500000000000002</v>
      </c>
      <c r="O35" s="50">
        <f>O5</f>
        <v>0.42499999999999999</v>
      </c>
      <c r="P35" s="50">
        <f>P5</f>
        <v>0.6</v>
      </c>
      <c r="Q35" s="74">
        <f>K35</f>
        <v>0.28682999999999997</v>
      </c>
      <c r="R35" s="63">
        <f t="shared" si="16"/>
        <v>0.10915</v>
      </c>
      <c r="S35" s="50">
        <f>S5</f>
        <v>0.05</v>
      </c>
      <c r="T35" s="50">
        <f>T5</f>
        <v>0.15</v>
      </c>
      <c r="U35" s="50">
        <f>U5</f>
        <v>0.27500000000000002</v>
      </c>
      <c r="V35" s="50">
        <f>V5</f>
        <v>0.42499999999999999</v>
      </c>
      <c r="W35" s="50">
        <f>W5</f>
        <v>0.6</v>
      </c>
      <c r="X35" s="74">
        <f>R35</f>
        <v>0.10915</v>
      </c>
      <c r="Y35" s="93" t="s">
        <v>75</v>
      </c>
      <c r="Z35" s="87"/>
      <c r="AA35" s="87"/>
    </row>
    <row r="36" spans="2:27" ht="13.9" customHeight="1" x14ac:dyDescent="0.2">
      <c r="B36" s="95"/>
      <c r="C36" s="38" t="s">
        <v>29</v>
      </c>
      <c r="D36" s="63">
        <f t="shared" si="13"/>
        <v>0.10000000000000002</v>
      </c>
      <c r="E36" s="39">
        <f>J36</f>
        <v>0.1</v>
      </c>
      <c r="F36" s="39">
        <f>J36</f>
        <v>0.1</v>
      </c>
      <c r="G36" s="39">
        <f>J36</f>
        <v>0.1</v>
      </c>
      <c r="H36" s="39">
        <f>J36</f>
        <v>0.1</v>
      </c>
      <c r="I36" s="39">
        <f>J36</f>
        <v>0.1</v>
      </c>
      <c r="J36" s="73">
        <v>0.1</v>
      </c>
      <c r="K36" s="63">
        <f t="shared" si="19"/>
        <v>0.1</v>
      </c>
      <c r="L36" s="39">
        <f>Q36</f>
        <v>0.1</v>
      </c>
      <c r="M36" s="39">
        <f>Q36</f>
        <v>0.1</v>
      </c>
      <c r="N36" s="39">
        <f>Q36</f>
        <v>0.1</v>
      </c>
      <c r="O36" s="39">
        <f>Q36</f>
        <v>0.1</v>
      </c>
      <c r="P36" s="39">
        <f>Q36</f>
        <v>0.1</v>
      </c>
      <c r="Q36" s="73">
        <f>J36</f>
        <v>0.1</v>
      </c>
      <c r="R36" s="63">
        <f t="shared" si="16"/>
        <v>0.1</v>
      </c>
      <c r="S36" s="39">
        <f>X36</f>
        <v>0.1</v>
      </c>
      <c r="T36" s="39">
        <f>X36</f>
        <v>0.1</v>
      </c>
      <c r="U36" s="39">
        <f>X36</f>
        <v>0.1</v>
      </c>
      <c r="V36" s="39">
        <f>X36</f>
        <v>0.1</v>
      </c>
      <c r="W36" s="39">
        <f>X36</f>
        <v>0.1</v>
      </c>
      <c r="X36" s="73">
        <f>Q36</f>
        <v>0.1</v>
      </c>
      <c r="Y36" s="87" t="s">
        <v>43</v>
      </c>
      <c r="Z36" s="87"/>
      <c r="AA36" s="87"/>
    </row>
    <row r="37" spans="2:27" ht="40.5" customHeight="1" x14ac:dyDescent="0.2">
      <c r="B37" s="95"/>
      <c r="C37" s="38" t="s">
        <v>26</v>
      </c>
      <c r="D37" s="63">
        <f t="shared" si="13"/>
        <v>0.72500000000000009</v>
      </c>
      <c r="E37" s="39">
        <f>J37</f>
        <v>0.72499999999999998</v>
      </c>
      <c r="F37" s="39">
        <f>J37</f>
        <v>0.72499999999999998</v>
      </c>
      <c r="G37" s="39">
        <f>J37</f>
        <v>0.72499999999999998</v>
      </c>
      <c r="H37" s="39">
        <f>J37</f>
        <v>0.72499999999999998</v>
      </c>
      <c r="I37" s="39">
        <f>J37</f>
        <v>0.72499999999999998</v>
      </c>
      <c r="J37" s="73">
        <v>0.72499999999999998</v>
      </c>
      <c r="K37" s="63">
        <f t="shared" si="19"/>
        <v>0.72499999999999998</v>
      </c>
      <c r="L37" s="39">
        <f>Q37</f>
        <v>0.72499999999999998</v>
      </c>
      <c r="M37" s="39">
        <f>Q37</f>
        <v>0.72499999999999998</v>
      </c>
      <c r="N37" s="39">
        <f>Q37</f>
        <v>0.72499999999999998</v>
      </c>
      <c r="O37" s="39">
        <f>Q37</f>
        <v>0.72499999999999998</v>
      </c>
      <c r="P37" s="39">
        <f>Q37</f>
        <v>0.72499999999999998</v>
      </c>
      <c r="Q37" s="73">
        <f>J37</f>
        <v>0.72499999999999998</v>
      </c>
      <c r="R37" s="63">
        <f t="shared" si="16"/>
        <v>0.72500000000000009</v>
      </c>
      <c r="S37" s="39">
        <f>X37</f>
        <v>0.72499999999999998</v>
      </c>
      <c r="T37" s="39">
        <f>X37</f>
        <v>0.72499999999999998</v>
      </c>
      <c r="U37" s="39">
        <f>X37</f>
        <v>0.72499999999999998</v>
      </c>
      <c r="V37" s="39">
        <f>X37</f>
        <v>0.72499999999999998</v>
      </c>
      <c r="W37" s="39">
        <f>X37</f>
        <v>0.72499999999999998</v>
      </c>
      <c r="X37" s="73">
        <f>Q37</f>
        <v>0.72499999999999998</v>
      </c>
      <c r="Y37" s="87" t="s">
        <v>48</v>
      </c>
      <c r="Z37" s="87"/>
      <c r="AA37" s="87"/>
    </row>
    <row r="38" spans="2:27" ht="40.5" customHeight="1" x14ac:dyDescent="0.2">
      <c r="B38" s="95"/>
      <c r="C38" s="38" t="s">
        <v>58</v>
      </c>
      <c r="D38" s="63">
        <f t="shared" si="13"/>
        <v>0.79</v>
      </c>
      <c r="E38" s="45">
        <f t="shared" ref="E38:J38" si="26">(1-E31*3)</f>
        <v>0.79</v>
      </c>
      <c r="F38" s="45">
        <f t="shared" si="26"/>
        <v>0.79</v>
      </c>
      <c r="G38" s="45">
        <f t="shared" si="26"/>
        <v>0.79</v>
      </c>
      <c r="H38" s="45">
        <f t="shared" si="26"/>
        <v>0.79</v>
      </c>
      <c r="I38" s="45">
        <f t="shared" si="26"/>
        <v>0.79</v>
      </c>
      <c r="J38" s="73">
        <f t="shared" si="26"/>
        <v>0.79</v>
      </c>
      <c r="K38" s="63">
        <f t="shared" si="19"/>
        <v>0.79</v>
      </c>
      <c r="L38" s="45">
        <f t="shared" ref="L38:Q38" si="27">(1-L31*3)</f>
        <v>0.79</v>
      </c>
      <c r="M38" s="45">
        <f t="shared" si="27"/>
        <v>0.79</v>
      </c>
      <c r="N38" s="45">
        <f t="shared" si="27"/>
        <v>0.79</v>
      </c>
      <c r="O38" s="45">
        <f t="shared" si="27"/>
        <v>0.79</v>
      </c>
      <c r="P38" s="45">
        <f t="shared" si="27"/>
        <v>0.79</v>
      </c>
      <c r="Q38" s="73">
        <f t="shared" si="27"/>
        <v>0.79</v>
      </c>
      <c r="R38" s="63">
        <f t="shared" si="16"/>
        <v>0.79</v>
      </c>
      <c r="S38" s="45">
        <f t="shared" ref="S38:X38" si="28">(1-S31*3)</f>
        <v>0.79</v>
      </c>
      <c r="T38" s="45">
        <f t="shared" si="28"/>
        <v>0.79</v>
      </c>
      <c r="U38" s="45">
        <f t="shared" si="28"/>
        <v>0.79</v>
      </c>
      <c r="V38" s="45">
        <f t="shared" si="28"/>
        <v>0.79</v>
      </c>
      <c r="W38" s="45">
        <f t="shared" si="28"/>
        <v>0.79</v>
      </c>
      <c r="X38" s="73">
        <f t="shared" si="28"/>
        <v>0.79</v>
      </c>
      <c r="Y38" s="93" t="s">
        <v>76</v>
      </c>
      <c r="Z38" s="87"/>
      <c r="AA38" s="87"/>
    </row>
    <row r="39" spans="2:27" ht="13.9" customHeight="1" x14ac:dyDescent="0.2">
      <c r="B39" s="95"/>
      <c r="C39" s="38" t="s">
        <v>59</v>
      </c>
      <c r="D39" s="63">
        <f t="shared" si="13"/>
        <v>0.54602874999999995</v>
      </c>
      <c r="E39" s="45">
        <f t="shared" ref="E39:J39" si="29">E38*(1-E34)</f>
        <v>0.50529999999999997</v>
      </c>
      <c r="F39" s="45">
        <f t="shared" si="29"/>
        <v>0.52029999999999998</v>
      </c>
      <c r="G39" s="45">
        <f t="shared" si="29"/>
        <v>0.53905000000000003</v>
      </c>
      <c r="H39" s="45">
        <f t="shared" si="29"/>
        <v>0.5615500000000001</v>
      </c>
      <c r="I39" s="45">
        <f t="shared" si="29"/>
        <v>0.58779999999999999</v>
      </c>
      <c r="J39" s="73">
        <f t="shared" si="29"/>
        <v>0.54602875000000006</v>
      </c>
      <c r="K39" s="63">
        <f t="shared" si="19"/>
        <v>0.54082449999999993</v>
      </c>
      <c r="L39" s="45">
        <f>L38*(1-L34)</f>
        <v>0.50529999999999997</v>
      </c>
      <c r="M39" s="45">
        <f>M38*(1-M34)</f>
        <v>0.52029999999999998</v>
      </c>
      <c r="N39" s="45">
        <f>N38*(1-N34)</f>
        <v>0.53905000000000003</v>
      </c>
      <c r="O39" s="45">
        <f>O38*(1-O34)</f>
        <v>0.5615500000000001</v>
      </c>
      <c r="P39" s="45">
        <f>P38*(1-P34)</f>
        <v>0.58779999999999999</v>
      </c>
      <c r="Q39" s="73">
        <f>((1-Q31*3)*(1-Q34))</f>
        <v>0.54602875000000006</v>
      </c>
      <c r="R39" s="63">
        <f t="shared" si="16"/>
        <v>0.51417250000000003</v>
      </c>
      <c r="S39" s="45">
        <f>S38*(1-S34)</f>
        <v>0.50529999999999997</v>
      </c>
      <c r="T39" s="45">
        <f>T38*(1-T34)</f>
        <v>0.52029999999999998</v>
      </c>
      <c r="U39" s="45">
        <f>U38*(1-U34)</f>
        <v>0.53905000000000003</v>
      </c>
      <c r="V39" s="45">
        <f>V38*(1-V34)</f>
        <v>0.5615500000000001</v>
      </c>
      <c r="W39" s="45">
        <f>W38*(1-W34)</f>
        <v>0.58779999999999999</v>
      </c>
      <c r="X39" s="73">
        <f>((1-X31*3)*(1-X34))</f>
        <v>0.54602875000000006</v>
      </c>
      <c r="Y39" s="87" t="s">
        <v>77</v>
      </c>
      <c r="Z39" s="87"/>
      <c r="AA39" s="87"/>
    </row>
    <row r="40" spans="2:27" ht="13.9" customHeight="1" x14ac:dyDescent="0.2">
      <c r="B40" s="95"/>
      <c r="C40" s="38" t="s">
        <v>27</v>
      </c>
      <c r="D40" s="63">
        <f t="shared" si="13"/>
        <v>0.88100281538379421</v>
      </c>
      <c r="E40" s="45">
        <f t="shared" ref="E40:J40" si="30">E39/(1-E35)</f>
        <v>0.53189473684210531</v>
      </c>
      <c r="F40" s="45">
        <f t="shared" si="30"/>
        <v>0.61211764705882354</v>
      </c>
      <c r="G40" s="45">
        <f t="shared" si="30"/>
        <v>0.74351724137931041</v>
      </c>
      <c r="H40" s="45">
        <f t="shared" si="30"/>
        <v>0.97660869565217412</v>
      </c>
      <c r="I40" s="45">
        <f t="shared" si="30"/>
        <v>1.4694999999999998</v>
      </c>
      <c r="J40" s="73">
        <f t="shared" si="30"/>
        <v>0.80478831202328771</v>
      </c>
      <c r="K40" s="63">
        <f t="shared" si="19"/>
        <v>0.82730441219823525</v>
      </c>
      <c r="L40" s="45">
        <f t="shared" ref="L40:Q40" si="31">L39/(1-L35)</f>
        <v>0.53189473684210531</v>
      </c>
      <c r="M40" s="45">
        <f t="shared" si="31"/>
        <v>0.61211764705882354</v>
      </c>
      <c r="N40" s="45">
        <f t="shared" si="31"/>
        <v>0.74351724137931041</v>
      </c>
      <c r="O40" s="45">
        <f t="shared" si="31"/>
        <v>0.97660869565217412</v>
      </c>
      <c r="P40" s="45">
        <f t="shared" si="31"/>
        <v>1.4694999999999998</v>
      </c>
      <c r="Q40" s="73">
        <f t="shared" si="31"/>
        <v>0.7656361737033246</v>
      </c>
      <c r="R40" s="63">
        <f t="shared" si="16"/>
        <v>0.59224051921639798</v>
      </c>
      <c r="S40" s="45">
        <f t="shared" ref="S40:X40" si="32">S39/(1-S35)</f>
        <v>0.53189473684210531</v>
      </c>
      <c r="T40" s="45">
        <f t="shared" si="32"/>
        <v>0.61211764705882354</v>
      </c>
      <c r="U40" s="45">
        <f t="shared" si="32"/>
        <v>0.74351724137931041</v>
      </c>
      <c r="V40" s="45">
        <f t="shared" si="32"/>
        <v>0.97660869565217412</v>
      </c>
      <c r="W40" s="45">
        <f t="shared" si="32"/>
        <v>1.4694999999999998</v>
      </c>
      <c r="X40" s="73">
        <f t="shared" si="32"/>
        <v>0.61293006679014428</v>
      </c>
      <c r="Y40" s="87" t="s">
        <v>44</v>
      </c>
      <c r="Z40" s="87"/>
      <c r="AA40" s="87"/>
    </row>
    <row r="41" spans="2:27" ht="13.9" customHeight="1" x14ac:dyDescent="0.2">
      <c r="B41" s="95"/>
      <c r="C41" s="42" t="s">
        <v>28</v>
      </c>
      <c r="D41" s="63">
        <f t="shared" si="13"/>
        <v>1.2151762970810955</v>
      </c>
      <c r="E41" s="45">
        <f t="shared" ref="E41:J41" si="33">E40/E37</f>
        <v>0.73364791288566256</v>
      </c>
      <c r="F41" s="45">
        <f t="shared" si="33"/>
        <v>0.8443002028397566</v>
      </c>
      <c r="G41" s="45">
        <f t="shared" si="33"/>
        <v>1.0255410225921524</v>
      </c>
      <c r="H41" s="45">
        <f t="shared" si="33"/>
        <v>1.3470464767616195</v>
      </c>
      <c r="I41" s="45">
        <f t="shared" si="33"/>
        <v>2.0268965517241377</v>
      </c>
      <c r="J41" s="73">
        <f t="shared" si="33"/>
        <v>1.1100528441700521</v>
      </c>
      <c r="K41" s="63">
        <f t="shared" si="19"/>
        <v>1.1411095340665316</v>
      </c>
      <c r="L41" s="45">
        <f t="shared" ref="L41:Q41" si="34">L40/L37</f>
        <v>0.73364791288566256</v>
      </c>
      <c r="M41" s="45">
        <f t="shared" si="34"/>
        <v>0.8443002028397566</v>
      </c>
      <c r="N41" s="45">
        <f t="shared" si="34"/>
        <v>1.0255410225921524</v>
      </c>
      <c r="O41" s="45">
        <f t="shared" si="34"/>
        <v>1.3470464767616195</v>
      </c>
      <c r="P41" s="45">
        <f t="shared" si="34"/>
        <v>2.0268965517241377</v>
      </c>
      <c r="Q41" s="73">
        <f t="shared" si="34"/>
        <v>1.0560498947632064</v>
      </c>
      <c r="R41" s="63">
        <f t="shared" si="16"/>
        <v>0.81688347478123868</v>
      </c>
      <c r="S41" s="45">
        <f t="shared" ref="S41:X41" si="35">S40/S37</f>
        <v>0.73364791288566256</v>
      </c>
      <c r="T41" s="45">
        <f t="shared" si="35"/>
        <v>0.8443002028397566</v>
      </c>
      <c r="U41" s="45">
        <f t="shared" si="35"/>
        <v>1.0255410225921524</v>
      </c>
      <c r="V41" s="45">
        <f t="shared" si="35"/>
        <v>1.3470464767616195</v>
      </c>
      <c r="W41" s="45">
        <f t="shared" si="35"/>
        <v>2.0268965517241377</v>
      </c>
      <c r="X41" s="73">
        <f t="shared" si="35"/>
        <v>0.84542078177950941</v>
      </c>
      <c r="Y41" s="87" t="s">
        <v>45</v>
      </c>
      <c r="Z41" s="87"/>
      <c r="AA41" s="87"/>
    </row>
    <row r="42" spans="2:27" ht="13.5" customHeight="1" x14ac:dyDescent="0.2">
      <c r="B42" s="95"/>
      <c r="C42" s="42" t="s">
        <v>30</v>
      </c>
      <c r="D42" s="63">
        <f t="shared" si="13"/>
        <v>1.1047057246191778</v>
      </c>
      <c r="E42" s="45">
        <f t="shared" ref="E42:J42" si="36">E41/(1+E36)^1</f>
        <v>0.66695264807787502</v>
      </c>
      <c r="F42" s="45">
        <f t="shared" si="36"/>
        <v>0.7675456389452332</v>
      </c>
      <c r="G42" s="45">
        <f t="shared" si="36"/>
        <v>0.93231002053832035</v>
      </c>
      <c r="H42" s="45">
        <f t="shared" si="36"/>
        <v>1.2245877061469268</v>
      </c>
      <c r="I42" s="45">
        <f t="shared" si="36"/>
        <v>1.842633228840125</v>
      </c>
      <c r="J42" s="73">
        <f t="shared" si="36"/>
        <v>1.0091389492455018</v>
      </c>
      <c r="K42" s="63">
        <f t="shared" si="19"/>
        <v>1.0373723036968467</v>
      </c>
      <c r="L42" s="45">
        <f t="shared" ref="L42:Q42" si="37">L41/(1+L36)^1</f>
        <v>0.66695264807787502</v>
      </c>
      <c r="M42" s="45">
        <f t="shared" si="37"/>
        <v>0.7675456389452332</v>
      </c>
      <c r="N42" s="45">
        <f t="shared" si="37"/>
        <v>0.93231002053832035</v>
      </c>
      <c r="O42" s="45">
        <f t="shared" si="37"/>
        <v>1.2245877061469268</v>
      </c>
      <c r="P42" s="45">
        <f t="shared" si="37"/>
        <v>1.842633228840125</v>
      </c>
      <c r="Q42" s="73">
        <f t="shared" si="37"/>
        <v>0.96004535887564213</v>
      </c>
      <c r="R42" s="63">
        <f t="shared" si="16"/>
        <v>0.74262134071021713</v>
      </c>
      <c r="S42" s="45">
        <f t="shared" ref="S42:X42" si="38">S41/(1+S36)^1</f>
        <v>0.66695264807787502</v>
      </c>
      <c r="T42" s="45">
        <f t="shared" si="38"/>
        <v>0.7675456389452332</v>
      </c>
      <c r="U42" s="45">
        <f t="shared" si="38"/>
        <v>0.93231002053832035</v>
      </c>
      <c r="V42" s="45">
        <f t="shared" si="38"/>
        <v>1.2245877061469268</v>
      </c>
      <c r="W42" s="45">
        <f t="shared" si="38"/>
        <v>1.842633228840125</v>
      </c>
      <c r="X42" s="73">
        <f t="shared" si="38"/>
        <v>0.76856434707228127</v>
      </c>
      <c r="Y42" s="87" t="s">
        <v>46</v>
      </c>
      <c r="Z42" s="87"/>
      <c r="AA42" s="87"/>
    </row>
    <row r="43" spans="2:27" ht="13.5" customHeight="1" x14ac:dyDescent="0.2">
      <c r="B43" s="95"/>
      <c r="C43" s="42" t="s">
        <v>60</v>
      </c>
      <c r="D43" s="63">
        <f t="shared" si="13"/>
        <v>0.85</v>
      </c>
      <c r="E43" s="39">
        <f>J43</f>
        <v>0.85</v>
      </c>
      <c r="F43" s="39">
        <f>J43</f>
        <v>0.85</v>
      </c>
      <c r="G43" s="39">
        <f>J43</f>
        <v>0.85</v>
      </c>
      <c r="H43" s="39">
        <f>J43</f>
        <v>0.85</v>
      </c>
      <c r="I43" s="39">
        <f>J43</f>
        <v>0.85</v>
      </c>
      <c r="J43" s="73">
        <v>0.85</v>
      </c>
      <c r="K43" s="63">
        <f t="shared" si="19"/>
        <v>0.85000000000000009</v>
      </c>
      <c r="L43" s="39">
        <f>Q43</f>
        <v>0.85</v>
      </c>
      <c r="M43" s="39">
        <f>Q43</f>
        <v>0.85</v>
      </c>
      <c r="N43" s="39">
        <f>Q43</f>
        <v>0.85</v>
      </c>
      <c r="O43" s="39">
        <f>Q43</f>
        <v>0.85</v>
      </c>
      <c r="P43" s="39">
        <f>Q43</f>
        <v>0.85</v>
      </c>
      <c r="Q43" s="73">
        <f>J43</f>
        <v>0.85</v>
      </c>
      <c r="R43" s="63">
        <f t="shared" si="16"/>
        <v>0.85000000000000009</v>
      </c>
      <c r="S43" s="39">
        <f>X43</f>
        <v>0.85</v>
      </c>
      <c r="T43" s="39">
        <f>X43</f>
        <v>0.85</v>
      </c>
      <c r="U43" s="39">
        <f>X43</f>
        <v>0.85</v>
      </c>
      <c r="V43" s="39">
        <f>X43</f>
        <v>0.85</v>
      </c>
      <c r="W43" s="39">
        <f>X43</f>
        <v>0.85</v>
      </c>
      <c r="X43" s="73">
        <f>Q43</f>
        <v>0.85</v>
      </c>
      <c r="Y43" s="93" t="s">
        <v>78</v>
      </c>
      <c r="Z43" s="87"/>
      <c r="AA43" s="87"/>
    </row>
    <row r="44" spans="2:27" ht="13.5" customHeight="1" x14ac:dyDescent="0.2">
      <c r="B44" s="95"/>
      <c r="C44" s="42" t="s">
        <v>61</v>
      </c>
      <c r="D44" s="63">
        <f t="shared" si="13"/>
        <v>0.93899986592630102</v>
      </c>
      <c r="E44" s="45">
        <f>E43*E42</f>
        <v>0.56690975086619377</v>
      </c>
      <c r="F44" s="45">
        <f t="shared" ref="F44:J44" si="39">F43*F42</f>
        <v>0.65241379310344816</v>
      </c>
      <c r="G44" s="45">
        <f t="shared" si="39"/>
        <v>0.79246351745757226</v>
      </c>
      <c r="H44" s="45">
        <f t="shared" si="39"/>
        <v>1.0408995502248877</v>
      </c>
      <c r="I44" s="45">
        <f t="shared" si="39"/>
        <v>1.5662382445141063</v>
      </c>
      <c r="J44" s="73">
        <f t="shared" si="39"/>
        <v>0.85776810685867655</v>
      </c>
      <c r="K44" s="63">
        <f t="shared" si="19"/>
        <v>0.88176645814231969</v>
      </c>
      <c r="L44" s="45">
        <f>L43*L42</f>
        <v>0.56690975086619377</v>
      </c>
      <c r="M44" s="45">
        <f t="shared" ref="M44" si="40">M43*M42</f>
        <v>0.65241379310344816</v>
      </c>
      <c r="N44" s="45">
        <f t="shared" ref="N44" si="41">N43*N42</f>
        <v>0.79246351745757226</v>
      </c>
      <c r="O44" s="45">
        <f t="shared" ref="O44" si="42">O43*O42</f>
        <v>1.0408995502248877</v>
      </c>
      <c r="P44" s="45">
        <f t="shared" ref="P44:Q44" si="43">P43*P42</f>
        <v>1.5662382445141063</v>
      </c>
      <c r="Q44" s="73">
        <f t="shared" si="43"/>
        <v>0.81603855504429579</v>
      </c>
      <c r="R44" s="63">
        <f t="shared" si="16"/>
        <v>0.6312281396036844</v>
      </c>
      <c r="S44" s="45">
        <f>S43*S42</f>
        <v>0.56690975086619377</v>
      </c>
      <c r="T44" s="45">
        <f t="shared" ref="T44" si="44">T43*T42</f>
        <v>0.65241379310344816</v>
      </c>
      <c r="U44" s="45">
        <f t="shared" ref="U44" si="45">U43*U42</f>
        <v>0.79246351745757226</v>
      </c>
      <c r="V44" s="45">
        <f t="shared" ref="V44" si="46">V43*V42</f>
        <v>1.0408995502248877</v>
      </c>
      <c r="W44" s="45">
        <f t="shared" ref="W44" si="47">W43*W42</f>
        <v>1.5662382445141063</v>
      </c>
      <c r="X44" s="73">
        <f t="shared" ref="X44" si="48">X43*X42</f>
        <v>0.65327969501143901</v>
      </c>
      <c r="Y44" s="93" t="s">
        <v>79</v>
      </c>
      <c r="Z44" s="87"/>
      <c r="AA44" s="87"/>
    </row>
    <row r="45" spans="2:27" ht="13.9" customHeight="1" x14ac:dyDescent="0.2">
      <c r="B45" s="95"/>
      <c r="C45" s="40" t="s">
        <v>19</v>
      </c>
      <c r="D45" s="76">
        <f t="shared" si="13"/>
        <v>0.13724899622782871</v>
      </c>
      <c r="E45" s="46">
        <f t="shared" ref="E45:J45" si="49">MAX((1-E29-E30)*(1-E44),0)</f>
        <v>0.35313512621679582</v>
      </c>
      <c r="F45" s="46">
        <f t="shared" si="49"/>
        <v>0.28341644562334228</v>
      </c>
      <c r="G45" s="46">
        <f t="shared" si="49"/>
        <v>0.16922205499613338</v>
      </c>
      <c r="H45" s="46">
        <f t="shared" si="49"/>
        <v>0</v>
      </c>
      <c r="I45" s="46">
        <f t="shared" si="49"/>
        <v>0</v>
      </c>
      <c r="J45" s="77">
        <f t="shared" si="49"/>
        <v>0.11597369748446373</v>
      </c>
      <c r="K45" s="76">
        <f t="shared" si="19"/>
        <v>0.16731053914864658</v>
      </c>
      <c r="L45" s="46">
        <f t="shared" ref="L45:Q45" si="50">MAX((1-L29-L30)*(1-L44),0)</f>
        <v>0.3571328823626464</v>
      </c>
      <c r="M45" s="46">
        <f t="shared" si="50"/>
        <v>0.28662493368700276</v>
      </c>
      <c r="N45" s="46">
        <f t="shared" si="50"/>
        <v>0.1711377763734481</v>
      </c>
      <c r="O45" s="46">
        <f t="shared" si="50"/>
        <v>0</v>
      </c>
      <c r="P45" s="46">
        <f t="shared" si="50"/>
        <v>0</v>
      </c>
      <c r="Q45" s="77">
        <f t="shared" si="50"/>
        <v>0.15169743768654995</v>
      </c>
      <c r="R45" s="76">
        <f t="shared" si="16"/>
        <v>0.31928887186110089</v>
      </c>
      <c r="S45" s="46">
        <f t="shared" ref="S45" si="51">MAX((1-S29-S30)*(1-S44),0)</f>
        <v>0.36912615080019795</v>
      </c>
      <c r="T45" s="46">
        <f t="shared" ref="T45" si="52">MAX((1-T29-T30)*(1-T44),0)</f>
        <v>0.29625039787798418</v>
      </c>
      <c r="U45" s="46">
        <f t="shared" ref="U45" si="53">MAX((1-U29-U30)*(1-U44),0)</f>
        <v>0.17688494050539225</v>
      </c>
      <c r="V45" s="46">
        <f t="shared" ref="V45" si="54">MAX((1-V29-V30)*(1-V44),0)</f>
        <v>0</v>
      </c>
      <c r="W45" s="46">
        <f t="shared" ref="W45" si="55">MAX((1-W29-W30)*(1-W44),0)</f>
        <v>0</v>
      </c>
      <c r="X45" s="77">
        <f t="shared" ref="X45" si="56">MAX((1-X29-X30)*(1-X44),0)</f>
        <v>0.29551238302101968</v>
      </c>
      <c r="Y45" s="87" t="s">
        <v>47</v>
      </c>
      <c r="Z45" s="87"/>
      <c r="AA45" s="87"/>
    </row>
    <row r="46" spans="2:27" ht="64.5" customHeight="1" thickBot="1" x14ac:dyDescent="0.25">
      <c r="B46" s="95"/>
      <c r="C46" s="41" t="s">
        <v>13</v>
      </c>
      <c r="D46" s="66">
        <f t="shared" si="13"/>
        <v>3.5684739019235467E-3</v>
      </c>
      <c r="E46" s="67">
        <f t="shared" ref="E46:J46" si="57">E45*E28</f>
        <v>9.1815132816366902E-3</v>
      </c>
      <c r="F46" s="67">
        <f t="shared" si="57"/>
        <v>7.3688275862068987E-3</v>
      </c>
      <c r="G46" s="67">
        <f t="shared" si="57"/>
        <v>4.3997734298994676E-3</v>
      </c>
      <c r="H46" s="67">
        <f t="shared" si="57"/>
        <v>0</v>
      </c>
      <c r="I46" s="67">
        <f t="shared" si="57"/>
        <v>0</v>
      </c>
      <c r="J46" s="68">
        <f t="shared" si="57"/>
        <v>3.015316134596057E-3</v>
      </c>
      <c r="K46" s="66">
        <f t="shared" si="19"/>
        <v>5.1234205099296663E-3</v>
      </c>
      <c r="L46" s="67">
        <f t="shared" ref="L46" si="58">L45*L28</f>
        <v>1.0936202486571706E-2</v>
      </c>
      <c r="M46" s="67">
        <f t="shared" ref="M46" si="59">M45*M28</f>
        <v>8.7770924137931076E-3</v>
      </c>
      <c r="N46" s="67">
        <f t="shared" ref="N46" si="60">N45*N28</f>
        <v>5.2406190187246999E-3</v>
      </c>
      <c r="O46" s="67">
        <f t="shared" ref="O46" si="61">O45*O28</f>
        <v>0</v>
      </c>
      <c r="P46" s="67">
        <f t="shared" ref="P46" si="62">P45*P28</f>
        <v>0</v>
      </c>
      <c r="Q46" s="68">
        <f t="shared" ref="Q46" si="63">Q45*Q28</f>
        <v>4.6453126473792409E-3</v>
      </c>
      <c r="R46" s="66">
        <f t="shared" si="16"/>
        <v>1.848682568075774E-2</v>
      </c>
      <c r="S46" s="67">
        <f t="shared" ref="S46" si="64">S45*S28</f>
        <v>2.1372404131331461E-2</v>
      </c>
      <c r="T46" s="67">
        <f t="shared" ref="T46" si="65">T45*T28</f>
        <v>1.7152898037135284E-2</v>
      </c>
      <c r="U46" s="67">
        <f t="shared" ref="U46" si="66">U45*U28</f>
        <v>1.0241638055262211E-2</v>
      </c>
      <c r="V46" s="67">
        <f t="shared" ref="V46" si="67">V45*V28</f>
        <v>0</v>
      </c>
      <c r="W46" s="67">
        <f t="shared" ref="W46" si="68">W45*W28</f>
        <v>0</v>
      </c>
      <c r="X46" s="68">
        <f t="shared" ref="X46" si="69">X45*X28</f>
        <v>1.711016697691704E-2</v>
      </c>
      <c r="Y46" s="97" t="s">
        <v>40</v>
      </c>
      <c r="Z46" s="97"/>
      <c r="AA46" s="97"/>
    </row>
    <row r="47" spans="2:27" x14ac:dyDescent="0.2">
      <c r="B47" s="95"/>
      <c r="C47" s="35" t="s">
        <v>11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36"/>
      <c r="Z47" s="36"/>
      <c r="AA47" s="44"/>
    </row>
    <row r="48" spans="2:27" x14ac:dyDescent="0.2">
      <c r="B48" s="96"/>
      <c r="C48" s="35" t="s">
        <v>12</v>
      </c>
      <c r="D48" s="36"/>
      <c r="E48" s="36"/>
      <c r="F48" s="36"/>
      <c r="G48" s="36"/>
      <c r="H48" s="36"/>
      <c r="I48" s="36"/>
      <c r="J48" s="36"/>
      <c r="K48" s="44"/>
      <c r="L48" s="44"/>
      <c r="M48" s="44"/>
      <c r="N48" s="44"/>
      <c r="O48" s="44"/>
      <c r="P48" s="44"/>
      <c r="Q48" s="36"/>
      <c r="R48" s="44"/>
      <c r="S48" s="44"/>
      <c r="T48" s="44"/>
      <c r="U48" s="44"/>
      <c r="V48" s="44"/>
      <c r="W48" s="44"/>
      <c r="X48" s="36"/>
      <c r="Y48" s="36"/>
      <c r="Z48" s="36"/>
      <c r="AA48" s="44"/>
    </row>
    <row r="49" spans="4:26" x14ac:dyDescent="0.2">
      <c r="Q49" s="48"/>
      <c r="X49" s="48"/>
      <c r="Z49" s="48"/>
    </row>
    <row r="50" spans="4:26" x14ac:dyDescent="0.2"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R50" s="48"/>
      <c r="S50" s="48"/>
      <c r="T50" s="48"/>
      <c r="U50" s="48"/>
      <c r="V50" s="48"/>
      <c r="W50" s="48"/>
      <c r="Y50" s="48"/>
    </row>
  </sheetData>
  <mergeCells count="29">
    <mergeCell ref="Y44:AA44"/>
    <mergeCell ref="Y45:AA45"/>
    <mergeCell ref="B7:B17"/>
    <mergeCell ref="B24:B48"/>
    <mergeCell ref="Y46:AA46"/>
    <mergeCell ref="Y32:AA32"/>
    <mergeCell ref="Y33:AA33"/>
    <mergeCell ref="Y35:AA35"/>
    <mergeCell ref="Y38:AA38"/>
    <mergeCell ref="Y43:AA43"/>
    <mergeCell ref="Y31:AA31"/>
    <mergeCell ref="Y34:AA34"/>
    <mergeCell ref="Y36:AA36"/>
    <mergeCell ref="Y37:AA37"/>
    <mergeCell ref="Y39:AA39"/>
    <mergeCell ref="Y40:AA40"/>
    <mergeCell ref="K3:Q3"/>
    <mergeCell ref="D3:J3"/>
    <mergeCell ref="D20:J20"/>
    <mergeCell ref="K20:Q20"/>
    <mergeCell ref="R3:X3"/>
    <mergeCell ref="R20:X20"/>
    <mergeCell ref="Y41:AA41"/>
    <mergeCell ref="Y42:AA42"/>
    <mergeCell ref="Y2:AA2"/>
    <mergeCell ref="Y19:AA19"/>
    <mergeCell ref="Y28:AA28"/>
    <mergeCell ref="Y29:AA29"/>
    <mergeCell ref="Y30:AA30"/>
  </mergeCells>
  <pageMargins left="0.7" right="0.7" top="0.75" bottom="0.75" header="0.3" footer="0.3"/>
  <pageSetup orientation="portrait" verticalDpi="0" r:id="rId1"/>
  <ignoredErrors>
    <ignoredError sqref="K28:K46 Q33:Q35 R28:R46 R14:R1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6CF6-9E55-4B39-82AC-F6A9EE97B8E0}">
  <dimension ref="B2:AA50"/>
  <sheetViews>
    <sheetView tabSelected="1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ColWidth="9" defaultRowHeight="14.25" x14ac:dyDescent="0.2"/>
  <cols>
    <col min="1" max="1" width="4.625" style="29" customWidth="1"/>
    <col min="2" max="2" width="25.25" style="29" customWidth="1"/>
    <col min="3" max="3" width="56.75" style="29" bestFit="1" customWidth="1"/>
    <col min="4" max="4" width="17.25" style="47" bestFit="1" customWidth="1"/>
    <col min="5" max="10" width="9.25" style="47" customWidth="1"/>
    <col min="11" max="11" width="17.25" style="47" bestFit="1" customWidth="1"/>
    <col min="12" max="17" width="9.25" style="47" customWidth="1"/>
    <col min="18" max="18" width="17.25" style="47" bestFit="1" customWidth="1"/>
    <col min="19" max="24" width="9.25" style="47" customWidth="1"/>
    <col min="25" max="27" width="39.875" style="47" customWidth="1"/>
    <col min="28" max="16384" width="9" style="29"/>
  </cols>
  <sheetData>
    <row r="2" spans="2:27" ht="15.75" thickBot="1" x14ac:dyDescent="0.25">
      <c r="B2" s="31" t="s">
        <v>0</v>
      </c>
      <c r="C2" s="31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88" t="s">
        <v>31</v>
      </c>
      <c r="Z2" s="88"/>
      <c r="AA2" s="88"/>
    </row>
    <row r="3" spans="2:27" ht="15" x14ac:dyDescent="0.2">
      <c r="B3" s="27" t="s">
        <v>4</v>
      </c>
      <c r="C3" s="27"/>
      <c r="D3" s="90" t="s">
        <v>6</v>
      </c>
      <c r="E3" s="91"/>
      <c r="F3" s="91"/>
      <c r="G3" s="91"/>
      <c r="H3" s="91"/>
      <c r="I3" s="91"/>
      <c r="J3" s="92"/>
      <c r="K3" s="90" t="s">
        <v>81</v>
      </c>
      <c r="L3" s="91"/>
      <c r="M3" s="91"/>
      <c r="N3" s="91"/>
      <c r="O3" s="91"/>
      <c r="P3" s="91"/>
      <c r="Q3" s="92"/>
      <c r="R3" s="90" t="s">
        <v>23</v>
      </c>
      <c r="S3" s="91"/>
      <c r="T3" s="91"/>
      <c r="U3" s="91"/>
      <c r="V3" s="91"/>
      <c r="W3" s="91"/>
      <c r="X3" s="92"/>
      <c r="Y3" s="28" t="str">
        <f>D3</f>
        <v xml:space="preserve">(1) No initiative </v>
      </c>
      <c r="Z3" s="28" t="str">
        <f>K3</f>
        <v>(2) Return to 2021 policy for downpayment</v>
      </c>
      <c r="AA3" s="28" t="str">
        <f>R3</f>
        <v>(3) Evolve Bank's risk appetite final</v>
      </c>
    </row>
    <row r="4" spans="2:27" ht="15" x14ac:dyDescent="0.2">
      <c r="B4" s="27"/>
      <c r="C4" s="27"/>
      <c r="D4" s="57" t="s">
        <v>62</v>
      </c>
      <c r="E4" s="28" t="s">
        <v>50</v>
      </c>
      <c r="F4" s="28" t="s">
        <v>51</v>
      </c>
      <c r="G4" s="28" t="s">
        <v>52</v>
      </c>
      <c r="H4" s="28" t="s">
        <v>53</v>
      </c>
      <c r="I4" s="28" t="s">
        <v>54</v>
      </c>
      <c r="J4" s="58" t="s">
        <v>49</v>
      </c>
      <c r="K4" s="57" t="s">
        <v>62</v>
      </c>
      <c r="L4" s="28" t="s">
        <v>50</v>
      </c>
      <c r="M4" s="28" t="s">
        <v>51</v>
      </c>
      <c r="N4" s="28" t="s">
        <v>52</v>
      </c>
      <c r="O4" s="28" t="s">
        <v>53</v>
      </c>
      <c r="P4" s="28" t="s">
        <v>54</v>
      </c>
      <c r="Q4" s="58" t="s">
        <v>49</v>
      </c>
      <c r="R4" s="57" t="s">
        <v>62</v>
      </c>
      <c r="S4" s="28" t="s">
        <v>50</v>
      </c>
      <c r="T4" s="28" t="s">
        <v>51</v>
      </c>
      <c r="U4" s="28" t="s">
        <v>52</v>
      </c>
      <c r="V4" s="28" t="s">
        <v>53</v>
      </c>
      <c r="W4" s="28" t="s">
        <v>54</v>
      </c>
      <c r="X4" s="58" t="s">
        <v>49</v>
      </c>
      <c r="Y4" s="28"/>
      <c r="Z4" s="28"/>
      <c r="AA4" s="28"/>
    </row>
    <row r="5" spans="2:27" ht="15" x14ac:dyDescent="0.2">
      <c r="B5" s="27"/>
      <c r="C5" s="27" t="s">
        <v>63</v>
      </c>
      <c r="D5" s="59">
        <f>SUMPRODUCT(E5:I5,$E$6:$I$6)</f>
        <v>0.32152500000000001</v>
      </c>
      <c r="E5" s="51">
        <v>0.05</v>
      </c>
      <c r="F5" s="51">
        <v>0.15</v>
      </c>
      <c r="G5" s="51">
        <v>0.27500000000000002</v>
      </c>
      <c r="H5" s="51">
        <v>0.42499999999999999</v>
      </c>
      <c r="I5" s="51">
        <v>0.6</v>
      </c>
      <c r="J5" s="58"/>
      <c r="K5" s="59">
        <f>SUMPRODUCT(L5:P5,$L$6:$P$6)</f>
        <v>0.28682999999999997</v>
      </c>
      <c r="L5" s="51">
        <f>E5</f>
        <v>0.05</v>
      </c>
      <c r="M5" s="51">
        <f>F5</f>
        <v>0.15</v>
      </c>
      <c r="N5" s="51">
        <f>G5</f>
        <v>0.27500000000000002</v>
      </c>
      <c r="O5" s="51">
        <f>H5</f>
        <v>0.42499999999999999</v>
      </c>
      <c r="P5" s="51">
        <f>I5</f>
        <v>0.6</v>
      </c>
      <c r="Q5" s="58"/>
      <c r="R5" s="59">
        <f>SUMPRODUCT(S5:W5,$S$6:$W$6)</f>
        <v>0.20250000000000001</v>
      </c>
      <c r="S5" s="51">
        <f>L5</f>
        <v>0.05</v>
      </c>
      <c r="T5" s="51">
        <f>M5</f>
        <v>0.15</v>
      </c>
      <c r="U5" s="51">
        <f>N5</f>
        <v>0.27500000000000002</v>
      </c>
      <c r="V5" s="51">
        <f>O5</f>
        <v>0.42499999999999999</v>
      </c>
      <c r="W5" s="51">
        <f>P5</f>
        <v>0.6</v>
      </c>
      <c r="X5" s="58"/>
      <c r="Y5" s="28"/>
      <c r="Z5" s="28"/>
      <c r="AA5" s="28"/>
    </row>
    <row r="6" spans="2:27" ht="15" x14ac:dyDescent="0.2">
      <c r="B6" s="27"/>
      <c r="C6" s="27"/>
      <c r="D6" s="59" t="s">
        <v>64</v>
      </c>
      <c r="E6" s="51">
        <v>0.13</v>
      </c>
      <c r="F6" s="51">
        <v>0.152</v>
      </c>
      <c r="G6" s="51">
        <v>0.28520000000000001</v>
      </c>
      <c r="H6" s="51">
        <v>0.26219999999999999</v>
      </c>
      <c r="I6" s="51">
        <v>0.1706</v>
      </c>
      <c r="J6" s="60">
        <f>SUM(E6:I6)</f>
        <v>1</v>
      </c>
      <c r="K6" s="59" t="s">
        <v>64</v>
      </c>
      <c r="L6" s="51">
        <v>0.1784</v>
      </c>
      <c r="M6" s="51">
        <v>0.1736</v>
      </c>
      <c r="N6" s="51">
        <v>0.31459999999999999</v>
      </c>
      <c r="O6" s="51">
        <v>0.19819999999999999</v>
      </c>
      <c r="P6" s="51">
        <v>0.13519999999999999</v>
      </c>
      <c r="Q6" s="60">
        <f>SUM(L6:P6)</f>
        <v>1</v>
      </c>
      <c r="R6" s="59" t="s">
        <v>64</v>
      </c>
      <c r="S6" s="51">
        <v>0.3</v>
      </c>
      <c r="T6" s="51">
        <v>0.35</v>
      </c>
      <c r="U6" s="51">
        <v>0.15</v>
      </c>
      <c r="V6" s="51">
        <v>0.15</v>
      </c>
      <c r="W6" s="51">
        <v>0.05</v>
      </c>
      <c r="X6" s="60">
        <f>SUM(S6:W6)</f>
        <v>1</v>
      </c>
      <c r="Y6" s="28" t="s">
        <v>84</v>
      </c>
      <c r="Z6" s="28" t="s">
        <v>85</v>
      </c>
      <c r="AA6" s="28" t="s">
        <v>86</v>
      </c>
    </row>
    <row r="7" spans="2:27" x14ac:dyDescent="0.2">
      <c r="B7" s="94" t="s">
        <v>5</v>
      </c>
      <c r="C7" s="32" t="s">
        <v>8</v>
      </c>
      <c r="D7" s="61"/>
      <c r="E7" s="29"/>
      <c r="F7" s="29"/>
      <c r="G7" s="29"/>
      <c r="H7" s="29"/>
      <c r="I7" s="29"/>
      <c r="J7" s="62">
        <v>0.37</v>
      </c>
      <c r="K7" s="61"/>
      <c r="L7" s="33"/>
      <c r="M7" s="33"/>
      <c r="N7" s="33"/>
      <c r="O7" s="33"/>
      <c r="P7" s="33"/>
      <c r="Q7" s="62">
        <v>0.45</v>
      </c>
      <c r="R7" s="61"/>
      <c r="S7" s="33"/>
      <c r="T7" s="33"/>
      <c r="U7" s="33"/>
      <c r="V7" s="33"/>
      <c r="W7" s="33"/>
      <c r="X7" s="79">
        <v>0.6</v>
      </c>
      <c r="Y7" s="34"/>
      <c r="Z7" s="34"/>
      <c r="AA7" s="34"/>
    </row>
    <row r="8" spans="2:27" x14ac:dyDescent="0.2">
      <c r="B8" s="95"/>
      <c r="C8" s="35" t="s">
        <v>9</v>
      </c>
      <c r="D8" s="61"/>
      <c r="E8" s="33"/>
      <c r="F8" s="33"/>
      <c r="G8" s="33"/>
      <c r="H8" s="33"/>
      <c r="I8" s="33"/>
      <c r="J8" s="62"/>
      <c r="K8" s="61"/>
      <c r="L8" s="33"/>
      <c r="M8" s="33"/>
      <c r="N8" s="33"/>
      <c r="O8" s="33"/>
      <c r="P8" s="33"/>
      <c r="Q8" s="62"/>
      <c r="R8" s="61"/>
      <c r="S8" s="33"/>
      <c r="T8" s="33"/>
      <c r="U8" s="33"/>
      <c r="V8" s="33"/>
      <c r="W8" s="33"/>
      <c r="X8" s="62"/>
      <c r="Y8" s="37"/>
      <c r="Z8" s="37"/>
      <c r="AA8" s="34"/>
    </row>
    <row r="9" spans="2:27" x14ac:dyDescent="0.2">
      <c r="B9" s="95"/>
      <c r="C9" s="35" t="s">
        <v>17</v>
      </c>
      <c r="D9" s="61"/>
      <c r="E9" s="33"/>
      <c r="F9" s="33"/>
      <c r="G9" s="33"/>
      <c r="H9" s="33"/>
      <c r="I9" s="33"/>
      <c r="J9" s="62"/>
      <c r="K9" s="61"/>
      <c r="L9" s="33"/>
      <c r="M9" s="33"/>
      <c r="N9" s="33"/>
      <c r="O9" s="33"/>
      <c r="P9" s="33"/>
      <c r="Q9" s="62"/>
      <c r="R9" s="61"/>
      <c r="S9" s="33"/>
      <c r="T9" s="33"/>
      <c r="U9" s="33"/>
      <c r="V9" s="33"/>
      <c r="W9" s="33"/>
      <c r="X9" s="62"/>
      <c r="Y9" s="37"/>
      <c r="Z9" s="37"/>
      <c r="AA9" s="34"/>
    </row>
    <row r="10" spans="2:27" x14ac:dyDescent="0.2">
      <c r="B10" s="95"/>
      <c r="C10" s="35" t="s">
        <v>10</v>
      </c>
      <c r="D10" s="61"/>
      <c r="E10" s="33"/>
      <c r="F10" s="33"/>
      <c r="G10" s="33"/>
      <c r="H10" s="33"/>
      <c r="I10" s="33"/>
      <c r="J10" s="62">
        <v>0.33</v>
      </c>
      <c r="K10" s="61"/>
      <c r="L10" s="33"/>
      <c r="M10" s="33"/>
      <c r="N10" s="33"/>
      <c r="O10" s="33"/>
      <c r="P10" s="33"/>
      <c r="Q10" s="62">
        <v>0.3</v>
      </c>
      <c r="R10" s="61"/>
      <c r="S10" s="33"/>
      <c r="T10" s="33"/>
      <c r="U10" s="33"/>
      <c r="V10" s="33"/>
      <c r="W10" s="33"/>
      <c r="X10" s="62">
        <v>0.2</v>
      </c>
      <c r="Y10" s="37"/>
      <c r="Z10" s="37"/>
      <c r="AA10" s="34"/>
    </row>
    <row r="11" spans="2:27" s="82" customFormat="1" ht="66.75" customHeight="1" x14ac:dyDescent="0.2">
      <c r="B11" s="95"/>
      <c r="C11" s="30" t="s">
        <v>16</v>
      </c>
      <c r="D11" s="76">
        <f>SUMPRODUCT(E11:I11,$E$6:$I$6)</f>
        <v>2.9071400000000004E-2</v>
      </c>
      <c r="E11" s="83">
        <v>3.3000000000000002E-2</v>
      </c>
      <c r="F11" s="83">
        <v>3.3000000000000002E-2</v>
      </c>
      <c r="G11" s="83">
        <v>3.1E-2</v>
      </c>
      <c r="H11" s="83">
        <v>2.8000000000000001E-2</v>
      </c>
      <c r="I11" s="83">
        <v>2.1000000000000001E-2</v>
      </c>
      <c r="J11" s="84">
        <f>D11</f>
        <v>2.9071400000000004E-2</v>
      </c>
      <c r="K11" s="76">
        <f>SUMPRODUCT(L11:P11,$L$6:$P$6)</f>
        <v>5.789699999999999E-2</v>
      </c>
      <c r="L11" s="83">
        <v>7.9000000000000001E-2</v>
      </c>
      <c r="M11" s="83">
        <v>7.9000000000000001E-2</v>
      </c>
      <c r="N11" s="83">
        <v>5.5E-2</v>
      </c>
      <c r="O11" s="83">
        <v>4.2000000000000003E-2</v>
      </c>
      <c r="P11" s="83">
        <v>3.3000000000000002E-2</v>
      </c>
      <c r="Q11" s="84">
        <f>K11</f>
        <v>5.789699999999999E-2</v>
      </c>
      <c r="R11" s="76">
        <f>SUMPRODUCT(S11:W11,$S$6:$W$6)</f>
        <v>8.4929999999999992E-2</v>
      </c>
      <c r="S11" s="83">
        <f>L11*1.5</f>
        <v>0.11849999999999999</v>
      </c>
      <c r="T11" s="83">
        <f>M11*1.2</f>
        <v>9.4799999999999995E-2</v>
      </c>
      <c r="U11" s="83">
        <f>N11</f>
        <v>5.5E-2</v>
      </c>
      <c r="V11" s="83">
        <f>O11</f>
        <v>4.2000000000000003E-2</v>
      </c>
      <c r="W11" s="83">
        <f>P11</f>
        <v>3.3000000000000002E-2</v>
      </c>
      <c r="X11" s="84">
        <f>R11</f>
        <v>8.4929999999999992E-2</v>
      </c>
      <c r="Y11" s="37" t="s">
        <v>82</v>
      </c>
      <c r="Z11" s="37" t="s">
        <v>83</v>
      </c>
      <c r="AA11" s="34" t="s">
        <v>87</v>
      </c>
    </row>
    <row r="12" spans="2:27" ht="71.25" x14ac:dyDescent="0.2">
      <c r="B12" s="95"/>
      <c r="C12" s="38" t="s">
        <v>21</v>
      </c>
      <c r="D12" s="100">
        <f>SUMPRODUCT(E12:I12,$E$6:$I$6)</f>
        <v>0.30758834206896563</v>
      </c>
      <c r="E12" s="78">
        <f>J12*0.8*J12/0.319</f>
        <v>0.23790344827586218</v>
      </c>
      <c r="F12" s="78">
        <f>J12*0.85*J12/0.319</f>
        <v>0.2527724137931035</v>
      </c>
      <c r="G12" s="78">
        <f>J12*1.05*J12/0.319</f>
        <v>0.31224827586206905</v>
      </c>
      <c r="H12" s="78">
        <f>J12*1.1*J12/0.319</f>
        <v>0.32711724137931047</v>
      </c>
      <c r="I12" s="78">
        <f>J12*1.25*J12/0.319</f>
        <v>0.37172413793103465</v>
      </c>
      <c r="J12" s="65">
        <f>0.8*(1-J14)</f>
        <v>0.30800000000000005</v>
      </c>
      <c r="K12" s="63">
        <f>SUMPRODUCT(L12:P12,$L$6:$P$6)</f>
        <v>0.29964831448275869</v>
      </c>
      <c r="L12" s="78">
        <f t="shared" ref="L12:P13" si="0">E12</f>
        <v>0.23790344827586218</v>
      </c>
      <c r="M12" s="78">
        <f t="shared" si="0"/>
        <v>0.2527724137931035</v>
      </c>
      <c r="N12" s="78">
        <f t="shared" si="0"/>
        <v>0.31224827586206905</v>
      </c>
      <c r="O12" s="78">
        <f t="shared" si="0"/>
        <v>0.32711724137931047</v>
      </c>
      <c r="P12" s="78">
        <f t="shared" si="0"/>
        <v>0.37172413793103465</v>
      </c>
      <c r="Q12" s="65">
        <f>K12</f>
        <v>0.29964831448275869</v>
      </c>
      <c r="R12" s="63">
        <f>SUMPRODUCT(S12:W12,$S$6:$W$6)</f>
        <v>0.27433241379310352</v>
      </c>
      <c r="S12" s="78">
        <f t="shared" ref="S12:W13" si="1">E12</f>
        <v>0.23790344827586218</v>
      </c>
      <c r="T12" s="78">
        <f t="shared" si="1"/>
        <v>0.2527724137931035</v>
      </c>
      <c r="U12" s="78">
        <f t="shared" si="1"/>
        <v>0.31224827586206905</v>
      </c>
      <c r="V12" s="78">
        <f t="shared" si="1"/>
        <v>0.32711724137931047</v>
      </c>
      <c r="W12" s="78">
        <f t="shared" si="1"/>
        <v>0.37172413793103465</v>
      </c>
      <c r="X12" s="65">
        <f>R12</f>
        <v>0.27433241379310352</v>
      </c>
      <c r="Y12" s="37" t="s">
        <v>89</v>
      </c>
      <c r="Z12" s="37" t="s">
        <v>90</v>
      </c>
      <c r="AA12" s="37" t="s">
        <v>90</v>
      </c>
    </row>
    <row r="13" spans="2:27" ht="66.75" customHeight="1" x14ac:dyDescent="0.2">
      <c r="B13" s="95"/>
      <c r="C13" s="38" t="s">
        <v>22</v>
      </c>
      <c r="D13" s="63">
        <f>SUMPRODUCT(E13:I13,$E$6:$I$6)</f>
        <v>7.6897085517241351E-2</v>
      </c>
      <c r="E13" s="78">
        <f>$J$13*E12/$J$12</f>
        <v>5.9475862068965497E-2</v>
      </c>
      <c r="F13" s="78">
        <f>$J$13*F12/$J$12</f>
        <v>6.3193103448275834E-2</v>
      </c>
      <c r="G13" s="78">
        <f>$J$13*G12/$J$12</f>
        <v>7.8062068965517206E-2</v>
      </c>
      <c r="H13" s="78">
        <f>$J$13*H12/$J$12</f>
        <v>8.1779310344827563E-2</v>
      </c>
      <c r="I13" s="78">
        <f>$J$13*I12/$J$12</f>
        <v>9.2931034482758593E-2</v>
      </c>
      <c r="J13" s="65">
        <f>1-J14-J12</f>
        <v>7.6999999999999957E-2</v>
      </c>
      <c r="K13" s="63">
        <f>SUMPRODUCT(L13:P13,$L$6:$P$6)</f>
        <v>7.4912078620689618E-2</v>
      </c>
      <c r="L13" s="78">
        <f t="shared" si="0"/>
        <v>5.9475862068965497E-2</v>
      </c>
      <c r="M13" s="78">
        <f t="shared" si="0"/>
        <v>6.3193103448275834E-2</v>
      </c>
      <c r="N13" s="78">
        <f t="shared" si="0"/>
        <v>7.8062068965517206E-2</v>
      </c>
      <c r="O13" s="78">
        <f t="shared" si="0"/>
        <v>8.1779310344827563E-2</v>
      </c>
      <c r="P13" s="78">
        <f t="shared" si="0"/>
        <v>9.2931034482758593E-2</v>
      </c>
      <c r="Q13" s="65">
        <f>K13</f>
        <v>7.4912078620689618E-2</v>
      </c>
      <c r="R13" s="63">
        <f>SUMPRODUCT(S13:W13,$S$6:$W$6)</f>
        <v>6.8583103448275839E-2</v>
      </c>
      <c r="S13" s="78">
        <f t="shared" si="1"/>
        <v>5.9475862068965497E-2</v>
      </c>
      <c r="T13" s="78">
        <f t="shared" si="1"/>
        <v>6.3193103448275834E-2</v>
      </c>
      <c r="U13" s="78">
        <f t="shared" si="1"/>
        <v>7.8062068965517206E-2</v>
      </c>
      <c r="V13" s="78">
        <f t="shared" si="1"/>
        <v>8.1779310344827563E-2</v>
      </c>
      <c r="W13" s="78">
        <f t="shared" si="1"/>
        <v>9.2931034482758593E-2</v>
      </c>
      <c r="X13" s="65">
        <f>R13</f>
        <v>6.8583103448275839E-2</v>
      </c>
      <c r="Y13" s="37" t="s">
        <v>35</v>
      </c>
      <c r="Z13" s="37" t="s">
        <v>35</v>
      </c>
      <c r="AA13" s="37" t="s">
        <v>35</v>
      </c>
    </row>
    <row r="14" spans="2:27" s="82" customFormat="1" ht="66.75" customHeight="1" x14ac:dyDescent="0.2">
      <c r="B14" s="95"/>
      <c r="C14" s="40" t="s">
        <v>19</v>
      </c>
      <c r="D14" s="76">
        <f>SUMPRODUCT(E14:I14,$E$6:$I$6)</f>
        <v>0.61551457241379304</v>
      </c>
      <c r="E14" s="85">
        <f>MAX((1-E12-E13),0)</f>
        <v>0.70262068965517233</v>
      </c>
      <c r="F14" s="85">
        <f t="shared" ref="F14:I14" si="2">MAX((1-F12-F13),0)</f>
        <v>0.68403448275862067</v>
      </c>
      <c r="G14" s="85">
        <f t="shared" si="2"/>
        <v>0.6096896551724138</v>
      </c>
      <c r="H14" s="85">
        <f t="shared" si="2"/>
        <v>0.59110344827586203</v>
      </c>
      <c r="I14" s="85">
        <f t="shared" si="2"/>
        <v>0.53534482758620672</v>
      </c>
      <c r="J14" s="86">
        <v>0.61499999999999999</v>
      </c>
      <c r="K14" s="76">
        <f>SUMPRODUCT(L14:P14,$L$6:$P$6)</f>
        <v>0.62543960689655176</v>
      </c>
      <c r="L14" s="85">
        <f t="shared" ref="L14:Q14" si="3">MAX((1-L12-L13),0)</f>
        <v>0.70262068965517233</v>
      </c>
      <c r="M14" s="85">
        <f t="shared" si="3"/>
        <v>0.68403448275862067</v>
      </c>
      <c r="N14" s="85">
        <f t="shared" si="3"/>
        <v>0.6096896551724138</v>
      </c>
      <c r="O14" s="85">
        <f t="shared" si="3"/>
        <v>0.59110344827586203</v>
      </c>
      <c r="P14" s="85">
        <f t="shared" si="3"/>
        <v>0.53534482758620672</v>
      </c>
      <c r="Q14" s="86">
        <f t="shared" si="3"/>
        <v>0.62543960689655176</v>
      </c>
      <c r="R14" s="76">
        <f>SUMPRODUCT(S14:W14,$S$6:$W$6)</f>
        <v>0.65708448275862064</v>
      </c>
      <c r="S14" s="85">
        <f t="shared" ref="S14:X14" si="4">MAX((1-S12-S13),0)</f>
        <v>0.70262068965517233</v>
      </c>
      <c r="T14" s="85">
        <f t="shared" si="4"/>
        <v>0.68403448275862067</v>
      </c>
      <c r="U14" s="85">
        <f t="shared" si="4"/>
        <v>0.6096896551724138</v>
      </c>
      <c r="V14" s="85">
        <f t="shared" si="4"/>
        <v>0.59110344827586203</v>
      </c>
      <c r="W14" s="85">
        <f t="shared" si="4"/>
        <v>0.53534482758620672</v>
      </c>
      <c r="X14" s="86">
        <f t="shared" si="4"/>
        <v>0.65708448275862064</v>
      </c>
      <c r="Y14" s="37" t="s">
        <v>91</v>
      </c>
      <c r="Z14" s="34" t="s">
        <v>88</v>
      </c>
      <c r="AA14" s="34" t="s">
        <v>88</v>
      </c>
    </row>
    <row r="15" spans="2:27" ht="66.75" customHeight="1" thickBot="1" x14ac:dyDescent="0.25">
      <c r="B15" s="95"/>
      <c r="C15" s="41" t="s">
        <v>13</v>
      </c>
      <c r="D15" s="66">
        <f>SUMPRODUCT(E15:I15,$E$6:$I$6)</f>
        <v>1.8093319358620689E-2</v>
      </c>
      <c r="E15" s="67">
        <f>MAX(E11*E14,0)</f>
        <v>2.3186482758620688E-2</v>
      </c>
      <c r="F15" s="67">
        <f>MAX(F11*F14,0)</f>
        <v>2.2573137931034482E-2</v>
      </c>
      <c r="G15" s="67">
        <f>MAX(G11*G14,0)</f>
        <v>1.8900379310344828E-2</v>
      </c>
      <c r="H15" s="67">
        <f>MAX(H11*H14,0)</f>
        <v>1.6550896551724138E-2</v>
      </c>
      <c r="I15" s="67">
        <f>MAX(I11*I14,0)</f>
        <v>1.1242241379310342E-2</v>
      </c>
      <c r="J15" s="68">
        <f t="shared" ref="J15:Q15" si="5">MAX(J11*J14,0)</f>
        <v>1.7878911000000001E-2</v>
      </c>
      <c r="K15" s="66">
        <f>SUMPRODUCT(L15:P15,$E$6:$I$6)</f>
        <v>3.4516744406896553E-2</v>
      </c>
      <c r="L15" s="67">
        <f t="shared" si="5"/>
        <v>5.5507034482758615E-2</v>
      </c>
      <c r="M15" s="67">
        <f t="shared" si="5"/>
        <v>5.4038724137931031E-2</v>
      </c>
      <c r="N15" s="67">
        <f t="shared" si="5"/>
        <v>3.3532931034482759E-2</v>
      </c>
      <c r="O15" s="67">
        <f t="shared" si="5"/>
        <v>2.4826344827586208E-2</v>
      </c>
      <c r="P15" s="67">
        <f t="shared" si="5"/>
        <v>1.7666379310344822E-2</v>
      </c>
      <c r="Q15" s="68">
        <f t="shared" si="5"/>
        <v>3.6211076920489652E-2</v>
      </c>
      <c r="R15" s="66">
        <f>SUMPRODUCT(S15:W15,$S$6:$W$6)</f>
        <v>5.7311639999999997E-2</v>
      </c>
      <c r="S15" s="67">
        <f t="shared" ref="S15:X15" si="6">MAX(S11*S14,0)</f>
        <v>8.3260551724137918E-2</v>
      </c>
      <c r="T15" s="67">
        <f t="shared" si="6"/>
        <v>6.484646896551724E-2</v>
      </c>
      <c r="U15" s="67">
        <f t="shared" si="6"/>
        <v>3.3532931034482759E-2</v>
      </c>
      <c r="V15" s="67">
        <f t="shared" si="6"/>
        <v>2.4826344827586208E-2</v>
      </c>
      <c r="W15" s="67">
        <f t="shared" si="6"/>
        <v>1.7666379310344822E-2</v>
      </c>
      <c r="X15" s="68">
        <f t="shared" si="6"/>
        <v>5.5806185120689647E-2</v>
      </c>
      <c r="Y15" s="49" t="s">
        <v>40</v>
      </c>
      <c r="Z15" s="49" t="s">
        <v>40</v>
      </c>
      <c r="AA15" s="49" t="s">
        <v>40</v>
      </c>
    </row>
    <row r="16" spans="2:27" x14ac:dyDescent="0.2">
      <c r="B16" s="95"/>
      <c r="C16" s="42" t="s">
        <v>11</v>
      </c>
      <c r="D16" s="43"/>
      <c r="E16" s="43"/>
      <c r="F16" s="43"/>
      <c r="G16" s="43"/>
      <c r="H16" s="43"/>
      <c r="I16" s="43"/>
      <c r="J16" s="43">
        <v>4</v>
      </c>
      <c r="K16" s="43"/>
      <c r="L16" s="43"/>
      <c r="M16" s="43"/>
      <c r="N16" s="43"/>
      <c r="O16" s="43"/>
      <c r="P16" s="43"/>
      <c r="Q16" s="43">
        <v>8</v>
      </c>
      <c r="R16" s="43"/>
      <c r="S16" s="43"/>
      <c r="T16" s="43"/>
      <c r="U16" s="43"/>
      <c r="V16" s="43"/>
      <c r="W16" s="43"/>
      <c r="X16" s="43">
        <v>8</v>
      </c>
      <c r="Y16" s="43"/>
      <c r="Z16" s="43"/>
      <c r="AA16" s="43"/>
    </row>
    <row r="17" spans="2:27" x14ac:dyDescent="0.2">
      <c r="B17" s="96"/>
      <c r="C17" s="35" t="s">
        <v>12</v>
      </c>
      <c r="D17" s="36"/>
      <c r="E17" s="36"/>
      <c r="F17" s="36"/>
      <c r="G17" s="36"/>
      <c r="H17" s="36"/>
      <c r="I17" s="36"/>
      <c r="J17" s="36"/>
      <c r="K17" s="44"/>
      <c r="L17" s="44"/>
      <c r="M17" s="44"/>
      <c r="N17" s="44"/>
      <c r="O17" s="44"/>
      <c r="P17" s="44"/>
      <c r="Q17" s="36"/>
      <c r="R17" s="44"/>
      <c r="S17" s="44"/>
      <c r="T17" s="44"/>
      <c r="U17" s="44"/>
      <c r="V17" s="44"/>
      <c r="W17" s="44"/>
      <c r="X17" s="36"/>
      <c r="Y17" s="36"/>
      <c r="Z17" s="36"/>
      <c r="AA17" s="44"/>
    </row>
    <row r="19" spans="2:27" ht="15" customHeight="1" thickBot="1" x14ac:dyDescent="0.25">
      <c r="B19" s="31" t="s">
        <v>14</v>
      </c>
      <c r="C19" s="31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88" t="s">
        <v>31</v>
      </c>
      <c r="Z19" s="88"/>
      <c r="AA19" s="88"/>
    </row>
    <row r="20" spans="2:27" ht="15" x14ac:dyDescent="0.2">
      <c r="B20" s="27" t="s">
        <v>4</v>
      </c>
      <c r="C20" s="27"/>
      <c r="D20" s="90" t="str">
        <f>D3</f>
        <v xml:space="preserve">(1) No initiative </v>
      </c>
      <c r="E20" s="91"/>
      <c r="F20" s="91"/>
      <c r="G20" s="91"/>
      <c r="H20" s="91"/>
      <c r="I20" s="91"/>
      <c r="J20" s="92"/>
      <c r="K20" s="90" t="str">
        <f>K3</f>
        <v>(2) Return to 2021 policy for downpayment</v>
      </c>
      <c r="L20" s="91"/>
      <c r="M20" s="91"/>
      <c r="N20" s="91"/>
      <c r="O20" s="91"/>
      <c r="P20" s="91"/>
      <c r="Q20" s="92"/>
      <c r="R20" s="90" t="str">
        <f>R3</f>
        <v>(3) Evolve Bank's risk appetite final</v>
      </c>
      <c r="S20" s="91"/>
      <c r="T20" s="91"/>
      <c r="U20" s="91"/>
      <c r="V20" s="91"/>
      <c r="W20" s="91"/>
      <c r="X20" s="92"/>
      <c r="Y20" s="28" t="str">
        <f>Y3</f>
        <v xml:space="preserve">(1) No initiative </v>
      </c>
      <c r="Z20" s="28" t="str">
        <f>Z3</f>
        <v>(2) Return to 2021 policy for downpayment</v>
      </c>
      <c r="AA20" s="28" t="str">
        <f>AA3</f>
        <v>(3) Evolve Bank's risk appetite final</v>
      </c>
    </row>
    <row r="21" spans="2:27" ht="15" x14ac:dyDescent="0.2">
      <c r="B21" s="27"/>
      <c r="C21" s="27"/>
      <c r="D21" s="57" t="s">
        <v>62</v>
      </c>
      <c r="E21" s="28" t="s">
        <v>50</v>
      </c>
      <c r="F21" s="28" t="s">
        <v>51</v>
      </c>
      <c r="G21" s="28" t="s">
        <v>52</v>
      </c>
      <c r="H21" s="28" t="s">
        <v>53</v>
      </c>
      <c r="I21" s="28" t="s">
        <v>54</v>
      </c>
      <c r="J21" s="58" t="s">
        <v>49</v>
      </c>
      <c r="K21" s="57" t="s">
        <v>62</v>
      </c>
      <c r="L21" s="28" t="s">
        <v>50</v>
      </c>
      <c r="M21" s="28" t="s">
        <v>51</v>
      </c>
      <c r="N21" s="28" t="s">
        <v>52</v>
      </c>
      <c r="O21" s="28" t="s">
        <v>53</v>
      </c>
      <c r="P21" s="28" t="s">
        <v>54</v>
      </c>
      <c r="Q21" s="58" t="s">
        <v>49</v>
      </c>
      <c r="R21" s="57" t="s">
        <v>62</v>
      </c>
      <c r="S21" s="28" t="s">
        <v>50</v>
      </c>
      <c r="T21" s="28" t="s">
        <v>51</v>
      </c>
      <c r="U21" s="28" t="s">
        <v>52</v>
      </c>
      <c r="V21" s="28" t="s">
        <v>53</v>
      </c>
      <c r="W21" s="28" t="s">
        <v>54</v>
      </c>
      <c r="X21" s="58" t="s">
        <v>49</v>
      </c>
      <c r="Y21" s="55"/>
      <c r="Z21" s="55"/>
      <c r="AA21" s="55"/>
    </row>
    <row r="22" spans="2:27" ht="15" x14ac:dyDescent="0.2">
      <c r="B22" s="27"/>
      <c r="C22" s="27"/>
      <c r="D22" s="59">
        <f>SUMPRODUCT(E22:I22,$E$6:$I$6)</f>
        <v>0.32152500000000001</v>
      </c>
      <c r="E22" s="51">
        <f t="shared" ref="E22:I23" si="7">E5</f>
        <v>0.05</v>
      </c>
      <c r="F22" s="51">
        <f t="shared" si="7"/>
        <v>0.15</v>
      </c>
      <c r="G22" s="51">
        <f t="shared" si="7"/>
        <v>0.27500000000000002</v>
      </c>
      <c r="H22" s="51">
        <f t="shared" si="7"/>
        <v>0.42499999999999999</v>
      </c>
      <c r="I22" s="51">
        <f t="shared" si="7"/>
        <v>0.6</v>
      </c>
      <c r="J22" s="58"/>
      <c r="K22" s="59">
        <f>SUMPRODUCT(L22:P22,$L$6:$P$6)</f>
        <v>0.28682999999999997</v>
      </c>
      <c r="L22" s="51">
        <f>E22</f>
        <v>0.05</v>
      </c>
      <c r="M22" s="51">
        <f>F22</f>
        <v>0.15</v>
      </c>
      <c r="N22" s="51">
        <f>G22</f>
        <v>0.27500000000000002</v>
      </c>
      <c r="O22" s="51">
        <f>H22</f>
        <v>0.42499999999999999</v>
      </c>
      <c r="P22" s="51">
        <f>I22</f>
        <v>0.6</v>
      </c>
      <c r="Q22" s="58"/>
      <c r="R22" s="59">
        <f>SUMPRODUCT(S22:W22,$S$6:$W$6)</f>
        <v>0.20250000000000001</v>
      </c>
      <c r="S22" s="51">
        <f>L22</f>
        <v>0.05</v>
      </c>
      <c r="T22" s="51">
        <f>M22</f>
        <v>0.15</v>
      </c>
      <c r="U22" s="51">
        <f>N22</f>
        <v>0.27500000000000002</v>
      </c>
      <c r="V22" s="51">
        <f>O22</f>
        <v>0.42499999999999999</v>
      </c>
      <c r="W22" s="51">
        <f>P22</f>
        <v>0.6</v>
      </c>
      <c r="X22" s="58"/>
      <c r="Y22" s="55"/>
      <c r="Z22" s="55"/>
      <c r="AA22" s="55"/>
    </row>
    <row r="23" spans="2:27" ht="15" x14ac:dyDescent="0.2">
      <c r="B23" s="27"/>
      <c r="C23" s="27"/>
      <c r="D23" s="59" t="s">
        <v>64</v>
      </c>
      <c r="E23" s="51">
        <f t="shared" si="7"/>
        <v>0.13</v>
      </c>
      <c r="F23" s="51">
        <f t="shared" si="7"/>
        <v>0.152</v>
      </c>
      <c r="G23" s="51">
        <f t="shared" si="7"/>
        <v>0.28520000000000001</v>
      </c>
      <c r="H23" s="51">
        <f t="shared" si="7"/>
        <v>0.26219999999999999</v>
      </c>
      <c r="I23" s="51">
        <f t="shared" si="7"/>
        <v>0.1706</v>
      </c>
      <c r="J23" s="60">
        <f>SUM(E23:I23)</f>
        <v>1</v>
      </c>
      <c r="K23" s="57"/>
      <c r="L23" s="51">
        <f>L6</f>
        <v>0.1784</v>
      </c>
      <c r="M23" s="51">
        <f>M6</f>
        <v>0.1736</v>
      </c>
      <c r="N23" s="51">
        <f>N6</f>
        <v>0.31459999999999999</v>
      </c>
      <c r="O23" s="51">
        <f>O6</f>
        <v>0.19819999999999999</v>
      </c>
      <c r="P23" s="51">
        <f>P6</f>
        <v>0.13519999999999999</v>
      </c>
      <c r="Q23" s="60">
        <f>SUM(L23:P23)</f>
        <v>1</v>
      </c>
      <c r="R23" s="57"/>
      <c r="S23" s="51">
        <f>S6</f>
        <v>0.3</v>
      </c>
      <c r="T23" s="51">
        <f>T6</f>
        <v>0.35</v>
      </c>
      <c r="U23" s="51">
        <f>U6</f>
        <v>0.15</v>
      </c>
      <c r="V23" s="51">
        <f>V6</f>
        <v>0.15</v>
      </c>
      <c r="W23" s="51">
        <f>W6</f>
        <v>0.05</v>
      </c>
      <c r="X23" s="60">
        <f>SUM(S23:W23)</f>
        <v>1</v>
      </c>
      <c r="Y23" s="55"/>
      <c r="Z23" s="55"/>
      <c r="AA23" s="55"/>
    </row>
    <row r="24" spans="2:27" x14ac:dyDescent="0.2">
      <c r="B24" s="94" t="s">
        <v>5</v>
      </c>
      <c r="C24" s="32" t="s">
        <v>8</v>
      </c>
      <c r="D24" s="61"/>
      <c r="E24" s="29"/>
      <c r="F24" s="29"/>
      <c r="G24" s="29"/>
      <c r="H24" s="29"/>
      <c r="I24" s="29"/>
      <c r="J24" s="62">
        <f>J7</f>
        <v>0.37</v>
      </c>
      <c r="K24" s="61"/>
      <c r="L24" s="33"/>
      <c r="M24" s="33"/>
      <c r="N24" s="33"/>
      <c r="O24" s="33"/>
      <c r="P24" s="33"/>
      <c r="Q24" s="62">
        <f>Q7</f>
        <v>0.45</v>
      </c>
      <c r="R24" s="61"/>
      <c r="S24" s="33"/>
      <c r="T24" s="33"/>
      <c r="U24" s="33"/>
      <c r="V24" s="33"/>
      <c r="W24" s="33"/>
      <c r="X24" s="62">
        <f>X7</f>
        <v>0.6</v>
      </c>
      <c r="Y24" s="34"/>
      <c r="Z24" s="34"/>
      <c r="AA24" s="34"/>
    </row>
    <row r="25" spans="2:27" x14ac:dyDescent="0.2">
      <c r="B25" s="95"/>
      <c r="C25" s="35" t="s">
        <v>9</v>
      </c>
      <c r="D25" s="69"/>
      <c r="E25" s="44"/>
      <c r="F25" s="44"/>
      <c r="G25" s="44"/>
      <c r="H25" s="44"/>
      <c r="I25" s="44"/>
      <c r="J25" s="70"/>
      <c r="K25" s="69"/>
      <c r="L25" s="44"/>
      <c r="M25" s="44"/>
      <c r="N25" s="44"/>
      <c r="O25" s="44"/>
      <c r="P25" s="44"/>
      <c r="Q25" s="70"/>
      <c r="R25" s="69"/>
      <c r="S25" s="44"/>
      <c r="T25" s="44"/>
      <c r="U25" s="44"/>
      <c r="V25" s="44"/>
      <c r="W25" s="44"/>
      <c r="X25" s="70"/>
      <c r="Y25" s="37"/>
      <c r="Z25" s="37"/>
      <c r="AA25" s="34"/>
    </row>
    <row r="26" spans="2:27" x14ac:dyDescent="0.2">
      <c r="B26" s="95"/>
      <c r="C26" s="35" t="s">
        <v>17</v>
      </c>
      <c r="D26" s="69"/>
      <c r="E26" s="44"/>
      <c r="F26" s="44"/>
      <c r="G26" s="44"/>
      <c r="H26" s="44"/>
      <c r="I26" s="44"/>
      <c r="J26" s="70"/>
      <c r="K26" s="69"/>
      <c r="L26" s="44"/>
      <c r="M26" s="44"/>
      <c r="N26" s="44"/>
      <c r="O26" s="44"/>
      <c r="P26" s="44"/>
      <c r="Q26" s="70"/>
      <c r="R26" s="69"/>
      <c r="S26" s="44"/>
      <c r="T26" s="44"/>
      <c r="U26" s="44"/>
      <c r="V26" s="44"/>
      <c r="W26" s="44"/>
      <c r="X26" s="70"/>
      <c r="Y26" s="37"/>
      <c r="Z26" s="37"/>
      <c r="AA26" s="34"/>
    </row>
    <row r="27" spans="2:27" x14ac:dyDescent="0.2">
      <c r="B27" s="95"/>
      <c r="C27" s="35" t="s">
        <v>10</v>
      </c>
      <c r="D27" s="69"/>
      <c r="E27" s="44"/>
      <c r="F27" s="44"/>
      <c r="G27" s="44"/>
      <c r="H27" s="44"/>
      <c r="I27" s="44"/>
      <c r="J27" s="70"/>
      <c r="K27" s="69"/>
      <c r="L27" s="44"/>
      <c r="M27" s="44"/>
      <c r="N27" s="44"/>
      <c r="O27" s="44"/>
      <c r="P27" s="44"/>
      <c r="Q27" s="70"/>
      <c r="R27" s="69"/>
      <c r="S27" s="44"/>
      <c r="T27" s="44"/>
      <c r="U27" s="44"/>
      <c r="V27" s="44"/>
      <c r="W27" s="44"/>
      <c r="X27" s="70"/>
      <c r="Y27" s="37"/>
      <c r="Z27" s="37"/>
      <c r="AA27" s="34"/>
    </row>
    <row r="28" spans="2:27" s="82" customFormat="1" ht="15" x14ac:dyDescent="0.2">
      <c r="B28" s="95"/>
      <c r="C28" s="30" t="s">
        <v>7</v>
      </c>
      <c r="D28" s="76">
        <f t="shared" ref="D28:D46" si="8">SUMPRODUCT(E28:I28,$E$23:$I$23)</f>
        <v>2.9071400000000004E-2</v>
      </c>
      <c r="E28" s="80">
        <f t="shared" ref="E28:J28" si="9">E11</f>
        <v>3.3000000000000002E-2</v>
      </c>
      <c r="F28" s="80">
        <f t="shared" si="9"/>
        <v>3.3000000000000002E-2</v>
      </c>
      <c r="G28" s="80">
        <f t="shared" si="9"/>
        <v>3.1E-2</v>
      </c>
      <c r="H28" s="80">
        <f t="shared" si="9"/>
        <v>2.8000000000000001E-2</v>
      </c>
      <c r="I28" s="80">
        <f t="shared" si="9"/>
        <v>2.1000000000000001E-2</v>
      </c>
      <c r="J28" s="81">
        <f t="shared" si="9"/>
        <v>2.9071400000000004E-2</v>
      </c>
      <c r="K28" s="76">
        <f>SUMPRODUCT(L28:P28,$L$23:$P$23)</f>
        <v>5.789699999999999E-2</v>
      </c>
      <c r="L28" s="80">
        <f t="shared" ref="L28:Q28" si="10">L11</f>
        <v>7.9000000000000001E-2</v>
      </c>
      <c r="M28" s="80">
        <f t="shared" si="10"/>
        <v>7.9000000000000001E-2</v>
      </c>
      <c r="N28" s="80">
        <f t="shared" si="10"/>
        <v>5.5E-2</v>
      </c>
      <c r="O28" s="80">
        <f t="shared" si="10"/>
        <v>4.2000000000000003E-2</v>
      </c>
      <c r="P28" s="80">
        <f t="shared" si="10"/>
        <v>3.3000000000000002E-2</v>
      </c>
      <c r="Q28" s="81">
        <f t="shared" si="10"/>
        <v>5.789699999999999E-2</v>
      </c>
      <c r="R28" s="76">
        <f t="shared" ref="R28:R46" si="11">SUMPRODUCT(S28:W28,$S$6:$W$6)</f>
        <v>8.4929999999999992E-2</v>
      </c>
      <c r="S28" s="80">
        <f t="shared" ref="S28:X28" si="12">S11</f>
        <v>0.11849999999999999</v>
      </c>
      <c r="T28" s="80">
        <f t="shared" si="12"/>
        <v>9.4799999999999995E-2</v>
      </c>
      <c r="U28" s="80">
        <f t="shared" si="12"/>
        <v>5.5E-2</v>
      </c>
      <c r="V28" s="80">
        <f t="shared" si="12"/>
        <v>4.2000000000000003E-2</v>
      </c>
      <c r="W28" s="80">
        <f t="shared" si="12"/>
        <v>3.3000000000000002E-2</v>
      </c>
      <c r="X28" s="81">
        <f t="shared" si="12"/>
        <v>8.4929999999999992E-2</v>
      </c>
      <c r="Y28" s="89" t="s">
        <v>41</v>
      </c>
      <c r="Z28" s="89"/>
      <c r="AA28" s="89"/>
    </row>
    <row r="29" spans="2:27" x14ac:dyDescent="0.2">
      <c r="B29" s="95"/>
      <c r="C29" s="38" t="s">
        <v>21</v>
      </c>
      <c r="D29" s="63">
        <f t="shared" si="8"/>
        <v>0.18455300524137935</v>
      </c>
      <c r="E29" s="52">
        <f>E12*0.6</f>
        <v>0.1427420689655173</v>
      </c>
      <c r="F29" s="52">
        <f t="shared" ref="F29:J29" si="13">F12*0.6</f>
        <v>0.15166344827586209</v>
      </c>
      <c r="G29" s="52">
        <f t="shared" si="13"/>
        <v>0.18734896551724142</v>
      </c>
      <c r="H29" s="52">
        <f t="shared" si="13"/>
        <v>0.19627034482758629</v>
      </c>
      <c r="I29" s="52">
        <f t="shared" si="13"/>
        <v>0.22303448275862078</v>
      </c>
      <c r="J29" s="73">
        <f t="shared" si="13"/>
        <v>0.18480000000000002</v>
      </c>
      <c r="K29" s="63">
        <f t="shared" ref="K29:K46" si="14">SUMPRODUCT(L29:P29,$L$23:$P$23)</f>
        <v>0.1797889886896552</v>
      </c>
      <c r="L29" s="52">
        <f>L12*0.6</f>
        <v>0.1427420689655173</v>
      </c>
      <c r="M29" s="52">
        <f t="shared" ref="M29:Q29" si="15">M12*0.6</f>
        <v>0.15166344827586209</v>
      </c>
      <c r="N29" s="52">
        <f t="shared" si="15"/>
        <v>0.18734896551724142</v>
      </c>
      <c r="O29" s="52">
        <f t="shared" si="15"/>
        <v>0.19627034482758629</v>
      </c>
      <c r="P29" s="52">
        <f t="shared" si="15"/>
        <v>0.22303448275862078</v>
      </c>
      <c r="Q29" s="73">
        <f t="shared" si="15"/>
        <v>0.1797889886896552</v>
      </c>
      <c r="R29" s="63">
        <f t="shared" si="11"/>
        <v>0.16459944827586209</v>
      </c>
      <c r="S29" s="52">
        <f>S12*0.6</f>
        <v>0.1427420689655173</v>
      </c>
      <c r="T29" s="52">
        <f t="shared" ref="T29:X29" si="16">T12*0.6</f>
        <v>0.15166344827586209</v>
      </c>
      <c r="U29" s="52">
        <f t="shared" si="16"/>
        <v>0.18734896551724142</v>
      </c>
      <c r="V29" s="52">
        <f t="shared" si="16"/>
        <v>0.19627034482758629</v>
      </c>
      <c r="W29" s="52">
        <f t="shared" si="16"/>
        <v>0.22303448275862078</v>
      </c>
      <c r="X29" s="73">
        <f t="shared" si="16"/>
        <v>0.16459944827586212</v>
      </c>
      <c r="Y29" s="89" t="s">
        <v>80</v>
      </c>
      <c r="Z29" s="89"/>
      <c r="AA29" s="89"/>
    </row>
    <row r="30" spans="2:27" x14ac:dyDescent="0.2">
      <c r="B30" s="95"/>
      <c r="C30" s="38" t="s">
        <v>22</v>
      </c>
      <c r="D30" s="63">
        <f t="shared" si="8"/>
        <v>0</v>
      </c>
      <c r="E30" s="45">
        <f>J30</f>
        <v>0</v>
      </c>
      <c r="F30" s="45">
        <f>J30</f>
        <v>0</v>
      </c>
      <c r="G30" s="45">
        <f>J30</f>
        <v>0</v>
      </c>
      <c r="H30" s="45">
        <f>J30</f>
        <v>0</v>
      </c>
      <c r="I30" s="45">
        <f>J30</f>
        <v>0</v>
      </c>
      <c r="J30" s="73">
        <v>0</v>
      </c>
      <c r="K30" s="63">
        <f t="shared" si="14"/>
        <v>0</v>
      </c>
      <c r="L30" s="45">
        <f>Q30</f>
        <v>0</v>
      </c>
      <c r="M30" s="45">
        <f>Q30</f>
        <v>0</v>
      </c>
      <c r="N30" s="45">
        <f>Q30</f>
        <v>0</v>
      </c>
      <c r="O30" s="45">
        <f>Q30</f>
        <v>0</v>
      </c>
      <c r="P30" s="45">
        <f>Q30</f>
        <v>0</v>
      </c>
      <c r="Q30" s="73">
        <f>J30</f>
        <v>0</v>
      </c>
      <c r="R30" s="63">
        <f t="shared" si="11"/>
        <v>0</v>
      </c>
      <c r="S30" s="45">
        <f>X30</f>
        <v>0</v>
      </c>
      <c r="T30" s="45">
        <f>X30</f>
        <v>0</v>
      </c>
      <c r="U30" s="45">
        <f>X30</f>
        <v>0</v>
      </c>
      <c r="V30" s="45">
        <f>X30</f>
        <v>0</v>
      </c>
      <c r="W30" s="45">
        <f>X30</f>
        <v>0</v>
      </c>
      <c r="X30" s="73">
        <f>Q30</f>
        <v>0</v>
      </c>
      <c r="Y30" s="89" t="s">
        <v>42</v>
      </c>
      <c r="Z30" s="89"/>
      <c r="AA30" s="89"/>
    </row>
    <row r="31" spans="2:27" x14ac:dyDescent="0.2">
      <c r="B31" s="95"/>
      <c r="C31" s="38" t="s">
        <v>24</v>
      </c>
      <c r="D31" s="63">
        <f t="shared" si="8"/>
        <v>7.0000000000000007E-2</v>
      </c>
      <c r="E31" s="39">
        <f>J31</f>
        <v>7.0000000000000007E-2</v>
      </c>
      <c r="F31" s="39">
        <f>J31</f>
        <v>7.0000000000000007E-2</v>
      </c>
      <c r="G31" s="39">
        <f>J31</f>
        <v>7.0000000000000007E-2</v>
      </c>
      <c r="H31" s="39">
        <f>J31</f>
        <v>7.0000000000000007E-2</v>
      </c>
      <c r="I31" s="39">
        <f>J31</f>
        <v>7.0000000000000007E-2</v>
      </c>
      <c r="J31" s="73">
        <v>7.0000000000000007E-2</v>
      </c>
      <c r="K31" s="63">
        <f t="shared" si="14"/>
        <v>7.0000000000000007E-2</v>
      </c>
      <c r="L31" s="39">
        <f>Q31</f>
        <v>7.0000000000000007E-2</v>
      </c>
      <c r="M31" s="39">
        <f>Q31</f>
        <v>7.0000000000000007E-2</v>
      </c>
      <c r="N31" s="39">
        <f>Q31</f>
        <v>7.0000000000000007E-2</v>
      </c>
      <c r="O31" s="39">
        <f>Q31</f>
        <v>7.0000000000000007E-2</v>
      </c>
      <c r="P31" s="39">
        <f>Q31</f>
        <v>7.0000000000000007E-2</v>
      </c>
      <c r="Q31" s="73">
        <f>J31</f>
        <v>7.0000000000000007E-2</v>
      </c>
      <c r="R31" s="63">
        <f t="shared" si="11"/>
        <v>7.0000000000000007E-2</v>
      </c>
      <c r="S31" s="39">
        <f>X31</f>
        <v>7.0000000000000007E-2</v>
      </c>
      <c r="T31" s="39">
        <f>X31</f>
        <v>7.0000000000000007E-2</v>
      </c>
      <c r="U31" s="39">
        <f>X31</f>
        <v>7.0000000000000007E-2</v>
      </c>
      <c r="V31" s="39">
        <f>X31</f>
        <v>7.0000000000000007E-2</v>
      </c>
      <c r="W31" s="39">
        <f>X31</f>
        <v>7.0000000000000007E-2</v>
      </c>
      <c r="X31" s="73">
        <f>Q31</f>
        <v>7.0000000000000007E-2</v>
      </c>
      <c r="Y31" s="87" t="s">
        <v>71</v>
      </c>
      <c r="Z31" s="87"/>
      <c r="AA31" s="87"/>
    </row>
    <row r="32" spans="2:27" ht="45.75" customHeight="1" x14ac:dyDescent="0.2">
      <c r="B32" s="95"/>
      <c r="C32" s="38" t="s">
        <v>55</v>
      </c>
      <c r="D32" s="63">
        <f t="shared" si="8"/>
        <v>0.18</v>
      </c>
      <c r="E32" s="39">
        <f>J32</f>
        <v>0.18</v>
      </c>
      <c r="F32" s="39">
        <f>J32</f>
        <v>0.18</v>
      </c>
      <c r="G32" s="39">
        <f>J32</f>
        <v>0.18</v>
      </c>
      <c r="H32" s="39">
        <f>J32</f>
        <v>0.18</v>
      </c>
      <c r="I32" s="39">
        <f>J32</f>
        <v>0.18</v>
      </c>
      <c r="J32" s="73">
        <v>0.18</v>
      </c>
      <c r="K32" s="63">
        <f t="shared" si="14"/>
        <v>0.18</v>
      </c>
      <c r="L32" s="39">
        <f>Q32</f>
        <v>0.18</v>
      </c>
      <c r="M32" s="39">
        <f>Q32</f>
        <v>0.18</v>
      </c>
      <c r="N32" s="39">
        <f>Q32</f>
        <v>0.18</v>
      </c>
      <c r="O32" s="39">
        <f>Q32</f>
        <v>0.18</v>
      </c>
      <c r="P32" s="39">
        <f>Q32</f>
        <v>0.18</v>
      </c>
      <c r="Q32" s="73">
        <f>J32</f>
        <v>0.18</v>
      </c>
      <c r="R32" s="63">
        <f t="shared" si="11"/>
        <v>0.18</v>
      </c>
      <c r="S32" s="39">
        <f>X32</f>
        <v>0.18</v>
      </c>
      <c r="T32" s="39">
        <f>X32</f>
        <v>0.18</v>
      </c>
      <c r="U32" s="39">
        <f>X32</f>
        <v>0.18</v>
      </c>
      <c r="V32" s="39">
        <f>X32</f>
        <v>0.18</v>
      </c>
      <c r="W32" s="39">
        <f>X32</f>
        <v>0.18</v>
      </c>
      <c r="X32" s="73">
        <f>Q32</f>
        <v>0.18</v>
      </c>
      <c r="Y32" s="87" t="s">
        <v>72</v>
      </c>
      <c r="Z32" s="87"/>
      <c r="AA32" s="87"/>
    </row>
    <row r="33" spans="2:27" ht="45.75" customHeight="1" x14ac:dyDescent="0.2">
      <c r="B33" s="95"/>
      <c r="C33" s="38" t="s">
        <v>56</v>
      </c>
      <c r="D33" s="63">
        <f t="shared" si="8"/>
        <v>0.12882436708860759</v>
      </c>
      <c r="E33" s="50">
        <f t="shared" ref="E33:J33" si="17">0.15*(1-E35)/E38</f>
        <v>0.18037974683544303</v>
      </c>
      <c r="F33" s="50">
        <f t="shared" si="17"/>
        <v>0.16139240506329114</v>
      </c>
      <c r="G33" s="50">
        <f t="shared" si="17"/>
        <v>0.13765822784810125</v>
      </c>
      <c r="H33" s="50">
        <f t="shared" si="17"/>
        <v>0.1091772151898734</v>
      </c>
      <c r="I33" s="50">
        <f t="shared" si="17"/>
        <v>7.5949367088607583E-2</v>
      </c>
      <c r="J33" s="74">
        <f t="shared" si="17"/>
        <v>0.12882436708860759</v>
      </c>
      <c r="K33" s="63">
        <f t="shared" si="14"/>
        <v>0.13541202531645569</v>
      </c>
      <c r="L33" s="50">
        <f t="shared" ref="L33:Q33" si="18">0.15*(1-L35)/L38</f>
        <v>0.18037974683544303</v>
      </c>
      <c r="M33" s="50">
        <f t="shared" si="18"/>
        <v>0.16139240506329114</v>
      </c>
      <c r="N33" s="50">
        <f t="shared" si="18"/>
        <v>0.13765822784810125</v>
      </c>
      <c r="O33" s="50">
        <f t="shared" si="18"/>
        <v>0.1091772151898734</v>
      </c>
      <c r="P33" s="50">
        <f t="shared" si="18"/>
        <v>7.5949367088607583E-2</v>
      </c>
      <c r="Q33" s="74">
        <f t="shared" si="18"/>
        <v>0.13541202531645571</v>
      </c>
      <c r="R33" s="63">
        <f t="shared" si="11"/>
        <v>0.15142405063291137</v>
      </c>
      <c r="S33" s="50">
        <f t="shared" ref="S33:X33" si="19">0.15*(1-S35)/S38</f>
        <v>0.18037974683544303</v>
      </c>
      <c r="T33" s="50">
        <f t="shared" si="19"/>
        <v>0.16139240506329114</v>
      </c>
      <c r="U33" s="50">
        <f t="shared" si="19"/>
        <v>0.13765822784810125</v>
      </c>
      <c r="V33" s="50">
        <f t="shared" si="19"/>
        <v>0.1091772151898734</v>
      </c>
      <c r="W33" s="50">
        <f t="shared" si="19"/>
        <v>7.5949367088607583E-2</v>
      </c>
      <c r="X33" s="74">
        <f t="shared" si="19"/>
        <v>0.15142405063291137</v>
      </c>
      <c r="Y33" s="87" t="s">
        <v>73</v>
      </c>
      <c r="Z33" s="87"/>
      <c r="AA33" s="87"/>
    </row>
    <row r="34" spans="2:27" x14ac:dyDescent="0.2">
      <c r="B34" s="95"/>
      <c r="C34" s="38" t="s">
        <v>57</v>
      </c>
      <c r="D34" s="63">
        <f t="shared" si="8"/>
        <v>0.30882436708860755</v>
      </c>
      <c r="E34" s="39">
        <f t="shared" ref="E34:J34" si="20">E32+E33</f>
        <v>0.36037974683544305</v>
      </c>
      <c r="F34" s="39">
        <f t="shared" si="20"/>
        <v>0.34139240506329116</v>
      </c>
      <c r="G34" s="39">
        <f t="shared" si="20"/>
        <v>0.31765822784810127</v>
      </c>
      <c r="H34" s="39">
        <f t="shared" si="20"/>
        <v>0.28917721518987338</v>
      </c>
      <c r="I34" s="39">
        <f t="shared" si="20"/>
        <v>0.2559493670886076</v>
      </c>
      <c r="J34" s="75">
        <f t="shared" si="20"/>
        <v>0.30882436708860761</v>
      </c>
      <c r="K34" s="63">
        <f t="shared" si="14"/>
        <v>0.31541202531645568</v>
      </c>
      <c r="L34" s="39">
        <f>L32+L33</f>
        <v>0.36037974683544305</v>
      </c>
      <c r="M34" s="39">
        <f>M32+M33</f>
        <v>0.34139240506329116</v>
      </c>
      <c r="N34" s="39">
        <f>N32+N33</f>
        <v>0.31765822784810127</v>
      </c>
      <c r="O34" s="39">
        <f>O32+O33</f>
        <v>0.28917721518987338</v>
      </c>
      <c r="P34" s="39">
        <f>P32+P33</f>
        <v>0.2559493670886076</v>
      </c>
      <c r="Q34" s="73">
        <f>J34</f>
        <v>0.30882436708860761</v>
      </c>
      <c r="R34" s="63">
        <f t="shared" si="11"/>
        <v>0.33142405063291136</v>
      </c>
      <c r="S34" s="39">
        <f>S32+S33</f>
        <v>0.36037974683544305</v>
      </c>
      <c r="T34" s="39">
        <f>T32+T33</f>
        <v>0.34139240506329116</v>
      </c>
      <c r="U34" s="39">
        <f>U32+U33</f>
        <v>0.31765822784810127</v>
      </c>
      <c r="V34" s="39">
        <f>V32+V33</f>
        <v>0.28917721518987338</v>
      </c>
      <c r="W34" s="39">
        <f>W32+W33</f>
        <v>0.2559493670886076</v>
      </c>
      <c r="X34" s="73">
        <f>Q34</f>
        <v>0.30882436708860761</v>
      </c>
      <c r="Y34" s="87" t="s">
        <v>74</v>
      </c>
      <c r="Z34" s="87"/>
      <c r="AA34" s="87"/>
    </row>
    <row r="35" spans="2:27" x14ac:dyDescent="0.2">
      <c r="B35" s="95"/>
      <c r="C35" s="38" t="s">
        <v>25</v>
      </c>
      <c r="D35" s="63">
        <f t="shared" si="8"/>
        <v>0.32152500000000001</v>
      </c>
      <c r="E35" s="50">
        <f>E5</f>
        <v>0.05</v>
      </c>
      <c r="F35" s="50">
        <f>F5</f>
        <v>0.15</v>
      </c>
      <c r="G35" s="50">
        <f>G5</f>
        <v>0.27500000000000002</v>
      </c>
      <c r="H35" s="50">
        <f>H5</f>
        <v>0.42499999999999999</v>
      </c>
      <c r="I35" s="50">
        <f>I5</f>
        <v>0.6</v>
      </c>
      <c r="J35" s="74">
        <f>D35</f>
        <v>0.32152500000000001</v>
      </c>
      <c r="K35" s="63">
        <f t="shared" si="14"/>
        <v>0.28682999999999997</v>
      </c>
      <c r="L35" s="50">
        <f>L5</f>
        <v>0.05</v>
      </c>
      <c r="M35" s="50">
        <f>M5</f>
        <v>0.15</v>
      </c>
      <c r="N35" s="50">
        <f>N5</f>
        <v>0.27500000000000002</v>
      </c>
      <c r="O35" s="50">
        <f>O5</f>
        <v>0.42499999999999999</v>
      </c>
      <c r="P35" s="50">
        <f>P5</f>
        <v>0.6</v>
      </c>
      <c r="Q35" s="74">
        <f>K35</f>
        <v>0.28682999999999997</v>
      </c>
      <c r="R35" s="63">
        <f t="shared" si="11"/>
        <v>0.20250000000000001</v>
      </c>
      <c r="S35" s="50">
        <f>S5</f>
        <v>0.05</v>
      </c>
      <c r="T35" s="50">
        <f>T5</f>
        <v>0.15</v>
      </c>
      <c r="U35" s="50">
        <f>U5</f>
        <v>0.27500000000000002</v>
      </c>
      <c r="V35" s="50">
        <f>V5</f>
        <v>0.42499999999999999</v>
      </c>
      <c r="W35" s="50">
        <f>W5</f>
        <v>0.6</v>
      </c>
      <c r="X35" s="74">
        <f>R35</f>
        <v>0.20250000000000001</v>
      </c>
      <c r="Y35" s="93" t="s">
        <v>75</v>
      </c>
      <c r="Z35" s="87"/>
      <c r="AA35" s="87"/>
    </row>
    <row r="36" spans="2:27" ht="13.9" customHeight="1" x14ac:dyDescent="0.2">
      <c r="B36" s="95"/>
      <c r="C36" s="38" t="s">
        <v>29</v>
      </c>
      <c r="D36" s="63">
        <f t="shared" si="8"/>
        <v>0.10000000000000002</v>
      </c>
      <c r="E36" s="39">
        <f>J36</f>
        <v>0.1</v>
      </c>
      <c r="F36" s="39">
        <f>J36</f>
        <v>0.1</v>
      </c>
      <c r="G36" s="39">
        <f>J36</f>
        <v>0.1</v>
      </c>
      <c r="H36" s="39">
        <f>J36</f>
        <v>0.1</v>
      </c>
      <c r="I36" s="39">
        <f>J36</f>
        <v>0.1</v>
      </c>
      <c r="J36" s="73">
        <v>0.1</v>
      </c>
      <c r="K36" s="63">
        <f t="shared" si="14"/>
        <v>0.1</v>
      </c>
      <c r="L36" s="39">
        <f>Q36</f>
        <v>0.1</v>
      </c>
      <c r="M36" s="39">
        <f>Q36</f>
        <v>0.1</v>
      </c>
      <c r="N36" s="39">
        <f>Q36</f>
        <v>0.1</v>
      </c>
      <c r="O36" s="39">
        <f>Q36</f>
        <v>0.1</v>
      </c>
      <c r="P36" s="39">
        <f>Q36</f>
        <v>0.1</v>
      </c>
      <c r="Q36" s="73">
        <f>J36</f>
        <v>0.1</v>
      </c>
      <c r="R36" s="63">
        <f t="shared" si="11"/>
        <v>0.1</v>
      </c>
      <c r="S36" s="39">
        <f>X36</f>
        <v>0.1</v>
      </c>
      <c r="T36" s="39">
        <f>X36</f>
        <v>0.1</v>
      </c>
      <c r="U36" s="39">
        <f>X36</f>
        <v>0.1</v>
      </c>
      <c r="V36" s="39">
        <f>X36</f>
        <v>0.1</v>
      </c>
      <c r="W36" s="39">
        <f>X36</f>
        <v>0.1</v>
      </c>
      <c r="X36" s="73">
        <f>Q36</f>
        <v>0.1</v>
      </c>
      <c r="Y36" s="87" t="s">
        <v>43</v>
      </c>
      <c r="Z36" s="87"/>
      <c r="AA36" s="87"/>
    </row>
    <row r="37" spans="2:27" ht="40.5" customHeight="1" x14ac:dyDescent="0.2">
      <c r="B37" s="95"/>
      <c r="C37" s="38" t="s">
        <v>26</v>
      </c>
      <c r="D37" s="63">
        <f t="shared" si="8"/>
        <v>0.72500000000000009</v>
      </c>
      <c r="E37" s="39">
        <f>J37</f>
        <v>0.72499999999999998</v>
      </c>
      <c r="F37" s="39">
        <f>J37</f>
        <v>0.72499999999999998</v>
      </c>
      <c r="G37" s="39">
        <f>J37</f>
        <v>0.72499999999999998</v>
      </c>
      <c r="H37" s="39">
        <f>J37</f>
        <v>0.72499999999999998</v>
      </c>
      <c r="I37" s="39">
        <f>J37</f>
        <v>0.72499999999999998</v>
      </c>
      <c r="J37" s="73">
        <v>0.72499999999999998</v>
      </c>
      <c r="K37" s="63">
        <f t="shared" si="14"/>
        <v>0.72499999999999998</v>
      </c>
      <c r="L37" s="39">
        <f>Q37</f>
        <v>0.72499999999999998</v>
      </c>
      <c r="M37" s="39">
        <f>Q37</f>
        <v>0.72499999999999998</v>
      </c>
      <c r="N37" s="39">
        <f>Q37</f>
        <v>0.72499999999999998</v>
      </c>
      <c r="O37" s="39">
        <f>Q37</f>
        <v>0.72499999999999998</v>
      </c>
      <c r="P37" s="39">
        <f>Q37</f>
        <v>0.72499999999999998</v>
      </c>
      <c r="Q37" s="73">
        <f>J37</f>
        <v>0.72499999999999998</v>
      </c>
      <c r="R37" s="63">
        <f t="shared" si="11"/>
        <v>0.72499999999999998</v>
      </c>
      <c r="S37" s="39">
        <f>X37</f>
        <v>0.72499999999999998</v>
      </c>
      <c r="T37" s="39">
        <f>X37</f>
        <v>0.72499999999999998</v>
      </c>
      <c r="U37" s="39">
        <f>X37</f>
        <v>0.72499999999999998</v>
      </c>
      <c r="V37" s="39">
        <f>X37</f>
        <v>0.72499999999999998</v>
      </c>
      <c r="W37" s="39">
        <f>X37</f>
        <v>0.72499999999999998</v>
      </c>
      <c r="X37" s="73">
        <f>Q37</f>
        <v>0.72499999999999998</v>
      </c>
      <c r="Y37" s="87" t="s">
        <v>48</v>
      </c>
      <c r="Z37" s="87"/>
      <c r="AA37" s="87"/>
    </row>
    <row r="38" spans="2:27" x14ac:dyDescent="0.2">
      <c r="B38" s="95"/>
      <c r="C38" s="38" t="s">
        <v>58</v>
      </c>
      <c r="D38" s="63">
        <f t="shared" si="8"/>
        <v>0.79</v>
      </c>
      <c r="E38" s="45">
        <f t="shared" ref="E38:J38" si="21">(1-E31*3)</f>
        <v>0.79</v>
      </c>
      <c r="F38" s="45">
        <f t="shared" si="21"/>
        <v>0.79</v>
      </c>
      <c r="G38" s="45">
        <f t="shared" si="21"/>
        <v>0.79</v>
      </c>
      <c r="H38" s="45">
        <f t="shared" si="21"/>
        <v>0.79</v>
      </c>
      <c r="I38" s="45">
        <f t="shared" si="21"/>
        <v>0.79</v>
      </c>
      <c r="J38" s="73">
        <f t="shared" si="21"/>
        <v>0.79</v>
      </c>
      <c r="K38" s="63">
        <f t="shared" si="14"/>
        <v>0.79</v>
      </c>
      <c r="L38" s="45">
        <f t="shared" ref="L38:Q38" si="22">(1-L31*3)</f>
        <v>0.79</v>
      </c>
      <c r="M38" s="45">
        <f t="shared" si="22"/>
        <v>0.79</v>
      </c>
      <c r="N38" s="45">
        <f t="shared" si="22"/>
        <v>0.79</v>
      </c>
      <c r="O38" s="45">
        <f t="shared" si="22"/>
        <v>0.79</v>
      </c>
      <c r="P38" s="45">
        <f t="shared" si="22"/>
        <v>0.79</v>
      </c>
      <c r="Q38" s="73">
        <f t="shared" si="22"/>
        <v>0.79</v>
      </c>
      <c r="R38" s="63">
        <f t="shared" si="11"/>
        <v>0.78999999999999992</v>
      </c>
      <c r="S38" s="45">
        <f t="shared" ref="S38:X38" si="23">(1-S31*3)</f>
        <v>0.79</v>
      </c>
      <c r="T38" s="45">
        <f t="shared" si="23"/>
        <v>0.79</v>
      </c>
      <c r="U38" s="45">
        <f t="shared" si="23"/>
        <v>0.79</v>
      </c>
      <c r="V38" s="45">
        <f t="shared" si="23"/>
        <v>0.79</v>
      </c>
      <c r="W38" s="45">
        <f t="shared" si="23"/>
        <v>0.79</v>
      </c>
      <c r="X38" s="73">
        <f t="shared" si="23"/>
        <v>0.79</v>
      </c>
      <c r="Y38" s="93" t="s">
        <v>76</v>
      </c>
      <c r="Z38" s="87"/>
      <c r="AA38" s="87"/>
    </row>
    <row r="39" spans="2:27" ht="13.9" customHeight="1" x14ac:dyDescent="0.2">
      <c r="B39" s="95"/>
      <c r="C39" s="38" t="s">
        <v>59</v>
      </c>
      <c r="D39" s="63">
        <f t="shared" si="8"/>
        <v>0.54602874999999995</v>
      </c>
      <c r="E39" s="45">
        <f t="shared" ref="E39:J39" si="24">E38*(1-E34)</f>
        <v>0.50529999999999997</v>
      </c>
      <c r="F39" s="45">
        <f t="shared" si="24"/>
        <v>0.52029999999999998</v>
      </c>
      <c r="G39" s="45">
        <f t="shared" si="24"/>
        <v>0.53905000000000003</v>
      </c>
      <c r="H39" s="45">
        <f t="shared" si="24"/>
        <v>0.5615500000000001</v>
      </c>
      <c r="I39" s="45">
        <f t="shared" si="24"/>
        <v>0.58779999999999999</v>
      </c>
      <c r="J39" s="73">
        <f t="shared" si="24"/>
        <v>0.54602875000000006</v>
      </c>
      <c r="K39" s="63">
        <f t="shared" si="14"/>
        <v>0.54082449999999993</v>
      </c>
      <c r="L39" s="45">
        <f>L38*(1-L34)</f>
        <v>0.50529999999999997</v>
      </c>
      <c r="M39" s="45">
        <f>M38*(1-M34)</f>
        <v>0.52029999999999998</v>
      </c>
      <c r="N39" s="45">
        <f>N38*(1-N34)</f>
        <v>0.53905000000000003</v>
      </c>
      <c r="O39" s="45">
        <f>O38*(1-O34)</f>
        <v>0.5615500000000001</v>
      </c>
      <c r="P39" s="45">
        <f>P38*(1-P34)</f>
        <v>0.58779999999999999</v>
      </c>
      <c r="Q39" s="73">
        <f>((1-Q31*3)*(1-Q34))</f>
        <v>0.54602875000000006</v>
      </c>
      <c r="R39" s="63">
        <f t="shared" si="11"/>
        <v>0.52817500000000006</v>
      </c>
      <c r="S39" s="45">
        <f>S38*(1-S34)</f>
        <v>0.50529999999999997</v>
      </c>
      <c r="T39" s="45">
        <f>T38*(1-T34)</f>
        <v>0.52029999999999998</v>
      </c>
      <c r="U39" s="45">
        <f>U38*(1-U34)</f>
        <v>0.53905000000000003</v>
      </c>
      <c r="V39" s="45">
        <f>V38*(1-V34)</f>
        <v>0.5615500000000001</v>
      </c>
      <c r="W39" s="45">
        <f>W38*(1-W34)</f>
        <v>0.58779999999999999</v>
      </c>
      <c r="X39" s="73">
        <f>((1-X31*3)*(1-X34))</f>
        <v>0.54602875000000006</v>
      </c>
      <c r="Y39" s="87" t="s">
        <v>77</v>
      </c>
      <c r="Z39" s="87"/>
      <c r="AA39" s="87"/>
    </row>
    <row r="40" spans="2:27" ht="13.9" customHeight="1" x14ac:dyDescent="0.2">
      <c r="B40" s="95"/>
      <c r="C40" s="38" t="s">
        <v>27</v>
      </c>
      <c r="D40" s="63">
        <f t="shared" si="8"/>
        <v>0.88100281538379421</v>
      </c>
      <c r="E40" s="45">
        <f t="shared" ref="E40:J40" si="25">E39/(1-E35)</f>
        <v>0.53189473684210531</v>
      </c>
      <c r="F40" s="45">
        <f t="shared" si="25"/>
        <v>0.61211764705882354</v>
      </c>
      <c r="G40" s="45">
        <f t="shared" si="25"/>
        <v>0.74351724137931041</v>
      </c>
      <c r="H40" s="45">
        <f t="shared" si="25"/>
        <v>0.97660869565217412</v>
      </c>
      <c r="I40" s="45">
        <f t="shared" si="25"/>
        <v>1.4694999999999998</v>
      </c>
      <c r="J40" s="73">
        <f t="shared" si="25"/>
        <v>0.80478831202328771</v>
      </c>
      <c r="K40" s="63">
        <f t="shared" si="14"/>
        <v>0.82730441219823525</v>
      </c>
      <c r="L40" s="45">
        <f t="shared" ref="L40:Q40" si="26">L39/(1-L35)</f>
        <v>0.53189473684210531</v>
      </c>
      <c r="M40" s="45">
        <f t="shared" si="26"/>
        <v>0.61211764705882354</v>
      </c>
      <c r="N40" s="45">
        <f t="shared" si="26"/>
        <v>0.74351724137931041</v>
      </c>
      <c r="O40" s="45">
        <f t="shared" si="26"/>
        <v>0.97660869565217412</v>
      </c>
      <c r="P40" s="45">
        <f t="shared" si="26"/>
        <v>1.4694999999999998</v>
      </c>
      <c r="Q40" s="73">
        <f t="shared" si="26"/>
        <v>0.7656361737033246</v>
      </c>
      <c r="R40" s="63">
        <f t="shared" si="11"/>
        <v>0.70530348807794252</v>
      </c>
      <c r="S40" s="45">
        <f t="shared" ref="S40:X40" si="27">S39/(1-S35)</f>
        <v>0.53189473684210531</v>
      </c>
      <c r="T40" s="45">
        <f t="shared" si="27"/>
        <v>0.61211764705882354</v>
      </c>
      <c r="U40" s="45">
        <f t="shared" si="27"/>
        <v>0.74351724137931041</v>
      </c>
      <c r="V40" s="45">
        <f t="shared" si="27"/>
        <v>0.97660869565217412</v>
      </c>
      <c r="W40" s="45">
        <f t="shared" si="27"/>
        <v>1.4694999999999998</v>
      </c>
      <c r="X40" s="73">
        <f t="shared" si="27"/>
        <v>0.68467554858934176</v>
      </c>
      <c r="Y40" s="87" t="s">
        <v>44</v>
      </c>
      <c r="Z40" s="87"/>
      <c r="AA40" s="87"/>
    </row>
    <row r="41" spans="2:27" ht="13.9" customHeight="1" x14ac:dyDescent="0.2">
      <c r="B41" s="95"/>
      <c r="C41" s="42" t="s">
        <v>28</v>
      </c>
      <c r="D41" s="63">
        <f t="shared" si="8"/>
        <v>1.2151762970810955</v>
      </c>
      <c r="E41" s="45">
        <f t="shared" ref="E41:J41" si="28">E40/E37</f>
        <v>0.73364791288566256</v>
      </c>
      <c r="F41" s="45">
        <f t="shared" si="28"/>
        <v>0.8443002028397566</v>
      </c>
      <c r="G41" s="45">
        <f t="shared" si="28"/>
        <v>1.0255410225921524</v>
      </c>
      <c r="H41" s="45">
        <f t="shared" si="28"/>
        <v>1.3470464767616195</v>
      </c>
      <c r="I41" s="45">
        <f t="shared" si="28"/>
        <v>2.0268965517241377</v>
      </c>
      <c r="J41" s="73">
        <f t="shared" si="28"/>
        <v>1.1100528441700521</v>
      </c>
      <c r="K41" s="63">
        <f t="shared" si="14"/>
        <v>1.1411095340665316</v>
      </c>
      <c r="L41" s="45">
        <f t="shared" ref="L41:Q41" si="29">L40/L37</f>
        <v>0.73364791288566256</v>
      </c>
      <c r="M41" s="45">
        <f t="shared" si="29"/>
        <v>0.8443002028397566</v>
      </c>
      <c r="N41" s="45">
        <f t="shared" si="29"/>
        <v>1.0255410225921524</v>
      </c>
      <c r="O41" s="45">
        <f t="shared" si="29"/>
        <v>1.3470464767616195</v>
      </c>
      <c r="P41" s="45">
        <f t="shared" si="29"/>
        <v>2.0268965517241377</v>
      </c>
      <c r="Q41" s="73">
        <f t="shared" si="29"/>
        <v>1.0560498947632064</v>
      </c>
      <c r="R41" s="63">
        <f t="shared" si="11"/>
        <v>0.97283239734888616</v>
      </c>
      <c r="S41" s="45">
        <f t="shared" ref="S41:X41" si="30">S40/S37</f>
        <v>0.73364791288566256</v>
      </c>
      <c r="T41" s="45">
        <f t="shared" si="30"/>
        <v>0.8443002028397566</v>
      </c>
      <c r="U41" s="45">
        <f t="shared" si="30"/>
        <v>1.0255410225921524</v>
      </c>
      <c r="V41" s="45">
        <f t="shared" si="30"/>
        <v>1.3470464767616195</v>
      </c>
      <c r="W41" s="45">
        <f t="shared" si="30"/>
        <v>2.0268965517241377</v>
      </c>
      <c r="X41" s="73">
        <f t="shared" si="30"/>
        <v>0.94438006701978172</v>
      </c>
      <c r="Y41" s="87" t="s">
        <v>45</v>
      </c>
      <c r="Z41" s="87"/>
      <c r="AA41" s="87"/>
    </row>
    <row r="42" spans="2:27" ht="13.5" customHeight="1" x14ac:dyDescent="0.2">
      <c r="B42" s="95"/>
      <c r="C42" s="42" t="s">
        <v>30</v>
      </c>
      <c r="D42" s="63">
        <f t="shared" si="8"/>
        <v>1.1047057246191778</v>
      </c>
      <c r="E42" s="45">
        <f t="shared" ref="E42:J42" si="31">E41/(1+E36)^1</f>
        <v>0.66695264807787502</v>
      </c>
      <c r="F42" s="45">
        <f t="shared" si="31"/>
        <v>0.7675456389452332</v>
      </c>
      <c r="G42" s="45">
        <f t="shared" si="31"/>
        <v>0.93231002053832035</v>
      </c>
      <c r="H42" s="45">
        <f t="shared" si="31"/>
        <v>1.2245877061469268</v>
      </c>
      <c r="I42" s="45">
        <f t="shared" si="31"/>
        <v>1.842633228840125</v>
      </c>
      <c r="J42" s="73">
        <f t="shared" si="31"/>
        <v>1.0091389492455018</v>
      </c>
      <c r="K42" s="63">
        <f t="shared" si="14"/>
        <v>1.0373723036968467</v>
      </c>
      <c r="L42" s="45">
        <f t="shared" ref="L42:Q42" si="32">L41/(1+L36)^1</f>
        <v>0.66695264807787502</v>
      </c>
      <c r="M42" s="45">
        <f t="shared" si="32"/>
        <v>0.7675456389452332</v>
      </c>
      <c r="N42" s="45">
        <f t="shared" si="32"/>
        <v>0.93231002053832035</v>
      </c>
      <c r="O42" s="45">
        <f t="shared" si="32"/>
        <v>1.2245877061469268</v>
      </c>
      <c r="P42" s="45">
        <f t="shared" si="32"/>
        <v>1.842633228840125</v>
      </c>
      <c r="Q42" s="73">
        <f t="shared" si="32"/>
        <v>0.96004535887564213</v>
      </c>
      <c r="R42" s="63">
        <f t="shared" si="11"/>
        <v>0.88439308849898746</v>
      </c>
      <c r="S42" s="45">
        <f t="shared" ref="S42:X42" si="33">S41/(1+S36)^1</f>
        <v>0.66695264807787502</v>
      </c>
      <c r="T42" s="45">
        <f t="shared" si="33"/>
        <v>0.7675456389452332</v>
      </c>
      <c r="U42" s="45">
        <f t="shared" si="33"/>
        <v>0.93231002053832035</v>
      </c>
      <c r="V42" s="45">
        <f t="shared" si="33"/>
        <v>1.2245877061469268</v>
      </c>
      <c r="W42" s="45">
        <f t="shared" si="33"/>
        <v>1.842633228840125</v>
      </c>
      <c r="X42" s="73">
        <f t="shared" si="33"/>
        <v>0.85852733365434697</v>
      </c>
      <c r="Y42" s="87" t="s">
        <v>46</v>
      </c>
      <c r="Z42" s="87"/>
      <c r="AA42" s="87"/>
    </row>
    <row r="43" spans="2:27" ht="13.5" customHeight="1" x14ac:dyDescent="0.2">
      <c r="B43" s="95"/>
      <c r="C43" s="42" t="s">
        <v>60</v>
      </c>
      <c r="D43" s="63">
        <f t="shared" si="8"/>
        <v>0.85</v>
      </c>
      <c r="E43" s="39">
        <f>J43</f>
        <v>0.85</v>
      </c>
      <c r="F43" s="39">
        <f>J43</f>
        <v>0.85</v>
      </c>
      <c r="G43" s="39">
        <f>J43</f>
        <v>0.85</v>
      </c>
      <c r="H43" s="39">
        <f>J43</f>
        <v>0.85</v>
      </c>
      <c r="I43" s="39">
        <f>J43</f>
        <v>0.85</v>
      </c>
      <c r="J43" s="73">
        <v>0.85</v>
      </c>
      <c r="K43" s="63">
        <f t="shared" si="14"/>
        <v>0.85000000000000009</v>
      </c>
      <c r="L43" s="39">
        <f>Q43</f>
        <v>0.85</v>
      </c>
      <c r="M43" s="39">
        <f>Q43</f>
        <v>0.85</v>
      </c>
      <c r="N43" s="39">
        <f>Q43</f>
        <v>0.85</v>
      </c>
      <c r="O43" s="39">
        <f>Q43</f>
        <v>0.85</v>
      </c>
      <c r="P43" s="39">
        <f>Q43</f>
        <v>0.85</v>
      </c>
      <c r="Q43" s="73">
        <f>J43</f>
        <v>0.85</v>
      </c>
      <c r="R43" s="63">
        <f t="shared" si="11"/>
        <v>0.84999999999999987</v>
      </c>
      <c r="S43" s="39">
        <f>X43</f>
        <v>0.85</v>
      </c>
      <c r="T43" s="39">
        <f>X43</f>
        <v>0.85</v>
      </c>
      <c r="U43" s="39">
        <f>X43</f>
        <v>0.85</v>
      </c>
      <c r="V43" s="39">
        <f>X43</f>
        <v>0.85</v>
      </c>
      <c r="W43" s="39">
        <f>X43</f>
        <v>0.85</v>
      </c>
      <c r="X43" s="73">
        <f>Q43</f>
        <v>0.85</v>
      </c>
      <c r="Y43" s="93" t="s">
        <v>78</v>
      </c>
      <c r="Z43" s="87"/>
      <c r="AA43" s="87"/>
    </row>
    <row r="44" spans="2:27" ht="13.5" customHeight="1" x14ac:dyDescent="0.2">
      <c r="B44" s="95"/>
      <c r="C44" s="42" t="s">
        <v>61</v>
      </c>
      <c r="D44" s="63">
        <f t="shared" si="8"/>
        <v>0.93899986592630102</v>
      </c>
      <c r="E44" s="45">
        <f>E43*E42</f>
        <v>0.56690975086619377</v>
      </c>
      <c r="F44" s="45">
        <f t="shared" ref="F44:J44" si="34">F43*F42</f>
        <v>0.65241379310344816</v>
      </c>
      <c r="G44" s="45">
        <f t="shared" si="34"/>
        <v>0.79246351745757226</v>
      </c>
      <c r="H44" s="45">
        <f t="shared" si="34"/>
        <v>1.0408995502248877</v>
      </c>
      <c r="I44" s="45">
        <f t="shared" si="34"/>
        <v>1.5662382445141063</v>
      </c>
      <c r="J44" s="73">
        <f t="shared" si="34"/>
        <v>0.85776810685867655</v>
      </c>
      <c r="K44" s="63">
        <f t="shared" si="14"/>
        <v>0.88176645814231969</v>
      </c>
      <c r="L44" s="45">
        <f>L43*L42</f>
        <v>0.56690975086619377</v>
      </c>
      <c r="M44" s="45">
        <f t="shared" ref="M44:Q44" si="35">M43*M42</f>
        <v>0.65241379310344816</v>
      </c>
      <c r="N44" s="45">
        <f t="shared" si="35"/>
        <v>0.79246351745757226</v>
      </c>
      <c r="O44" s="45">
        <f t="shared" si="35"/>
        <v>1.0408995502248877</v>
      </c>
      <c r="P44" s="45">
        <f t="shared" si="35"/>
        <v>1.5662382445141063</v>
      </c>
      <c r="Q44" s="73">
        <f t="shared" si="35"/>
        <v>0.81603855504429579</v>
      </c>
      <c r="R44" s="63">
        <f t="shared" si="11"/>
        <v>0.75173412522413929</v>
      </c>
      <c r="S44" s="45">
        <f>S43*S42</f>
        <v>0.56690975086619377</v>
      </c>
      <c r="T44" s="45">
        <f t="shared" ref="T44:X44" si="36">T43*T42</f>
        <v>0.65241379310344816</v>
      </c>
      <c r="U44" s="45">
        <f t="shared" si="36"/>
        <v>0.79246351745757226</v>
      </c>
      <c r="V44" s="45">
        <f t="shared" si="36"/>
        <v>1.0408995502248877</v>
      </c>
      <c r="W44" s="45">
        <f t="shared" si="36"/>
        <v>1.5662382445141063</v>
      </c>
      <c r="X44" s="73">
        <f t="shared" si="36"/>
        <v>0.7297482336061949</v>
      </c>
      <c r="Y44" s="93" t="s">
        <v>79</v>
      </c>
      <c r="Z44" s="87"/>
      <c r="AA44" s="87"/>
    </row>
    <row r="45" spans="2:27" ht="13.9" customHeight="1" x14ac:dyDescent="0.2">
      <c r="B45" s="95"/>
      <c r="C45" s="40" t="s">
        <v>19</v>
      </c>
      <c r="D45" s="76">
        <f t="shared" si="8"/>
        <v>0.14118569047455623</v>
      </c>
      <c r="E45" s="46">
        <f t="shared" ref="E45:J45" si="37">MAX((1-E29-E30)*(1-E44),0)</f>
        <v>0.37127005092365539</v>
      </c>
      <c r="F45" s="46">
        <f t="shared" si="37"/>
        <v>0.29487008418549354</v>
      </c>
      <c r="G45" s="46">
        <f t="shared" si="37"/>
        <v>0.16865473723101687</v>
      </c>
      <c r="H45" s="46">
        <f t="shared" si="37"/>
        <v>0</v>
      </c>
      <c r="I45" s="46">
        <f t="shared" si="37"/>
        <v>0</v>
      </c>
      <c r="J45" s="77">
        <f t="shared" si="37"/>
        <v>0.11594743928880687</v>
      </c>
      <c r="K45" s="76">
        <f t="shared" si="14"/>
        <v>0.17048280403225968</v>
      </c>
      <c r="L45" s="46">
        <f t="shared" ref="L45:Q45" si="38">MAX((1-L29-L30)*(1-L44),0)</f>
        <v>0.37127005092365539</v>
      </c>
      <c r="M45" s="46">
        <f t="shared" si="38"/>
        <v>0.29487008418549354</v>
      </c>
      <c r="N45" s="46">
        <f t="shared" si="38"/>
        <v>0.16865473723101687</v>
      </c>
      <c r="O45" s="46">
        <f t="shared" si="38"/>
        <v>0</v>
      </c>
      <c r="P45" s="46">
        <f t="shared" si="38"/>
        <v>0</v>
      </c>
      <c r="Q45" s="77">
        <f t="shared" si="38"/>
        <v>0.15088720280923049</v>
      </c>
      <c r="R45" s="76">
        <f t="shared" si="11"/>
        <v>0.23988375532667189</v>
      </c>
      <c r="S45" s="46">
        <f t="shared" ref="S45:X45" si="39">MAX((1-S29-S30)*(1-S44),0)</f>
        <v>0.37127005092365539</v>
      </c>
      <c r="T45" s="46">
        <f t="shared" si="39"/>
        <v>0.29487008418549354</v>
      </c>
      <c r="U45" s="46">
        <f t="shared" si="39"/>
        <v>0.16865473723101687</v>
      </c>
      <c r="V45" s="46">
        <f t="shared" si="39"/>
        <v>0</v>
      </c>
      <c r="W45" s="46">
        <f t="shared" si="39"/>
        <v>0</v>
      </c>
      <c r="X45" s="77">
        <f t="shared" si="39"/>
        <v>0.2257684747498076</v>
      </c>
      <c r="Y45" s="87" t="s">
        <v>47</v>
      </c>
      <c r="Z45" s="87"/>
      <c r="AA45" s="87"/>
    </row>
    <row r="46" spans="2:27" ht="64.5" customHeight="1" thickBot="1" x14ac:dyDescent="0.25">
      <c r="B46" s="95"/>
      <c r="C46" s="41" t="s">
        <v>13</v>
      </c>
      <c r="D46" s="66">
        <f t="shared" si="8"/>
        <v>4.5629271235437842E-3</v>
      </c>
      <c r="E46" s="67">
        <f t="shared" ref="E46:J46" si="40">E45*E28</f>
        <v>1.2251911680480629E-2</v>
      </c>
      <c r="F46" s="67">
        <f t="shared" si="40"/>
        <v>9.7307127781212869E-3</v>
      </c>
      <c r="G46" s="67">
        <f t="shared" si="40"/>
        <v>5.2282968541615231E-3</v>
      </c>
      <c r="H46" s="67">
        <f t="shared" si="40"/>
        <v>0</v>
      </c>
      <c r="I46" s="67">
        <f t="shared" si="40"/>
        <v>0</v>
      </c>
      <c r="J46" s="68">
        <f t="shared" si="40"/>
        <v>3.3707543865406204E-3</v>
      </c>
      <c r="K46" s="66">
        <f t="shared" si="14"/>
        <v>1.2194730790559447E-2</v>
      </c>
      <c r="L46" s="67">
        <f t="shared" ref="L46:Q46" si="41">L45*L28</f>
        <v>2.9330334022968776E-2</v>
      </c>
      <c r="M46" s="67">
        <f t="shared" si="41"/>
        <v>2.3294736650653989E-2</v>
      </c>
      <c r="N46" s="67">
        <f t="shared" si="41"/>
        <v>9.2760105477059287E-3</v>
      </c>
      <c r="O46" s="67">
        <f t="shared" si="41"/>
        <v>0</v>
      </c>
      <c r="P46" s="67">
        <f t="shared" si="41"/>
        <v>0</v>
      </c>
      <c r="Q46" s="68">
        <f t="shared" si="41"/>
        <v>8.7359163810460157E-3</v>
      </c>
      <c r="R46" s="66">
        <f t="shared" si="11"/>
        <v>2.4373841285766511E-2</v>
      </c>
      <c r="S46" s="67">
        <f t="shared" ref="S46:X46" si="42">S45*S28</f>
        <v>4.3995501034453162E-2</v>
      </c>
      <c r="T46" s="67">
        <f t="shared" si="42"/>
        <v>2.7953683980784787E-2</v>
      </c>
      <c r="U46" s="67">
        <f t="shared" si="42"/>
        <v>9.2760105477059287E-3</v>
      </c>
      <c r="V46" s="67">
        <f t="shared" si="42"/>
        <v>0</v>
      </c>
      <c r="W46" s="67">
        <f t="shared" si="42"/>
        <v>0</v>
      </c>
      <c r="X46" s="68">
        <f t="shared" si="42"/>
        <v>1.9174516560501158E-2</v>
      </c>
      <c r="Y46" s="97" t="s">
        <v>40</v>
      </c>
      <c r="Z46" s="97"/>
      <c r="AA46" s="97"/>
    </row>
    <row r="47" spans="2:27" x14ac:dyDescent="0.2">
      <c r="B47" s="95"/>
      <c r="C47" s="35" t="s">
        <v>11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36"/>
      <c r="Z47" s="36"/>
      <c r="AA47" s="44"/>
    </row>
    <row r="48" spans="2:27" x14ac:dyDescent="0.2">
      <c r="B48" s="96"/>
      <c r="C48" s="35" t="s">
        <v>12</v>
      </c>
      <c r="D48" s="36"/>
      <c r="E48" s="36"/>
      <c r="F48" s="36"/>
      <c r="G48" s="36"/>
      <c r="H48" s="36"/>
      <c r="I48" s="36"/>
      <c r="J48" s="36"/>
      <c r="K48" s="44"/>
      <c r="L48" s="44"/>
      <c r="M48" s="44"/>
      <c r="N48" s="44"/>
      <c r="O48" s="44"/>
      <c r="P48" s="44"/>
      <c r="Q48" s="36"/>
      <c r="R48" s="44"/>
      <c r="S48" s="44"/>
      <c r="T48" s="44"/>
      <c r="U48" s="44"/>
      <c r="V48" s="44"/>
      <c r="W48" s="44"/>
      <c r="X48" s="36"/>
      <c r="Y48" s="36"/>
      <c r="Z48" s="36"/>
      <c r="AA48" s="44"/>
    </row>
    <row r="49" spans="4:26" x14ac:dyDescent="0.2">
      <c r="Q49" s="48"/>
      <c r="X49" s="48"/>
      <c r="Z49" s="48"/>
    </row>
    <row r="50" spans="4:26" x14ac:dyDescent="0.2"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R50" s="48"/>
      <c r="S50" s="48"/>
      <c r="T50" s="48"/>
      <c r="U50" s="48"/>
      <c r="V50" s="48"/>
      <c r="W50" s="48"/>
      <c r="Y50" s="48"/>
    </row>
  </sheetData>
  <mergeCells count="29">
    <mergeCell ref="Y38:AA38"/>
    <mergeCell ref="Y46:AA46"/>
    <mergeCell ref="Y40:AA40"/>
    <mergeCell ref="Y41:AA41"/>
    <mergeCell ref="Y42:AA42"/>
    <mergeCell ref="Y43:AA43"/>
    <mergeCell ref="Y44:AA44"/>
    <mergeCell ref="Y45:AA45"/>
    <mergeCell ref="B7:B17"/>
    <mergeCell ref="Y39:AA39"/>
    <mergeCell ref="D20:J20"/>
    <mergeCell ref="K20:Q20"/>
    <mergeCell ref="R20:X20"/>
    <mergeCell ref="B24:B48"/>
    <mergeCell ref="Y28:AA28"/>
    <mergeCell ref="Y29:AA29"/>
    <mergeCell ref="Y30:AA30"/>
    <mergeCell ref="Y31:AA31"/>
    <mergeCell ref="Y32:AA32"/>
    <mergeCell ref="Y33:AA33"/>
    <mergeCell ref="Y34:AA34"/>
    <mergeCell ref="Y35:AA35"/>
    <mergeCell ref="Y36:AA36"/>
    <mergeCell ref="Y37:AA37"/>
    <mergeCell ref="Y19:AA19"/>
    <mergeCell ref="Y2:AA2"/>
    <mergeCell ref="D3:J3"/>
    <mergeCell ref="K3:Q3"/>
    <mergeCell ref="R3:X3"/>
  </mergeCells>
  <pageMargins left="0.7" right="0.7" top="0.75" bottom="0.75" header="0.3" footer="0.3"/>
  <ignoredErrors>
    <ignoredError sqref="R14:R15 R38:R46 R28:R33 K28:K46 X33:X35 Q33:Q35 K15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204AE-F8A9-4042-91B5-3EB3261D5CA5}">
  <dimension ref="B2:N26"/>
  <sheetViews>
    <sheetView showGridLines="0" zoomScale="74" workbookViewId="0">
      <selection activeCell="F22" sqref="F22"/>
    </sheetView>
  </sheetViews>
  <sheetFormatPr defaultRowHeight="14.25" x14ac:dyDescent="0.2"/>
  <cols>
    <col min="1" max="1" width="4.625" customWidth="1"/>
    <col min="2" max="2" width="25.25" customWidth="1"/>
    <col min="3" max="3" width="37.625" customWidth="1"/>
    <col min="4" max="4" width="24.875" style="18" customWidth="1"/>
    <col min="5" max="5" width="16.75" customWidth="1"/>
    <col min="6" max="6" width="23.875" customWidth="1"/>
    <col min="7" max="7" width="36.25" customWidth="1"/>
  </cols>
  <sheetData>
    <row r="2" spans="2:14" ht="15" x14ac:dyDescent="0.25">
      <c r="B2" s="1" t="s">
        <v>0</v>
      </c>
      <c r="C2" s="1"/>
      <c r="D2" s="10"/>
      <c r="E2" s="1"/>
    </row>
    <row r="3" spans="2:14" ht="15" x14ac:dyDescent="0.25">
      <c r="B3" s="3" t="s">
        <v>4</v>
      </c>
      <c r="C3" s="3"/>
      <c r="D3" s="11" t="s">
        <v>6</v>
      </c>
      <c r="E3" s="4" t="s">
        <v>1</v>
      </c>
      <c r="G3" s="8"/>
    </row>
    <row r="4" spans="2:14" x14ac:dyDescent="0.2">
      <c r="B4" s="94" t="s">
        <v>5</v>
      </c>
      <c r="C4" s="5" t="s">
        <v>8</v>
      </c>
      <c r="D4" s="12">
        <v>0.62</v>
      </c>
      <c r="E4" s="5" t="s">
        <v>2</v>
      </c>
    </row>
    <row r="5" spans="2:14" x14ac:dyDescent="0.2">
      <c r="B5" s="95"/>
      <c r="C5" s="2" t="s">
        <v>9</v>
      </c>
      <c r="D5" s="13"/>
      <c r="E5" s="5" t="s">
        <v>2</v>
      </c>
      <c r="F5" s="98" t="s">
        <v>18</v>
      </c>
    </row>
    <row r="6" spans="2:14" x14ac:dyDescent="0.2">
      <c r="B6" s="95"/>
      <c r="C6" s="2" t="s">
        <v>17</v>
      </c>
      <c r="D6" s="13"/>
      <c r="E6" s="5" t="s">
        <v>2</v>
      </c>
      <c r="F6" s="98"/>
    </row>
    <row r="7" spans="2:14" x14ac:dyDescent="0.2">
      <c r="B7" s="95"/>
      <c r="C7" s="2" t="s">
        <v>10</v>
      </c>
      <c r="D7" s="13">
        <v>0.2</v>
      </c>
      <c r="E7" s="5" t="s">
        <v>2</v>
      </c>
    </row>
    <row r="8" spans="2:14" x14ac:dyDescent="0.2">
      <c r="B8" s="95"/>
      <c r="C8" s="2" t="s">
        <v>16</v>
      </c>
      <c r="D8" s="15">
        <v>1.2E-2</v>
      </c>
      <c r="E8" s="5" t="s">
        <v>2</v>
      </c>
      <c r="F8" s="9"/>
    </row>
    <row r="9" spans="2:14" x14ac:dyDescent="0.2">
      <c r="B9" s="95"/>
      <c r="C9" s="7" t="s">
        <v>13</v>
      </c>
      <c r="D9" s="16">
        <v>8.0000000000000002E-3</v>
      </c>
      <c r="E9" s="7" t="s">
        <v>2</v>
      </c>
      <c r="F9" s="25">
        <f>D9/D8</f>
        <v>0.66666666666666663</v>
      </c>
      <c r="H9" s="8"/>
    </row>
    <row r="10" spans="2:14" x14ac:dyDescent="0.2">
      <c r="B10" s="95"/>
      <c r="C10" s="6" t="s">
        <v>11</v>
      </c>
      <c r="D10" s="17"/>
      <c r="E10" s="6" t="s">
        <v>3</v>
      </c>
      <c r="F10" s="26" t="s">
        <v>19</v>
      </c>
    </row>
    <row r="11" spans="2:14" x14ac:dyDescent="0.2">
      <c r="B11" s="96"/>
      <c r="C11" s="2" t="s">
        <v>12</v>
      </c>
      <c r="D11" s="14"/>
      <c r="E11" s="2" t="s">
        <v>3</v>
      </c>
      <c r="F11" s="8"/>
    </row>
    <row r="13" spans="2:14" ht="15" x14ac:dyDescent="0.25">
      <c r="B13" s="1" t="s">
        <v>14</v>
      </c>
      <c r="C13" s="1"/>
      <c r="D13" s="10"/>
      <c r="E13" s="1"/>
      <c r="F13" s="19"/>
      <c r="G13" s="19"/>
      <c r="H13" s="19"/>
      <c r="I13" s="19"/>
      <c r="J13" s="19"/>
      <c r="K13" s="19"/>
      <c r="L13" s="19"/>
      <c r="M13" s="19"/>
      <c r="N13" s="19"/>
    </row>
    <row r="14" spans="2:14" ht="15" x14ac:dyDescent="0.25">
      <c r="B14" s="3" t="s">
        <v>4</v>
      </c>
      <c r="C14" s="3"/>
      <c r="D14" s="11" t="s">
        <v>6</v>
      </c>
      <c r="E14" s="4" t="s">
        <v>1</v>
      </c>
      <c r="F14" s="19"/>
      <c r="G14" s="19"/>
      <c r="H14" s="19"/>
      <c r="I14" s="19"/>
      <c r="J14" s="19"/>
      <c r="K14" s="19"/>
      <c r="L14" s="19"/>
      <c r="M14" s="19"/>
      <c r="N14" s="19"/>
    </row>
    <row r="15" spans="2:14" x14ac:dyDescent="0.2">
      <c r="B15" s="94" t="s">
        <v>5</v>
      </c>
      <c r="C15" s="5" t="s">
        <v>8</v>
      </c>
      <c r="D15" s="12">
        <v>0.62</v>
      </c>
      <c r="E15" s="5" t="s">
        <v>2</v>
      </c>
      <c r="F15" s="19"/>
      <c r="G15" s="19"/>
      <c r="H15" s="19"/>
      <c r="I15" s="19"/>
      <c r="J15" s="19"/>
      <c r="K15" s="19"/>
      <c r="L15" s="19"/>
      <c r="M15" s="19"/>
      <c r="N15" s="19"/>
    </row>
    <row r="16" spans="2:14" x14ac:dyDescent="0.2">
      <c r="B16" s="95"/>
      <c r="C16" s="2" t="s">
        <v>9</v>
      </c>
      <c r="D16" s="13"/>
      <c r="E16" s="5" t="s">
        <v>2</v>
      </c>
      <c r="F16" s="19"/>
      <c r="G16" s="19"/>
      <c r="H16" s="19"/>
      <c r="I16" s="19"/>
      <c r="J16" s="19"/>
      <c r="K16" s="19"/>
      <c r="L16" s="19"/>
      <c r="M16" s="19"/>
      <c r="N16" s="19"/>
    </row>
    <row r="17" spans="2:14" x14ac:dyDescent="0.2">
      <c r="B17" s="95"/>
      <c r="C17" s="2" t="s">
        <v>17</v>
      </c>
      <c r="D17" s="13"/>
      <c r="E17" s="5" t="s">
        <v>2</v>
      </c>
      <c r="F17" s="19"/>
      <c r="G17" s="19"/>
      <c r="H17" s="19"/>
      <c r="I17" s="19"/>
      <c r="J17" s="19"/>
      <c r="K17" s="19"/>
      <c r="L17" s="19"/>
      <c r="M17" s="19"/>
      <c r="N17" s="19"/>
    </row>
    <row r="18" spans="2:14" x14ac:dyDescent="0.2">
      <c r="B18" s="95"/>
      <c r="C18" s="2" t="s">
        <v>10</v>
      </c>
      <c r="D18" s="13">
        <v>0.2</v>
      </c>
      <c r="E18" s="5" t="s">
        <v>2</v>
      </c>
      <c r="F18" s="19"/>
      <c r="G18" s="19"/>
      <c r="H18" s="19"/>
      <c r="I18" s="19"/>
      <c r="J18" s="19"/>
      <c r="K18" s="19"/>
      <c r="L18" s="19"/>
      <c r="M18" s="19"/>
      <c r="N18" s="19"/>
    </row>
    <row r="19" spans="2:14" x14ac:dyDescent="0.2">
      <c r="B19" s="95"/>
      <c r="C19" s="2" t="s">
        <v>7</v>
      </c>
      <c r="D19" s="20">
        <v>1.2E-2</v>
      </c>
      <c r="E19" s="5" t="s">
        <v>2</v>
      </c>
      <c r="F19" s="19"/>
      <c r="G19" s="19"/>
      <c r="H19" s="19"/>
      <c r="I19" s="19"/>
      <c r="J19" s="19"/>
      <c r="K19" s="19"/>
      <c r="L19" s="19"/>
      <c r="M19" s="19"/>
      <c r="N19" s="19"/>
    </row>
    <row r="20" spans="2:14" ht="13.9" customHeight="1" x14ac:dyDescent="0.2">
      <c r="B20" s="95"/>
      <c r="C20" s="7" t="s">
        <v>13</v>
      </c>
      <c r="D20" s="24">
        <f>D19*F22</f>
        <v>2.8399999999999996E-3</v>
      </c>
      <c r="E20" s="7" t="s">
        <v>2</v>
      </c>
      <c r="F20" s="99" t="s">
        <v>20</v>
      </c>
      <c r="G20" s="99"/>
      <c r="H20" s="19"/>
      <c r="I20" s="19"/>
      <c r="J20" s="19"/>
      <c r="K20" s="19"/>
      <c r="L20" s="19"/>
      <c r="M20" s="19"/>
      <c r="N20" s="19"/>
    </row>
    <row r="21" spans="2:14" x14ac:dyDescent="0.2">
      <c r="B21" s="95"/>
      <c r="C21" s="6" t="s">
        <v>15</v>
      </c>
      <c r="D21" s="21">
        <v>0.43</v>
      </c>
      <c r="E21" s="6" t="s">
        <v>3</v>
      </c>
      <c r="F21" s="99"/>
      <c r="G21" s="99"/>
      <c r="H21" s="19"/>
      <c r="I21" s="19"/>
      <c r="J21" s="19"/>
      <c r="K21" s="19"/>
      <c r="L21" s="19"/>
      <c r="M21" s="19"/>
      <c r="N21" s="19"/>
    </row>
    <row r="22" spans="2:14" x14ac:dyDescent="0.2">
      <c r="B22" s="95"/>
      <c r="C22" s="2" t="s">
        <v>11</v>
      </c>
      <c r="D22" s="14"/>
      <c r="E22" s="2" t="s">
        <v>3</v>
      </c>
      <c r="F22" s="22">
        <f>F9-43%</f>
        <v>0.23666666666666664</v>
      </c>
      <c r="G22" s="23"/>
      <c r="H22" s="19"/>
      <c r="I22" s="19"/>
      <c r="J22" s="19"/>
      <c r="K22" s="19"/>
      <c r="L22" s="19"/>
      <c r="M22" s="19"/>
      <c r="N22" s="19"/>
    </row>
    <row r="23" spans="2:14" x14ac:dyDescent="0.2">
      <c r="B23" s="96"/>
      <c r="C23" s="2" t="s">
        <v>12</v>
      </c>
      <c r="D23" s="14"/>
      <c r="E23" s="2" t="s">
        <v>3</v>
      </c>
      <c r="F23" s="19"/>
      <c r="G23" s="19"/>
      <c r="H23" s="19"/>
      <c r="I23" s="19"/>
      <c r="J23" s="19"/>
      <c r="K23" s="19"/>
      <c r="L23" s="19"/>
      <c r="M23" s="19"/>
      <c r="N23" s="19"/>
    </row>
    <row r="24" spans="2:14" x14ac:dyDescent="0.2">
      <c r="F24" s="19"/>
      <c r="G24" s="19"/>
      <c r="H24" s="19"/>
      <c r="I24" s="19"/>
      <c r="J24" s="19"/>
      <c r="K24" s="19"/>
      <c r="L24" s="19"/>
      <c r="M24" s="19"/>
    </row>
    <row r="25" spans="2:14" x14ac:dyDescent="0.2">
      <c r="F25" s="19"/>
      <c r="G25" s="19"/>
      <c r="H25" s="19"/>
      <c r="I25" s="19"/>
      <c r="J25" s="19"/>
      <c r="K25" s="19"/>
      <c r="L25" s="19"/>
      <c r="M25" s="19"/>
    </row>
    <row r="26" spans="2:14" x14ac:dyDescent="0.2">
      <c r="F26" s="8"/>
    </row>
  </sheetData>
  <mergeCells count="4">
    <mergeCell ref="B4:B11"/>
    <mergeCell ref="B15:B23"/>
    <mergeCell ref="F5:F6"/>
    <mergeCell ref="F20:G21"/>
  </mergeCells>
  <pageMargins left="0.7" right="0.7" top="0.75" bottom="0.75" header="0.3" footer="0.3"/>
  <pageSetup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Used car analysis draft</vt:lpstr>
      <vt:lpstr>Used car analysis</vt:lpstr>
      <vt:lpstr>New car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Magni</dc:creator>
  <cp:lastModifiedBy>Zoulis Ioannis</cp:lastModifiedBy>
  <cp:lastPrinted>2019-12-06T19:44:44Z</cp:lastPrinted>
  <dcterms:created xsi:type="dcterms:W3CDTF">2019-12-02T20:05:52Z</dcterms:created>
  <dcterms:modified xsi:type="dcterms:W3CDTF">2025-12-02T11:22:06Z</dcterms:modified>
</cp:coreProperties>
</file>