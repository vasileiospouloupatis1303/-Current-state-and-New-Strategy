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vpouloupatis\Desktop\McKinsey\"/>
    </mc:Choice>
  </mc:AlternateContent>
  <xr:revisionPtr revIDLastSave="0" documentId="13_ncr:1_{2A37F6BF-B96B-46A7-B141-DAE8A22D32B7}" xr6:coauthVersionLast="47" xr6:coauthVersionMax="47" xr10:uidLastSave="{00000000-0000-0000-0000-000000000000}"/>
  <bookViews>
    <workbookView xWindow="-108" yWindow="-108" windowWidth="23256" windowHeight="12456" activeTab="3" xr2:uid="{21252052-83E8-43D3-9642-6838CCCFE45F}"/>
  </bookViews>
  <sheets>
    <sheet name="Summary" sheetId="9" r:id="rId1"/>
    <sheet name="Value creation opportunities &gt;&gt;" sheetId="11" r:id="rId2"/>
    <sheet name="1. Increase used car financing" sheetId="5" r:id="rId3"/>
    <sheet name="4. Expand digital presence" sheetId="3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8" i="3" l="1"/>
  <c r="K69" i="3"/>
  <c r="I69" i="3"/>
  <c r="I28" i="3" l="1"/>
  <c r="I27" i="3"/>
  <c r="I31" i="3"/>
  <c r="L115" i="3"/>
  <c r="L29" i="3" s="1"/>
  <c r="K115" i="3"/>
  <c r="K29" i="3" s="1"/>
  <c r="K44" i="3"/>
  <c r="G58" i="5" l="1"/>
  <c r="H57" i="5"/>
  <c r="H60" i="5" s="1"/>
  <c r="H62" i="5" s="1"/>
  <c r="G57" i="5"/>
  <c r="G60" i="5" s="1"/>
  <c r="G62" i="5" s="1"/>
  <c r="H49" i="5"/>
  <c r="H50" i="5" s="1"/>
  <c r="G48" i="5"/>
  <c r="H27" i="5"/>
  <c r="H30" i="5" s="1"/>
  <c r="H32" i="5" s="1"/>
  <c r="G27" i="5"/>
  <c r="G30" i="5" s="1"/>
  <c r="G32" i="5" s="1"/>
  <c r="H39" i="5" l="1"/>
  <c r="G37" i="5"/>
  <c r="H37" i="5"/>
  <c r="H38" i="5" s="1"/>
  <c r="H63" i="5"/>
  <c r="H28" i="5"/>
  <c r="G17" i="5" l="1"/>
  <c r="G46" i="5" s="1"/>
  <c r="F17" i="5"/>
  <c r="E17" i="5"/>
  <c r="D17" i="5"/>
  <c r="G10" i="5"/>
  <c r="G11" i="5" s="1"/>
  <c r="G12" i="5" s="1"/>
  <c r="F10" i="5"/>
  <c r="F11" i="5" s="1"/>
  <c r="F12" i="5" s="1"/>
  <c r="E10" i="5"/>
  <c r="E11" i="5" s="1"/>
  <c r="E12" i="5" s="1"/>
  <c r="D10" i="5"/>
  <c r="D11" i="5" s="1"/>
  <c r="D12" i="5" s="1"/>
  <c r="G8" i="5"/>
  <c r="F8" i="5"/>
  <c r="E8" i="5"/>
  <c r="D8" i="5"/>
  <c r="E6" i="5"/>
  <c r="F6" i="5" s="1"/>
  <c r="G6" i="5" s="1"/>
  <c r="L79" i="3"/>
  <c r="L77" i="3"/>
  <c r="L97" i="3"/>
  <c r="I99" i="3"/>
  <c r="K98" i="3"/>
  <c r="I78" i="3"/>
  <c r="D18" i="5" l="1"/>
  <c r="F18" i="5"/>
  <c r="E18" i="5"/>
  <c r="G18" i="5"/>
  <c r="G47" i="5" s="1"/>
  <c r="G49" i="5" s="1"/>
  <c r="G50" i="5" s="1"/>
  <c r="G39" i="5" s="1"/>
  <c r="L99" i="3"/>
  <c r="L101" i="3" s="1"/>
  <c r="K99" i="3"/>
  <c r="K101" i="3" s="1"/>
  <c r="L102" i="3" l="1"/>
  <c r="L28" i="3" s="1"/>
  <c r="L27" i="3"/>
  <c r="K102" i="3"/>
  <c r="K28" i="3" s="1"/>
  <c r="K27" i="3"/>
  <c r="H51" i="5"/>
  <c r="H40" i="5" s="1"/>
  <c r="H41" i="5" s="1"/>
  <c r="K78" i="3" l="1"/>
  <c r="L78" i="3" s="1"/>
  <c r="L40" i="3"/>
  <c r="I61" i="3"/>
  <c r="K49" i="3"/>
  <c r="L49" i="3" s="1"/>
  <c r="I51" i="3"/>
  <c r="J40" i="3"/>
  <c r="J42" i="3"/>
  <c r="K42" i="3" s="1"/>
  <c r="K51" i="3" s="1"/>
  <c r="K68" i="3" s="1"/>
  <c r="J41" i="3"/>
  <c r="K41" i="3" s="1"/>
  <c r="K50" i="3" s="1"/>
  <c r="I49" i="3"/>
  <c r="J49" i="3" s="1"/>
  <c r="K67" i="3" l="1"/>
  <c r="L80" i="3" s="1"/>
  <c r="J51" i="3"/>
  <c r="L50" i="3"/>
  <c r="L51" i="3"/>
  <c r="I68" i="3"/>
  <c r="I70" i="3" s="1"/>
  <c r="I67" i="3"/>
  <c r="L42" i="3"/>
  <c r="L41" i="3"/>
  <c r="I64" i="3"/>
  <c r="K64" i="3" l="1"/>
  <c r="K80" i="3"/>
  <c r="K88" i="3" s="1"/>
  <c r="K86" i="3"/>
  <c r="L86" i="3"/>
  <c r="K63" i="3"/>
  <c r="K70" i="3"/>
  <c r="K87" i="3" l="1"/>
  <c r="K89" i="3" s="1"/>
  <c r="K25" i="3" s="1"/>
  <c r="K31" i="3" s="1"/>
  <c r="L81" i="3"/>
  <c r="L82" i="3" s="1"/>
  <c r="K81" i="3"/>
  <c r="K82" i="3" s="1"/>
  <c r="L87" i="3"/>
  <c r="L89" i="3" s="1"/>
  <c r="L25" i="3" s="1"/>
  <c r="L31" i="3" s="1"/>
  <c r="M17" i="3" l="1"/>
  <c r="C55" i="3" l="1"/>
  <c r="I50" i="3"/>
  <c r="J50" i="3" l="1"/>
  <c r="I52" i="3"/>
  <c r="I53" i="3" s="1"/>
  <c r="L17" i="3"/>
  <c r="F17" i="3"/>
  <c r="E17" i="3"/>
  <c r="K71" i="3" l="1"/>
  <c r="I81" i="3"/>
  <c r="I80" i="3"/>
  <c r="I71" i="3" l="1"/>
  <c r="I82" i="3" l="1"/>
  <c r="I87" i="3" s="1"/>
  <c r="K43" i="3"/>
  <c r="I88" i="3" l="1"/>
  <c r="I86" i="3"/>
  <c r="K52" i="3"/>
  <c r="K53" i="3" s="1"/>
  <c r="I89" i="3" l="1"/>
  <c r="I25" i="3" s="1"/>
  <c r="L90" i="3" l="1"/>
  <c r="L26" i="3" s="1"/>
  <c r="K90" i="3"/>
  <c r="K26" i="3" s="1"/>
  <c r="K32" i="3" l="1"/>
  <c r="K30" i="3"/>
  <c r="K116" i="3"/>
  <c r="L32" i="3"/>
  <c r="L30" i="3"/>
  <c r="L116" i="3"/>
  <c r="I110" i="3"/>
  <c r="I112" i="3"/>
  <c r="I114" i="3"/>
  <c r="I115" i="3"/>
  <c r="I29" i="3"/>
</calcChain>
</file>

<file path=xl/sharedStrings.xml><?xml version="1.0" encoding="utf-8"?>
<sst xmlns="http://schemas.openxmlformats.org/spreadsheetml/2006/main" count="646" uniqueCount="132">
  <si>
    <t>Product</t>
  </si>
  <si>
    <t>UdM</t>
  </si>
  <si>
    <t>Auto loan</t>
  </si>
  <si>
    <t>%</t>
  </si>
  <si>
    <t>Car type</t>
  </si>
  <si>
    <t>New</t>
  </si>
  <si>
    <t>Used</t>
  </si>
  <si>
    <t>Notes</t>
  </si>
  <si>
    <t>RAR</t>
  </si>
  <si>
    <t>Channel</t>
  </si>
  <si>
    <t>Bank</t>
  </si>
  <si>
    <t>Cash loan</t>
  </si>
  <si>
    <t>Total</t>
  </si>
  <si>
    <t>o/w for auto</t>
  </si>
  <si>
    <t>Loan product</t>
  </si>
  <si>
    <t>UoM</t>
  </si>
  <si>
    <t>Average loan amount</t>
  </si>
  <si>
    <t>RAR per car</t>
  </si>
  <si>
    <t>C2C</t>
  </si>
  <si>
    <t>B2C</t>
  </si>
  <si>
    <t>Market share</t>
  </si>
  <si>
    <t>Segment</t>
  </si>
  <si>
    <t>€M</t>
  </si>
  <si>
    <t>Retail</t>
  </si>
  <si>
    <t>New Auto</t>
  </si>
  <si>
    <t>Used Auto</t>
  </si>
  <si>
    <t>Financial lease</t>
  </si>
  <si>
    <t>Operational lease</t>
  </si>
  <si>
    <t>in €</t>
  </si>
  <si>
    <t>Loan</t>
  </si>
  <si>
    <t>€</t>
  </si>
  <si>
    <t>Item</t>
  </si>
  <si>
    <t># k</t>
  </si>
  <si>
    <t>Cardom</t>
  </si>
  <si>
    <t>Toyota</t>
  </si>
  <si>
    <t>Car.gr</t>
  </si>
  <si>
    <t>Car listings</t>
  </si>
  <si>
    <t>Marketplace</t>
  </si>
  <si>
    <t>2024-2030 CAGR</t>
  </si>
  <si>
    <t>k€</t>
  </si>
  <si>
    <t>k#</t>
  </si>
  <si>
    <t>#k</t>
  </si>
  <si>
    <t>Conversion rate</t>
  </si>
  <si>
    <t>k #</t>
  </si>
  <si>
    <t>Cars financed</t>
  </si>
  <si>
    <t>OEM</t>
  </si>
  <si>
    <t>TBI + Alphabank disbursements</t>
  </si>
  <si>
    <t>Avg. Loan amount</t>
  </si>
  <si>
    <t>Total market</t>
  </si>
  <si>
    <t>#</t>
  </si>
  <si>
    <t>All</t>
  </si>
  <si>
    <t>Share of D2C</t>
  </si>
  <si>
    <t>Min</t>
  </si>
  <si>
    <t>Max</t>
  </si>
  <si>
    <t>1. Digital marketplaces</t>
  </si>
  <si>
    <t>Notes/ source</t>
  </si>
  <si>
    <t>Market sizing exercise</t>
  </si>
  <si>
    <t>Car.gr business case</t>
  </si>
  <si>
    <t>All marketplaces business case</t>
  </si>
  <si>
    <t>Based on Mobile.de example</t>
  </si>
  <si>
    <t>2024 conversion rate</t>
  </si>
  <si>
    <t>2030 conversion rate</t>
  </si>
  <si>
    <t>ERB market share</t>
  </si>
  <si>
    <t>Assuming Car.gr will have 90% of B2C market</t>
  </si>
  <si>
    <t>2. OEMs D2C opportunity</t>
  </si>
  <si>
    <t>ERB RAR</t>
  </si>
  <si>
    <t>Loan disbusements</t>
  </si>
  <si>
    <t>Non financed</t>
  </si>
  <si>
    <t>Financed via dealers' channels</t>
  </si>
  <si>
    <t>Used car market</t>
  </si>
  <si>
    <t>Share of cars sold via dealers' (B2C)</t>
  </si>
  <si>
    <t>Cars sold via dealers' channels (B2C)</t>
  </si>
  <si>
    <t>assuming 35% financing penetration</t>
  </si>
  <si>
    <t>ERB booking rate</t>
  </si>
  <si>
    <t>ERB used car applications disbursed</t>
  </si>
  <si>
    <t>ERB used car applications approved</t>
  </si>
  <si>
    <t>ERB used car Counteroffer &amp; Cancelled</t>
  </si>
  <si>
    <t>ERB used car applications rejected</t>
  </si>
  <si>
    <t>ERB MS, incl. captive banks</t>
  </si>
  <si>
    <t>ERB MS, excl. captive banks</t>
  </si>
  <si>
    <t>Used car market through dealers’ channels RAR, incl. captive banks</t>
  </si>
  <si>
    <t>Used car market through dealers’ channels RAR, excl. captive banks</t>
  </si>
  <si>
    <t>market sizing exercise</t>
  </si>
  <si>
    <t>ERB 2030 ambition in used car market</t>
  </si>
  <si>
    <t>ERB cars financed</t>
  </si>
  <si>
    <t>RAR per used car</t>
  </si>
  <si>
    <t>Loan disbursements</t>
  </si>
  <si>
    <t>Avg. loan amount</t>
  </si>
  <si>
    <t>Booking rate</t>
  </si>
  <si>
    <t>Based on preliminary testing of new AA models to Q1 2024 production (source: Credit policy team)</t>
  </si>
  <si>
    <t>ERB used auto loan applications/ financed cars via dealer channel</t>
  </si>
  <si>
    <t>Used cars financed via dealers’ channel (&lt;9 years at end of loan duration)</t>
  </si>
  <si>
    <t>without ballon</t>
  </si>
  <si>
    <t>with ballon</t>
  </si>
  <si>
    <t>Cars &lt;9 years at end of loan duration are 20% of the market, consistently with ERB received application volumes</t>
  </si>
  <si>
    <t xml:space="preserve">Uplift in demand, due to zero downpayment and lower monthly installments </t>
  </si>
  <si>
    <t>Slight uplift in booking rate expected from lower rejection rates, following DTI improvements - conditional on adjustments to balloon credit policy</t>
  </si>
  <si>
    <t>ERB Used cars financed via dealers’ channel</t>
  </si>
  <si>
    <t>Used cars financed via dealers’ channel, excl. cash loan</t>
  </si>
  <si>
    <t>Incremental RAR 2024-2030</t>
  </si>
  <si>
    <t>Summary of business cases</t>
  </si>
  <si>
    <t>Total RAR 2024-2030 (ERB ambition)</t>
  </si>
  <si>
    <t>Total RAR 2024-2030 of business cases</t>
  </si>
  <si>
    <t>o/w incremental RAR 2024-2030</t>
  </si>
  <si>
    <t>o/w gap to be filled in incremental RAR 2024-2030</t>
  </si>
  <si>
    <t>Business case 1: Introducing consumer lending AA models</t>
  </si>
  <si>
    <t>Business case 2: Launching Balloon financing</t>
  </si>
  <si>
    <t>Increase used car financing</t>
  </si>
  <si>
    <t>market sizing exercise, excludes cash loan</t>
  </si>
  <si>
    <t>for Steering Commitee slide considered 7-9 €M range</t>
  </si>
  <si>
    <t>Assuming Cardom will grow double vs. Car.gr as it is a newly established marketplace</t>
  </si>
  <si>
    <t>Adjustment for average listing rotation is not applied, as the total number of listings includes older inventory. It is assumed that Car.gr provides a comprehensive snapshot, reflecting the entire used car market.</t>
  </si>
  <si>
    <t>Avg. listing  rotation</t>
  </si>
  <si>
    <t>times per year</t>
  </si>
  <si>
    <t>Assuming C2C conversion rate will double from 2024 to 2030</t>
  </si>
  <si>
    <t>Marketplaces: listings per channel (istant)</t>
  </si>
  <si>
    <t>Marketplaces: listings per channel (yearly)</t>
  </si>
  <si>
    <t>Personal cash loan</t>
  </si>
  <si>
    <t>Consumer cash loan disbursements</t>
  </si>
  <si>
    <t>Eurobank</t>
  </si>
  <si>
    <t>From ERB 2024 customer survey - it is assumed applicable to total personal cash loan market</t>
  </si>
  <si>
    <t>Total market RAR</t>
  </si>
  <si>
    <t>3. D2C cash loan for auto</t>
  </si>
  <si>
    <t>Business case</t>
  </si>
  <si>
    <t>B2C &amp; C2C</t>
  </si>
  <si>
    <t>New and used</t>
  </si>
  <si>
    <t>Independent dealers (B2C)</t>
  </si>
  <si>
    <t>Expand digital presence</t>
  </si>
  <si>
    <t>Eurobank RAR per car</t>
  </si>
  <si>
    <t>Used car market volumes</t>
  </si>
  <si>
    <t>O/w used car sales for individuals</t>
  </si>
  <si>
    <t>Assuming 10%-15% of financing of indipendent dealers will happen via D2C channels in 2030 and ERB will have an exclusive partnership with Toyota (consistent with market sizing numbers)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</si>
</sst>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_-* #,##0.0_-;\-* #,##0.0_-;_-* &quot;-&quot;??_-;_-@_-"/>
    <numFmt numFmtId="167" formatCode="_-* #,##0\ _€_-;\-* #,##0\ _€_-;_-* &quot;-&quot;??\ _€_-;_-@_-"/>
    <numFmt numFmtId="168" formatCode="_-* #,##0.00\ _€_-;\-* #,##0.00\ _€_-;_-* &quot;-&quot;??\ _€_-;_-@_-"/>
    <numFmt numFmtId="169" formatCode="#,##0.0"/>
    <numFmt numFmtId="170" formatCode="0.0"/>
    <numFmt numFmtId="171" formatCode="_-* #,##0\ _€_-;\-* #,##0\ _€_-;_-* &quot;-&quot;?\ _€_-;_-@_-"/>
    <numFmt numFmtId="172" formatCode="_-* #,##0.0\ _€_-;\-* #,##0.0\ _€_-;_-* &quot;-&quot;??\ _€_-;_-@_-"/>
  </numFmts>
  <fonts count="3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3"/>
      <name val="Arial"/>
      <family val="2"/>
      <scheme val="minor"/>
    </font>
    <font>
      <sz val="11"/>
      <color rgb="FFC00000"/>
      <name val="Arial"/>
      <family val="2"/>
      <scheme val="minor"/>
    </font>
    <font>
      <sz val="11"/>
      <name val="Arial"/>
      <family val="2"/>
      <scheme val="minor"/>
    </font>
    <font>
      <u/>
      <sz val="11"/>
      <color theme="6"/>
      <name val="Arial"/>
      <family val="2"/>
      <scheme val="minor"/>
    </font>
    <font>
      <b/>
      <sz val="22"/>
      <name val="Georgia"/>
      <family val="2"/>
      <scheme val="major"/>
    </font>
    <font>
      <sz val="11"/>
      <color theme="3"/>
      <name val="Arial"/>
      <family val="2"/>
      <scheme val="minor"/>
    </font>
    <font>
      <sz val="11"/>
      <color rgb="FF0000FF"/>
      <name val="Arial"/>
      <family val="2"/>
      <scheme val="minor"/>
    </font>
    <font>
      <sz val="11"/>
      <color theme="1" tint="0.34998626667073579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3366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70C0"/>
      <name val="Arial"/>
      <family val="2"/>
      <scheme val="minor"/>
    </font>
    <font>
      <b/>
      <sz val="11"/>
      <color rgb="FF0000FF"/>
      <name val="Arial"/>
      <family val="2"/>
      <scheme val="minor"/>
    </font>
    <font>
      <i/>
      <sz val="11"/>
      <color rgb="FF000000"/>
      <name val="Arial"/>
      <family val="2"/>
      <scheme val="minor"/>
    </font>
    <font>
      <i/>
      <sz val="11"/>
      <color rgb="FFFF0000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i/>
      <sz val="11"/>
      <color rgb="FF003366"/>
      <name val="Arial"/>
      <family val="2"/>
      <scheme val="minor"/>
    </font>
    <font>
      <i/>
      <sz val="11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FFFF99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7F7F7F"/>
      </bottom>
      <diagonal/>
    </border>
    <border>
      <left/>
      <right/>
      <top style="thick">
        <color rgb="FF4D4D4D"/>
      </top>
      <bottom style="thick">
        <color rgb="FF4D4D4D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8">
    <xf numFmtId="0" fontId="0" fillId="0" borderId="0"/>
    <xf numFmtId="0" fontId="15" fillId="11" borderId="0" applyNumberFormat="0" applyAlignment="0" applyProtection="0">
      <alignment vertical="center"/>
    </xf>
    <xf numFmtId="0" fontId="10" fillId="0" borderId="0" applyNumberFormat="0" applyAlignment="0" applyProtection="0"/>
    <xf numFmtId="0" fontId="3" fillId="0" borderId="6" applyNumberFormat="0" applyAlignment="0" applyProtection="0"/>
    <xf numFmtId="0" fontId="7" fillId="8" borderId="0" applyNumberFormat="0" applyAlignment="0" applyProtection="0">
      <alignment vertical="center"/>
    </xf>
    <xf numFmtId="0" fontId="2" fillId="2" borderId="1" applyNumberFormat="0" applyProtection="0">
      <alignment vertical="center"/>
    </xf>
    <xf numFmtId="0" fontId="16" fillId="0" borderId="0" applyNumberFormat="0" applyAlignment="0" applyProtection="0">
      <alignment vertical="center"/>
    </xf>
    <xf numFmtId="0" fontId="1" fillId="10" borderId="0" applyNumberFormat="0" applyAlignment="0" applyProtection="0">
      <alignment vertical="center"/>
    </xf>
    <xf numFmtId="0" fontId="11" fillId="3" borderId="0" applyNumberFormat="0" applyBorder="0" applyAlignment="0" applyProtection="0"/>
    <xf numFmtId="0" fontId="4" fillId="4" borderId="2" applyNumberFormat="0" applyAlignment="0" applyProtection="0"/>
    <xf numFmtId="0" fontId="5" fillId="5" borderId="2" applyNumberFormat="0" applyAlignment="0" applyProtection="0"/>
    <xf numFmtId="0" fontId="6" fillId="0" borderId="3" applyNumberFormat="0" applyFill="0" applyAlignment="0" applyProtection="0"/>
    <xf numFmtId="0" fontId="7" fillId="6" borderId="4" applyNumberFormat="0" applyAlignment="0" applyProtection="0"/>
    <xf numFmtId="0" fontId="8" fillId="0" borderId="0" applyNumberFormat="0" applyFill="0" applyBorder="0" applyAlignment="0" applyProtection="0"/>
    <xf numFmtId="0" fontId="1" fillId="7" borderId="5" applyNumberFormat="0" applyFont="0" applyAlignment="0" applyProtection="0"/>
    <xf numFmtId="0" fontId="9" fillId="0" borderId="0" applyNumberFormat="0" applyFill="0" applyBorder="0" applyAlignment="0" applyProtection="0"/>
    <xf numFmtId="0" fontId="14" fillId="0" borderId="0" applyNumberFormat="0" applyAlignment="0" applyProtection="0"/>
    <xf numFmtId="0" fontId="3" fillId="9" borderId="0" applyNumberFormat="0" applyAlignment="0" applyProtection="0">
      <alignment vertical="center"/>
    </xf>
    <xf numFmtId="0" fontId="3" fillId="0" borderId="7" applyNumberFormat="0" applyAlignment="0" applyProtection="0"/>
    <xf numFmtId="0" fontId="12" fillId="0" borderId="0" applyNumberFormat="0" applyAlignment="0" applyProtection="0">
      <alignment vertical="center"/>
    </xf>
    <xf numFmtId="0" fontId="13" fillId="0" borderId="0" applyNumberFormat="0" applyAlignment="0" applyProtection="0">
      <alignment vertical="center"/>
    </xf>
    <xf numFmtId="0" fontId="8" fillId="0" borderId="0" applyNumberFormat="0" applyAlignment="0" applyProtection="0">
      <alignment vertical="center"/>
    </xf>
    <xf numFmtId="0" fontId="17" fillId="0" borderId="0" applyNumberFormat="0" applyAlignment="0" applyProtection="0">
      <alignment vertical="center"/>
    </xf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" fillId="0" borderId="0"/>
  </cellStyleXfs>
  <cellXfs count="286">
    <xf numFmtId="0" fontId="0" fillId="0" borderId="0" xfId="0"/>
    <xf numFmtId="0" fontId="18" fillId="0" borderId="0" xfId="0" applyFont="1"/>
    <xf numFmtId="0" fontId="19" fillId="15" borderId="11" xfId="0" applyFont="1" applyFill="1" applyBorder="1"/>
    <xf numFmtId="0" fontId="19" fillId="15" borderId="10" xfId="0" applyFont="1" applyFill="1" applyBorder="1"/>
    <xf numFmtId="0" fontId="19" fillId="15" borderId="12" xfId="0" applyFont="1" applyFill="1" applyBorder="1"/>
    <xf numFmtId="0" fontId="21" fillId="0" borderId="0" xfId="0" applyFont="1"/>
    <xf numFmtId="0" fontId="22" fillId="16" borderId="10" xfId="0" applyFont="1" applyFill="1" applyBorder="1"/>
    <xf numFmtId="0" fontId="7" fillId="17" borderId="11" xfId="0" applyFont="1" applyFill="1" applyBorder="1"/>
    <xf numFmtId="0" fontId="19" fillId="15" borderId="9" xfId="0" applyFont="1" applyFill="1" applyBorder="1"/>
    <xf numFmtId="0" fontId="20" fillId="0" borderId="0" xfId="0" applyFont="1"/>
    <xf numFmtId="0" fontId="26" fillId="0" borderId="0" xfId="0" applyFont="1"/>
    <xf numFmtId="0" fontId="21" fillId="0" borderId="13" xfId="0" applyFont="1" applyBorder="1"/>
    <xf numFmtId="0" fontId="20" fillId="0" borderId="8" xfId="0" applyFont="1" applyBorder="1"/>
    <xf numFmtId="0" fontId="21" fillId="0" borderId="12" xfId="0" applyFont="1" applyBorder="1"/>
    <xf numFmtId="0" fontId="19" fillId="15" borderId="13" xfId="0" applyFont="1" applyFill="1" applyBorder="1"/>
    <xf numFmtId="0" fontId="21" fillId="0" borderId="14" xfId="0" applyFont="1" applyBorder="1"/>
    <xf numFmtId="0" fontId="0" fillId="18" borderId="0" xfId="0" applyFill="1"/>
    <xf numFmtId="0" fontId="27" fillId="15" borderId="13" xfId="0" applyFont="1" applyFill="1" applyBorder="1"/>
    <xf numFmtId="3" fontId="16" fillId="14" borderId="12" xfId="0" applyNumberFormat="1" applyFont="1" applyFill="1" applyBorder="1"/>
    <xf numFmtId="0" fontId="27" fillId="15" borderId="12" xfId="0" applyFont="1" applyFill="1" applyBorder="1"/>
    <xf numFmtId="0" fontId="21" fillId="0" borderId="17" xfId="0" applyFont="1" applyBorder="1"/>
    <xf numFmtId="9" fontId="21" fillId="0" borderId="17" xfId="0" applyNumberFormat="1" applyFont="1" applyBorder="1"/>
    <xf numFmtId="9" fontId="21" fillId="0" borderId="14" xfId="0" applyNumberFormat="1" applyFont="1" applyBorder="1"/>
    <xf numFmtId="0" fontId="20" fillId="0" borderId="17" xfId="0" applyFont="1" applyBorder="1"/>
    <xf numFmtId="0" fontId="8" fillId="0" borderId="0" xfId="0" applyFont="1"/>
    <xf numFmtId="166" fontId="21" fillId="0" borderId="17" xfId="25" applyNumberFormat="1" applyFont="1" applyFill="1" applyBorder="1"/>
    <xf numFmtId="0" fontId="21" fillId="0" borderId="21" xfId="0" applyFont="1" applyBorder="1"/>
    <xf numFmtId="0" fontId="19" fillId="15" borderId="17" xfId="0" applyFont="1" applyFill="1" applyBorder="1"/>
    <xf numFmtId="0" fontId="7" fillId="17" borderId="17" xfId="0" applyFont="1" applyFill="1" applyBorder="1"/>
    <xf numFmtId="0" fontId="19" fillId="15" borderId="16" xfId="0" applyFont="1" applyFill="1" applyBorder="1"/>
    <xf numFmtId="165" fontId="21" fillId="0" borderId="17" xfId="0" applyNumberFormat="1" applyFont="1" applyBorder="1"/>
    <xf numFmtId="9" fontId="16" fillId="0" borderId="19" xfId="0" applyNumberFormat="1" applyFont="1" applyBorder="1"/>
    <xf numFmtId="9" fontId="16" fillId="14" borderId="19" xfId="0" applyNumberFormat="1" applyFont="1" applyFill="1" applyBorder="1"/>
    <xf numFmtId="3" fontId="21" fillId="0" borderId="17" xfId="0" applyNumberFormat="1" applyFont="1" applyBorder="1"/>
    <xf numFmtId="3" fontId="16" fillId="14" borderId="17" xfId="0" applyNumberFormat="1" applyFont="1" applyFill="1" applyBorder="1"/>
    <xf numFmtId="0" fontId="7" fillId="17" borderId="18" xfId="0" applyFont="1" applyFill="1" applyBorder="1"/>
    <xf numFmtId="3" fontId="16" fillId="14" borderId="14" xfId="0" applyNumberFormat="1" applyFont="1" applyFill="1" applyBorder="1"/>
    <xf numFmtId="0" fontId="20" fillId="0" borderId="23" xfId="0" applyFont="1" applyBorder="1"/>
    <xf numFmtId="0" fontId="21" fillId="0" borderId="23" xfId="0" applyFont="1" applyBorder="1"/>
    <xf numFmtId="168" fontId="0" fillId="0" borderId="0" xfId="0" applyNumberFormat="1"/>
    <xf numFmtId="0" fontId="28" fillId="0" borderId="17" xfId="0" applyFont="1" applyBorder="1"/>
    <xf numFmtId="171" fontId="21" fillId="0" borderId="17" xfId="0" applyNumberFormat="1" applyFont="1" applyBorder="1"/>
    <xf numFmtId="164" fontId="0" fillId="0" borderId="0" xfId="0" applyNumberFormat="1"/>
    <xf numFmtId="10" fontId="0" fillId="0" borderId="0" xfId="0" applyNumberFormat="1"/>
    <xf numFmtId="0" fontId="7" fillId="17" borderId="22" xfId="0" applyFont="1" applyFill="1" applyBorder="1"/>
    <xf numFmtId="0" fontId="21" fillId="0" borderId="19" xfId="0" applyFont="1" applyBorder="1"/>
    <xf numFmtId="0" fontId="21" fillId="0" borderId="24" xfId="0" applyFont="1" applyBorder="1"/>
    <xf numFmtId="165" fontId="16" fillId="0" borderId="24" xfId="0" applyNumberFormat="1" applyFont="1" applyBorder="1"/>
    <xf numFmtId="9" fontId="21" fillId="0" borderId="24" xfId="0" applyNumberFormat="1" applyFont="1" applyBorder="1"/>
    <xf numFmtId="0" fontId="7" fillId="17" borderId="26" xfId="0" applyFont="1" applyFill="1" applyBorder="1"/>
    <xf numFmtId="164" fontId="7" fillId="17" borderId="26" xfId="0" applyNumberFormat="1" applyFont="1" applyFill="1" applyBorder="1"/>
    <xf numFmtId="0" fontId="21" fillId="0" borderId="25" xfId="0" applyFont="1" applyBorder="1"/>
    <xf numFmtId="0" fontId="20" fillId="0" borderId="27" xfId="0" applyFont="1" applyBorder="1"/>
    <xf numFmtId="0" fontId="21" fillId="0" borderId="27" xfId="0" applyFont="1" applyBorder="1"/>
    <xf numFmtId="164" fontId="21" fillId="0" borderId="27" xfId="0" applyNumberFormat="1" applyFont="1" applyBorder="1"/>
    <xf numFmtId="171" fontId="21" fillId="0" borderId="25" xfId="0" applyNumberFormat="1" applyFont="1" applyBorder="1"/>
    <xf numFmtId="171" fontId="16" fillId="0" borderId="25" xfId="0" applyNumberFormat="1" applyFont="1" applyBorder="1"/>
    <xf numFmtId="170" fontId="21" fillId="0" borderId="25" xfId="0" applyNumberFormat="1" applyFont="1" applyBorder="1"/>
    <xf numFmtId="170" fontId="21" fillId="0" borderId="24" xfId="0" applyNumberFormat="1" applyFont="1" applyBorder="1"/>
    <xf numFmtId="9" fontId="21" fillId="0" borderId="25" xfId="0" applyNumberFormat="1" applyFont="1" applyBorder="1"/>
    <xf numFmtId="9" fontId="16" fillId="0" borderId="27" xfId="0" applyNumberFormat="1" applyFont="1" applyBorder="1"/>
    <xf numFmtId="3" fontId="21" fillId="0" borderId="27" xfId="0" applyNumberFormat="1" applyFont="1" applyBorder="1"/>
    <xf numFmtId="9" fontId="21" fillId="0" borderId="19" xfId="0" applyNumberFormat="1" applyFont="1" applyBorder="1"/>
    <xf numFmtId="9" fontId="21" fillId="0" borderId="23" xfId="0" applyNumberFormat="1" applyFont="1" applyBorder="1"/>
    <xf numFmtId="0" fontId="20" fillId="2" borderId="27" xfId="0" applyFont="1" applyFill="1" applyBorder="1"/>
    <xf numFmtId="0" fontId="20" fillId="2" borderId="17" xfId="0" applyFont="1" applyFill="1" applyBorder="1"/>
    <xf numFmtId="0" fontId="20" fillId="0" borderId="28" xfId="0" applyFont="1" applyBorder="1"/>
    <xf numFmtId="170" fontId="20" fillId="0" borderId="28" xfId="0" applyNumberFormat="1" applyFont="1" applyBorder="1"/>
    <xf numFmtId="0" fontId="7" fillId="17" borderId="28" xfId="0" applyFont="1" applyFill="1" applyBorder="1"/>
    <xf numFmtId="9" fontId="21" fillId="0" borderId="28" xfId="0" applyNumberFormat="1" applyFont="1" applyBorder="1"/>
    <xf numFmtId="0" fontId="20" fillId="0" borderId="25" xfId="0" applyFont="1" applyBorder="1"/>
    <xf numFmtId="0" fontId="20" fillId="0" borderId="24" xfId="0" applyFont="1" applyBorder="1"/>
    <xf numFmtId="170" fontId="20" fillId="0" borderId="24" xfId="0" applyNumberFormat="1" applyFont="1" applyBorder="1"/>
    <xf numFmtId="0" fontId="7" fillId="17" borderId="29" xfId="0" applyFont="1" applyFill="1" applyBorder="1"/>
    <xf numFmtId="170" fontId="7" fillId="17" borderId="29" xfId="0" applyNumberFormat="1" applyFont="1" applyFill="1" applyBorder="1"/>
    <xf numFmtId="9" fontId="7" fillId="17" borderId="29" xfId="0" applyNumberFormat="1" applyFont="1" applyFill="1" applyBorder="1"/>
    <xf numFmtId="9" fontId="16" fillId="0" borderId="29" xfId="25" applyNumberFormat="1" applyFont="1" applyFill="1" applyBorder="1"/>
    <xf numFmtId="0" fontId="21" fillId="0" borderId="20" xfId="0" applyFont="1" applyBorder="1"/>
    <xf numFmtId="0" fontId="21" fillId="0" borderId="29" xfId="0" applyFont="1" applyBorder="1"/>
    <xf numFmtId="9" fontId="21" fillId="0" borderId="29" xfId="0" applyNumberFormat="1" applyFont="1" applyBorder="1"/>
    <xf numFmtId="0" fontId="19" fillId="15" borderId="29" xfId="0" applyFont="1" applyFill="1" applyBorder="1"/>
    <xf numFmtId="0" fontId="19" fillId="15" borderId="20" xfId="0" applyFont="1" applyFill="1" applyBorder="1"/>
    <xf numFmtId="0" fontId="22" fillId="16" borderId="20" xfId="0" applyFont="1" applyFill="1" applyBorder="1"/>
    <xf numFmtId="166" fontId="21" fillId="0" borderId="19" xfId="25" applyNumberFormat="1" applyFont="1" applyFill="1" applyBorder="1"/>
    <xf numFmtId="0" fontId="19" fillId="15" borderId="31" xfId="0" applyFont="1" applyFill="1" applyBorder="1"/>
    <xf numFmtId="0" fontId="21" fillId="0" borderId="30" xfId="0" applyFont="1" applyBorder="1"/>
    <xf numFmtId="0" fontId="19" fillId="15" borderId="32" xfId="0" applyFont="1" applyFill="1" applyBorder="1" applyAlignment="1">
      <alignment horizontal="center"/>
    </xf>
    <xf numFmtId="0" fontId="19" fillId="15" borderId="34" xfId="0" applyFont="1" applyFill="1" applyBorder="1" applyAlignment="1">
      <alignment horizontal="center"/>
    </xf>
    <xf numFmtId="166" fontId="21" fillId="0" borderId="36" xfId="25" applyNumberFormat="1" applyFont="1" applyFill="1" applyBorder="1"/>
    <xf numFmtId="9" fontId="21" fillId="0" borderId="37" xfId="0" applyNumberFormat="1" applyFont="1" applyBorder="1"/>
    <xf numFmtId="166" fontId="21" fillId="0" borderId="30" xfId="0" applyNumberFormat="1" applyFont="1" applyBorder="1"/>
    <xf numFmtId="166" fontId="21" fillId="0" borderId="29" xfId="25" applyNumberFormat="1" applyFont="1" applyFill="1" applyBorder="1"/>
    <xf numFmtId="166" fontId="21" fillId="0" borderId="35" xfId="25" applyNumberFormat="1" applyFont="1" applyFill="1" applyBorder="1"/>
    <xf numFmtId="9" fontId="16" fillId="0" borderId="35" xfId="25" applyNumberFormat="1" applyFont="1" applyFill="1" applyBorder="1"/>
    <xf numFmtId="9" fontId="21" fillId="0" borderId="35" xfId="0" applyNumberFormat="1" applyFont="1" applyBorder="1"/>
    <xf numFmtId="0" fontId="0" fillId="2" borderId="0" xfId="0" applyFill="1"/>
    <xf numFmtId="167" fontId="20" fillId="2" borderId="38" xfId="0" applyNumberFormat="1" applyFont="1" applyFill="1" applyBorder="1"/>
    <xf numFmtId="172" fontId="20" fillId="2" borderId="29" xfId="0" applyNumberFormat="1" applyFont="1" applyFill="1" applyBorder="1"/>
    <xf numFmtId="0" fontId="24" fillId="0" borderId="29" xfId="0" applyFont="1" applyBorder="1"/>
    <xf numFmtId="0" fontId="18" fillId="2" borderId="0" xfId="0" applyFont="1" applyFill="1"/>
    <xf numFmtId="0" fontId="19" fillId="15" borderId="12" xfId="0" applyFont="1" applyFill="1" applyBorder="1" applyAlignment="1">
      <alignment horizontal="right"/>
    </xf>
    <xf numFmtId="0" fontId="7" fillId="17" borderId="29" xfId="0" applyFont="1" applyFill="1" applyBorder="1" applyAlignment="1">
      <alignment horizontal="left"/>
    </xf>
    <xf numFmtId="0" fontId="20" fillId="2" borderId="0" xfId="0" applyFont="1" applyFill="1"/>
    <xf numFmtId="9" fontId="0" fillId="2" borderId="0" xfId="0" applyNumberFormat="1" applyFill="1"/>
    <xf numFmtId="0" fontId="21" fillId="2" borderId="17" xfId="0" applyFont="1" applyFill="1" applyBorder="1"/>
    <xf numFmtId="171" fontId="18" fillId="2" borderId="0" xfId="0" applyNumberFormat="1" applyFont="1" applyFill="1"/>
    <xf numFmtId="0" fontId="20" fillId="0" borderId="20" xfId="0" applyFont="1" applyBorder="1"/>
    <xf numFmtId="171" fontId="18" fillId="0" borderId="0" xfId="0" applyNumberFormat="1" applyFont="1"/>
    <xf numFmtId="0" fontId="20" fillId="0" borderId="29" xfId="0" applyFont="1" applyBorder="1"/>
    <xf numFmtId="0" fontId="23" fillId="14" borderId="29" xfId="0" applyFont="1" applyFill="1" applyBorder="1"/>
    <xf numFmtId="0" fontId="7" fillId="17" borderId="31" xfId="0" applyFont="1" applyFill="1" applyBorder="1"/>
    <xf numFmtId="164" fontId="21" fillId="0" borderId="23" xfId="0" applyNumberFormat="1" applyFont="1" applyBorder="1"/>
    <xf numFmtId="164" fontId="0" fillId="0" borderId="23" xfId="0" applyNumberFormat="1" applyBorder="1"/>
    <xf numFmtId="9" fontId="0" fillId="0" borderId="23" xfId="0" applyNumberFormat="1" applyBorder="1"/>
    <xf numFmtId="164" fontId="21" fillId="0" borderId="19" xfId="0" applyNumberFormat="1" applyFont="1" applyBorder="1"/>
    <xf numFmtId="170" fontId="20" fillId="2" borderId="27" xfId="0" applyNumberFormat="1" applyFont="1" applyFill="1" applyBorder="1"/>
    <xf numFmtId="9" fontId="21" fillId="2" borderId="28" xfId="0" applyNumberFormat="1" applyFont="1" applyFill="1" applyBorder="1"/>
    <xf numFmtId="170" fontId="21" fillId="0" borderId="19" xfId="0" applyNumberFormat="1" applyFont="1" applyBorder="1"/>
    <xf numFmtId="170" fontId="21" fillId="0" borderId="23" xfId="0" applyNumberFormat="1" applyFont="1" applyBorder="1"/>
    <xf numFmtId="3" fontId="21" fillId="0" borderId="23" xfId="0" applyNumberFormat="1" applyFont="1" applyBorder="1"/>
    <xf numFmtId="0" fontId="16" fillId="0" borderId="19" xfId="0" applyFont="1" applyBorder="1"/>
    <xf numFmtId="3" fontId="21" fillId="0" borderId="19" xfId="0" applyNumberFormat="1" applyFont="1" applyBorder="1"/>
    <xf numFmtId="171" fontId="16" fillId="0" borderId="23" xfId="0" applyNumberFormat="1" applyFont="1" applyBorder="1"/>
    <xf numFmtId="171" fontId="21" fillId="0" borderId="23" xfId="0" applyNumberFormat="1" applyFont="1" applyBorder="1"/>
    <xf numFmtId="0" fontId="28" fillId="0" borderId="23" xfId="0" applyFont="1" applyBorder="1"/>
    <xf numFmtId="0" fontId="21" fillId="0" borderId="15" xfId="0" applyFont="1" applyBorder="1"/>
    <xf numFmtId="171" fontId="21" fillId="0" borderId="15" xfId="0" applyNumberFormat="1" applyFont="1" applyBorder="1"/>
    <xf numFmtId="9" fontId="21" fillId="0" borderId="15" xfId="0" applyNumberFormat="1" applyFont="1" applyBorder="1"/>
    <xf numFmtId="0" fontId="25" fillId="0" borderId="15" xfId="0" applyFont="1" applyBorder="1"/>
    <xf numFmtId="165" fontId="21" fillId="0" borderId="23" xfId="0" applyNumberFormat="1" applyFont="1" applyBorder="1"/>
    <xf numFmtId="166" fontId="16" fillId="0" borderId="15" xfId="0" applyNumberFormat="1" applyFont="1" applyBorder="1"/>
    <xf numFmtId="0" fontId="20" fillId="0" borderId="19" xfId="0" applyFont="1" applyBorder="1"/>
    <xf numFmtId="170" fontId="20" fillId="0" borderId="19" xfId="0" applyNumberFormat="1" applyFont="1" applyBorder="1"/>
    <xf numFmtId="170" fontId="20" fillId="0" borderId="23" xfId="0" applyNumberFormat="1" applyFont="1" applyBorder="1"/>
    <xf numFmtId="9" fontId="16" fillId="0" borderId="23" xfId="0" applyNumberFormat="1" applyFont="1" applyBorder="1"/>
    <xf numFmtId="9" fontId="16" fillId="14" borderId="23" xfId="0" applyNumberFormat="1" applyFont="1" applyFill="1" applyBorder="1"/>
    <xf numFmtId="0" fontId="20" fillId="2" borderId="30" xfId="0" applyFont="1" applyFill="1" applyBorder="1"/>
    <xf numFmtId="0" fontId="21" fillId="0" borderId="0" xfId="26" applyFont="1" applyAlignment="1">
      <alignment horizontal="left"/>
    </xf>
    <xf numFmtId="0" fontId="21" fillId="0" borderId="29" xfId="26" applyFont="1" applyBorder="1" applyAlignment="1">
      <alignment horizontal="left"/>
    </xf>
    <xf numFmtId="0" fontId="21" fillId="0" borderId="29" xfId="27" applyFont="1" applyBorder="1"/>
    <xf numFmtId="0" fontId="21" fillId="0" borderId="19" xfId="26" applyFont="1" applyBorder="1" applyAlignment="1">
      <alignment horizontal="left"/>
    </xf>
    <xf numFmtId="0" fontId="21" fillId="0" borderId="23" xfId="26" applyFont="1" applyBorder="1" applyAlignment="1">
      <alignment horizontal="left"/>
    </xf>
    <xf numFmtId="0" fontId="21" fillId="0" borderId="23" xfId="27" applyFont="1" applyBorder="1"/>
    <xf numFmtId="9" fontId="21" fillId="0" borderId="29" xfId="27" applyNumberFormat="1" applyFont="1" applyBorder="1"/>
    <xf numFmtId="9" fontId="21" fillId="0" borderId="0" xfId="27" applyNumberFormat="1" applyFont="1"/>
    <xf numFmtId="0" fontId="21" fillId="0" borderId="30" xfId="26" applyFont="1" applyBorder="1" applyAlignment="1">
      <alignment horizontal="left"/>
    </xf>
    <xf numFmtId="0" fontId="21" fillId="0" borderId="30" xfId="27" applyFont="1" applyBorder="1"/>
    <xf numFmtId="0" fontId="19" fillId="15" borderId="32" xfId="0" applyFont="1" applyFill="1" applyBorder="1"/>
    <xf numFmtId="9" fontId="21" fillId="0" borderId="23" xfId="27" applyNumberFormat="1" applyFont="1" applyBorder="1"/>
    <xf numFmtId="1" fontId="21" fillId="0" borderId="29" xfId="0" applyNumberFormat="1" applyFont="1" applyBorder="1"/>
    <xf numFmtId="0" fontId="7" fillId="17" borderId="29" xfId="26" applyFont="1" applyFill="1" applyBorder="1" applyAlignment="1">
      <alignment horizontal="left"/>
    </xf>
    <xf numFmtId="9" fontId="7" fillId="17" borderId="29" xfId="27" applyNumberFormat="1" applyFont="1" applyFill="1" applyBorder="1"/>
    <xf numFmtId="9" fontId="19" fillId="15" borderId="32" xfId="27" applyNumberFormat="1" applyFont="1" applyFill="1" applyBorder="1"/>
    <xf numFmtId="9" fontId="16" fillId="14" borderId="29" xfId="0" applyNumberFormat="1" applyFont="1" applyFill="1" applyBorder="1"/>
    <xf numFmtId="0" fontId="16" fillId="0" borderId="19" xfId="27" applyFont="1" applyBorder="1"/>
    <xf numFmtId="0" fontId="16" fillId="0" borderId="29" xfId="27" applyFont="1" applyBorder="1"/>
    <xf numFmtId="0" fontId="24" fillId="0" borderId="19" xfId="0" applyFont="1" applyBorder="1"/>
    <xf numFmtId="0" fontId="20" fillId="2" borderId="23" xfId="0" applyFont="1" applyFill="1" applyBorder="1"/>
    <xf numFmtId="1" fontId="20" fillId="2" borderId="23" xfId="0" applyNumberFormat="1" applyFont="1" applyFill="1" applyBorder="1"/>
    <xf numFmtId="0" fontId="19" fillId="15" borderId="34" xfId="0" applyFont="1" applyFill="1" applyBorder="1"/>
    <xf numFmtId="9" fontId="21" fillId="0" borderId="36" xfId="0" applyNumberFormat="1" applyFont="1" applyBorder="1"/>
    <xf numFmtId="0" fontId="21" fillId="0" borderId="37" xfId="0" applyFont="1" applyBorder="1"/>
    <xf numFmtId="1" fontId="20" fillId="2" borderId="39" xfId="0" applyNumberFormat="1" applyFont="1" applyFill="1" applyBorder="1"/>
    <xf numFmtId="0" fontId="19" fillId="15" borderId="37" xfId="0" applyFont="1" applyFill="1" applyBorder="1"/>
    <xf numFmtId="0" fontId="21" fillId="0" borderId="36" xfId="0" applyFont="1" applyBorder="1"/>
    <xf numFmtId="1" fontId="21" fillId="0" borderId="37" xfId="0" applyNumberFormat="1" applyFont="1" applyBorder="1"/>
    <xf numFmtId="0" fontId="21" fillId="0" borderId="39" xfId="0" applyFont="1" applyBorder="1"/>
    <xf numFmtId="0" fontId="21" fillId="19" borderId="19" xfId="0" applyFont="1" applyFill="1" applyBorder="1"/>
    <xf numFmtId="0" fontId="21" fillId="19" borderId="29" xfId="0" applyFont="1" applyFill="1" applyBorder="1"/>
    <xf numFmtId="0" fontId="21" fillId="19" borderId="30" xfId="0" applyFont="1" applyFill="1" applyBorder="1"/>
    <xf numFmtId="1" fontId="20" fillId="2" borderId="8" xfId="0" applyNumberFormat="1" applyFont="1" applyFill="1" applyBorder="1"/>
    <xf numFmtId="0" fontId="19" fillId="15" borderId="33" xfId="0" applyFont="1" applyFill="1" applyBorder="1"/>
    <xf numFmtId="0" fontId="21" fillId="0" borderId="38" xfId="0" applyFont="1" applyBorder="1"/>
    <xf numFmtId="9" fontId="16" fillId="0" borderId="33" xfId="0" applyNumberFormat="1" applyFont="1" applyBorder="1"/>
    <xf numFmtId="1" fontId="20" fillId="0" borderId="23" xfId="0" applyNumberFormat="1" applyFont="1" applyBorder="1"/>
    <xf numFmtId="0" fontId="24" fillId="0" borderId="20" xfId="0" applyFont="1" applyBorder="1"/>
    <xf numFmtId="1" fontId="20" fillId="2" borderId="40" xfId="0" applyNumberFormat="1" applyFont="1" applyFill="1" applyBorder="1"/>
    <xf numFmtId="0" fontId="20" fillId="2" borderId="8" xfId="0" applyFont="1" applyFill="1" applyBorder="1"/>
    <xf numFmtId="1" fontId="21" fillId="0" borderId="30" xfId="0" applyNumberFormat="1" applyFont="1" applyBorder="1"/>
    <xf numFmtId="1" fontId="21" fillId="0" borderId="38" xfId="0" applyNumberFormat="1" applyFont="1" applyBorder="1"/>
    <xf numFmtId="170" fontId="21" fillId="0" borderId="37" xfId="0" applyNumberFormat="1" applyFont="1" applyBorder="1"/>
    <xf numFmtId="1" fontId="20" fillId="0" borderId="0" xfId="0" applyNumberFormat="1" applyFont="1"/>
    <xf numFmtId="9" fontId="16" fillId="14" borderId="37" xfId="0" applyNumberFormat="1" applyFont="1" applyFill="1" applyBorder="1"/>
    <xf numFmtId="9" fontId="16" fillId="14" borderId="33" xfId="0" applyNumberFormat="1" applyFont="1" applyFill="1" applyBorder="1"/>
    <xf numFmtId="0" fontId="18" fillId="0" borderId="15" xfId="0" applyFont="1" applyBorder="1"/>
    <xf numFmtId="1" fontId="18" fillId="0" borderId="41" xfId="0" applyNumberFormat="1" applyFont="1" applyBorder="1"/>
    <xf numFmtId="1" fontId="20" fillId="0" borderId="39" xfId="0" applyNumberFormat="1" applyFont="1" applyBorder="1"/>
    <xf numFmtId="1" fontId="20" fillId="0" borderId="40" xfId="0" applyNumberFormat="1" applyFont="1" applyBorder="1"/>
    <xf numFmtId="0" fontId="20" fillId="19" borderId="23" xfId="0" applyFont="1" applyFill="1" applyBorder="1"/>
    <xf numFmtId="0" fontId="24" fillId="0" borderId="8" xfId="0" applyFont="1" applyBorder="1"/>
    <xf numFmtId="0" fontId="21" fillId="0" borderId="32" xfId="0" applyFont="1" applyBorder="1"/>
    <xf numFmtId="0" fontId="24" fillId="0" borderId="17" xfId="0" applyFont="1" applyBorder="1"/>
    <xf numFmtId="9" fontId="28" fillId="0" borderId="19" xfId="0" applyNumberFormat="1" applyFont="1" applyBorder="1"/>
    <xf numFmtId="9" fontId="28" fillId="0" borderId="28" xfId="0" applyNumberFormat="1" applyFont="1" applyBorder="1"/>
    <xf numFmtId="170" fontId="7" fillId="17" borderId="42" xfId="0" applyNumberFormat="1" applyFont="1" applyFill="1" applyBorder="1"/>
    <xf numFmtId="0" fontId="7" fillId="17" borderId="42" xfId="0" applyFont="1" applyFill="1" applyBorder="1"/>
    <xf numFmtId="0" fontId="19" fillId="15" borderId="38" xfId="0" applyFont="1" applyFill="1" applyBorder="1"/>
    <xf numFmtId="9" fontId="16" fillId="14" borderId="38" xfId="0" applyNumberFormat="1" applyFont="1" applyFill="1" applyBorder="1"/>
    <xf numFmtId="9" fontId="16" fillId="14" borderId="32" xfId="0" applyNumberFormat="1" applyFont="1" applyFill="1" applyBorder="1"/>
    <xf numFmtId="9" fontId="21" fillId="0" borderId="38" xfId="0" applyNumberFormat="1" applyFont="1" applyBorder="1"/>
    <xf numFmtId="9" fontId="21" fillId="0" borderId="32" xfId="0" applyNumberFormat="1" applyFont="1" applyBorder="1"/>
    <xf numFmtId="9" fontId="0" fillId="0" borderId="39" xfId="0" applyNumberFormat="1" applyBorder="1"/>
    <xf numFmtId="170" fontId="20" fillId="0" borderId="36" xfId="0" applyNumberFormat="1" applyFont="1" applyBorder="1"/>
    <xf numFmtId="170" fontId="20" fillId="0" borderId="38" xfId="0" applyNumberFormat="1" applyFont="1" applyBorder="1"/>
    <xf numFmtId="170" fontId="20" fillId="0" borderId="32" xfId="0" applyNumberFormat="1" applyFont="1" applyBorder="1"/>
    <xf numFmtId="170" fontId="20" fillId="0" borderId="39" xfId="0" applyNumberFormat="1" applyFont="1" applyBorder="1"/>
    <xf numFmtId="9" fontId="16" fillId="14" borderId="36" xfId="0" applyNumberFormat="1" applyFont="1" applyFill="1" applyBorder="1"/>
    <xf numFmtId="9" fontId="16" fillId="14" borderId="39" xfId="0" applyNumberFormat="1" applyFont="1" applyFill="1" applyBorder="1"/>
    <xf numFmtId="171" fontId="21" fillId="0" borderId="38" xfId="0" applyNumberFormat="1" applyFont="1" applyBorder="1"/>
    <xf numFmtId="171" fontId="21" fillId="0" borderId="39" xfId="0" applyNumberFormat="1" applyFont="1" applyBorder="1"/>
    <xf numFmtId="164" fontId="0" fillId="0" borderId="39" xfId="0" applyNumberFormat="1" applyBorder="1"/>
    <xf numFmtId="164" fontId="21" fillId="0" borderId="36" xfId="0" applyNumberFormat="1" applyFont="1" applyBorder="1"/>
    <xf numFmtId="164" fontId="21" fillId="0" borderId="38" xfId="0" applyNumberFormat="1" applyFont="1" applyBorder="1"/>
    <xf numFmtId="3" fontId="21" fillId="0" borderId="38" xfId="0" applyNumberFormat="1" applyFont="1" applyBorder="1"/>
    <xf numFmtId="170" fontId="21" fillId="0" borderId="36" xfId="0" applyNumberFormat="1" applyFont="1" applyBorder="1"/>
    <xf numFmtId="170" fontId="21" fillId="0" borderId="38" xfId="0" applyNumberFormat="1" applyFont="1" applyBorder="1"/>
    <xf numFmtId="170" fontId="20" fillId="2" borderId="38" xfId="0" applyNumberFormat="1" applyFont="1" applyFill="1" applyBorder="1"/>
    <xf numFmtId="3" fontId="16" fillId="0" borderId="38" xfId="0" applyNumberFormat="1" applyFont="1" applyBorder="1"/>
    <xf numFmtId="166" fontId="21" fillId="0" borderId="38" xfId="0" applyNumberFormat="1" applyFont="1" applyBorder="1"/>
    <xf numFmtId="166" fontId="21" fillId="0" borderId="39" xfId="0" applyNumberFormat="1" applyFont="1" applyBorder="1"/>
    <xf numFmtId="169" fontId="21" fillId="0" borderId="41" xfId="0" applyNumberFormat="1" applyFont="1" applyBorder="1"/>
    <xf numFmtId="171" fontId="21" fillId="0" borderId="41" xfId="0" applyNumberFormat="1" applyFont="1" applyBorder="1"/>
    <xf numFmtId="171" fontId="18" fillId="2" borderId="43" xfId="0" applyNumberFormat="1" applyFont="1" applyFill="1" applyBorder="1"/>
    <xf numFmtId="0" fontId="19" fillId="15" borderId="42" xfId="0" applyFont="1" applyFill="1" applyBorder="1"/>
    <xf numFmtId="0" fontId="21" fillId="0" borderId="42" xfId="0" applyFont="1" applyBorder="1"/>
    <xf numFmtId="1" fontId="21" fillId="0" borderId="42" xfId="0" applyNumberFormat="1" applyFont="1" applyBorder="1"/>
    <xf numFmtId="0" fontId="24" fillId="0" borderId="42" xfId="0" applyFont="1" applyBorder="1"/>
    <xf numFmtId="9" fontId="21" fillId="0" borderId="42" xfId="0" applyNumberFormat="1" applyFont="1" applyBorder="1"/>
    <xf numFmtId="0" fontId="21" fillId="0" borderId="42" xfId="0" applyFont="1" applyBorder="1" applyAlignment="1">
      <alignment horizontal="left"/>
    </xf>
    <xf numFmtId="0" fontId="21" fillId="0" borderId="42" xfId="0" applyFont="1" applyBorder="1" applyAlignment="1">
      <alignment horizontal="left" indent="2"/>
    </xf>
    <xf numFmtId="9" fontId="16" fillId="0" borderId="42" xfId="0" applyNumberFormat="1" applyFont="1" applyBorder="1"/>
    <xf numFmtId="3" fontId="21" fillId="0" borderId="42" xfId="0" applyNumberFormat="1" applyFont="1" applyBorder="1"/>
    <xf numFmtId="3" fontId="12" fillId="0" borderId="0" xfId="0" applyNumberFormat="1" applyFont="1"/>
    <xf numFmtId="3" fontId="3" fillId="2" borderId="27" xfId="0" applyNumberFormat="1" applyFont="1" applyFill="1" applyBorder="1"/>
    <xf numFmtId="9" fontId="16" fillId="0" borderId="38" xfId="0" applyNumberFormat="1" applyFont="1" applyBorder="1"/>
    <xf numFmtId="3" fontId="29" fillId="0" borderId="43" xfId="0" applyNumberFormat="1" applyFont="1" applyBorder="1"/>
    <xf numFmtId="0" fontId="22" fillId="16" borderId="42" xfId="0" applyFont="1" applyFill="1" applyBorder="1"/>
    <xf numFmtId="165" fontId="21" fillId="0" borderId="42" xfId="0" applyNumberFormat="1" applyFont="1" applyBorder="1"/>
    <xf numFmtId="0" fontId="24" fillId="0" borderId="19" xfId="0" applyFont="1" applyBorder="1" applyAlignment="1">
      <alignment horizontal="left"/>
    </xf>
    <xf numFmtId="0" fontId="20" fillId="2" borderId="30" xfId="0" applyFont="1" applyFill="1" applyBorder="1" applyAlignment="1">
      <alignment horizontal="left"/>
    </xf>
    <xf numFmtId="3" fontId="16" fillId="0" borderId="42" xfId="0" applyNumberFormat="1" applyFont="1" applyBorder="1"/>
    <xf numFmtId="3" fontId="3" fillId="2" borderId="42" xfId="0" applyNumberFormat="1" applyFont="1" applyFill="1" applyBorder="1"/>
    <xf numFmtId="3" fontId="3" fillId="2" borderId="38" xfId="0" applyNumberFormat="1" applyFont="1" applyFill="1" applyBorder="1"/>
    <xf numFmtId="9" fontId="0" fillId="0" borderId="0" xfId="0" applyNumberFormat="1"/>
    <xf numFmtId="0" fontId="21" fillId="0" borderId="8" xfId="0" applyFont="1" applyBorder="1"/>
    <xf numFmtId="3" fontId="12" fillId="0" borderId="8" xfId="0" applyNumberFormat="1" applyFont="1" applyBorder="1"/>
    <xf numFmtId="9" fontId="21" fillId="0" borderId="8" xfId="0" applyNumberFormat="1" applyFont="1" applyBorder="1"/>
    <xf numFmtId="165" fontId="21" fillId="2" borderId="42" xfId="0" applyNumberFormat="1" applyFont="1" applyFill="1" applyBorder="1"/>
    <xf numFmtId="3" fontId="16" fillId="0" borderId="23" xfId="0" applyNumberFormat="1" applyFont="1" applyBorder="1"/>
    <xf numFmtId="3" fontId="16" fillId="0" borderId="39" xfId="0" applyNumberFormat="1" applyFont="1" applyBorder="1"/>
    <xf numFmtId="0" fontId="21" fillId="0" borderId="8" xfId="0" applyFont="1" applyBorder="1" applyAlignment="1">
      <alignment horizontal="left"/>
    </xf>
    <xf numFmtId="0" fontId="20" fillId="2" borderId="23" xfId="0" applyFont="1" applyFill="1" applyBorder="1" applyAlignment="1">
      <alignment horizontal="left"/>
    </xf>
    <xf numFmtId="3" fontId="3" fillId="2" borderId="23" xfId="0" applyNumberFormat="1" applyFont="1" applyFill="1" applyBorder="1"/>
    <xf numFmtId="167" fontId="20" fillId="2" borderId="39" xfId="0" applyNumberFormat="1" applyFont="1" applyFill="1" applyBorder="1"/>
    <xf numFmtId="165" fontId="21" fillId="2" borderId="23" xfId="0" applyNumberFormat="1" applyFont="1" applyFill="1" applyBorder="1"/>
    <xf numFmtId="0" fontId="20" fillId="2" borderId="8" xfId="0" applyFont="1" applyFill="1" applyBorder="1" applyAlignment="1">
      <alignment horizontal="left"/>
    </xf>
    <xf numFmtId="3" fontId="3" fillId="2" borderId="8" xfId="0" applyNumberFormat="1" applyFont="1" applyFill="1" applyBorder="1"/>
    <xf numFmtId="166" fontId="20" fillId="2" borderId="40" xfId="25" applyNumberFormat="1" applyFont="1" applyFill="1" applyBorder="1"/>
    <xf numFmtId="166" fontId="20" fillId="2" borderId="8" xfId="25" applyNumberFormat="1" applyFont="1" applyFill="1" applyBorder="1"/>
    <xf numFmtId="165" fontId="21" fillId="2" borderId="8" xfId="0" applyNumberFormat="1" applyFont="1" applyFill="1" applyBorder="1"/>
    <xf numFmtId="0" fontId="20" fillId="2" borderId="44" xfId="0" applyFont="1" applyFill="1" applyBorder="1"/>
    <xf numFmtId="166" fontId="20" fillId="2" borderId="44" xfId="25" applyNumberFormat="1" applyFont="1" applyFill="1" applyBorder="1"/>
    <xf numFmtId="166" fontId="20" fillId="2" borderId="45" xfId="25" applyNumberFormat="1" applyFont="1" applyFill="1" applyBorder="1"/>
    <xf numFmtId="0" fontId="19" fillId="15" borderId="42" xfId="0" applyFont="1" applyFill="1" applyBorder="1" applyAlignment="1">
      <alignment horizontal="right"/>
    </xf>
    <xf numFmtId="0" fontId="21" fillId="0" borderId="42" xfId="0" applyFont="1" applyBorder="1" applyAlignment="1">
      <alignment horizontal="right"/>
    </xf>
    <xf numFmtId="166" fontId="21" fillId="0" borderId="42" xfId="0" applyNumberFormat="1" applyFont="1" applyBorder="1"/>
    <xf numFmtId="165" fontId="21" fillId="0" borderId="38" xfId="0" applyNumberFormat="1" applyFont="1" applyBorder="1"/>
    <xf numFmtId="167" fontId="20" fillId="2" borderId="29" xfId="0" applyNumberFormat="1" applyFont="1" applyFill="1" applyBorder="1"/>
    <xf numFmtId="167" fontId="20" fillId="2" borderId="23" xfId="0" applyNumberFormat="1" applyFont="1" applyFill="1" applyBorder="1"/>
    <xf numFmtId="165" fontId="21" fillId="0" borderId="35" xfId="25" applyNumberFormat="1" applyFont="1" applyFill="1" applyBorder="1"/>
    <xf numFmtId="165" fontId="21" fillId="0" borderId="30" xfId="0" applyNumberFormat="1" applyFont="1" applyBorder="1"/>
    <xf numFmtId="43" fontId="21" fillId="0" borderId="42" xfId="25" applyFont="1" applyFill="1" applyBorder="1"/>
    <xf numFmtId="165" fontId="21" fillId="0" borderId="42" xfId="25" applyNumberFormat="1" applyFont="1" applyFill="1" applyBorder="1"/>
    <xf numFmtId="165" fontId="21" fillId="0" borderId="38" xfId="25" applyNumberFormat="1" applyFont="1" applyFill="1" applyBorder="1"/>
    <xf numFmtId="165" fontId="20" fillId="2" borderId="45" xfId="25" applyNumberFormat="1" applyFont="1" applyFill="1" applyBorder="1"/>
    <xf numFmtId="165" fontId="20" fillId="2" borderId="40" xfId="25" applyNumberFormat="1" applyFont="1" applyFill="1" applyBorder="1"/>
    <xf numFmtId="165" fontId="20" fillId="2" borderId="44" xfId="25" applyNumberFormat="1" applyFont="1" applyFill="1" applyBorder="1"/>
    <xf numFmtId="165" fontId="20" fillId="2" borderId="8" xfId="25" applyNumberFormat="1" applyFont="1" applyFill="1" applyBorder="1"/>
    <xf numFmtId="0" fontId="7" fillId="17" borderId="44" xfId="0" applyFont="1" applyFill="1" applyBorder="1"/>
    <xf numFmtId="0" fontId="19" fillId="15" borderId="46" xfId="0" applyFont="1" applyFill="1" applyBorder="1"/>
    <xf numFmtId="0" fontId="7" fillId="17" borderId="47" xfId="0" applyFont="1" applyFill="1" applyBorder="1"/>
    <xf numFmtId="0" fontId="19" fillId="15" borderId="38" xfId="0" applyFont="1" applyFill="1" applyBorder="1" applyAlignment="1">
      <alignment horizontal="center"/>
    </xf>
    <xf numFmtId="0" fontId="19" fillId="15" borderId="32" xfId="0" applyFont="1" applyFill="1" applyBorder="1" applyAlignment="1">
      <alignment horizontal="center"/>
    </xf>
    <xf numFmtId="0" fontId="19" fillId="15" borderId="42" xfId="0" applyFont="1" applyFill="1" applyBorder="1" applyAlignment="1">
      <alignment horizontal="center"/>
    </xf>
    <xf numFmtId="169" fontId="21" fillId="0" borderId="36" xfId="0" applyNumberFormat="1" applyFont="1" applyBorder="1"/>
    <xf numFmtId="169" fontId="21" fillId="0" borderId="39" xfId="0" applyNumberFormat="1" applyFont="1" applyBorder="1"/>
  </cellXfs>
  <cellStyles count="28">
    <cellStyle name="Accent4" xfId="23" builtinId="41" customBuiltin="1"/>
    <cellStyle name="Accent6" xfId="24" builtinId="49" customBuiltin="1"/>
    <cellStyle name="Bad" xfId="8" builtinId="27" customBuiltin="1"/>
    <cellStyle name="Calculation" xfId="10" builtinId="22" hidden="1"/>
    <cellStyle name="Calculation" xfId="19" xr:uid="{BA044971-647E-4B43-BDF3-B9F90685EA06}"/>
    <cellStyle name="Check Cell" xfId="12" builtinId="23" hidden="1"/>
    <cellStyle name="Comma" xfId="25" builtinId="3"/>
    <cellStyle name="Explanatory Text" xfId="15" builtinId="53" hidden="1"/>
    <cellStyle name="Heading 1" xfId="2" builtinId="16" customBuiltin="1"/>
    <cellStyle name="Heading 2" xfId="3" builtinId="17" customBuiltin="1"/>
    <cellStyle name="Heading 3" xfId="4" builtinId="18" customBuiltin="1"/>
    <cellStyle name="Heading 4" xfId="17" builtinId="19" customBuiltin="1"/>
    <cellStyle name="Input" xfId="9" builtinId="20" hidden="1"/>
    <cellStyle name="Link" xfId="20" xr:uid="{F6F335AB-58A7-4135-B553-B7C2CE08F402}"/>
    <cellStyle name="Linked Cell" xfId="11" builtinId="24" hidden="1"/>
    <cellStyle name="Normal" xfId="0" builtinId="0"/>
    <cellStyle name="Normal 2" xfId="27" xr:uid="{FC2A6FD7-1274-4575-A7C4-A66FC8905765}"/>
    <cellStyle name="Normal 3" xfId="26" xr:uid="{F132A2AD-2181-4B21-9BE2-EE67BC1DBCF4}"/>
    <cellStyle name="Note" xfId="14" builtinId="10" hidden="1"/>
    <cellStyle name="Notes" xfId="22" xr:uid="{7BF13CA6-F5E1-45BE-8ABA-DF8882E10889}"/>
    <cellStyle name="Output" xfId="5" builtinId="21" hidden="1" customBuiltin="1"/>
    <cellStyle name="Output" xfId="1" xr:uid="{DDC8B129-E4EA-4CC9-B7C4-EEF8799DAD76}"/>
    <cellStyle name="Raw Data" xfId="6" xr:uid="{6E154805-33DE-42D5-80BA-AF332D8E7637}"/>
    <cellStyle name="Title" xfId="16" builtinId="15" customBuiltin="1"/>
    <cellStyle name="Total" xfId="18" builtinId="25" customBuiltin="1"/>
    <cellStyle name="Variables" xfId="7" xr:uid="{F06CDAB5-849E-4246-87E8-405DA417694B}"/>
    <cellStyle name="Warning" xfId="21" xr:uid="{270F583D-5642-40BB-8274-77A9A43F50AB}"/>
    <cellStyle name="Warning Text" xfId="13" builtinId="11" hidden="1"/>
  </cellStyles>
  <dxfs count="18">
    <dxf>
      <fill>
        <patternFill>
          <bgColor rgb="FFE6E6E6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 style="thick">
          <color auto="1"/>
        </bottom>
        <vertical/>
        <horizontal/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</dxfs>
  <tableStyles count="7" defaultTableStyle="Firm Table 1" defaultPivotStyle="PivotStyleLight16">
    <tableStyle name="Firm Table 1" pivot="0" count="3" xr9:uid="{EBA62709-C567-4EE8-B22C-FB062E3CEA69}">
      <tableStyleElement type="wholeTable" dxfId="17"/>
      <tableStyleElement type="headerRow" dxfId="16"/>
      <tableStyleElement type="firstColumn" dxfId="15"/>
    </tableStyle>
    <tableStyle name="Firm Table 2" pivot="0" count="2" xr9:uid="{B876A247-FB3A-4EAD-8ABF-DECA13B726A4}">
      <tableStyleElement type="headerRow" dxfId="14"/>
      <tableStyleElement type="firstColumn" dxfId="13"/>
    </tableStyle>
    <tableStyle name="Firm Table 3" pivot="0" count="2" xr9:uid="{2B6AAF42-6E59-4306-B0DA-5849423BC35A}">
      <tableStyleElement type="headerRow" dxfId="12"/>
      <tableStyleElement type="firstColumn" dxfId="11"/>
    </tableStyle>
    <tableStyle name="Firm Table 4" pivot="0" count="3" xr9:uid="{32B30501-1584-4AD4-A03A-1FBBE68503FC}">
      <tableStyleElement type="wholeTable" dxfId="10"/>
      <tableStyleElement type="headerRow" dxfId="9"/>
      <tableStyleElement type="firstColumn" dxfId="8"/>
    </tableStyle>
    <tableStyle name="Firm Table 5" pivot="0" count="2" xr9:uid="{5186B738-23FD-49C9-A79F-52302289DB42}">
      <tableStyleElement type="headerRow" dxfId="7"/>
      <tableStyleElement type="firstColumn" dxfId="6"/>
    </tableStyle>
    <tableStyle name="Firm Table 6" pivot="0" count="3" xr9:uid="{5115FDC7-826F-425C-92C7-D20F38226ADA}">
      <tableStyleElement type="wholeTable" dxfId="5"/>
      <tableStyleElement type="headerRow" dxfId="4"/>
      <tableStyleElement type="firstColumn" dxfId="3"/>
    </tableStyle>
    <tableStyle name="Firm Table 7" pivot="0" count="3" xr9:uid="{084FD9DC-CC97-454E-8CBD-B2EE3CD956D6}">
      <tableStyleElement type="headerRow" dxfId="2"/>
      <tableStyleElement type="firstColumn" dxfId="1"/>
      <tableStyleElement type="secondRowStripe" dxfId="0"/>
    </tableStyle>
  </tableStyles>
  <colors>
    <mruColors>
      <color rgb="FFFAA082"/>
      <color rgb="FFF9C7BF"/>
      <color rgb="FFCCEAD3"/>
      <color rgb="FFE8F4E8"/>
      <color rgb="FF0000FF"/>
      <color rgb="FFF2F2F2"/>
      <color rgb="FFD0D0D0"/>
      <color rgb="FF7F7F7F"/>
      <color rgb="FF0080B7"/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656488</xdr:colOff>
      <xdr:row>0</xdr:row>
      <xdr:rowOff>158354</xdr:rowOff>
    </xdr:from>
    <xdr:to>
      <xdr:col>10</xdr:col>
      <xdr:colOff>1006153</xdr:colOff>
      <xdr:row>38</xdr:row>
      <xdr:rowOff>43957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57EEE0-0AEC-A8B6-1252-D63FB1AF3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488" y="158354"/>
          <a:ext cx="12071765" cy="67798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32999</xdr:colOff>
      <xdr:row>92</xdr:row>
      <xdr:rowOff>95706</xdr:rowOff>
    </xdr:from>
    <xdr:to>
      <xdr:col>8</xdr:col>
      <xdr:colOff>413896</xdr:colOff>
      <xdr:row>93</xdr:row>
      <xdr:rowOff>71793</xdr:rowOff>
    </xdr:to>
    <xdr:sp macro="" textlink="">
      <xdr:nvSpPr>
        <xdr:cNvPr id="9" name="TextBox 122">
          <a:extLst>
            <a:ext uri="{FF2B5EF4-FFF2-40B4-BE49-F238E27FC236}">
              <a16:creationId xmlns:a16="http://schemas.microsoft.com/office/drawing/2014/main" id="{9CAEDCE1-DDC8-27E6-C0FA-3E9CA054B538}"/>
            </a:ext>
          </a:extLst>
        </xdr:cNvPr>
        <xdr:cNvSpPr txBox="1"/>
      </xdr:nvSpPr>
      <xdr:spPr>
        <a:xfrm>
          <a:off x="2971219" y="12537401"/>
          <a:ext cx="11993863" cy="159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="horz" wrap="square" lIns="0" tIns="0" rIns="0" bIns="0" rtlCol="0">
          <a:spAutoFit/>
        </a:bodyPr>
        <a:lstStyle>
          <a:defPPr>
            <a:defRPr lang="en-US"/>
          </a:defPPr>
          <a:lvl1pPr marL="0" lvl="0" indent="0" algn="l" defTabSz="914400" rtl="0" eaLnBrk="1" latinLnBrk="0" hangingPunct="1">
            <a:lnSpc>
              <a:spcPct val="100000"/>
            </a:lnSpc>
            <a:spcBef>
              <a:spcPts val="300"/>
            </a:spcBef>
            <a:spcAft>
              <a:spcPts val="300"/>
            </a:spcAft>
            <a:buFont typeface="Segoe UI" panose="020B0502040204020203" pitchFamily="34" charset="0"/>
            <a:buChar char="​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1pPr>
          <a:lvl2pPr marL="228600" lvl="1" indent="-225425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Font typeface="Wingdings" panose="05000000000000000000" pitchFamily="2" charset="2"/>
            <a:buChar char="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2pPr>
          <a:lvl3pPr marL="515938" lvl="2" indent="-287338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Font typeface="Arial" panose="020B0604020202020204" pitchFamily="34" charset="0"/>
            <a:buChar char="—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3pPr>
          <a:lvl4pPr marL="742950" lvl="3" indent="-182563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Font typeface="Arial" panose="020B0604020202020204" pitchFamily="34" charset="0"/>
            <a:buChar char="»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4pPr>
          <a:lvl5pPr marL="914400" lvl="4" indent="-136525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›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5pPr>
          <a:lvl6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6pPr>
          <a:lvl7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7pPr>
          <a:lvl8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8pPr>
          <a:lvl9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9pPr>
        </a:lstStyle>
        <a:p>
          <a:pPr>
            <a:buSzPct val="100000"/>
          </a:pPr>
          <a:r>
            <a:rPr lang="en-US" sz="1000" b="1">
              <a:solidFill>
                <a:srgbClr val="000000"/>
              </a:solidFill>
              <a:latin typeface="Arial" panose="020B0604020202020204" pitchFamily="34" charset="0"/>
              <a:sym typeface=""/>
            </a:rPr>
            <a:t>Integrate Eurobank car financing offering</a:t>
          </a:r>
          <a:r>
            <a:rPr lang="en-US" sz="1000">
              <a:solidFill>
                <a:srgbClr val="000000"/>
              </a:solidFill>
              <a:latin typeface="Arial" panose="020B0604020202020204" pitchFamily="34" charset="0"/>
              <a:sym typeface=""/>
            </a:rPr>
            <a:t> with OEM captives (e.g., Toyota) digital channels</a:t>
          </a:r>
        </a:p>
      </xdr:txBody>
    </xdr:sp>
    <xdr:clientData/>
  </xdr:twoCellAnchor>
  <xdr:twoCellAnchor>
    <xdr:from>
      <xdr:col>1</xdr:col>
      <xdr:colOff>10054</xdr:colOff>
      <xdr:row>35</xdr:row>
      <xdr:rowOff>103031</xdr:rowOff>
    </xdr:from>
    <xdr:to>
      <xdr:col>10</xdr:col>
      <xdr:colOff>398074</xdr:colOff>
      <xdr:row>36</xdr:row>
      <xdr:rowOff>79119</xdr:rowOff>
    </xdr:to>
    <xdr:sp macro="" textlink="">
      <xdr:nvSpPr>
        <xdr:cNvPr id="10" name="TextBox 123">
          <a:extLst>
            <a:ext uri="{FF2B5EF4-FFF2-40B4-BE49-F238E27FC236}">
              <a16:creationId xmlns:a16="http://schemas.microsoft.com/office/drawing/2014/main" id="{EE7829BF-A816-D579-9EBE-75959A56B732}"/>
            </a:ext>
          </a:extLst>
        </xdr:cNvPr>
        <xdr:cNvSpPr txBox="1"/>
      </xdr:nvSpPr>
      <xdr:spPr>
        <a:xfrm>
          <a:off x="394902" y="622576"/>
          <a:ext cx="12972566" cy="149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="horz" wrap="square" lIns="0" tIns="0" rIns="0" bIns="0" rtlCol="0">
          <a:spAutoFit/>
        </a:bodyPr>
        <a:lstStyle>
          <a:defPPr>
            <a:defRPr lang="en-US"/>
          </a:defPPr>
          <a:lvl1pPr marL="0" lvl="0" indent="0" algn="l" defTabSz="914400" rtl="0" eaLnBrk="1" latinLnBrk="0" hangingPunct="1">
            <a:lnSpc>
              <a:spcPct val="100000"/>
            </a:lnSpc>
            <a:spcBef>
              <a:spcPts val="300"/>
            </a:spcBef>
            <a:spcAft>
              <a:spcPts val="300"/>
            </a:spcAft>
            <a:buFont typeface="Segoe UI" panose="020B0502040204020203" pitchFamily="34" charset="0"/>
            <a:buChar char="​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1pPr>
          <a:lvl2pPr marL="228600" lvl="1" indent="-225425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Font typeface="Wingdings" panose="05000000000000000000" pitchFamily="2" charset="2"/>
            <a:buChar char="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2pPr>
          <a:lvl3pPr marL="515938" lvl="2" indent="-287338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Font typeface="Arial" panose="020B0604020202020204" pitchFamily="34" charset="0"/>
            <a:buChar char="—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3pPr>
          <a:lvl4pPr marL="742950" lvl="3" indent="-182563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Font typeface="Arial" panose="020B0604020202020204" pitchFamily="34" charset="0"/>
            <a:buChar char="»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4pPr>
          <a:lvl5pPr marL="914400" lvl="4" indent="-136525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›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5pPr>
          <a:lvl6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6pPr>
          <a:lvl7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7pPr>
          <a:lvl8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8pPr>
          <a:lvl9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9pPr>
        </a:lstStyle>
        <a:p>
          <a:pPr>
            <a:buSzPct val="100000"/>
          </a:pPr>
          <a:r>
            <a:rPr lang="en-US" sz="1000">
              <a:solidFill>
                <a:srgbClr val="000000"/>
              </a:solidFill>
              <a:latin typeface="Arial" panose="020B0604020202020204" pitchFamily="34" charset="0"/>
              <a:sym typeface=""/>
            </a:rPr>
            <a:t>Expand Loan availability </a:t>
          </a:r>
          <a:r>
            <a:rPr lang="en-US" sz="1000" b="1">
              <a:solidFill>
                <a:srgbClr val="000000"/>
              </a:solidFill>
              <a:latin typeface="Arial" panose="020B0604020202020204" pitchFamily="34" charset="0"/>
              <a:sym typeface=""/>
            </a:rPr>
            <a:t>via used cars marketplaces/ aggregators </a:t>
          </a:r>
          <a:r>
            <a:rPr lang="en-US" sz="1000">
              <a:solidFill>
                <a:srgbClr val="000000"/>
              </a:solidFill>
              <a:latin typeface="Arial" panose="020B0604020202020204" pitchFamily="34" charset="0"/>
              <a:sym typeface=""/>
            </a:rPr>
            <a:t>(e.g., Car.gr, </a:t>
          </a:r>
          <a:r>
            <a:rPr lang="en-US" sz="1000">
              <a:solidFill>
                <a:srgbClr val="0D0D0D"/>
              </a:solidFill>
              <a:latin typeface="Arial" panose="020B0604020202020204" pitchFamily="34" charset="0"/>
              <a:sym typeface=""/>
            </a:rPr>
            <a:t>Cardom)</a:t>
          </a:r>
        </a:p>
      </xdr:txBody>
    </xdr:sp>
    <xdr:clientData/>
  </xdr:twoCellAnchor>
  <xdr:twoCellAnchor editAs="oneCell">
    <xdr:from>
      <xdr:col>14</xdr:col>
      <xdr:colOff>519600</xdr:colOff>
      <xdr:row>72</xdr:row>
      <xdr:rowOff>151771</xdr:rowOff>
    </xdr:from>
    <xdr:to>
      <xdr:col>25</xdr:col>
      <xdr:colOff>61345</xdr:colOff>
      <xdr:row>101</xdr:row>
      <xdr:rowOff>66406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3DC4C8-84D7-4A7E-99D2-E50120566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60136" y="13214628"/>
          <a:ext cx="8930673" cy="5176063"/>
        </a:xfrm>
        <a:prstGeom prst="rect">
          <a:avLst/>
        </a:prstGeom>
      </xdr:spPr>
    </xdr:pic>
    <xdr:clientData/>
  </xdr:twoCellAnchor>
  <xdr:twoCellAnchor>
    <xdr:from>
      <xdr:col>1</xdr:col>
      <xdr:colOff>8132</xdr:colOff>
      <xdr:row>105</xdr:row>
      <xdr:rowOff>35103</xdr:rowOff>
    </xdr:from>
    <xdr:to>
      <xdr:col>15</xdr:col>
      <xdr:colOff>351906</xdr:colOff>
      <xdr:row>106</xdr:row>
      <xdr:rowOff>0</xdr:rowOff>
    </xdr:to>
    <xdr:sp macro="" textlink="">
      <xdr:nvSpPr>
        <xdr:cNvPr id="3" name="TextBox 63">
          <a:extLst>
            <a:ext uri="{FF2B5EF4-FFF2-40B4-BE49-F238E27FC236}">
              <a16:creationId xmlns:a16="http://schemas.microsoft.com/office/drawing/2014/main" id="{D0A35F67-BC8B-4655-B838-59F168485FEE}"/>
            </a:ext>
          </a:extLst>
        </xdr:cNvPr>
        <xdr:cNvSpPr txBox="1"/>
      </xdr:nvSpPr>
      <xdr:spPr>
        <a:xfrm>
          <a:off x="3818132" y="568503"/>
          <a:ext cx="15710774" cy="152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="horz" wrap="square" lIns="0" tIns="0" rIns="0" bIns="0" rtlCol="0">
          <a:spAutoFit/>
        </a:bodyPr>
        <a:lstStyle>
          <a:defPPr>
            <a:defRPr lang="en-US"/>
          </a:defPPr>
          <a:lvl1pPr marL="0" lvl="0" indent="0" algn="l" defTabSz="914400" rtl="0" eaLnBrk="1" latinLnBrk="0" hangingPunct="1">
            <a:lnSpc>
              <a:spcPct val="100000"/>
            </a:lnSpc>
            <a:spcBef>
              <a:spcPts val="300"/>
            </a:spcBef>
            <a:spcAft>
              <a:spcPts val="300"/>
            </a:spcAft>
            <a:buFont typeface="Segoe UI" panose="020B0502040204020203" pitchFamily="34" charset="0"/>
            <a:buChar char="​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1pPr>
          <a:lvl2pPr marL="228600" lvl="1" indent="-225425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Font typeface="Wingdings" panose="05000000000000000000" pitchFamily="2" charset="2"/>
            <a:buChar char="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2pPr>
          <a:lvl3pPr marL="515938" lvl="2" indent="-287338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Font typeface="Arial" panose="020B0604020202020204" pitchFamily="34" charset="0"/>
            <a:buChar char="—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3pPr>
          <a:lvl4pPr marL="742950" lvl="3" indent="-182563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Font typeface="Arial" panose="020B0604020202020204" pitchFamily="34" charset="0"/>
            <a:buChar char="»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4pPr>
          <a:lvl5pPr marL="914400" lvl="4" indent="-136525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›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5pPr>
          <a:lvl6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6pPr>
          <a:lvl7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7pPr>
          <a:lvl8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8pPr>
          <a:lvl9pPr marL="1085850" indent="-17145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SzPct val="100000"/>
            <a:buFont typeface="Arial" panose="020B0604020202020204" pitchFamily="34" charset="0"/>
            <a:buChar char="▫"/>
            <a:defRPr sz="1600" kern="120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lvl9pPr>
        </a:lstStyle>
        <a:p>
          <a:pPr>
            <a:buSzPct val="100000"/>
          </a:pPr>
          <a:r>
            <a:rPr lang="en-US" sz="1000" b="1">
              <a:solidFill>
                <a:schemeClr val="tx1"/>
              </a:solidFill>
              <a:latin typeface="Arial" panose="020B0604020202020204" pitchFamily="34" charset="0"/>
              <a:sym typeface=""/>
            </a:rPr>
            <a:t>Offer a D2C cash loan for auto on direct channels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excel">
  <a:themeElements>
    <a:clrScheme name="Custom 24">
      <a:dk1>
        <a:srgbClr val="000000"/>
      </a:dk1>
      <a:lt1>
        <a:srgbClr val="FFFFFF"/>
      </a:lt1>
      <a:dk2>
        <a:srgbClr val="FFFFFF"/>
      </a:dk2>
      <a:lt2>
        <a:srgbClr val="FFFFFF"/>
      </a:lt2>
      <a:accent1>
        <a:srgbClr val="061F79"/>
      </a:accent1>
      <a:accent2>
        <a:srgbClr val="00A9F4"/>
      </a:accent2>
      <a:accent3>
        <a:srgbClr val="2251FF"/>
      </a:accent3>
      <a:accent4>
        <a:srgbClr val="99E6FF"/>
      </a:accent4>
      <a:accent5>
        <a:srgbClr val="0679C3"/>
      </a:accent5>
      <a:accent6>
        <a:srgbClr val="75F0E7"/>
      </a:accent6>
      <a:hlink>
        <a:srgbClr val="1F40E6"/>
      </a:hlink>
      <a:folHlink>
        <a:srgbClr val="8C5AC8"/>
      </a:folHlink>
    </a:clrScheme>
    <a:fontScheme name="Scheme White Fonts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Subtle Solids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/>
        </a:solidFill>
        <a:ln w="6350" cap="sq">
          <a:noFill/>
          <a:miter lim="800000"/>
        </a:ln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spcBef>
            <a:spcPts val="300"/>
          </a:spcBef>
          <a:spcAft>
            <a:spcPts val="300"/>
          </a:spcAft>
          <a:defRPr sz="1600" dirty="0" err="1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 cap="sq">
          <a:solidFill>
            <a:srgbClr val="000000"/>
          </a:solidFill>
          <a:miter lim="800000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ln w="6350">
          <a:noFill/>
          <a:miter lim="800000"/>
        </a:ln>
      </a:spPr>
      <a:bodyPr vert="horz" wrap="square" lIns="0" tIns="0" rIns="0" bIns="0" rtlCol="0">
        <a:noAutofit/>
      </a:bodyPr>
      <a:lstStyle>
        <a:defPPr algn="l">
          <a:spcBef>
            <a:spcPts val="300"/>
          </a:spcBef>
          <a:spcAft>
            <a:spcPts val="300"/>
          </a:spcAft>
          <a:buNone/>
          <a:defRPr sz="1600" dirty="0" smtClean="0"/>
        </a:defPPr>
      </a:lstStyle>
    </a:txDef>
  </a:objectDefaults>
  <a:extraClrSchemeLst>
    <a:extraClrScheme>
      <a:clrScheme name="Scheme White">
        <a:dk1>
          <a:srgbClr val="000000"/>
        </a:dk1>
        <a:lt1>
          <a:srgbClr val="FFFFFF"/>
        </a:lt1>
        <a:dk2>
          <a:srgbClr val="FFFFFF"/>
        </a:dk2>
        <a:lt2>
          <a:srgbClr val="FFFFFF"/>
        </a:lt2>
        <a:accent1>
          <a:srgbClr val="061F79"/>
        </a:accent1>
        <a:accent2>
          <a:srgbClr val="00A9F4"/>
        </a:accent2>
        <a:accent3>
          <a:srgbClr val="2251FF"/>
        </a:accent3>
        <a:accent4>
          <a:srgbClr val="99E6FF"/>
        </a:accent4>
        <a:accent5>
          <a:srgbClr val="0679C3"/>
        </a:accent5>
        <a:accent6>
          <a:srgbClr val="75F0E7"/>
        </a:accent6>
        <a:hlink>
          <a:srgbClr val="1F40E6"/>
        </a:hlink>
        <a:folHlink>
          <a:srgbClr val="8C5AC8"/>
        </a:folHlink>
      </a:clrScheme>
    </a:extraClrScheme>
  </a:extraClrSchemeLst>
  <a:custClrLst>
    <a:custClr name="Electric Blue 900">
      <a:srgbClr val="061F79"/>
    </a:custClr>
    <a:custClr name="Electric Blue 700">
      <a:srgbClr val="1537BA"/>
    </a:custClr>
    <a:custClr name="Electric Blue 500">
      <a:srgbClr val="2251FF"/>
    </a:custClr>
    <a:custClr name="Electric Blue 300">
      <a:srgbClr val="5E9DFF"/>
    </a:custClr>
    <a:custClr name="Electric Blue 200">
      <a:srgbClr val="99C4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Deep Blue 900">
      <a:srgbClr val="051C2C"/>
    </a:custClr>
    <a:custClr name="Electric Blue 800">
      <a:srgbClr val="0E2B99"/>
    </a:custClr>
    <a:custClr name="Electric Blue 500">
      <a:srgbClr val="2251FF"/>
    </a:custClr>
    <a:custClr name="Electric Blue 200">
      <a:srgbClr val="99C4FF"/>
    </a:custClr>
    <a:custClr name="Gray 10%">
      <a:srgbClr val="E6E6E6"/>
    </a:custClr>
    <a:custClr name="Crimson Red 300">
      <a:srgbClr val="F17E7E"/>
    </a:custClr>
    <a:custClr name="Crimson Red 500">
      <a:srgbClr val="E33B3B"/>
    </a:custClr>
    <a:custClr name="Crimson Red 700">
      <a:srgbClr val="B82525"/>
    </a:custClr>
    <a:custClr name="Crimson Red 900">
      <a:srgbClr val="8E0B0B"/>
    </a:custClr>
    <a:custClr name="Null">
      <a:srgbClr val="FEFFFF"/>
    </a:custClr>
    <a:custClr name="Marine Green 900">
      <a:srgbClr val="108980"/>
    </a:custClr>
    <a:custClr name="Marine Green 700">
      <a:srgbClr val="14B8AB"/>
    </a:custClr>
    <a:custClr name="Marine Green 500">
      <a:srgbClr val="0BDACB"/>
    </a:custClr>
    <a:custClr name="Marine Green 300">
      <a:srgbClr val="75F0E7"/>
    </a:custClr>
    <a:custClr name="Sand Neutral 300">
      <a:srgbClr val="E6D7BC"/>
    </a:custClr>
    <a:custClr name="Crimson Red 300">
      <a:srgbClr val="F17E7E"/>
    </a:custClr>
    <a:custClr name="Crimson Red 500">
      <a:srgbClr val="E33B3B"/>
    </a:custClr>
    <a:custClr name="Crimson Red 700">
      <a:srgbClr val="B82525"/>
    </a:custClr>
    <a:custClr name="Crimson Red 900">
      <a:srgbClr val="8E0B0B"/>
    </a:custClr>
    <a:custClr name="Null">
      <a:srgbClr val="FEFFFF"/>
    </a:custClr>
    <a:custClr name="Gray 70%">
      <a:srgbClr val="4D4D4D"/>
    </a:custClr>
    <a:custClr name="Gray 54%">
      <a:srgbClr val="757575"/>
    </a:custClr>
    <a:custClr name="Gray 30%">
      <a:srgbClr val="B3B3B3"/>
    </a:custClr>
    <a:custClr name="Gray 20%">
      <a:srgbClr val="CCCCCC"/>
    </a:custClr>
    <a:custClr name="Gray 10%">
      <a:srgbClr val="E6E6E6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Marine Green 500">
      <a:srgbClr val="0BDACB"/>
    </a:custClr>
    <a:custClr name="Amber Yellow 500">
      <a:srgbClr val="FFA800"/>
    </a:custClr>
    <a:custClr name="Crimson Red 500">
      <a:srgbClr val="E33B3B"/>
    </a:custClr>
    <a:custClr name="Deep Blue 900">
      <a:srgbClr val="051C2C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</a:custClrLst>
  <a:extLst>
    <a:ext uri="{05A4C25C-085E-4340-85A3-A5531E510DB2}">
      <thm15:themeFamily xmlns:thm15="http://schemas.microsoft.com/office/thememl/2012/main" name="mck" id="{5C06EE14-FD0C-4D84-95B7-A7A2283B4F1A}" vid="{E155375D-59B9-41EA-8544-0CDF30FD128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CC6C-E4C3-4286-9193-80811EB843E8}">
  <dimension ref="A1"/>
  <sheetViews>
    <sheetView showGridLines="0" view="pageBreakPreview" zoomScale="50" zoomScaleNormal="49" workbookViewId="0">
      <selection activeCell="Q38" sqref="Q38"/>
    </sheetView>
  </sheetViews>
  <sheetFormatPr defaultRowHeight="13.8" x14ac:dyDescent="0.25"/>
  <cols>
    <col min="1" max="1" width="4.69921875" customWidth="1"/>
    <col min="2" max="4" width="15.8984375" customWidth="1"/>
    <col min="5" max="5" width="15.19921875" customWidth="1"/>
    <col min="6" max="6" width="15.8984375" customWidth="1"/>
    <col min="7" max="7" width="18" customWidth="1"/>
    <col min="8" max="11" width="15.8984375" customWidth="1"/>
    <col min="12" max="12" width="14.296875" customWidth="1"/>
  </cols>
  <sheetData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4520-453A-4728-BEFD-D7B39AFB633F}">
  <dimension ref="A1"/>
  <sheetViews>
    <sheetView view="pageBreakPreview" zoomScale="60" zoomScaleNormal="100" workbookViewId="0">
      <selection activeCell="B1" sqref="B1"/>
    </sheetView>
  </sheetViews>
  <sheetFormatPr defaultRowHeight="13.8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17B80-52DF-4C58-BEFB-5B38DD48A19F}">
  <dimension ref="B3:K63"/>
  <sheetViews>
    <sheetView showGridLines="0" topLeftCell="A43" zoomScale="74" zoomScaleNormal="46" workbookViewId="0">
      <selection activeCell="H69" sqref="H69"/>
    </sheetView>
  </sheetViews>
  <sheetFormatPr defaultRowHeight="13.8" x14ac:dyDescent="0.25"/>
  <cols>
    <col min="2" max="2" width="55.796875" bestFit="1" customWidth="1"/>
    <col min="3" max="3" width="8.69921875" customWidth="1"/>
    <col min="4" max="4" width="16.296875" customWidth="1"/>
    <col min="5" max="5" width="16.19921875" bestFit="1" customWidth="1"/>
    <col min="6" max="6" width="11.19921875" customWidth="1"/>
    <col min="7" max="7" width="15.796875" customWidth="1"/>
    <col min="8" max="8" width="14.19921875" bestFit="1" customWidth="1"/>
    <col min="9" max="9" width="11.19921875" bestFit="1" customWidth="1"/>
    <col min="10" max="10" width="86.69921875" bestFit="1" customWidth="1"/>
    <col min="11" max="11" width="20.59765625" customWidth="1"/>
    <col min="12" max="12" width="10.19921875" customWidth="1"/>
    <col min="13" max="15" width="5.09765625" bestFit="1" customWidth="1"/>
    <col min="16" max="16" width="13" customWidth="1"/>
    <col min="18" max="18" width="39.5" bestFit="1" customWidth="1"/>
  </cols>
  <sheetData>
    <row r="3" spans="2:11" x14ac:dyDescent="0.25">
      <c r="B3" s="73" t="s">
        <v>107</v>
      </c>
      <c r="C3" s="73"/>
      <c r="D3" s="73"/>
      <c r="E3" s="73"/>
      <c r="F3" s="73"/>
      <c r="G3" s="73"/>
      <c r="H3" s="73"/>
      <c r="I3" s="73"/>
      <c r="J3" s="73"/>
      <c r="K3" s="73"/>
    </row>
    <row r="5" spans="2:11" x14ac:dyDescent="0.25">
      <c r="B5" s="28" t="s">
        <v>69</v>
      </c>
      <c r="C5" s="28"/>
      <c r="D5" s="28"/>
      <c r="E5" s="28"/>
      <c r="F5" s="28"/>
      <c r="G5" s="28"/>
      <c r="H5" s="28"/>
      <c r="I5" s="28"/>
      <c r="J5" s="28"/>
      <c r="K5" s="28"/>
    </row>
    <row r="6" spans="2:11" x14ac:dyDescent="0.25">
      <c r="B6" s="147" t="s">
        <v>31</v>
      </c>
      <c r="C6" s="147" t="s">
        <v>15</v>
      </c>
      <c r="D6" s="147">
        <v>2021</v>
      </c>
      <c r="E6" s="147">
        <f>D6+1</f>
        <v>2022</v>
      </c>
      <c r="F6" s="147">
        <f t="shared" ref="F6:G6" si="0">E6+1</f>
        <v>2023</v>
      </c>
      <c r="G6" s="147">
        <f t="shared" si="0"/>
        <v>2024</v>
      </c>
      <c r="H6" s="163"/>
      <c r="I6" s="6" t="s">
        <v>7</v>
      </c>
      <c r="J6" s="6"/>
      <c r="K6" s="6"/>
    </row>
    <row r="7" spans="2:11" x14ac:dyDescent="0.25">
      <c r="B7" s="145" t="s">
        <v>129</v>
      </c>
      <c r="C7" s="85" t="s">
        <v>49</v>
      </c>
      <c r="D7" s="146">
        <v>130000</v>
      </c>
      <c r="E7" s="146">
        <v>140000</v>
      </c>
      <c r="F7" s="146">
        <v>140000</v>
      </c>
      <c r="G7" s="146">
        <v>150000</v>
      </c>
      <c r="H7" s="161"/>
      <c r="I7" s="78"/>
      <c r="J7" s="78"/>
      <c r="K7" s="78"/>
    </row>
    <row r="8" spans="2:11" x14ac:dyDescent="0.25">
      <c r="B8" s="138" t="s">
        <v>130</v>
      </c>
      <c r="C8" s="78" t="s">
        <v>49</v>
      </c>
      <c r="D8" s="139">
        <f>90%*D7</f>
        <v>117000</v>
      </c>
      <c r="E8" s="139">
        <f t="shared" ref="E8:G8" si="1">90%*E7</f>
        <v>126000</v>
      </c>
      <c r="F8" s="139">
        <f t="shared" si="1"/>
        <v>126000</v>
      </c>
      <c r="G8" s="139">
        <f t="shared" si="1"/>
        <v>135000</v>
      </c>
      <c r="H8" s="161"/>
      <c r="I8" s="78"/>
      <c r="J8" s="78"/>
      <c r="K8" s="78"/>
    </row>
    <row r="9" spans="2:11" x14ac:dyDescent="0.25">
      <c r="B9" s="138" t="s">
        <v>70</v>
      </c>
      <c r="C9" s="78" t="s">
        <v>3</v>
      </c>
      <c r="D9" s="153">
        <v>0.45</v>
      </c>
      <c r="E9" s="153">
        <v>0.45</v>
      </c>
      <c r="F9" s="153">
        <v>0.45</v>
      </c>
      <c r="G9" s="153">
        <v>0.45</v>
      </c>
      <c r="H9" s="161"/>
      <c r="I9" s="78"/>
      <c r="J9" s="78"/>
      <c r="K9" s="78"/>
    </row>
    <row r="10" spans="2:11" x14ac:dyDescent="0.25">
      <c r="B10" s="138" t="s">
        <v>71</v>
      </c>
      <c r="C10" s="78" t="s">
        <v>49</v>
      </c>
      <c r="D10" s="139">
        <f>D9*D7</f>
        <v>58500</v>
      </c>
      <c r="E10" s="139">
        <f t="shared" ref="E10:G10" si="2">E9*E7</f>
        <v>63000</v>
      </c>
      <c r="F10" s="139">
        <f t="shared" si="2"/>
        <v>63000</v>
      </c>
      <c r="G10" s="139">
        <f t="shared" si="2"/>
        <v>67500</v>
      </c>
      <c r="H10" s="161"/>
      <c r="I10" s="78"/>
      <c r="J10" s="78"/>
      <c r="K10" s="78"/>
    </row>
    <row r="11" spans="2:11" ht="14.4" x14ac:dyDescent="0.3">
      <c r="B11" s="138" t="s">
        <v>68</v>
      </c>
      <c r="C11" s="78" t="s">
        <v>49</v>
      </c>
      <c r="D11" s="139">
        <f>35%*D10</f>
        <v>20475</v>
      </c>
      <c r="E11" s="139">
        <f>35%*E10</f>
        <v>22050</v>
      </c>
      <c r="F11" s="139">
        <f>35%*F10</f>
        <v>22050</v>
      </c>
      <c r="G11" s="139">
        <f>35%*G10</f>
        <v>23625</v>
      </c>
      <c r="H11" s="161"/>
      <c r="I11" s="98" t="s">
        <v>72</v>
      </c>
      <c r="J11" s="98"/>
      <c r="K11" s="98"/>
    </row>
    <row r="12" spans="2:11" x14ac:dyDescent="0.25">
      <c r="B12" s="141" t="s">
        <v>67</v>
      </c>
      <c r="C12" s="38" t="s">
        <v>49</v>
      </c>
      <c r="D12" s="142">
        <f>D10-D11</f>
        <v>38025</v>
      </c>
      <c r="E12" s="142">
        <f>E10-E11</f>
        <v>40950</v>
      </c>
      <c r="F12" s="142">
        <f>F10-F11</f>
        <v>40950</v>
      </c>
      <c r="G12" s="142">
        <f>G10-G11</f>
        <v>43875</v>
      </c>
      <c r="H12" s="166"/>
      <c r="I12" s="38"/>
      <c r="J12" s="38"/>
      <c r="K12" s="38"/>
    </row>
    <row r="13" spans="2:11" x14ac:dyDescent="0.25">
      <c r="B13" s="140" t="s">
        <v>74</v>
      </c>
      <c r="C13" s="45" t="s">
        <v>49</v>
      </c>
      <c r="D13" s="154">
        <v>4657</v>
      </c>
      <c r="E13" s="154">
        <v>4081</v>
      </c>
      <c r="F13" s="154">
        <v>3643</v>
      </c>
      <c r="G13" s="154">
        <v>3291</v>
      </c>
      <c r="H13" s="164"/>
      <c r="I13" s="45"/>
      <c r="J13" s="45"/>
      <c r="K13" s="45"/>
    </row>
    <row r="14" spans="2:11" x14ac:dyDescent="0.25">
      <c r="B14" s="138" t="s">
        <v>75</v>
      </c>
      <c r="C14" s="78" t="s">
        <v>49</v>
      </c>
      <c r="D14" s="155">
        <v>786</v>
      </c>
      <c r="E14" s="155">
        <v>627</v>
      </c>
      <c r="F14" s="155">
        <v>543</v>
      </c>
      <c r="G14" s="155">
        <v>467</v>
      </c>
      <c r="H14" s="161"/>
      <c r="I14" s="78"/>
      <c r="J14" s="78"/>
      <c r="K14" s="78"/>
    </row>
    <row r="15" spans="2:11" x14ac:dyDescent="0.25">
      <c r="B15" s="138" t="s">
        <v>76</v>
      </c>
      <c r="C15" s="78" t="s">
        <v>49</v>
      </c>
      <c r="D15" s="155">
        <v>2389</v>
      </c>
      <c r="E15" s="155">
        <v>1952</v>
      </c>
      <c r="F15" s="155">
        <v>2229</v>
      </c>
      <c r="G15" s="155">
        <v>2188</v>
      </c>
      <c r="H15" s="161"/>
      <c r="I15" s="78"/>
      <c r="J15" s="78"/>
      <c r="K15" s="78"/>
    </row>
    <row r="16" spans="2:11" x14ac:dyDescent="0.25">
      <c r="B16" s="138" t="s">
        <v>77</v>
      </c>
      <c r="C16" s="78" t="s">
        <v>49</v>
      </c>
      <c r="D16" s="155">
        <v>2375</v>
      </c>
      <c r="E16" s="155">
        <v>2667</v>
      </c>
      <c r="F16" s="155">
        <v>2886</v>
      </c>
      <c r="G16" s="155">
        <v>2952</v>
      </c>
      <c r="H16" s="161"/>
      <c r="I16" s="78"/>
      <c r="J16" s="78"/>
      <c r="K16" s="78"/>
    </row>
    <row r="17" spans="2:11" x14ac:dyDescent="0.25">
      <c r="B17" s="138" t="s">
        <v>73</v>
      </c>
      <c r="C17" s="78" t="s">
        <v>3</v>
      </c>
      <c r="D17" s="143">
        <f>D13/SUM(D13:D16)</f>
        <v>0.45625551092387578</v>
      </c>
      <c r="E17" s="143">
        <f t="shared" ref="E17" si="3">E13/SUM(E13:E16)</f>
        <v>0.43754690682963437</v>
      </c>
      <c r="F17" s="143">
        <f t="shared" ref="F17" si="4">F13/SUM(F13:F16)</f>
        <v>0.39167831415976778</v>
      </c>
      <c r="G17" s="143">
        <f t="shared" ref="G17" si="5">G13/SUM(G13:G16)</f>
        <v>0.36985839514497643</v>
      </c>
      <c r="H17" s="161"/>
      <c r="I17" s="78"/>
      <c r="J17" s="78"/>
      <c r="K17" s="78"/>
    </row>
    <row r="18" spans="2:11" x14ac:dyDescent="0.25">
      <c r="B18" s="141" t="s">
        <v>90</v>
      </c>
      <c r="C18" s="38" t="s">
        <v>3</v>
      </c>
      <c r="D18" s="148">
        <f>SUM(D13:D16)/D11</f>
        <v>0.49851037851037849</v>
      </c>
      <c r="E18" s="148">
        <f>SUM(E13:E16)/E11</f>
        <v>0.42299319727891155</v>
      </c>
      <c r="F18" s="148">
        <f>SUM(F13:F16)/F11</f>
        <v>0.42181405895691609</v>
      </c>
      <c r="G18" s="148">
        <f>SUM(G13:G16)/G11</f>
        <v>0.37663492063492066</v>
      </c>
      <c r="H18" s="166"/>
      <c r="I18" s="38"/>
      <c r="J18" s="38"/>
      <c r="K18" s="38"/>
    </row>
    <row r="19" spans="2:11" x14ac:dyDescent="0.25">
      <c r="B19" s="137"/>
      <c r="C19" s="5"/>
      <c r="D19" s="144"/>
      <c r="E19" s="144"/>
      <c r="F19" s="144"/>
      <c r="G19" s="144"/>
      <c r="H19" s="5"/>
      <c r="I19" s="5"/>
      <c r="J19" s="5"/>
      <c r="K19" s="5"/>
    </row>
    <row r="20" spans="2:11" x14ac:dyDescent="0.25">
      <c r="B20" s="137"/>
      <c r="C20" s="5"/>
      <c r="D20" s="144"/>
      <c r="E20" s="144"/>
      <c r="F20" s="144"/>
      <c r="G20" s="144"/>
      <c r="H20" s="5"/>
      <c r="I20" s="5"/>
    </row>
    <row r="21" spans="2:11" x14ac:dyDescent="0.25">
      <c r="B21" s="150" t="s">
        <v>83</v>
      </c>
      <c r="C21" s="73"/>
      <c r="D21" s="151"/>
      <c r="E21" s="151"/>
      <c r="F21" s="151"/>
      <c r="G21" s="151"/>
      <c r="H21" s="73"/>
      <c r="I21" s="73"/>
      <c r="J21" s="73"/>
      <c r="K21" s="73"/>
    </row>
    <row r="22" spans="2:11" x14ac:dyDescent="0.25">
      <c r="B22" s="147" t="s">
        <v>31</v>
      </c>
      <c r="C22" s="147" t="s">
        <v>15</v>
      </c>
      <c r="D22" s="80"/>
      <c r="E22" s="152"/>
      <c r="F22" s="152"/>
      <c r="G22" s="147">
        <v>2024</v>
      </c>
      <c r="H22" s="163">
        <v>2030</v>
      </c>
      <c r="I22" s="6" t="s">
        <v>7</v>
      </c>
      <c r="J22" s="6"/>
      <c r="K22" s="6"/>
    </row>
    <row r="23" spans="2:11" ht="14.4" x14ac:dyDescent="0.3">
      <c r="B23" s="140" t="s">
        <v>80</v>
      </c>
      <c r="C23" s="45" t="s">
        <v>22</v>
      </c>
      <c r="D23" s="167"/>
      <c r="E23" s="167"/>
      <c r="F23" s="167"/>
      <c r="G23" s="45">
        <v>27</v>
      </c>
      <c r="H23" s="164">
        <v>45</v>
      </c>
      <c r="I23" s="156" t="s">
        <v>82</v>
      </c>
      <c r="J23" s="156"/>
      <c r="K23" s="156"/>
    </row>
    <row r="24" spans="2:11" ht="14.4" x14ac:dyDescent="0.3">
      <c r="B24" s="78" t="s">
        <v>78</v>
      </c>
      <c r="C24" s="78" t="s">
        <v>3</v>
      </c>
      <c r="D24" s="168"/>
      <c r="E24" s="168"/>
      <c r="F24" s="168"/>
      <c r="G24" s="79">
        <v>0.13</v>
      </c>
      <c r="H24" s="89">
        <v>0.26</v>
      </c>
      <c r="I24" s="156" t="s">
        <v>82</v>
      </c>
      <c r="J24" s="156"/>
      <c r="K24" s="156"/>
    </row>
    <row r="25" spans="2:11" ht="14.4" x14ac:dyDescent="0.3">
      <c r="B25" s="140" t="s">
        <v>81</v>
      </c>
      <c r="C25" s="45" t="s">
        <v>22</v>
      </c>
      <c r="D25" s="167"/>
      <c r="E25" s="167"/>
      <c r="F25" s="167"/>
      <c r="G25" s="45">
        <v>24</v>
      </c>
      <c r="H25" s="164">
        <v>40</v>
      </c>
      <c r="I25" s="156" t="s">
        <v>82</v>
      </c>
      <c r="J25" s="156"/>
      <c r="K25" s="156"/>
    </row>
    <row r="26" spans="2:11" ht="14.4" x14ac:dyDescent="0.3">
      <c r="B26" s="78" t="s">
        <v>79</v>
      </c>
      <c r="C26" s="78" t="s">
        <v>3</v>
      </c>
      <c r="D26" s="168"/>
      <c r="E26" s="168"/>
      <c r="F26" s="168"/>
      <c r="G26" s="79">
        <v>0.15</v>
      </c>
      <c r="H26" s="89">
        <v>0.3</v>
      </c>
      <c r="I26" s="156" t="s">
        <v>82</v>
      </c>
      <c r="J26" s="156"/>
      <c r="K26" s="156"/>
    </row>
    <row r="27" spans="2:11" x14ac:dyDescent="0.25">
      <c r="B27" s="157" t="s">
        <v>65</v>
      </c>
      <c r="C27" s="157" t="s">
        <v>22</v>
      </c>
      <c r="D27" s="157"/>
      <c r="E27" s="157"/>
      <c r="F27" s="157"/>
      <c r="G27" s="158">
        <f>ROUND(G26*G25,0)</f>
        <v>4</v>
      </c>
      <c r="H27" s="162">
        <f>ROUND(H26*H25,0)</f>
        <v>12</v>
      </c>
      <c r="I27" s="157"/>
      <c r="J27" s="157"/>
      <c r="K27" s="157"/>
    </row>
    <row r="28" spans="2:11" x14ac:dyDescent="0.25">
      <c r="B28" s="157" t="s">
        <v>103</v>
      </c>
      <c r="C28" s="157" t="s">
        <v>22</v>
      </c>
      <c r="D28" s="157"/>
      <c r="E28" s="157"/>
      <c r="F28" s="157"/>
      <c r="G28" s="158"/>
      <c r="H28" s="170">
        <f>H27-G27</f>
        <v>8</v>
      </c>
      <c r="I28" s="170"/>
      <c r="J28" s="177"/>
      <c r="K28" s="177"/>
    </row>
    <row r="29" spans="2:11" ht="14.4" x14ac:dyDescent="0.3">
      <c r="B29" s="45" t="s">
        <v>85</v>
      </c>
      <c r="C29" s="45" t="s">
        <v>39</v>
      </c>
      <c r="D29" s="167"/>
      <c r="E29" s="167"/>
      <c r="F29" s="167"/>
      <c r="G29" s="83">
        <v>1.3</v>
      </c>
      <c r="H29" s="88">
        <v>1.6</v>
      </c>
      <c r="I29" s="156" t="s">
        <v>82</v>
      </c>
      <c r="J29" s="45"/>
      <c r="K29" s="45"/>
    </row>
    <row r="30" spans="2:11" x14ac:dyDescent="0.25">
      <c r="B30" s="78" t="s">
        <v>84</v>
      </c>
      <c r="C30" s="78" t="s">
        <v>41</v>
      </c>
      <c r="D30" s="168"/>
      <c r="E30" s="168"/>
      <c r="F30" s="168"/>
      <c r="G30" s="149">
        <f>ROUND(G27/G29,0)</f>
        <v>3</v>
      </c>
      <c r="H30" s="165">
        <f>ROUND(H27/H29,0)</f>
        <v>8</v>
      </c>
      <c r="I30" s="78"/>
      <c r="J30" s="78"/>
      <c r="K30" s="78"/>
    </row>
    <row r="31" spans="2:11" ht="14.4" x14ac:dyDescent="0.3">
      <c r="B31" s="78" t="s">
        <v>87</v>
      </c>
      <c r="C31" s="78" t="s">
        <v>39</v>
      </c>
      <c r="D31" s="168"/>
      <c r="E31" s="168"/>
      <c r="F31" s="168"/>
      <c r="G31" s="149">
        <v>10</v>
      </c>
      <c r="H31" s="165">
        <v>11</v>
      </c>
      <c r="I31" s="156" t="s">
        <v>82</v>
      </c>
      <c r="J31" s="78"/>
      <c r="K31" s="78"/>
    </row>
    <row r="32" spans="2:11" x14ac:dyDescent="0.25">
      <c r="B32" s="37" t="s">
        <v>86</v>
      </c>
      <c r="C32" s="37" t="s">
        <v>22</v>
      </c>
      <c r="D32" s="188"/>
      <c r="E32" s="188"/>
      <c r="F32" s="188"/>
      <c r="G32" s="174">
        <f>G30*G31</f>
        <v>30</v>
      </c>
      <c r="H32" s="186">
        <f>H30*H31</f>
        <v>88</v>
      </c>
      <c r="I32" s="37"/>
      <c r="J32" s="37"/>
      <c r="K32" s="37"/>
    </row>
    <row r="33" spans="2:11" x14ac:dyDescent="0.25">
      <c r="B33" s="9"/>
      <c r="C33" s="9"/>
      <c r="D33" s="9"/>
      <c r="E33" s="9"/>
      <c r="F33" s="9"/>
      <c r="G33" s="181"/>
      <c r="H33" s="181"/>
      <c r="I33" s="9"/>
      <c r="J33" s="9"/>
      <c r="K33" s="9"/>
    </row>
    <row r="34" spans="2:11" x14ac:dyDescent="0.25">
      <c r="B34" s="9"/>
      <c r="C34" s="9"/>
      <c r="D34" s="9"/>
      <c r="E34" s="9"/>
      <c r="F34" s="9"/>
      <c r="G34" s="181"/>
      <c r="H34" s="181"/>
      <c r="I34" s="9"/>
      <c r="J34" s="9"/>
      <c r="K34" s="9"/>
    </row>
    <row r="35" spans="2:11" x14ac:dyDescent="0.25">
      <c r="B35" s="73" t="s">
        <v>100</v>
      </c>
      <c r="C35" s="73"/>
      <c r="D35" s="73"/>
      <c r="E35" s="73"/>
      <c r="F35" s="73"/>
      <c r="G35" s="73"/>
      <c r="H35" s="73"/>
      <c r="I35" s="73"/>
      <c r="J35" s="73"/>
      <c r="K35" s="73"/>
    </row>
    <row r="36" spans="2:11" x14ac:dyDescent="0.25">
      <c r="B36" s="147" t="s">
        <v>31</v>
      </c>
      <c r="C36" s="147" t="s">
        <v>15</v>
      </c>
      <c r="D36" s="80"/>
      <c r="E36" s="80"/>
      <c r="F36" s="80"/>
      <c r="G36" s="147">
        <v>2024</v>
      </c>
      <c r="H36" s="87">
        <v>2030</v>
      </c>
      <c r="I36" s="6" t="s">
        <v>7</v>
      </c>
      <c r="J36" s="6"/>
      <c r="K36" s="6"/>
    </row>
    <row r="37" spans="2:11" x14ac:dyDescent="0.25">
      <c r="B37" s="37" t="s">
        <v>101</v>
      </c>
      <c r="C37" s="37" t="s">
        <v>22</v>
      </c>
      <c r="D37" s="37"/>
      <c r="E37" s="37"/>
      <c r="F37" s="37"/>
      <c r="G37" s="174">
        <f>G27</f>
        <v>4</v>
      </c>
      <c r="H37" s="186">
        <f>H27</f>
        <v>12</v>
      </c>
      <c r="I37" s="37"/>
      <c r="J37" s="37"/>
      <c r="K37" s="37"/>
    </row>
    <row r="38" spans="2:11" ht="14.4" x14ac:dyDescent="0.3">
      <c r="B38" s="37" t="s">
        <v>103</v>
      </c>
      <c r="C38" s="37"/>
      <c r="D38" s="37"/>
      <c r="E38" s="37"/>
      <c r="F38" s="37"/>
      <c r="G38" s="174"/>
      <c r="H38" s="187">
        <f>H37-G37</f>
        <v>8</v>
      </c>
      <c r="I38" s="189" t="s">
        <v>109</v>
      </c>
      <c r="J38" s="12"/>
      <c r="K38" s="12"/>
    </row>
    <row r="39" spans="2:11" x14ac:dyDescent="0.25">
      <c r="B39" s="157" t="s">
        <v>102</v>
      </c>
      <c r="C39" s="157"/>
      <c r="D39" s="157"/>
      <c r="E39" s="157"/>
      <c r="F39" s="157"/>
      <c r="G39" s="158">
        <f>G50</f>
        <v>3.9000000000000004</v>
      </c>
      <c r="H39" s="176">
        <f>H50+H62-G62</f>
        <v>9</v>
      </c>
      <c r="I39" s="177"/>
      <c r="J39" s="177"/>
      <c r="K39" s="177"/>
    </row>
    <row r="40" spans="2:11" x14ac:dyDescent="0.25">
      <c r="B40" s="157" t="s">
        <v>103</v>
      </c>
      <c r="C40" s="157" t="s">
        <v>22</v>
      </c>
      <c r="D40" s="157"/>
      <c r="E40" s="157"/>
      <c r="F40" s="157"/>
      <c r="G40" s="158"/>
      <c r="H40" s="176">
        <f>H51+H63</f>
        <v>5.0999999999999996</v>
      </c>
      <c r="I40" s="170"/>
      <c r="J40" s="177"/>
      <c r="K40" s="177"/>
    </row>
    <row r="41" spans="2:11" x14ac:dyDescent="0.25">
      <c r="B41" s="184" t="s">
        <v>104</v>
      </c>
      <c r="C41" s="184" t="s">
        <v>22</v>
      </c>
      <c r="D41" s="184"/>
      <c r="E41" s="184"/>
      <c r="F41" s="184"/>
      <c r="G41" s="184"/>
      <c r="H41" s="185">
        <f>H28-H40</f>
        <v>2.9000000000000004</v>
      </c>
      <c r="I41" s="184"/>
      <c r="J41" s="184"/>
      <c r="K41" s="184"/>
    </row>
    <row r="44" spans="2:11" x14ac:dyDescent="0.25">
      <c r="B44" s="73" t="s">
        <v>105</v>
      </c>
      <c r="C44" s="73"/>
      <c r="D44" s="73"/>
      <c r="E44" s="73"/>
      <c r="F44" s="73"/>
      <c r="G44" s="73"/>
      <c r="H44" s="73"/>
      <c r="I44" s="73"/>
      <c r="J44" s="73"/>
      <c r="K44" s="73"/>
    </row>
    <row r="45" spans="2:11" x14ac:dyDescent="0.25">
      <c r="B45" s="147" t="s">
        <v>31</v>
      </c>
      <c r="C45" s="147" t="s">
        <v>15</v>
      </c>
      <c r="D45" s="80"/>
      <c r="E45" s="80"/>
      <c r="F45" s="80"/>
      <c r="G45" s="147">
        <v>2024</v>
      </c>
      <c r="H45" s="159">
        <v>2030</v>
      </c>
      <c r="I45" s="6" t="s">
        <v>7</v>
      </c>
      <c r="J45" s="6"/>
      <c r="K45" s="6"/>
    </row>
    <row r="46" spans="2:11" ht="14.4" x14ac:dyDescent="0.3">
      <c r="B46" s="45" t="s">
        <v>88</v>
      </c>
      <c r="C46" s="45" t="s">
        <v>3</v>
      </c>
      <c r="D46" s="167"/>
      <c r="E46" s="167"/>
      <c r="F46" s="167"/>
      <c r="G46" s="62">
        <f>G17</f>
        <v>0.36985839514497643</v>
      </c>
      <c r="H46" s="160">
        <v>0.45</v>
      </c>
      <c r="I46" s="98" t="s">
        <v>89</v>
      </c>
      <c r="J46" s="78"/>
      <c r="K46" s="78"/>
    </row>
    <row r="47" spans="2:11" x14ac:dyDescent="0.25">
      <c r="B47" s="78" t="s">
        <v>90</v>
      </c>
      <c r="C47" s="78" t="s">
        <v>3</v>
      </c>
      <c r="D47" s="168"/>
      <c r="E47" s="168"/>
      <c r="F47" s="168"/>
      <c r="G47" s="79">
        <f>G18</f>
        <v>0.37663492063492066</v>
      </c>
      <c r="H47" s="89">
        <v>0.4</v>
      </c>
      <c r="I47" s="78"/>
      <c r="J47" s="78"/>
      <c r="K47" s="78"/>
    </row>
    <row r="48" spans="2:11" ht="14.4" x14ac:dyDescent="0.3">
      <c r="B48" s="78" t="s">
        <v>98</v>
      </c>
      <c r="C48" s="78" t="s">
        <v>40</v>
      </c>
      <c r="D48" s="168"/>
      <c r="E48" s="168"/>
      <c r="F48" s="168"/>
      <c r="G48" s="78">
        <f>G25-3</f>
        <v>21</v>
      </c>
      <c r="H48" s="161">
        <v>28</v>
      </c>
      <c r="I48" s="156" t="s">
        <v>108</v>
      </c>
      <c r="J48" s="78"/>
      <c r="K48" s="78"/>
    </row>
    <row r="49" spans="2:11" x14ac:dyDescent="0.25">
      <c r="B49" s="78" t="s">
        <v>97</v>
      </c>
      <c r="C49" s="78" t="s">
        <v>40</v>
      </c>
      <c r="D49" s="168"/>
      <c r="E49" s="168"/>
      <c r="F49" s="168"/>
      <c r="G49" s="78">
        <f>ROUND(G48*G47*G46,0)</f>
        <v>3</v>
      </c>
      <c r="H49" s="161">
        <f>ROUND(H48*H47*H46,0)</f>
        <v>5</v>
      </c>
      <c r="I49" s="78"/>
      <c r="J49" s="78"/>
      <c r="K49" s="78"/>
    </row>
    <row r="50" spans="2:11" x14ac:dyDescent="0.25">
      <c r="B50" s="157" t="s">
        <v>65</v>
      </c>
      <c r="C50" s="157" t="s">
        <v>22</v>
      </c>
      <c r="D50" s="157"/>
      <c r="E50" s="157"/>
      <c r="F50" s="157"/>
      <c r="G50" s="158">
        <f>G49*G29</f>
        <v>3.9000000000000004</v>
      </c>
      <c r="H50" s="162">
        <f>H49*H29</f>
        <v>8</v>
      </c>
      <c r="I50" s="157"/>
      <c r="J50" s="157"/>
      <c r="K50" s="157"/>
    </row>
    <row r="51" spans="2:11" x14ac:dyDescent="0.25">
      <c r="B51" s="157" t="s">
        <v>99</v>
      </c>
      <c r="C51" s="157" t="s">
        <v>22</v>
      </c>
      <c r="D51" s="157"/>
      <c r="E51" s="157"/>
      <c r="F51" s="157"/>
      <c r="G51" s="158"/>
      <c r="H51" s="170">
        <f>H50-G50</f>
        <v>4.0999999999999996</v>
      </c>
      <c r="I51" s="170"/>
      <c r="J51" s="177"/>
      <c r="K51" s="177"/>
    </row>
    <row r="54" spans="2:11" x14ac:dyDescent="0.25">
      <c r="B54" s="73" t="s">
        <v>106</v>
      </c>
      <c r="C54" s="73"/>
      <c r="D54" s="73"/>
      <c r="E54" s="73"/>
      <c r="F54" s="73"/>
      <c r="G54" s="73"/>
      <c r="H54" s="73"/>
      <c r="I54" s="73"/>
      <c r="J54" s="73"/>
      <c r="K54" s="73"/>
    </row>
    <row r="55" spans="2:11" x14ac:dyDescent="0.25">
      <c r="B55" s="80"/>
      <c r="C55" s="80"/>
      <c r="D55" s="80"/>
      <c r="E55" s="80"/>
      <c r="F55" s="80"/>
      <c r="G55" s="159">
        <v>2030</v>
      </c>
      <c r="H55" s="159">
        <v>2030</v>
      </c>
      <c r="I55" s="6" t="s">
        <v>7</v>
      </c>
      <c r="J55" s="6"/>
      <c r="K55" s="6"/>
    </row>
    <row r="56" spans="2:11" x14ac:dyDescent="0.25">
      <c r="B56" s="81" t="s">
        <v>31</v>
      </c>
      <c r="C56" s="81" t="s">
        <v>15</v>
      </c>
      <c r="D56" s="81"/>
      <c r="E56" s="81"/>
      <c r="F56" s="81"/>
      <c r="G56" s="171" t="s">
        <v>92</v>
      </c>
      <c r="H56" s="171" t="s">
        <v>93</v>
      </c>
      <c r="I56" s="82"/>
      <c r="J56" s="82"/>
      <c r="K56" s="82"/>
    </row>
    <row r="57" spans="2:11" x14ac:dyDescent="0.25">
      <c r="B57" s="85" t="s">
        <v>91</v>
      </c>
      <c r="C57" s="85" t="s">
        <v>43</v>
      </c>
      <c r="D57" s="169"/>
      <c r="E57" s="169"/>
      <c r="F57" s="169"/>
      <c r="G57" s="172">
        <f>ROUND(20%*H48,0)</f>
        <v>6</v>
      </c>
      <c r="H57" s="172">
        <f>ROUND(20%*H48,0)</f>
        <v>6</v>
      </c>
      <c r="I57" s="85" t="s">
        <v>94</v>
      </c>
      <c r="J57" s="85"/>
      <c r="K57" s="85"/>
    </row>
    <row r="58" spans="2:11" ht="14.4" x14ac:dyDescent="0.3">
      <c r="B58" s="78" t="s">
        <v>90</v>
      </c>
      <c r="C58" s="78" t="s">
        <v>3</v>
      </c>
      <c r="D58" s="168"/>
      <c r="E58" s="168"/>
      <c r="F58" s="168"/>
      <c r="G58" s="89">
        <f>H47</f>
        <v>0.4</v>
      </c>
      <c r="H58" s="182">
        <v>0.6</v>
      </c>
      <c r="I58" s="98" t="s">
        <v>95</v>
      </c>
      <c r="J58" s="78"/>
      <c r="K58" s="78"/>
    </row>
    <row r="59" spans="2:11" ht="14.4" x14ac:dyDescent="0.3">
      <c r="B59" s="45" t="s">
        <v>88</v>
      </c>
      <c r="C59" s="78" t="s">
        <v>3</v>
      </c>
      <c r="D59" s="168"/>
      <c r="E59" s="168"/>
      <c r="F59" s="168"/>
      <c r="G59" s="173">
        <v>0.62</v>
      </c>
      <c r="H59" s="183">
        <v>0.65</v>
      </c>
      <c r="I59" s="175" t="s">
        <v>96</v>
      </c>
      <c r="J59" s="77"/>
      <c r="K59" s="77"/>
    </row>
    <row r="60" spans="2:11" x14ac:dyDescent="0.25">
      <c r="B60" s="78" t="s">
        <v>97</v>
      </c>
      <c r="C60" s="78" t="s">
        <v>40</v>
      </c>
      <c r="D60" s="168"/>
      <c r="E60" s="168"/>
      <c r="F60" s="168"/>
      <c r="G60" s="179">
        <f>G57*G58*G59</f>
        <v>1.4880000000000002</v>
      </c>
      <c r="H60" s="179">
        <f>H57*H58*H59</f>
        <v>2.34</v>
      </c>
      <c r="I60" s="178"/>
      <c r="J60" s="85"/>
      <c r="K60" s="85"/>
    </row>
    <row r="61" spans="2:11" x14ac:dyDescent="0.25">
      <c r="B61" s="45" t="s">
        <v>85</v>
      </c>
      <c r="C61" s="45" t="s">
        <v>39</v>
      </c>
      <c r="D61" s="168"/>
      <c r="E61" s="168"/>
      <c r="F61" s="168"/>
      <c r="G61" s="180">
        <v>1.6</v>
      </c>
      <c r="H61" s="180">
        <v>1.1000000000000001</v>
      </c>
      <c r="I61" s="149"/>
      <c r="J61" s="78"/>
      <c r="K61" s="78"/>
    </row>
    <row r="62" spans="2:11" x14ac:dyDescent="0.25">
      <c r="B62" s="157" t="s">
        <v>65</v>
      </c>
      <c r="C62" s="157" t="s">
        <v>22</v>
      </c>
      <c r="D62" s="157"/>
      <c r="E62" s="157"/>
      <c r="F62" s="157"/>
      <c r="G62" s="176">
        <f>ROUND(G61*G60,0)</f>
        <v>2</v>
      </c>
      <c r="H62" s="176">
        <f>ROUND(H61*H60,0)</f>
        <v>3</v>
      </c>
      <c r="I62" s="170"/>
      <c r="J62" s="177"/>
      <c r="K62" s="177"/>
    </row>
    <row r="63" spans="2:11" x14ac:dyDescent="0.25">
      <c r="B63" s="157" t="s">
        <v>99</v>
      </c>
      <c r="C63" s="157" t="s">
        <v>22</v>
      </c>
      <c r="D63" s="157"/>
      <c r="E63" s="157"/>
      <c r="F63" s="157"/>
      <c r="G63" s="176"/>
      <c r="H63" s="176">
        <f>H62-G62</f>
        <v>1</v>
      </c>
      <c r="I63" s="170"/>
      <c r="J63" s="177"/>
      <c r="K63" s="17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04AE-F8A9-4042-91B5-3EB3261D5CA5}">
  <dimension ref="B2:AG118"/>
  <sheetViews>
    <sheetView showGridLines="0" tabSelected="1" topLeftCell="A79" zoomScale="70" zoomScaleNormal="70" workbookViewId="0">
      <selection activeCell="K113" sqref="K113"/>
    </sheetView>
  </sheetViews>
  <sheetFormatPr defaultRowHeight="13.8" outlineLevelRow="1" x14ac:dyDescent="0.25"/>
  <cols>
    <col min="1" max="1" width="1.19921875" customWidth="1"/>
    <col min="2" max="2" width="23.796875" customWidth="1"/>
    <col min="3" max="4" width="20.59765625" customWidth="1"/>
    <col min="5" max="5" width="17.5" customWidth="1"/>
    <col min="6" max="6" width="12.3984375" customWidth="1"/>
    <col min="7" max="7" width="43.796875" customWidth="1"/>
    <col min="8" max="10" width="20.59765625" customWidth="1"/>
    <col min="11" max="11" width="22.69921875" customWidth="1"/>
    <col min="12" max="13" width="20.59765625" customWidth="1"/>
    <col min="14" max="14" width="174.19921875" bestFit="1" customWidth="1"/>
    <col min="15" max="15" width="11.69921875" customWidth="1"/>
    <col min="16" max="16" width="13.296875" bestFit="1" customWidth="1"/>
    <col min="17" max="17" width="10" customWidth="1"/>
    <col min="18" max="18" width="19.09765625" bestFit="1" customWidth="1"/>
    <col min="19" max="19" width="6.19921875" customWidth="1"/>
    <col min="21" max="21" width="8.69921875" customWidth="1"/>
    <col min="23" max="23" width="19.5" customWidth="1"/>
    <col min="26" max="26" width="10.19921875" customWidth="1"/>
  </cols>
  <sheetData>
    <row r="2" spans="2:22" x14ac:dyDescent="0.25">
      <c r="B2" s="280" t="s">
        <v>127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</row>
    <row r="4" spans="2:22" x14ac:dyDescent="0.25">
      <c r="B4" s="278" t="s">
        <v>16</v>
      </c>
      <c r="C4" s="278">
        <v>2024</v>
      </c>
      <c r="D4" s="278"/>
      <c r="E4" s="278"/>
      <c r="F4" s="278"/>
      <c r="G4" s="278"/>
      <c r="H4" s="280"/>
      <c r="I4" s="280">
        <v>2030</v>
      </c>
      <c r="J4" s="280"/>
      <c r="K4" s="280"/>
      <c r="L4" s="280"/>
      <c r="M4" s="278"/>
      <c r="N4" s="278"/>
    </row>
    <row r="5" spans="2:22" x14ac:dyDescent="0.25">
      <c r="B5" s="279" t="s">
        <v>0</v>
      </c>
      <c r="C5" s="279" t="s">
        <v>24</v>
      </c>
      <c r="D5" s="279" t="s">
        <v>25</v>
      </c>
      <c r="E5" s="16"/>
      <c r="F5" s="16"/>
      <c r="G5" s="16"/>
      <c r="H5" s="16"/>
      <c r="I5" s="279" t="s">
        <v>0</v>
      </c>
      <c r="J5" s="279" t="s">
        <v>24</v>
      </c>
      <c r="K5" s="279" t="s">
        <v>25</v>
      </c>
    </row>
    <row r="6" spans="2:22" x14ac:dyDescent="0.25">
      <c r="B6" s="19" t="s">
        <v>28</v>
      </c>
      <c r="C6" s="4"/>
      <c r="D6" s="4"/>
      <c r="E6" s="16"/>
      <c r="F6" s="16"/>
      <c r="G6" s="16"/>
      <c r="H6" s="16"/>
      <c r="I6" s="19" t="s">
        <v>28</v>
      </c>
      <c r="J6" s="4"/>
      <c r="K6" s="4"/>
    </row>
    <row r="7" spans="2:22" x14ac:dyDescent="0.25">
      <c r="B7" s="13" t="s">
        <v>2</v>
      </c>
      <c r="C7" s="18">
        <v>15000</v>
      </c>
      <c r="D7" s="18">
        <v>9500</v>
      </c>
      <c r="E7" s="16"/>
      <c r="F7" s="16"/>
      <c r="G7" s="16"/>
      <c r="H7" s="16"/>
      <c r="I7" s="13" t="s">
        <v>2</v>
      </c>
      <c r="J7" s="18">
        <v>17395.401273193354</v>
      </c>
      <c r="K7" s="18">
        <v>11017.087473022457</v>
      </c>
    </row>
    <row r="8" spans="2:22" x14ac:dyDescent="0.25">
      <c r="B8" s="13" t="s">
        <v>11</v>
      </c>
      <c r="C8" s="18">
        <v>0</v>
      </c>
      <c r="D8" s="18">
        <v>5000</v>
      </c>
      <c r="E8" s="16"/>
      <c r="F8" s="16"/>
      <c r="G8" s="16"/>
      <c r="H8" s="16"/>
      <c r="I8" s="13" t="s">
        <v>11</v>
      </c>
      <c r="J8" s="18">
        <v>0</v>
      </c>
      <c r="K8" s="18">
        <v>5798.4670910644509</v>
      </c>
    </row>
    <row r="9" spans="2:22" x14ac:dyDescent="0.25">
      <c r="B9" s="13" t="s">
        <v>26</v>
      </c>
      <c r="C9" s="18">
        <v>25000</v>
      </c>
      <c r="D9" s="18">
        <v>13000</v>
      </c>
      <c r="E9" s="16"/>
      <c r="F9" s="16"/>
      <c r="G9" s="16"/>
      <c r="H9" s="16"/>
      <c r="I9" s="13" t="s">
        <v>26</v>
      </c>
      <c r="J9" s="18">
        <v>28992.335455322256</v>
      </c>
      <c r="K9" s="18">
        <v>15076.014436767573</v>
      </c>
    </row>
    <row r="10" spans="2:22" x14ac:dyDescent="0.25">
      <c r="B10" s="13" t="s">
        <v>27</v>
      </c>
      <c r="C10" s="18">
        <v>25000</v>
      </c>
      <c r="D10" s="18">
        <v>13000</v>
      </c>
      <c r="E10" s="16"/>
      <c r="F10" s="16"/>
      <c r="G10" s="16"/>
      <c r="H10" s="16"/>
      <c r="I10" s="13" t="s">
        <v>27</v>
      </c>
      <c r="J10" s="18">
        <v>28992.335455322256</v>
      </c>
      <c r="K10" s="18">
        <v>15076.014436767573</v>
      </c>
    </row>
    <row r="13" spans="2:22" x14ac:dyDescent="0.25">
      <c r="B13" s="73" t="s">
        <v>128</v>
      </c>
      <c r="C13" s="101">
        <v>2024</v>
      </c>
      <c r="D13" s="73"/>
      <c r="E13" s="73"/>
      <c r="F13" s="73"/>
      <c r="G13" s="73"/>
      <c r="H13" s="16"/>
      <c r="I13" s="73" t="s">
        <v>17</v>
      </c>
      <c r="J13" s="101">
        <v>2030</v>
      </c>
      <c r="K13" s="73"/>
      <c r="L13" s="73"/>
      <c r="M13" s="73"/>
      <c r="N13" s="73"/>
      <c r="P13" s="16"/>
      <c r="Q13" s="16"/>
      <c r="R13" s="16"/>
      <c r="S13" s="16"/>
      <c r="T13" s="16"/>
      <c r="U13" s="16"/>
      <c r="V13" s="16"/>
    </row>
    <row r="14" spans="2:22" x14ac:dyDescent="0.25">
      <c r="B14" s="80" t="s">
        <v>0</v>
      </c>
      <c r="C14" s="80" t="s">
        <v>4</v>
      </c>
      <c r="D14" s="80"/>
      <c r="E14" s="80"/>
      <c r="F14" s="80"/>
      <c r="G14" s="80"/>
      <c r="H14" s="16"/>
      <c r="I14" s="80" t="s">
        <v>0</v>
      </c>
      <c r="J14" s="80" t="s">
        <v>4</v>
      </c>
      <c r="K14" s="80"/>
      <c r="L14" s="80"/>
      <c r="M14" s="80"/>
      <c r="N14" s="80"/>
      <c r="P14" s="16"/>
      <c r="Q14" s="16"/>
      <c r="R14" s="16"/>
      <c r="S14" s="16"/>
      <c r="T14" s="16"/>
      <c r="U14" s="16"/>
      <c r="V14" s="16"/>
    </row>
    <row r="15" spans="2:22" x14ac:dyDescent="0.25">
      <c r="B15" s="17" t="s">
        <v>28</v>
      </c>
      <c r="C15" s="14" t="s">
        <v>5</v>
      </c>
      <c r="D15" s="14" t="s">
        <v>6</v>
      </c>
      <c r="E15" s="14" t="s">
        <v>5</v>
      </c>
      <c r="F15" s="14" t="s">
        <v>6</v>
      </c>
      <c r="G15" s="6" t="s">
        <v>55</v>
      </c>
      <c r="H15" s="16"/>
      <c r="I15" s="17" t="s">
        <v>28</v>
      </c>
      <c r="J15" s="14" t="s">
        <v>5</v>
      </c>
      <c r="K15" s="14" t="s">
        <v>6</v>
      </c>
      <c r="L15" s="14" t="s">
        <v>5</v>
      </c>
      <c r="M15" s="14" t="s">
        <v>6</v>
      </c>
      <c r="N15" s="6" t="s">
        <v>55</v>
      </c>
      <c r="P15" s="16"/>
      <c r="Q15" s="16"/>
      <c r="R15" s="16"/>
      <c r="S15" s="16"/>
      <c r="T15" s="16"/>
      <c r="U15" s="16"/>
      <c r="V15" s="16"/>
    </row>
    <row r="16" spans="2:22" ht="14.4" x14ac:dyDescent="0.3">
      <c r="B16" s="20" t="s">
        <v>2</v>
      </c>
      <c r="C16" s="34">
        <v>981.66666666666606</v>
      </c>
      <c r="D16" s="34">
        <v>1363.7777777777774</v>
      </c>
      <c r="E16" s="21">
        <v>1</v>
      </c>
      <c r="F16" s="21">
        <v>0.46</v>
      </c>
      <c r="G16" s="98" t="s">
        <v>56</v>
      </c>
      <c r="H16" s="16"/>
      <c r="I16" s="20" t="s">
        <v>2</v>
      </c>
      <c r="J16" s="34">
        <v>1138.4323722123199</v>
      </c>
      <c r="K16" s="34">
        <v>1581.56411279389</v>
      </c>
      <c r="L16" s="21">
        <v>1</v>
      </c>
      <c r="M16" s="21">
        <v>0.46</v>
      </c>
      <c r="N16" s="98" t="s">
        <v>56</v>
      </c>
      <c r="P16" s="16"/>
      <c r="Q16" s="16"/>
      <c r="R16" s="16"/>
      <c r="S16" s="16"/>
      <c r="T16" s="16"/>
      <c r="U16" s="16"/>
      <c r="V16" s="16"/>
    </row>
    <row r="17" spans="2:22" ht="14.4" x14ac:dyDescent="0.3">
      <c r="B17" s="20" t="s">
        <v>11</v>
      </c>
      <c r="C17" s="34">
        <v>0</v>
      </c>
      <c r="D17" s="34">
        <v>717.7777777777776</v>
      </c>
      <c r="E17" s="21">
        <f>1-E16</f>
        <v>0</v>
      </c>
      <c r="F17" s="21">
        <f>1-F16</f>
        <v>0.54</v>
      </c>
      <c r="G17" s="98" t="s">
        <v>56</v>
      </c>
      <c r="H17" s="16"/>
      <c r="I17" s="20" t="s">
        <v>11</v>
      </c>
      <c r="J17" s="34">
        <v>0</v>
      </c>
      <c r="K17" s="34">
        <v>832.40216462836315</v>
      </c>
      <c r="L17" s="21">
        <f>1-L16</f>
        <v>0</v>
      </c>
      <c r="M17" s="21">
        <f>1-M16</f>
        <v>0.54</v>
      </c>
      <c r="N17" s="98" t="s">
        <v>56</v>
      </c>
      <c r="P17" s="16"/>
      <c r="Q17" s="16"/>
      <c r="R17" s="16"/>
      <c r="S17" s="16"/>
      <c r="T17" s="16"/>
      <c r="U17" s="16"/>
      <c r="V17" s="16"/>
    </row>
    <row r="18" spans="2:22" ht="14.4" x14ac:dyDescent="0.3">
      <c r="B18" s="20" t="s">
        <v>26</v>
      </c>
      <c r="C18" s="34">
        <v>1750</v>
      </c>
      <c r="D18" s="34">
        <v>962.5</v>
      </c>
      <c r="E18" s="21">
        <v>0</v>
      </c>
      <c r="F18" s="21">
        <v>0</v>
      </c>
      <c r="G18" s="98" t="s">
        <v>56</v>
      </c>
      <c r="H18" s="16"/>
      <c r="I18" s="20" t="s">
        <v>26</v>
      </c>
      <c r="J18" s="34">
        <v>2029.4634818725578</v>
      </c>
      <c r="K18" s="34">
        <v>1116.2049150299067</v>
      </c>
      <c r="L18" s="21">
        <v>0</v>
      </c>
      <c r="M18" s="21">
        <v>0</v>
      </c>
      <c r="N18" s="98" t="s">
        <v>56</v>
      </c>
      <c r="P18" s="16"/>
      <c r="Q18" s="16"/>
      <c r="R18" s="16"/>
      <c r="S18" s="16"/>
      <c r="T18" s="16"/>
      <c r="U18" s="16"/>
      <c r="V18" s="16"/>
    </row>
    <row r="19" spans="2:22" ht="14.4" x14ac:dyDescent="0.3">
      <c r="B19" s="15" t="s">
        <v>27</v>
      </c>
      <c r="C19" s="36">
        <v>3500</v>
      </c>
      <c r="D19" s="36">
        <v>1925</v>
      </c>
      <c r="E19" s="22">
        <v>1</v>
      </c>
      <c r="F19" s="22">
        <v>1</v>
      </c>
      <c r="G19" s="98" t="s">
        <v>56</v>
      </c>
      <c r="H19" s="16"/>
      <c r="I19" s="20" t="s">
        <v>27</v>
      </c>
      <c r="J19" s="34">
        <v>4058.9269637451157</v>
      </c>
      <c r="K19" s="34">
        <v>2232.4098300598134</v>
      </c>
      <c r="L19" s="21">
        <v>1</v>
      </c>
      <c r="M19" s="21">
        <v>1</v>
      </c>
      <c r="N19" s="98" t="s">
        <v>56</v>
      </c>
      <c r="P19" s="16"/>
      <c r="Q19" s="16"/>
      <c r="R19" s="16"/>
      <c r="S19" s="16"/>
      <c r="T19" s="16"/>
      <c r="U19" s="16"/>
      <c r="V19" s="16"/>
    </row>
    <row r="22" spans="2:22" x14ac:dyDescent="0.25">
      <c r="B22" s="7" t="s">
        <v>100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2:22" x14ac:dyDescent="0.25">
      <c r="B23" s="27" t="s">
        <v>123</v>
      </c>
      <c r="C23" s="27" t="s">
        <v>21</v>
      </c>
      <c r="D23" s="29" t="s">
        <v>0</v>
      </c>
      <c r="E23" s="29" t="s">
        <v>4</v>
      </c>
      <c r="F23" s="29" t="s">
        <v>9</v>
      </c>
      <c r="G23" s="4" t="s">
        <v>31</v>
      </c>
      <c r="H23" s="2" t="s">
        <v>15</v>
      </c>
      <c r="I23" s="4">
        <v>2024</v>
      </c>
      <c r="J23" s="100"/>
      <c r="K23" s="281">
        <v>2030</v>
      </c>
      <c r="L23" s="283"/>
      <c r="M23" s="100"/>
      <c r="N23" s="6" t="s">
        <v>55</v>
      </c>
    </row>
    <row r="24" spans="2:22" x14ac:dyDescent="0.25">
      <c r="B24" s="223"/>
      <c r="C24" s="223"/>
      <c r="D24" s="81"/>
      <c r="E24" s="81"/>
      <c r="F24" s="81"/>
      <c r="G24" s="223"/>
      <c r="H24" s="223"/>
      <c r="I24" s="223"/>
      <c r="J24" s="263"/>
      <c r="K24" s="196" t="s">
        <v>52</v>
      </c>
      <c r="L24" s="223" t="s">
        <v>53</v>
      </c>
      <c r="M24" s="263"/>
      <c r="N24" s="236"/>
    </row>
    <row r="25" spans="2:22" x14ac:dyDescent="0.25">
      <c r="B25" s="224" t="s">
        <v>54</v>
      </c>
      <c r="C25" s="224" t="s">
        <v>23</v>
      </c>
      <c r="D25" s="224" t="s">
        <v>29</v>
      </c>
      <c r="E25" s="224" t="s">
        <v>6</v>
      </c>
      <c r="F25" s="224" t="s">
        <v>124</v>
      </c>
      <c r="G25" s="224" t="s">
        <v>8</v>
      </c>
      <c r="H25" s="224" t="s">
        <v>22</v>
      </c>
      <c r="I25" s="265">
        <f>I89</f>
        <v>0</v>
      </c>
      <c r="J25" s="264"/>
      <c r="K25" s="266">
        <f t="shared" ref="K25:L26" si="0">K89</f>
        <v>3</v>
      </c>
      <c r="L25" s="237">
        <f t="shared" si="0"/>
        <v>4</v>
      </c>
      <c r="M25" s="264"/>
      <c r="N25" s="224"/>
    </row>
    <row r="26" spans="2:22" x14ac:dyDescent="0.25">
      <c r="B26" s="224" t="s">
        <v>54</v>
      </c>
      <c r="C26" s="224" t="s">
        <v>23</v>
      </c>
      <c r="D26" s="224" t="s">
        <v>29</v>
      </c>
      <c r="E26" s="224" t="s">
        <v>6</v>
      </c>
      <c r="F26" s="224" t="s">
        <v>124</v>
      </c>
      <c r="G26" s="224" t="s">
        <v>103</v>
      </c>
      <c r="H26" s="224" t="s">
        <v>22</v>
      </c>
      <c r="I26" s="224"/>
      <c r="J26" s="264"/>
      <c r="K26" s="266">
        <f t="shared" si="0"/>
        <v>3</v>
      </c>
      <c r="L26" s="237">
        <f t="shared" si="0"/>
        <v>4</v>
      </c>
      <c r="M26" s="264"/>
      <c r="N26" s="224"/>
    </row>
    <row r="27" spans="2:22" x14ac:dyDescent="0.25">
      <c r="B27" s="224" t="s">
        <v>64</v>
      </c>
      <c r="C27" s="224" t="s">
        <v>23</v>
      </c>
      <c r="D27" s="224" t="s">
        <v>2</v>
      </c>
      <c r="E27" s="224" t="s">
        <v>125</v>
      </c>
      <c r="F27" s="224" t="s">
        <v>19</v>
      </c>
      <c r="G27" s="224" t="s">
        <v>8</v>
      </c>
      <c r="H27" s="224" t="s">
        <v>22</v>
      </c>
      <c r="I27" s="271">
        <f>I101</f>
        <v>0</v>
      </c>
      <c r="J27" s="264"/>
      <c r="K27" s="273">
        <f>K101</f>
        <v>1.35</v>
      </c>
      <c r="L27" s="272">
        <f>L101</f>
        <v>2.25</v>
      </c>
      <c r="M27" s="264"/>
      <c r="N27" s="224"/>
    </row>
    <row r="28" spans="2:22" x14ac:dyDescent="0.25">
      <c r="B28" s="224" t="s">
        <v>64</v>
      </c>
      <c r="C28" s="224" t="s">
        <v>23</v>
      </c>
      <c r="D28" s="224" t="s">
        <v>2</v>
      </c>
      <c r="E28" s="224" t="s">
        <v>125</v>
      </c>
      <c r="F28" s="224" t="s">
        <v>19</v>
      </c>
      <c r="G28" s="224" t="s">
        <v>103</v>
      </c>
      <c r="H28" s="224" t="s">
        <v>22</v>
      </c>
      <c r="I28" s="271">
        <f>I102</f>
        <v>0</v>
      </c>
      <c r="J28" s="264"/>
      <c r="K28" s="273">
        <f>K102</f>
        <v>1.35</v>
      </c>
      <c r="L28" s="272">
        <f>L102</f>
        <v>2.25</v>
      </c>
      <c r="M28" s="264"/>
      <c r="N28" s="224"/>
    </row>
    <row r="29" spans="2:22" x14ac:dyDescent="0.25">
      <c r="B29" s="224" t="s">
        <v>122</v>
      </c>
      <c r="C29" s="224" t="s">
        <v>23</v>
      </c>
      <c r="D29" s="224" t="s">
        <v>11</v>
      </c>
      <c r="E29" s="224" t="s">
        <v>125</v>
      </c>
      <c r="F29" s="224" t="s">
        <v>124</v>
      </c>
      <c r="G29" s="224" t="s">
        <v>8</v>
      </c>
      <c r="H29" s="224" t="s">
        <v>22</v>
      </c>
      <c r="I29" s="231">
        <f ca="1">I115</f>
        <v>5.0872499999999974</v>
      </c>
      <c r="J29" s="264"/>
      <c r="K29" s="266">
        <f t="shared" ref="K29:L30" si="1">K115</f>
        <v>7</v>
      </c>
      <c r="L29" s="237">
        <f t="shared" si="1"/>
        <v>8</v>
      </c>
      <c r="M29" s="264"/>
      <c r="N29" s="224"/>
    </row>
    <row r="30" spans="2:22" x14ac:dyDescent="0.25">
      <c r="B30" s="224" t="s">
        <v>122</v>
      </c>
      <c r="C30" s="224" t="s">
        <v>23</v>
      </c>
      <c r="D30" s="224" t="s">
        <v>11</v>
      </c>
      <c r="E30" s="224" t="s">
        <v>125</v>
      </c>
      <c r="F30" s="224" t="s">
        <v>124</v>
      </c>
      <c r="G30" s="224" t="s">
        <v>103</v>
      </c>
      <c r="H30" s="224" t="s">
        <v>22</v>
      </c>
      <c r="I30" s="224"/>
      <c r="J30" s="264"/>
      <c r="K30" s="266">
        <f t="shared" ca="1" si="1"/>
        <v>1.9127500000000026</v>
      </c>
      <c r="L30" s="237">
        <f t="shared" ca="1" si="1"/>
        <v>2.9127500000000026</v>
      </c>
      <c r="M30" s="264"/>
      <c r="N30" s="224"/>
    </row>
    <row r="31" spans="2:22" x14ac:dyDescent="0.25">
      <c r="B31" s="260" t="s">
        <v>12</v>
      </c>
      <c r="C31" s="260" t="s">
        <v>23</v>
      </c>
      <c r="D31" s="260" t="s">
        <v>29</v>
      </c>
      <c r="E31" s="260" t="s">
        <v>6</v>
      </c>
      <c r="F31" s="260" t="s">
        <v>12</v>
      </c>
      <c r="G31" s="260" t="s">
        <v>8</v>
      </c>
      <c r="H31" s="260" t="s">
        <v>22</v>
      </c>
      <c r="I31" s="261">
        <f>SUM(I20:I22)</f>
        <v>0</v>
      </c>
      <c r="J31" s="261"/>
      <c r="K31" s="274">
        <f>K25+K27+K29</f>
        <v>11.35</v>
      </c>
      <c r="L31" s="276">
        <f>L25+L27+L29</f>
        <v>14.25</v>
      </c>
      <c r="M31" s="261"/>
      <c r="N31" s="260"/>
    </row>
    <row r="32" spans="2:22" x14ac:dyDescent="0.25">
      <c r="B32" s="177" t="s">
        <v>119</v>
      </c>
      <c r="C32" s="177" t="s">
        <v>23</v>
      </c>
      <c r="D32" s="177" t="s">
        <v>117</v>
      </c>
      <c r="E32" s="177" t="s">
        <v>12</v>
      </c>
      <c r="F32" s="177" t="s">
        <v>12</v>
      </c>
      <c r="G32" s="255" t="s">
        <v>103</v>
      </c>
      <c r="H32" s="177" t="s">
        <v>22</v>
      </c>
      <c r="I32" s="256"/>
      <c r="J32" s="256"/>
      <c r="K32" s="275">
        <f ca="1">K26+K28+K30</f>
        <v>6.2627500000000023</v>
      </c>
      <c r="L32" s="277">
        <f ca="1">L26+L28+L30</f>
        <v>9.1627500000000026</v>
      </c>
      <c r="M32" s="256"/>
      <c r="N32" s="259"/>
    </row>
    <row r="35" spans="2:15" x14ac:dyDescent="0.25">
      <c r="B35" s="7" t="s">
        <v>54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2:15" x14ac:dyDescent="0.25">
      <c r="B36" s="1"/>
      <c r="C36" s="1"/>
    </row>
    <row r="37" spans="2:15" x14ac:dyDescent="0.25">
      <c r="B37" s="1"/>
      <c r="C37" s="1"/>
    </row>
    <row r="38" spans="2:15" x14ac:dyDescent="0.25">
      <c r="B38" s="35" t="s">
        <v>115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</row>
    <row r="39" spans="2:15" x14ac:dyDescent="0.25">
      <c r="B39" s="27" t="s">
        <v>37</v>
      </c>
      <c r="C39" s="27" t="s">
        <v>21</v>
      </c>
      <c r="D39" s="29" t="s">
        <v>0</v>
      </c>
      <c r="E39" s="29" t="s">
        <v>4</v>
      </c>
      <c r="F39" s="29" t="s">
        <v>9</v>
      </c>
      <c r="G39" s="4" t="s">
        <v>31</v>
      </c>
      <c r="H39" s="2" t="s">
        <v>15</v>
      </c>
      <c r="I39" s="4">
        <v>2024</v>
      </c>
      <c r="J39" s="100" t="s">
        <v>3</v>
      </c>
      <c r="K39" s="196">
        <v>2030</v>
      </c>
      <c r="L39" s="100" t="s">
        <v>3</v>
      </c>
      <c r="M39" s="100"/>
      <c r="N39" s="6" t="s">
        <v>55</v>
      </c>
    </row>
    <row r="40" spans="2:15" ht="14.4" x14ac:dyDescent="0.3">
      <c r="B40" s="20" t="s">
        <v>35</v>
      </c>
      <c r="C40" s="20" t="s">
        <v>23</v>
      </c>
      <c r="D40" s="20" t="s">
        <v>29</v>
      </c>
      <c r="E40" s="26" t="s">
        <v>6</v>
      </c>
      <c r="F40" s="26" t="s">
        <v>12</v>
      </c>
      <c r="G40" s="20" t="s">
        <v>36</v>
      </c>
      <c r="H40" s="20" t="s">
        <v>32</v>
      </c>
      <c r="I40" s="47">
        <v>135</v>
      </c>
      <c r="J40" s="48">
        <f>I40/$I$40</f>
        <v>1</v>
      </c>
      <c r="K40" s="217">
        <v>180</v>
      </c>
      <c r="L40" s="48">
        <f>K40/$K$40</f>
        <v>1</v>
      </c>
      <c r="M40" s="48"/>
      <c r="N40" s="40"/>
    </row>
    <row r="41" spans="2:15" ht="14.4" x14ac:dyDescent="0.3">
      <c r="B41" s="20" t="s">
        <v>35</v>
      </c>
      <c r="C41" s="20" t="s">
        <v>23</v>
      </c>
      <c r="D41" s="20" t="s">
        <v>29</v>
      </c>
      <c r="E41" s="26" t="s">
        <v>6</v>
      </c>
      <c r="F41" s="26" t="s">
        <v>19</v>
      </c>
      <c r="G41" s="20" t="s">
        <v>36</v>
      </c>
      <c r="H41" s="20" t="s">
        <v>32</v>
      </c>
      <c r="I41" s="30">
        <v>75</v>
      </c>
      <c r="J41" s="48">
        <f>I41/$I$40</f>
        <v>0.55555555555555558</v>
      </c>
      <c r="K41" s="218">
        <f>J41*$K$40</f>
        <v>100</v>
      </c>
      <c r="L41" s="48">
        <f>K41/$K$40</f>
        <v>0.55555555555555558</v>
      </c>
      <c r="M41" s="48"/>
      <c r="N41" s="40"/>
    </row>
    <row r="42" spans="2:15" ht="14.4" x14ac:dyDescent="0.3">
      <c r="B42" s="38" t="s">
        <v>35</v>
      </c>
      <c r="C42" s="38" t="s">
        <v>23</v>
      </c>
      <c r="D42" s="38" t="s">
        <v>29</v>
      </c>
      <c r="E42" s="38" t="s">
        <v>6</v>
      </c>
      <c r="F42" s="38" t="s">
        <v>18</v>
      </c>
      <c r="G42" s="38" t="s">
        <v>36</v>
      </c>
      <c r="H42" s="38" t="s">
        <v>32</v>
      </c>
      <c r="I42" s="129">
        <v>60</v>
      </c>
      <c r="J42" s="63">
        <f>I42/$I$40</f>
        <v>0.44444444444444442</v>
      </c>
      <c r="K42" s="219">
        <f>J42*$K$40</f>
        <v>80</v>
      </c>
      <c r="L42" s="63">
        <f>K42/$K$40</f>
        <v>0.44444444444444442</v>
      </c>
      <c r="M42" s="63"/>
      <c r="N42" s="124"/>
    </row>
    <row r="43" spans="2:15" ht="14.4" x14ac:dyDescent="0.3">
      <c r="B43" s="125" t="s">
        <v>33</v>
      </c>
      <c r="C43" s="125" t="s">
        <v>23</v>
      </c>
      <c r="D43" s="125" t="s">
        <v>29</v>
      </c>
      <c r="E43" s="125" t="s">
        <v>6</v>
      </c>
      <c r="F43" s="125" t="s">
        <v>19</v>
      </c>
      <c r="G43" s="125" t="s">
        <v>36</v>
      </c>
      <c r="H43" s="125" t="s">
        <v>32</v>
      </c>
      <c r="I43" s="130">
        <v>0.24</v>
      </c>
      <c r="J43" s="127">
        <v>1</v>
      </c>
      <c r="K43" s="220">
        <f>I43*(1+$K$44)^6</f>
        <v>0.42108654129898226</v>
      </c>
      <c r="L43" s="127">
        <v>1</v>
      </c>
      <c r="M43" s="127"/>
      <c r="N43" s="128"/>
    </row>
    <row r="44" spans="2:15" ht="14.4" x14ac:dyDescent="0.3">
      <c r="B44" s="20" t="s">
        <v>33</v>
      </c>
      <c r="C44" s="20" t="s">
        <v>23</v>
      </c>
      <c r="D44" s="20" t="s">
        <v>29</v>
      </c>
      <c r="E44" s="26" t="s">
        <v>6</v>
      </c>
      <c r="F44" s="26" t="s">
        <v>12</v>
      </c>
      <c r="G44" s="20" t="s">
        <v>38</v>
      </c>
      <c r="H44" s="20" t="s">
        <v>3</v>
      </c>
      <c r="I44" s="33"/>
      <c r="J44" s="190"/>
      <c r="K44" s="199">
        <f>_xlfn.RRI(K39-I39,I40,K40)*2</f>
        <v>9.823012684329635E-2</v>
      </c>
      <c r="L44" s="78"/>
      <c r="M44" s="78"/>
      <c r="N44" s="191" t="s">
        <v>110</v>
      </c>
    </row>
    <row r="45" spans="2:15" x14ac:dyDescent="0.25">
      <c r="O45" s="39"/>
    </row>
    <row r="46" spans="2:15" x14ac:dyDescent="0.25">
      <c r="B46" s="35" t="s">
        <v>116</v>
      </c>
      <c r="C46" s="28"/>
      <c r="D46" s="28"/>
      <c r="E46" s="28"/>
      <c r="F46" s="28"/>
      <c r="G46" s="28"/>
      <c r="H46" s="28"/>
      <c r="I46" s="28"/>
      <c r="J46" s="28"/>
      <c r="K46" s="110"/>
      <c r="L46" s="110"/>
      <c r="M46" s="110"/>
      <c r="N46" s="110"/>
    </row>
    <row r="48" spans="2:15" x14ac:dyDescent="0.25">
      <c r="B48" s="27" t="s">
        <v>37</v>
      </c>
      <c r="C48" s="27" t="s">
        <v>21</v>
      </c>
      <c r="D48" s="29" t="s">
        <v>0</v>
      </c>
      <c r="E48" s="29" t="s">
        <v>4</v>
      </c>
      <c r="F48" s="29" t="s">
        <v>9</v>
      </c>
      <c r="G48" s="4" t="s">
        <v>31</v>
      </c>
      <c r="H48" s="2" t="s">
        <v>15</v>
      </c>
      <c r="I48" s="4">
        <v>2024</v>
      </c>
      <c r="J48" s="100" t="s">
        <v>3</v>
      </c>
      <c r="K48" s="196">
        <v>2030</v>
      </c>
      <c r="L48" s="100" t="s">
        <v>3</v>
      </c>
      <c r="M48" s="100"/>
      <c r="N48" s="6" t="s">
        <v>55</v>
      </c>
    </row>
    <row r="49" spans="2:19" ht="14.4" x14ac:dyDescent="0.3">
      <c r="B49" s="20" t="s">
        <v>35</v>
      </c>
      <c r="C49" s="20" t="s">
        <v>23</v>
      </c>
      <c r="D49" s="20" t="s">
        <v>29</v>
      </c>
      <c r="E49" s="26" t="s">
        <v>6</v>
      </c>
      <c r="F49" s="26" t="s">
        <v>12</v>
      </c>
      <c r="G49" s="20" t="s">
        <v>36</v>
      </c>
      <c r="H49" s="20" t="s">
        <v>32</v>
      </c>
      <c r="I49" s="41">
        <f>I40</f>
        <v>135</v>
      </c>
      <c r="J49" s="48">
        <f>I49/$I$49</f>
        <v>1</v>
      </c>
      <c r="K49" s="208">
        <f>K40</f>
        <v>180</v>
      </c>
      <c r="L49" s="48">
        <f>K49/$K$49</f>
        <v>1</v>
      </c>
      <c r="M49" s="48"/>
      <c r="N49" s="10" t="s">
        <v>111</v>
      </c>
    </row>
    <row r="50" spans="2:19" ht="14.4" x14ac:dyDescent="0.3">
      <c r="B50" s="20" t="s">
        <v>35</v>
      </c>
      <c r="C50" s="20" t="s">
        <v>23</v>
      </c>
      <c r="D50" s="20" t="s">
        <v>29</v>
      </c>
      <c r="E50" s="26" t="s">
        <v>6</v>
      </c>
      <c r="F50" s="26" t="s">
        <v>19</v>
      </c>
      <c r="G50" s="20" t="s">
        <v>36</v>
      </c>
      <c r="H50" s="20" t="s">
        <v>32</v>
      </c>
      <c r="I50" s="41">
        <f>I41</f>
        <v>75</v>
      </c>
      <c r="J50" s="48">
        <f t="shared" ref="J50:J51" si="2">I50/$I$49</f>
        <v>0.55555555555555558</v>
      </c>
      <c r="K50" s="208">
        <f>K41</f>
        <v>100</v>
      </c>
      <c r="L50" s="48">
        <f t="shared" ref="L50:L51" si="3">K50/$K$49</f>
        <v>0.55555555555555558</v>
      </c>
      <c r="M50" s="48"/>
      <c r="N50" s="40" t="s">
        <v>111</v>
      </c>
    </row>
    <row r="51" spans="2:19" ht="14.4" x14ac:dyDescent="0.3">
      <c r="B51" s="38" t="s">
        <v>35</v>
      </c>
      <c r="C51" s="38" t="s">
        <v>23</v>
      </c>
      <c r="D51" s="38" t="s">
        <v>29</v>
      </c>
      <c r="E51" s="38" t="s">
        <v>6</v>
      </c>
      <c r="F51" s="38" t="s">
        <v>19</v>
      </c>
      <c r="G51" s="38" t="s">
        <v>36</v>
      </c>
      <c r="H51" s="38" t="s">
        <v>32</v>
      </c>
      <c r="I51" s="123">
        <f>I42</f>
        <v>60</v>
      </c>
      <c r="J51" s="63">
        <f t="shared" si="2"/>
        <v>0.44444444444444442</v>
      </c>
      <c r="K51" s="209">
        <f>K42</f>
        <v>80</v>
      </c>
      <c r="L51" s="63">
        <f t="shared" si="3"/>
        <v>0.44444444444444442</v>
      </c>
      <c r="M51" s="63"/>
      <c r="N51" s="124" t="s">
        <v>111</v>
      </c>
    </row>
    <row r="52" spans="2:19" ht="14.4" x14ac:dyDescent="0.3">
      <c r="B52" s="125" t="s">
        <v>33</v>
      </c>
      <c r="C52" s="125" t="s">
        <v>23</v>
      </c>
      <c r="D52" s="125" t="s">
        <v>29</v>
      </c>
      <c r="E52" s="125" t="s">
        <v>6</v>
      </c>
      <c r="F52" s="125" t="s">
        <v>12</v>
      </c>
      <c r="G52" s="125" t="s">
        <v>36</v>
      </c>
      <c r="H52" s="125" t="s">
        <v>32</v>
      </c>
      <c r="I52" s="126">
        <f>$C$55*I43</f>
        <v>1.44</v>
      </c>
      <c r="J52" s="127">
        <v>1</v>
      </c>
      <c r="K52" s="221">
        <f>$C$55*K43</f>
        <v>2.5265192477938934</v>
      </c>
      <c r="L52" s="127">
        <v>1</v>
      </c>
      <c r="M52" s="127"/>
      <c r="N52" s="128"/>
    </row>
    <row r="53" spans="2:19" x14ac:dyDescent="0.25">
      <c r="B53" s="65" t="s">
        <v>12</v>
      </c>
      <c r="C53" s="65" t="s">
        <v>23</v>
      </c>
      <c r="D53" s="102" t="s">
        <v>29</v>
      </c>
      <c r="E53" s="102" t="s">
        <v>6</v>
      </c>
      <c r="F53" s="102" t="s">
        <v>12</v>
      </c>
      <c r="G53" s="102" t="s">
        <v>36</v>
      </c>
      <c r="H53" s="102" t="s">
        <v>41</v>
      </c>
      <c r="I53" s="105">
        <f>SUM(I50:I52)</f>
        <v>136.44</v>
      </c>
      <c r="J53" s="99"/>
      <c r="K53" s="222">
        <f>SUM(K50:K52)</f>
        <v>182.52651924779389</v>
      </c>
      <c r="L53" s="99"/>
      <c r="M53" s="95"/>
      <c r="N53" s="103"/>
    </row>
    <row r="54" spans="2:19" x14ac:dyDescent="0.25">
      <c r="B54" s="106"/>
      <c r="C54" s="77"/>
      <c r="D54" s="5"/>
      <c r="E54" s="5"/>
      <c r="F54" s="5"/>
      <c r="G54" s="5"/>
      <c r="H54" s="5"/>
      <c r="I54" s="107"/>
      <c r="K54" s="107"/>
    </row>
    <row r="55" spans="2:19" x14ac:dyDescent="0.25">
      <c r="B55" s="108" t="s">
        <v>112</v>
      </c>
      <c r="C55" s="109">
        <f>360/60</f>
        <v>6</v>
      </c>
      <c r="D55" s="190" t="s">
        <v>113</v>
      </c>
      <c r="I55" s="42"/>
      <c r="K55" s="42"/>
    </row>
    <row r="56" spans="2:19" x14ac:dyDescent="0.25">
      <c r="I56" s="42"/>
      <c r="K56" s="42"/>
    </row>
    <row r="57" spans="2:19" x14ac:dyDescent="0.25">
      <c r="I57" s="42"/>
      <c r="K57" s="42"/>
    </row>
    <row r="58" spans="2:19" x14ac:dyDescent="0.25">
      <c r="B58" s="49" t="s">
        <v>57</v>
      </c>
      <c r="C58" s="49"/>
      <c r="D58" s="49"/>
      <c r="E58" s="49"/>
      <c r="F58" s="49"/>
      <c r="G58" s="49"/>
      <c r="H58" s="49"/>
      <c r="I58" s="50"/>
      <c r="J58" s="68"/>
      <c r="K58" s="68"/>
      <c r="L58" s="68"/>
      <c r="M58" s="68"/>
      <c r="N58" s="68"/>
      <c r="R58" s="43"/>
      <c r="S58" s="43"/>
    </row>
    <row r="59" spans="2:19" x14ac:dyDescent="0.25">
      <c r="B59" s="27" t="s">
        <v>37</v>
      </c>
      <c r="C59" s="27" t="s">
        <v>21</v>
      </c>
      <c r="D59" s="29" t="s">
        <v>0</v>
      </c>
      <c r="E59" s="29" t="s">
        <v>4</v>
      </c>
      <c r="F59" s="29" t="s">
        <v>9</v>
      </c>
      <c r="G59" s="4" t="s">
        <v>31</v>
      </c>
      <c r="H59" s="2" t="s">
        <v>15</v>
      </c>
      <c r="I59" s="4">
        <v>2024</v>
      </c>
      <c r="J59" s="4"/>
      <c r="K59" s="196">
        <v>2030</v>
      </c>
      <c r="L59" s="4"/>
      <c r="M59" s="4"/>
      <c r="N59" s="6" t="s">
        <v>55</v>
      </c>
    </row>
    <row r="60" spans="2:19" x14ac:dyDescent="0.25">
      <c r="B60" s="80"/>
      <c r="C60" s="80"/>
      <c r="D60" s="81"/>
      <c r="E60" s="81"/>
      <c r="F60" s="81"/>
      <c r="G60" s="80"/>
      <c r="H60" s="80"/>
      <c r="I60" s="80"/>
      <c r="J60" s="80"/>
      <c r="K60" s="196"/>
      <c r="L60" s="80"/>
      <c r="M60" s="80"/>
      <c r="N60" s="6"/>
    </row>
    <row r="61" spans="2:19" hidden="1" outlineLevel="1" x14ac:dyDescent="0.25">
      <c r="B61" s="20" t="s">
        <v>35</v>
      </c>
      <c r="C61" s="20" t="s">
        <v>23</v>
      </c>
      <c r="D61" s="51"/>
      <c r="E61" s="46" t="s">
        <v>6</v>
      </c>
      <c r="F61" s="46" t="s">
        <v>12</v>
      </c>
      <c r="G61" s="51" t="s">
        <v>46</v>
      </c>
      <c r="H61" s="51" t="s">
        <v>22</v>
      </c>
      <c r="I61" s="56">
        <f>50%*1.5*12</f>
        <v>9</v>
      </c>
      <c r="J61" s="56"/>
      <c r="K61" s="208"/>
      <c r="L61" s="55"/>
      <c r="M61" s="55"/>
      <c r="N61" s="69"/>
    </row>
    <row r="62" spans="2:19" hidden="1" outlineLevel="1" x14ac:dyDescent="0.25">
      <c r="B62" s="38" t="s">
        <v>35</v>
      </c>
      <c r="C62" s="38" t="s">
        <v>23</v>
      </c>
      <c r="D62" s="38"/>
      <c r="E62" s="38" t="s">
        <v>6</v>
      </c>
      <c r="F62" s="38" t="s">
        <v>12</v>
      </c>
      <c r="G62" s="38" t="s">
        <v>47</v>
      </c>
      <c r="H62" s="38" t="s">
        <v>30</v>
      </c>
      <c r="I62" s="122">
        <v>5000</v>
      </c>
      <c r="J62" s="122"/>
      <c r="K62" s="209"/>
      <c r="L62" s="123"/>
      <c r="M62" s="123"/>
      <c r="N62" s="63"/>
    </row>
    <row r="63" spans="2:19" collapsed="1" x14ac:dyDescent="0.25">
      <c r="B63" s="45" t="s">
        <v>35</v>
      </c>
      <c r="C63" s="45" t="s">
        <v>23</v>
      </c>
      <c r="D63" s="45"/>
      <c r="E63" s="45" t="s">
        <v>6</v>
      </c>
      <c r="F63" s="45" t="s">
        <v>12</v>
      </c>
      <c r="G63" s="45" t="s">
        <v>44</v>
      </c>
      <c r="H63" s="45" t="s">
        <v>32</v>
      </c>
      <c r="I63" s="120">
        <v>2</v>
      </c>
      <c r="J63" s="120"/>
      <c r="K63" s="284">
        <f>SUM(K67:K68)</f>
        <v>6.4</v>
      </c>
      <c r="L63" s="121"/>
      <c r="M63" s="121"/>
      <c r="N63" s="62"/>
    </row>
    <row r="64" spans="2:19" x14ac:dyDescent="0.25">
      <c r="B64" s="38" t="s">
        <v>35</v>
      </c>
      <c r="C64" s="38" t="s">
        <v>23</v>
      </c>
      <c r="D64" s="38"/>
      <c r="E64" s="38" t="s">
        <v>6</v>
      </c>
      <c r="F64" s="38" t="s">
        <v>12</v>
      </c>
      <c r="G64" s="38" t="s">
        <v>60</v>
      </c>
      <c r="H64" s="38" t="s">
        <v>3</v>
      </c>
      <c r="I64" s="111">
        <f>I63/(I49)</f>
        <v>1.4814814814814815E-2</v>
      </c>
      <c r="J64" s="111"/>
      <c r="K64" s="210">
        <f>K65*L50+L51*K66</f>
        <v>3.5555555555555556E-2</v>
      </c>
      <c r="L64" s="112"/>
      <c r="M64" s="112"/>
      <c r="N64" s="63"/>
    </row>
    <row r="65" spans="2:14" ht="14.4" x14ac:dyDescent="0.3">
      <c r="B65" s="45" t="s">
        <v>35</v>
      </c>
      <c r="C65" s="45" t="s">
        <v>23</v>
      </c>
      <c r="D65" s="45"/>
      <c r="E65" s="45" t="s">
        <v>6</v>
      </c>
      <c r="F65" s="45" t="s">
        <v>19</v>
      </c>
      <c r="G65" s="45" t="s">
        <v>61</v>
      </c>
      <c r="H65" s="45" t="s">
        <v>3</v>
      </c>
      <c r="I65" s="31"/>
      <c r="J65" s="31"/>
      <c r="K65" s="211">
        <v>0.04</v>
      </c>
      <c r="L65" s="114"/>
      <c r="M65" s="114"/>
      <c r="N65" s="192" t="s">
        <v>59</v>
      </c>
    </row>
    <row r="66" spans="2:14" ht="14.4" x14ac:dyDescent="0.3">
      <c r="B66" s="20" t="s">
        <v>35</v>
      </c>
      <c r="C66" s="20" t="s">
        <v>23</v>
      </c>
      <c r="D66" s="53"/>
      <c r="E66" s="46" t="s">
        <v>6</v>
      </c>
      <c r="F66" s="53" t="s">
        <v>18</v>
      </c>
      <c r="G66" s="53" t="s">
        <v>42</v>
      </c>
      <c r="H66" s="53" t="s">
        <v>3</v>
      </c>
      <c r="K66" s="212">
        <v>0.03</v>
      </c>
      <c r="L66" s="54"/>
      <c r="M66" s="54"/>
      <c r="N66" s="193" t="s">
        <v>114</v>
      </c>
    </row>
    <row r="67" spans="2:14" x14ac:dyDescent="0.25">
      <c r="B67" s="20" t="s">
        <v>35</v>
      </c>
      <c r="C67" s="20" t="s">
        <v>23</v>
      </c>
      <c r="D67" s="20" t="s">
        <v>2</v>
      </c>
      <c r="E67" s="46" t="s">
        <v>6</v>
      </c>
      <c r="F67" s="26" t="s">
        <v>19</v>
      </c>
      <c r="G67" s="46" t="s">
        <v>44</v>
      </c>
      <c r="H67" s="51" t="s">
        <v>43</v>
      </c>
      <c r="I67" s="57">
        <f>I63*J41</f>
        <v>1.1111111111111112</v>
      </c>
      <c r="J67" s="57"/>
      <c r="K67" s="213">
        <f>K50*K65</f>
        <v>4</v>
      </c>
      <c r="L67" s="61"/>
      <c r="M67" s="61"/>
      <c r="N67" s="69"/>
    </row>
    <row r="68" spans="2:14" x14ac:dyDescent="0.25">
      <c r="B68" s="38" t="s">
        <v>35</v>
      </c>
      <c r="C68" s="38" t="s">
        <v>23</v>
      </c>
      <c r="D68" s="38" t="s">
        <v>11</v>
      </c>
      <c r="E68" s="38"/>
      <c r="F68" s="38" t="s">
        <v>18</v>
      </c>
      <c r="G68" s="38" t="s">
        <v>44</v>
      </c>
      <c r="H68" s="38" t="s">
        <v>43</v>
      </c>
      <c r="I68" s="118">
        <f>I63*J42</f>
        <v>0.88888888888888884</v>
      </c>
      <c r="J68" s="118"/>
      <c r="K68" s="285">
        <f>K51*K66</f>
        <v>2.4</v>
      </c>
      <c r="L68" s="119"/>
      <c r="M68" s="119"/>
      <c r="N68" s="63"/>
    </row>
    <row r="69" spans="2:14" x14ac:dyDescent="0.25">
      <c r="B69" s="45" t="s">
        <v>35</v>
      </c>
      <c r="C69" s="45" t="s">
        <v>23</v>
      </c>
      <c r="D69" s="45" t="s">
        <v>2</v>
      </c>
      <c r="E69" s="45" t="s">
        <v>6</v>
      </c>
      <c r="F69" s="45" t="s">
        <v>19</v>
      </c>
      <c r="G69" s="45" t="s">
        <v>8</v>
      </c>
      <c r="H69" s="45" t="s">
        <v>22</v>
      </c>
      <c r="I69" s="117">
        <f>I67*D16/1000</f>
        <v>1.5153086419753083</v>
      </c>
      <c r="J69" s="117"/>
      <c r="K69" s="214">
        <f>K67*K16/1000</f>
        <v>6.3262564511755599</v>
      </c>
      <c r="L69" s="117"/>
      <c r="M69" s="117"/>
      <c r="N69" s="62"/>
    </row>
    <row r="70" spans="2:14" x14ac:dyDescent="0.25">
      <c r="B70" s="20" t="s">
        <v>35</v>
      </c>
      <c r="C70" s="20" t="s">
        <v>23</v>
      </c>
      <c r="D70" s="20" t="s">
        <v>11</v>
      </c>
      <c r="E70" s="46" t="s">
        <v>6</v>
      </c>
      <c r="F70" s="46" t="s">
        <v>18</v>
      </c>
      <c r="G70" s="46" t="s">
        <v>8</v>
      </c>
      <c r="H70" s="46" t="s">
        <v>22</v>
      </c>
      <c r="I70" s="58">
        <f>I68*D17/1000</f>
        <v>0.63802469135802453</v>
      </c>
      <c r="J70" s="58"/>
      <c r="K70" s="215">
        <f>K68*K17/1000</f>
        <v>1.9977651951080715</v>
      </c>
      <c r="L70" s="58"/>
      <c r="M70" s="58"/>
      <c r="N70" s="69"/>
    </row>
    <row r="71" spans="2:14" x14ac:dyDescent="0.25">
      <c r="B71" s="104" t="s">
        <v>35</v>
      </c>
      <c r="C71" s="104" t="s">
        <v>23</v>
      </c>
      <c r="D71" s="64" t="s">
        <v>29</v>
      </c>
      <c r="E71" s="64" t="s">
        <v>6</v>
      </c>
      <c r="F71" s="64" t="s">
        <v>12</v>
      </c>
      <c r="G71" s="64" t="s">
        <v>8</v>
      </c>
      <c r="H71" s="64" t="s">
        <v>22</v>
      </c>
      <c r="I71" s="115">
        <f>SUM(I69:I70)</f>
        <v>2.1533333333333329</v>
      </c>
      <c r="J71" s="115"/>
      <c r="K71" s="216">
        <f>SUM(K69:K70)</f>
        <v>8.3240216462836312</v>
      </c>
      <c r="L71" s="115"/>
      <c r="M71" s="115"/>
      <c r="N71" s="116"/>
    </row>
    <row r="74" spans="2:14" x14ac:dyDescent="0.25">
      <c r="B74" s="73" t="s">
        <v>58</v>
      </c>
      <c r="C74" s="73"/>
      <c r="D74" s="73"/>
      <c r="E74" s="73"/>
      <c r="F74" s="73"/>
      <c r="G74" s="73"/>
      <c r="H74" s="73"/>
      <c r="I74" s="74"/>
      <c r="J74" s="74"/>
      <c r="K74" s="74"/>
      <c r="L74" s="75"/>
      <c r="M74" s="194"/>
      <c r="N74" s="195"/>
    </row>
    <row r="75" spans="2:14" x14ac:dyDescent="0.25">
      <c r="B75" s="27" t="s">
        <v>37</v>
      </c>
      <c r="C75" s="27" t="s">
        <v>21</v>
      </c>
      <c r="D75" s="29" t="s">
        <v>0</v>
      </c>
      <c r="E75" s="29" t="s">
        <v>4</v>
      </c>
      <c r="F75" s="29" t="s">
        <v>9</v>
      </c>
      <c r="G75" s="4" t="s">
        <v>31</v>
      </c>
      <c r="H75" s="2" t="s">
        <v>15</v>
      </c>
      <c r="I75" s="4">
        <v>2024</v>
      </c>
      <c r="J75" s="4"/>
      <c r="K75" s="281">
        <v>2030</v>
      </c>
      <c r="L75" s="282"/>
      <c r="M75" s="4"/>
      <c r="N75" s="6" t="s">
        <v>55</v>
      </c>
    </row>
    <row r="76" spans="2:14" x14ac:dyDescent="0.25">
      <c r="B76" s="80"/>
      <c r="C76" s="80"/>
      <c r="D76" s="81"/>
      <c r="E76" s="81"/>
      <c r="F76" s="81"/>
      <c r="G76" s="80"/>
      <c r="H76" s="80"/>
      <c r="I76" s="80"/>
      <c r="J76" s="80"/>
      <c r="K76" s="196" t="s">
        <v>52</v>
      </c>
      <c r="L76" s="147" t="s">
        <v>53</v>
      </c>
      <c r="M76" s="80"/>
      <c r="N76" s="82"/>
    </row>
    <row r="77" spans="2:14" ht="14.4" x14ac:dyDescent="0.3">
      <c r="B77" s="51" t="s">
        <v>35</v>
      </c>
      <c r="C77" s="51" t="s">
        <v>23</v>
      </c>
      <c r="D77" s="53" t="s">
        <v>2</v>
      </c>
      <c r="E77" s="51" t="s">
        <v>6</v>
      </c>
      <c r="F77" s="51" t="s">
        <v>19</v>
      </c>
      <c r="G77" s="51" t="s">
        <v>20</v>
      </c>
      <c r="H77" s="51" t="s">
        <v>3</v>
      </c>
      <c r="I77" s="59">
        <v>1</v>
      </c>
      <c r="J77" s="59"/>
      <c r="K77" s="197">
        <v>0.9</v>
      </c>
      <c r="L77" s="198">
        <f>K77</f>
        <v>0.9</v>
      </c>
      <c r="M77" s="59"/>
      <c r="N77" s="98" t="s">
        <v>63</v>
      </c>
    </row>
    <row r="78" spans="2:14" ht="14.4" x14ac:dyDescent="0.3">
      <c r="B78" s="46" t="s">
        <v>33</v>
      </c>
      <c r="C78" s="46" t="s">
        <v>23</v>
      </c>
      <c r="D78" s="53" t="s">
        <v>2</v>
      </c>
      <c r="E78" s="46" t="s">
        <v>6</v>
      </c>
      <c r="F78" s="46" t="s">
        <v>19</v>
      </c>
      <c r="G78" s="46" t="s">
        <v>20</v>
      </c>
      <c r="H78" s="51" t="s">
        <v>3</v>
      </c>
      <c r="I78" s="48">
        <f t="shared" ref="I78" si="4">1-I77</f>
        <v>0</v>
      </c>
      <c r="J78" s="48"/>
      <c r="K78" s="199">
        <f>1-K77</f>
        <v>9.9999999999999978E-2</v>
      </c>
      <c r="L78" s="200">
        <f t="shared" ref="L78:L79" si="5">K78</f>
        <v>9.9999999999999978E-2</v>
      </c>
      <c r="M78" s="48"/>
      <c r="N78" s="98"/>
    </row>
    <row r="79" spans="2:14" x14ac:dyDescent="0.25">
      <c r="B79" s="38" t="s">
        <v>35</v>
      </c>
      <c r="C79" s="38" t="s">
        <v>23</v>
      </c>
      <c r="D79" s="38" t="s">
        <v>11</v>
      </c>
      <c r="E79" s="38" t="s">
        <v>6</v>
      </c>
      <c r="F79" s="38" t="s">
        <v>18</v>
      </c>
      <c r="G79" s="38" t="s">
        <v>20</v>
      </c>
      <c r="H79" s="38" t="s">
        <v>3</v>
      </c>
      <c r="I79" s="113">
        <v>1</v>
      </c>
      <c r="J79" s="113"/>
      <c r="K79" s="201">
        <v>1</v>
      </c>
      <c r="L79" s="113">
        <f t="shared" si="5"/>
        <v>1</v>
      </c>
      <c r="M79" s="113"/>
      <c r="N79" s="38"/>
    </row>
    <row r="80" spans="2:14" x14ac:dyDescent="0.25">
      <c r="B80" s="131" t="s">
        <v>48</v>
      </c>
      <c r="C80" s="131" t="s">
        <v>23</v>
      </c>
      <c r="D80" s="131" t="s">
        <v>2</v>
      </c>
      <c r="E80" s="131" t="s">
        <v>6</v>
      </c>
      <c r="F80" s="131" t="s">
        <v>19</v>
      </c>
      <c r="G80" s="131" t="s">
        <v>8</v>
      </c>
      <c r="H80" s="131" t="s">
        <v>22</v>
      </c>
      <c r="I80" s="132">
        <f t="shared" ref="I80" si="6">I69/I77</f>
        <v>1.5153086419753083</v>
      </c>
      <c r="J80" s="132"/>
      <c r="K80" s="202">
        <f>K69/K77</f>
        <v>7.0291738346395105</v>
      </c>
      <c r="L80" s="132">
        <f>K69/L77</f>
        <v>7.0291738346395105</v>
      </c>
      <c r="M80" s="132"/>
      <c r="N80" s="45"/>
    </row>
    <row r="81" spans="2:17" x14ac:dyDescent="0.25">
      <c r="B81" s="66" t="s">
        <v>48</v>
      </c>
      <c r="C81" s="66" t="s">
        <v>23</v>
      </c>
      <c r="D81" s="23" t="s">
        <v>11</v>
      </c>
      <c r="E81" s="66" t="s">
        <v>6</v>
      </c>
      <c r="F81" s="66" t="s">
        <v>18</v>
      </c>
      <c r="G81" s="66" t="s">
        <v>8</v>
      </c>
      <c r="H81" s="66" t="s">
        <v>22</v>
      </c>
      <c r="I81" s="67">
        <f t="shared" ref="I81" si="7">I70</f>
        <v>0.63802469135802453</v>
      </c>
      <c r="J81" s="67"/>
      <c r="K81" s="203">
        <f>K70</f>
        <v>1.9977651951080715</v>
      </c>
      <c r="L81" s="204">
        <f>K70</f>
        <v>1.9977651951080715</v>
      </c>
      <c r="M81" s="67"/>
      <c r="N81" s="78"/>
    </row>
    <row r="82" spans="2:17" x14ac:dyDescent="0.25">
      <c r="B82" s="37" t="s">
        <v>48</v>
      </c>
      <c r="C82" s="37" t="s">
        <v>23</v>
      </c>
      <c r="D82" s="37" t="s">
        <v>29</v>
      </c>
      <c r="E82" s="37" t="s">
        <v>6</v>
      </c>
      <c r="F82" s="37" t="s">
        <v>12</v>
      </c>
      <c r="G82" s="37" t="s">
        <v>8</v>
      </c>
      <c r="H82" s="37" t="s">
        <v>22</v>
      </c>
      <c r="I82" s="133">
        <f>I71/I77</f>
        <v>2.1533333333333329</v>
      </c>
      <c r="J82" s="133"/>
      <c r="K82" s="205">
        <f>SUM(K80:K81)</f>
        <v>9.0269390297475827</v>
      </c>
      <c r="L82" s="133">
        <f>SUM(L80:L81)</f>
        <v>9.0269390297475827</v>
      </c>
      <c r="M82" s="133"/>
      <c r="N82" s="38"/>
    </row>
    <row r="83" spans="2:17" x14ac:dyDescent="0.25">
      <c r="B83" s="45" t="s">
        <v>35</v>
      </c>
      <c r="C83" s="45" t="s">
        <v>23</v>
      </c>
      <c r="D83" s="45" t="s">
        <v>2</v>
      </c>
      <c r="E83" s="45" t="s">
        <v>6</v>
      </c>
      <c r="F83" s="45" t="s">
        <v>19</v>
      </c>
      <c r="G83" s="45" t="s">
        <v>62</v>
      </c>
      <c r="H83" s="45" t="s">
        <v>3</v>
      </c>
      <c r="I83" s="31">
        <v>0</v>
      </c>
      <c r="J83" s="31"/>
      <c r="K83" s="206">
        <v>0.3</v>
      </c>
      <c r="L83" s="32">
        <v>0.4</v>
      </c>
      <c r="M83" s="31"/>
      <c r="N83" s="45"/>
    </row>
    <row r="84" spans="2:17" x14ac:dyDescent="0.25">
      <c r="B84" s="51" t="s">
        <v>35</v>
      </c>
      <c r="C84" s="20" t="s">
        <v>23</v>
      </c>
      <c r="D84" s="20" t="s">
        <v>11</v>
      </c>
      <c r="E84" s="53" t="s">
        <v>6</v>
      </c>
      <c r="F84" s="51" t="s">
        <v>18</v>
      </c>
      <c r="G84" s="51" t="s">
        <v>62</v>
      </c>
      <c r="H84" s="51" t="s">
        <v>3</v>
      </c>
      <c r="I84" s="60">
        <v>0</v>
      </c>
      <c r="J84" s="60"/>
      <c r="K84" s="197">
        <v>0.3</v>
      </c>
      <c r="L84" s="198">
        <v>0.35</v>
      </c>
      <c r="M84" s="60"/>
      <c r="N84" s="78"/>
    </row>
    <row r="85" spans="2:17" x14ac:dyDescent="0.25">
      <c r="B85" s="38" t="s">
        <v>33</v>
      </c>
      <c r="C85" s="38" t="s">
        <v>23</v>
      </c>
      <c r="D85" s="38" t="s">
        <v>2</v>
      </c>
      <c r="E85" s="38" t="s">
        <v>6</v>
      </c>
      <c r="F85" s="38" t="s">
        <v>19</v>
      </c>
      <c r="G85" s="38" t="s">
        <v>62</v>
      </c>
      <c r="H85" s="38" t="s">
        <v>3</v>
      </c>
      <c r="I85" s="134">
        <v>0</v>
      </c>
      <c r="J85" s="134"/>
      <c r="K85" s="207">
        <v>0.3</v>
      </c>
      <c r="L85" s="135">
        <v>0.4</v>
      </c>
      <c r="M85" s="134"/>
      <c r="N85" s="38"/>
    </row>
    <row r="86" spans="2:17" x14ac:dyDescent="0.25">
      <c r="B86" s="131" t="s">
        <v>35</v>
      </c>
      <c r="C86" s="131" t="s">
        <v>23</v>
      </c>
      <c r="D86" s="131" t="s">
        <v>2</v>
      </c>
      <c r="E86" s="131" t="s">
        <v>6</v>
      </c>
      <c r="F86" s="131" t="s">
        <v>19</v>
      </c>
      <c r="G86" s="131" t="s">
        <v>8</v>
      </c>
      <c r="H86" s="131" t="s">
        <v>22</v>
      </c>
      <c r="I86" s="132">
        <f>I83*$I$82</f>
        <v>0</v>
      </c>
      <c r="J86" s="132"/>
      <c r="K86" s="202">
        <f>K83*K$69</f>
        <v>1.8978769353526679</v>
      </c>
      <c r="L86" s="132">
        <f>L83*$K$69</f>
        <v>2.5305025804702241</v>
      </c>
      <c r="M86" s="132"/>
      <c r="N86" s="45"/>
    </row>
    <row r="87" spans="2:17" x14ac:dyDescent="0.25">
      <c r="B87" s="70" t="s">
        <v>35</v>
      </c>
      <c r="C87" s="52" t="s">
        <v>23</v>
      </c>
      <c r="D87" s="23" t="s">
        <v>11</v>
      </c>
      <c r="E87" s="52" t="s">
        <v>6</v>
      </c>
      <c r="F87" s="52" t="s">
        <v>18</v>
      </c>
      <c r="G87" s="71" t="s">
        <v>8</v>
      </c>
      <c r="H87" s="71" t="s">
        <v>22</v>
      </c>
      <c r="I87" s="72">
        <f t="shared" ref="I87" si="8">I84*$I$82</f>
        <v>0</v>
      </c>
      <c r="J87" s="72"/>
      <c r="K87" s="203">
        <f>K84*K$70</f>
        <v>0.59932955853242142</v>
      </c>
      <c r="L87" s="204">
        <f>L84*$K$70</f>
        <v>0.69921781828782503</v>
      </c>
      <c r="M87" s="72"/>
      <c r="N87" s="78"/>
    </row>
    <row r="88" spans="2:17" x14ac:dyDescent="0.25">
      <c r="B88" s="71" t="s">
        <v>33</v>
      </c>
      <c r="C88" s="52" t="s">
        <v>23</v>
      </c>
      <c r="D88" s="52" t="s">
        <v>2</v>
      </c>
      <c r="E88" s="52" t="s">
        <v>6</v>
      </c>
      <c r="F88" s="52" t="s">
        <v>19</v>
      </c>
      <c r="G88" s="71" t="s">
        <v>8</v>
      </c>
      <c r="H88" s="71" t="s">
        <v>22</v>
      </c>
      <c r="I88" s="72">
        <f t="shared" ref="I88" si="9">I85*$I$82</f>
        <v>0</v>
      </c>
      <c r="J88" s="72"/>
      <c r="K88" s="203">
        <f>K85*K$80*K78</f>
        <v>0.21087521503918527</v>
      </c>
      <c r="L88" s="204">
        <f>L85*$L$80*L78</f>
        <v>0.28116695338558034</v>
      </c>
      <c r="M88" s="72"/>
      <c r="N88" s="78"/>
    </row>
    <row r="89" spans="2:17" x14ac:dyDescent="0.25">
      <c r="B89" s="260" t="s">
        <v>12</v>
      </c>
      <c r="C89" s="260" t="s">
        <v>23</v>
      </c>
      <c r="D89" s="260" t="s">
        <v>29</v>
      </c>
      <c r="E89" s="260" t="s">
        <v>6</v>
      </c>
      <c r="F89" s="260" t="s">
        <v>12</v>
      </c>
      <c r="G89" s="260" t="s">
        <v>8</v>
      </c>
      <c r="H89" s="260" t="s">
        <v>22</v>
      </c>
      <c r="I89" s="261">
        <f>SUM(I86:I88)</f>
        <v>0</v>
      </c>
      <c r="J89" s="261"/>
      <c r="K89" s="262">
        <f>ROUND(SUM(K86:K88),0)</f>
        <v>3</v>
      </c>
      <c r="L89" s="261">
        <f>ROUND(SUM(L86:L88),0)</f>
        <v>4</v>
      </c>
      <c r="M89" s="261"/>
      <c r="N89" s="260"/>
    </row>
    <row r="90" spans="2:17" x14ac:dyDescent="0.25">
      <c r="B90" s="177" t="s">
        <v>119</v>
      </c>
      <c r="C90" s="177" t="s">
        <v>23</v>
      </c>
      <c r="D90" s="177" t="s">
        <v>117</v>
      </c>
      <c r="E90" s="177" t="s">
        <v>12</v>
      </c>
      <c r="F90" s="177" t="s">
        <v>12</v>
      </c>
      <c r="G90" s="255" t="s">
        <v>103</v>
      </c>
      <c r="H90" s="177" t="s">
        <v>22</v>
      </c>
      <c r="I90" s="256"/>
      <c r="J90" s="256"/>
      <c r="K90" s="257">
        <f>K89-I89</f>
        <v>3</v>
      </c>
      <c r="L90" s="258">
        <f>L89-I89</f>
        <v>4</v>
      </c>
      <c r="M90" s="256"/>
      <c r="N90" s="259"/>
    </row>
    <row r="92" spans="2:17" x14ac:dyDescent="0.25">
      <c r="B92" s="44" t="s">
        <v>64</v>
      </c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</row>
    <row r="95" spans="2:17" outlineLevel="1" x14ac:dyDescent="0.25">
      <c r="B95" s="81" t="s">
        <v>45</v>
      </c>
      <c r="C95" s="81" t="s">
        <v>21</v>
      </c>
      <c r="D95" s="29" t="s">
        <v>0</v>
      </c>
      <c r="E95" s="81" t="s">
        <v>4</v>
      </c>
      <c r="F95" s="81" t="s">
        <v>9</v>
      </c>
      <c r="G95" s="81" t="s">
        <v>31</v>
      </c>
      <c r="H95" s="81" t="s">
        <v>15</v>
      </c>
      <c r="I95" s="81">
        <v>2024</v>
      </c>
      <c r="J95" s="81"/>
      <c r="K95" s="281">
        <v>2030</v>
      </c>
      <c r="L95" s="282"/>
      <c r="M95" s="86"/>
      <c r="N95" s="6" t="s">
        <v>55</v>
      </c>
    </row>
    <row r="96" spans="2:17" outlineLevel="1" x14ac:dyDescent="0.25">
      <c r="B96" s="84"/>
      <c r="C96" s="84"/>
      <c r="D96" s="84"/>
      <c r="E96" s="84"/>
      <c r="F96" s="84"/>
      <c r="G96" s="84"/>
      <c r="H96" s="84"/>
      <c r="I96" s="84"/>
      <c r="J96" s="84"/>
      <c r="K96" s="196" t="s">
        <v>52</v>
      </c>
      <c r="L96" s="147" t="s">
        <v>53</v>
      </c>
      <c r="M96" s="84"/>
      <c r="N96" s="82"/>
    </row>
    <row r="97" spans="2:33" outlineLevel="1" x14ac:dyDescent="0.25">
      <c r="B97" s="45" t="s">
        <v>50</v>
      </c>
      <c r="C97" s="45" t="s">
        <v>23</v>
      </c>
      <c r="D97" s="45" t="s">
        <v>2</v>
      </c>
      <c r="E97" s="45" t="s">
        <v>12</v>
      </c>
      <c r="F97" s="45" t="s">
        <v>126</v>
      </c>
      <c r="G97" s="45" t="s">
        <v>8</v>
      </c>
      <c r="H97" s="45" t="s">
        <v>22</v>
      </c>
      <c r="I97" s="83"/>
      <c r="J97" s="83"/>
      <c r="K97" s="269">
        <v>75</v>
      </c>
      <c r="L97" s="270">
        <f>K97</f>
        <v>75</v>
      </c>
      <c r="M97" s="90"/>
      <c r="N97" s="45"/>
    </row>
    <row r="98" spans="2:33" x14ac:dyDescent="0.25">
      <c r="B98" s="45" t="s">
        <v>34</v>
      </c>
      <c r="C98" s="11" t="s">
        <v>23</v>
      </c>
      <c r="D98" s="11" t="s">
        <v>2</v>
      </c>
      <c r="E98" s="11" t="s">
        <v>12</v>
      </c>
      <c r="F98" s="11" t="s">
        <v>126</v>
      </c>
      <c r="G98" s="45" t="s">
        <v>20</v>
      </c>
      <c r="H98" s="45" t="s">
        <v>3</v>
      </c>
      <c r="I98" s="76">
        <v>0.18</v>
      </c>
      <c r="J98" s="76"/>
      <c r="K98" s="93">
        <f>I98</f>
        <v>0.18</v>
      </c>
      <c r="L98" s="79">
        <v>0.2</v>
      </c>
      <c r="M98" s="79"/>
      <c r="N98" s="45"/>
    </row>
    <row r="99" spans="2:33" x14ac:dyDescent="0.25">
      <c r="B99" s="45" t="s">
        <v>34</v>
      </c>
      <c r="C99" s="11" t="s">
        <v>23</v>
      </c>
      <c r="D99" s="11" t="s">
        <v>2</v>
      </c>
      <c r="E99" s="11" t="s">
        <v>12</v>
      </c>
      <c r="F99" s="11" t="s">
        <v>126</v>
      </c>
      <c r="G99" s="11" t="s">
        <v>8</v>
      </c>
      <c r="H99" s="11" t="s">
        <v>22</v>
      </c>
      <c r="I99" s="25">
        <f>I98*I97</f>
        <v>0</v>
      </c>
      <c r="J99" s="25"/>
      <c r="K99" s="92">
        <f>K98*K97</f>
        <v>13.5</v>
      </c>
      <c r="L99" s="91">
        <f>L98*L97</f>
        <v>15</v>
      </c>
      <c r="M99" s="91"/>
      <c r="N99" s="11"/>
    </row>
    <row r="100" spans="2:33" ht="14.4" x14ac:dyDescent="0.3">
      <c r="B100" s="45" t="s">
        <v>34</v>
      </c>
      <c r="C100" s="11" t="s">
        <v>23</v>
      </c>
      <c r="D100" s="11" t="s">
        <v>2</v>
      </c>
      <c r="E100" s="11" t="s">
        <v>12</v>
      </c>
      <c r="F100" s="11" t="s">
        <v>126</v>
      </c>
      <c r="G100" s="45" t="s">
        <v>51</v>
      </c>
      <c r="H100" s="78" t="s">
        <v>3</v>
      </c>
      <c r="I100" s="79">
        <v>0</v>
      </c>
      <c r="J100" s="79"/>
      <c r="K100" s="94">
        <v>0.1</v>
      </c>
      <c r="L100" s="79">
        <v>0.15</v>
      </c>
      <c r="M100" s="79"/>
      <c r="N100" s="98" t="s">
        <v>131</v>
      </c>
    </row>
    <row r="101" spans="2:33" x14ac:dyDescent="0.25">
      <c r="B101" s="99" t="s">
        <v>34</v>
      </c>
      <c r="C101" s="99" t="s">
        <v>23</v>
      </c>
      <c r="D101" s="99" t="s">
        <v>2</v>
      </c>
      <c r="E101" s="99" t="s">
        <v>12</v>
      </c>
      <c r="F101" s="99" t="s">
        <v>126</v>
      </c>
      <c r="G101" s="99" t="s">
        <v>8</v>
      </c>
      <c r="H101" s="99" t="s">
        <v>22</v>
      </c>
      <c r="I101" s="95"/>
      <c r="J101" s="95"/>
      <c r="K101" s="96">
        <f>K99*K100</f>
        <v>1.35</v>
      </c>
      <c r="L101" s="267">
        <f>L99*L100</f>
        <v>2.25</v>
      </c>
      <c r="M101" s="97"/>
      <c r="N101" s="95"/>
    </row>
    <row r="102" spans="2:33" x14ac:dyDescent="0.25">
      <c r="B102" s="157" t="s">
        <v>119</v>
      </c>
      <c r="C102" s="157" t="s">
        <v>23</v>
      </c>
      <c r="D102" s="157" t="s">
        <v>117</v>
      </c>
      <c r="E102" s="157" t="s">
        <v>12</v>
      </c>
      <c r="F102" s="157" t="s">
        <v>12</v>
      </c>
      <c r="G102" s="251" t="s">
        <v>103</v>
      </c>
      <c r="H102" s="157" t="s">
        <v>22</v>
      </c>
      <c r="I102" s="252"/>
      <c r="J102" s="252"/>
      <c r="K102" s="253">
        <f>K101-I101</f>
        <v>1.35</v>
      </c>
      <c r="L102" s="268">
        <f>L101-I101</f>
        <v>2.25</v>
      </c>
      <c r="M102" s="252"/>
      <c r="N102" s="254"/>
    </row>
    <row r="105" spans="2:33" x14ac:dyDescent="0.25">
      <c r="B105" s="7" t="s">
        <v>122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8" spans="2:33" x14ac:dyDescent="0.25">
      <c r="B108" s="2" t="s">
        <v>10</v>
      </c>
      <c r="C108" s="81" t="s">
        <v>21</v>
      </c>
      <c r="D108" s="81" t="s">
        <v>14</v>
      </c>
      <c r="E108" s="81" t="s">
        <v>4</v>
      </c>
      <c r="F108" s="81" t="s">
        <v>9</v>
      </c>
      <c r="G108" s="2" t="s">
        <v>31</v>
      </c>
      <c r="H108" s="3" t="s">
        <v>1</v>
      </c>
      <c r="I108" s="223">
        <v>2024</v>
      </c>
      <c r="J108" s="8"/>
      <c r="K108" s="281">
        <v>2030</v>
      </c>
      <c r="L108" s="283"/>
      <c r="M108" s="223"/>
      <c r="N108" s="6" t="s">
        <v>55</v>
      </c>
    </row>
    <row r="109" spans="2:33" x14ac:dyDescent="0.25">
      <c r="B109" s="223"/>
      <c r="C109" s="81"/>
      <c r="D109" s="81"/>
      <c r="E109" s="81"/>
      <c r="F109" s="81"/>
      <c r="G109" s="223"/>
      <c r="H109" s="223"/>
      <c r="I109" s="223"/>
      <c r="J109" s="81"/>
      <c r="K109" s="196" t="s">
        <v>52</v>
      </c>
      <c r="L109" s="223" t="s">
        <v>53</v>
      </c>
      <c r="M109" s="84"/>
      <c r="N109" s="82"/>
    </row>
    <row r="110" spans="2:33" x14ac:dyDescent="0.25">
      <c r="B110" s="224" t="s">
        <v>12</v>
      </c>
      <c r="C110" s="224" t="s">
        <v>23</v>
      </c>
      <c r="D110" s="224" t="s">
        <v>117</v>
      </c>
      <c r="E110" s="224" t="s">
        <v>12</v>
      </c>
      <c r="F110" s="224" t="s">
        <v>12</v>
      </c>
      <c r="G110" s="228" t="s">
        <v>118</v>
      </c>
      <c r="H110" s="224" t="s">
        <v>22</v>
      </c>
      <c r="I110" s="225">
        <f ca="1">I112/I111</f>
        <v>694.85294117647049</v>
      </c>
      <c r="J110" s="225"/>
      <c r="K110" s="179"/>
      <c r="L110" s="224"/>
      <c r="M110" s="224"/>
      <c r="N110" s="224"/>
    </row>
    <row r="111" spans="2:33" x14ac:dyDescent="0.25">
      <c r="B111" s="224" t="s">
        <v>12</v>
      </c>
      <c r="C111" s="224" t="s">
        <v>23</v>
      </c>
      <c r="D111" s="224" t="s">
        <v>117</v>
      </c>
      <c r="E111" s="224" t="s">
        <v>12</v>
      </c>
      <c r="F111" s="224" t="s">
        <v>12</v>
      </c>
      <c r="G111" s="229" t="s">
        <v>13</v>
      </c>
      <c r="H111" s="224" t="s">
        <v>3</v>
      </c>
      <c r="I111" s="230">
        <v>0.17</v>
      </c>
      <c r="J111" s="230"/>
      <c r="K111" s="234"/>
      <c r="L111" s="230"/>
      <c r="M111" s="224"/>
      <c r="N111" s="224"/>
    </row>
    <row r="112" spans="2:33" ht="14.4" x14ac:dyDescent="0.3">
      <c r="B112" s="224" t="s">
        <v>12</v>
      </c>
      <c r="C112" s="224" t="s">
        <v>23</v>
      </c>
      <c r="D112" s="224" t="s">
        <v>117</v>
      </c>
      <c r="E112" s="224" t="s">
        <v>12</v>
      </c>
      <c r="F112" s="224" t="s">
        <v>12</v>
      </c>
      <c r="G112" s="229" t="s">
        <v>13</v>
      </c>
      <c r="H112" s="224" t="s">
        <v>22</v>
      </c>
      <c r="I112" s="240">
        <f ca="1">I111*I110</f>
        <v>118.12499999999999</v>
      </c>
      <c r="J112" s="227"/>
      <c r="K112" s="199"/>
      <c r="L112" s="224"/>
      <c r="M112" s="45"/>
      <c r="N112" s="226" t="s">
        <v>120</v>
      </c>
    </row>
    <row r="113" spans="2:14" ht="14.4" x14ac:dyDescent="0.3">
      <c r="B113" s="45" t="s">
        <v>119</v>
      </c>
      <c r="C113" s="45" t="s">
        <v>23</v>
      </c>
      <c r="D113" s="45" t="s">
        <v>117</v>
      </c>
      <c r="E113" s="45" t="s">
        <v>12</v>
      </c>
      <c r="F113" s="45" t="s">
        <v>12</v>
      </c>
      <c r="G113" s="238" t="s">
        <v>62</v>
      </c>
      <c r="H113" s="45" t="s">
        <v>3</v>
      </c>
      <c r="I113" s="32">
        <v>0.3</v>
      </c>
      <c r="J113" s="62"/>
      <c r="K113" s="206">
        <v>0.35</v>
      </c>
      <c r="L113" s="32">
        <v>0.4</v>
      </c>
      <c r="M113" s="45"/>
      <c r="N113" s="224"/>
    </row>
    <row r="114" spans="2:14" ht="14.4" x14ac:dyDescent="0.3">
      <c r="B114" s="224" t="s">
        <v>119</v>
      </c>
      <c r="C114" s="224" t="s">
        <v>23</v>
      </c>
      <c r="D114" s="224" t="s">
        <v>117</v>
      </c>
      <c r="E114" s="224" t="s">
        <v>12</v>
      </c>
      <c r="F114" s="224" t="s">
        <v>12</v>
      </c>
      <c r="G114" s="238" t="s">
        <v>66</v>
      </c>
      <c r="H114" s="45" t="s">
        <v>22</v>
      </c>
      <c r="I114" s="232">
        <f ca="1">I113*I112</f>
        <v>35.437499999999993</v>
      </c>
      <c r="J114" s="62"/>
      <c r="K114" s="235"/>
      <c r="L114" s="45"/>
      <c r="M114" s="45"/>
      <c r="N114" s="224"/>
    </row>
    <row r="115" spans="2:14" s="24" customFormat="1" x14ac:dyDescent="0.25">
      <c r="B115" s="136" t="s">
        <v>119</v>
      </c>
      <c r="C115" s="136" t="s">
        <v>23</v>
      </c>
      <c r="D115" s="136" t="s">
        <v>117</v>
      </c>
      <c r="E115" s="136" t="s">
        <v>12</v>
      </c>
      <c r="F115" s="136" t="s">
        <v>12</v>
      </c>
      <c r="G115" s="239" t="s">
        <v>65</v>
      </c>
      <c r="H115" s="136" t="s">
        <v>22</v>
      </c>
      <c r="I115" s="233">
        <f ca="1">I114/D8*D17</f>
        <v>5.0872499999999974</v>
      </c>
      <c r="J115" s="233"/>
      <c r="K115" s="242">
        <f>K117*K113</f>
        <v>7</v>
      </c>
      <c r="L115" s="241">
        <f>L117*L113</f>
        <v>8</v>
      </c>
      <c r="M115" s="233"/>
      <c r="N115" s="247"/>
    </row>
    <row r="116" spans="2:14" s="24" customFormat="1" x14ac:dyDescent="0.25">
      <c r="B116" s="136" t="s">
        <v>119</v>
      </c>
      <c r="C116" s="136" t="s">
        <v>23</v>
      </c>
      <c r="D116" s="136" t="s">
        <v>117</v>
      </c>
      <c r="E116" s="136" t="s">
        <v>12</v>
      </c>
      <c r="F116" s="136" t="s">
        <v>12</v>
      </c>
      <c r="G116" s="239" t="s">
        <v>103</v>
      </c>
      <c r="H116" s="136" t="s">
        <v>22</v>
      </c>
      <c r="I116" s="233"/>
      <c r="J116" s="233"/>
      <c r="K116" s="242">
        <f ca="1">K115-I115</f>
        <v>1.9127500000000026</v>
      </c>
      <c r="L116" s="241">
        <f ca="1">L115-I115</f>
        <v>2.9127500000000026</v>
      </c>
      <c r="M116" s="233"/>
      <c r="N116" s="247"/>
    </row>
    <row r="117" spans="2:14" ht="14.4" x14ac:dyDescent="0.3">
      <c r="B117" s="38" t="s">
        <v>12</v>
      </c>
      <c r="C117" s="38" t="s">
        <v>23</v>
      </c>
      <c r="D117" s="38" t="s">
        <v>117</v>
      </c>
      <c r="E117" s="38" t="s">
        <v>12</v>
      </c>
      <c r="F117" s="38" t="s">
        <v>12</v>
      </c>
      <c r="G117" s="250" t="s">
        <v>121</v>
      </c>
      <c r="H117" s="244" t="s">
        <v>22</v>
      </c>
      <c r="I117" s="245"/>
      <c r="J117" s="246"/>
      <c r="K117" s="249">
        <v>20</v>
      </c>
      <c r="L117" s="248">
        <v>20</v>
      </c>
      <c r="M117" s="244"/>
      <c r="N117" s="189" t="s">
        <v>56</v>
      </c>
    </row>
    <row r="118" spans="2:14" x14ac:dyDescent="0.25">
      <c r="I118" s="243"/>
    </row>
  </sheetData>
  <mergeCells count="4">
    <mergeCell ref="K75:L75"/>
    <mergeCell ref="K95:L95"/>
    <mergeCell ref="K108:L108"/>
    <mergeCell ref="K23:L23"/>
  </mergeCells>
  <pageMargins left="0.7" right="0.7" top="0.75" bottom="0.75" header="0.3" footer="0.3"/>
  <pageSetup orientation="portrait" verticalDpi="0" r:id="rId1"/>
  <ignoredErrors>
    <ignoredError sqref="I31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8686E0F17B98438C91AA640C188FFD" ma:contentTypeVersion="13" ma:contentTypeDescription="Create a new document." ma:contentTypeScope="" ma:versionID="a00b06ad32e11f95d2cb64f0cbc4564b">
  <xsd:schema xmlns:xsd="http://www.w3.org/2001/XMLSchema" xmlns:xs="http://www.w3.org/2001/XMLSchema" xmlns:p="http://schemas.microsoft.com/office/2006/metadata/properties" xmlns:ns1="http://schemas.microsoft.com/sharepoint/v3" xmlns:ns2="68e55bdf-09da-4615-ad05-ac088d173743" xmlns:ns3="42e4a2d1-7a9a-46f4-96b1-e49f7be52138" targetNamespace="http://schemas.microsoft.com/office/2006/metadata/properties" ma:root="true" ma:fieldsID="6a26cbd4267670edac215513d8ab14d1" ns1:_="" ns2:_="" ns3:_="">
    <xsd:import namespace="http://schemas.microsoft.com/sharepoint/v3"/>
    <xsd:import namespace="68e55bdf-09da-4615-ad05-ac088d173743"/>
    <xsd:import namespace="42e4a2d1-7a9a-46f4-96b1-e49f7be5213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SourceSystemTaxHTField" minOccurs="0"/>
                <xsd:element ref="ns2:TaxCatchAll" minOccurs="0"/>
                <xsd:element ref="ns2:TaxCatchAllLabel" minOccurs="0"/>
                <xsd:element ref="ns1:DataSourceTaxHTFiel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ourceSystemTaxHTField" ma:index="11" nillable="true" ma:taxonomy="true" ma:internalName="SourceSystemTaxHTField" ma:taxonomyFieldName="SourceSystem" ma:displayName="SourceSystem" ma:default="1;#SPE|e1155322-03d8-4904-a51c-d7d7cbd8ca84" ma:fieldId="{68c22041-dfe3-4104-9745-475326d7dc19}" ma:sspId="c9369470-76d8-40bb-9f83-c9dbb6c0fac8" ma:termSetId="14dc3a28-f268-42f7-8f59-1ae69d4ade2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taSourceTaxHTField" ma:index="15" nillable="true" ma:taxonomy="true" ma:internalName="DataSourceTaxHTField" ma:taxonomyFieldName="DataSource" ma:displayName="DataSource" ma:default="2;#Internal|0b10eabc-00d3-4553-8252-f6efa1cda259" ma:fieldId="{e59fb67a-8e6b-4297-9efb-d86ae4d35911}" ma:sspId="c9369470-76d8-40bb-9f83-c9dbb6c0fac8" ma:termSetId="36ddf51e-868c-4a6e-ae2e-8e285ecab47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e55bdf-09da-4615-ad05-ac088d17374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2" nillable="true" ma:displayName="Taxonomy Catch All Column" ma:hidden="true" ma:list="{6b8d952e-3416-4953-abfd-23de153d5f96}" ma:internalName="TaxCatchAll" ma:showField="CatchAllData" ma:web="68e55bdf-09da-4615-ad05-ac088d173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6b8d952e-3416-4953-abfd-23de153d5f96}" ma:internalName="TaxCatchAllLabel" ma:readOnly="true" ma:showField="CatchAllDataLabel" ma:web="68e55bdf-09da-4615-ad05-ac088d173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e4a2d1-7a9a-46f4-96b1-e49f7be521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8eb3a52-a9ad-454e-96a1-46bb4cd16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8e55bdf-09da-4615-ad05-ac088d173743">HJESJR6M7V5E-708027023-556</_dlc_DocId>
    <DataSourceTaxHTField xmlns="http://schemas.microsoft.com/sharepoint/v3">
      <Terms xmlns="http://schemas.microsoft.com/office/infopath/2007/PartnerControls"/>
    </DataSourceTaxHTField>
    <_dlc_DocIdUrl xmlns="68e55bdf-09da-4615-ad05-ac088d173743">
      <Url>https://mckinsey.sharepoint.com/sites/spe-int-g3shlooow/_layouts/15/DocIdRedir.aspx?ID=HJESJR6M7V5E-708027023-556</Url>
      <Description>HJESJR6M7V5E-708027023-556</Description>
    </_dlc_DocIdUrl>
    <SourceSystemTaxHTField xmlns="http://schemas.microsoft.com/sharepoint/v3">
      <Terms xmlns="http://schemas.microsoft.com/office/infopath/2007/PartnerControls"/>
    </SourceSystemTaxHTField>
    <lcf76f155ced4ddcb4097134ff3c332f xmlns="42e4a2d1-7a9a-46f4-96b1-e49f7be52138">
      <Terms xmlns="http://schemas.microsoft.com/office/infopath/2007/PartnerControls"/>
    </lcf76f155ced4ddcb4097134ff3c332f>
    <TaxCatchAll xmlns="68e55bdf-09da-4615-ad05-ac088d173743" xsi:nil="true"/>
  </documentManagement>
</p:properties>
</file>

<file path=customXml/itemProps1.xml><?xml version="1.0" encoding="utf-8"?>
<ds:datastoreItem xmlns:ds="http://schemas.openxmlformats.org/officeDocument/2006/customXml" ds:itemID="{28A46E48-E4AC-4A22-88C7-2BAAC95ACB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8e55bdf-09da-4615-ad05-ac088d173743"/>
    <ds:schemaRef ds:uri="42e4a2d1-7a9a-46f4-96b1-e49f7be521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C5A6B8-7E49-4790-BCC6-3E72FBEE3DF5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8E5EBACD-7A1D-4B6A-A5F8-5BC61B8BADF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8EE4493-E691-4991-AD6E-43CC2F72E884}">
  <ds:schemaRefs>
    <ds:schemaRef ds:uri="http://schemas.microsoft.com/office/2006/metadata/properties"/>
    <ds:schemaRef ds:uri="http://schemas.microsoft.com/office/infopath/2007/PartnerControls"/>
    <ds:schemaRef ds:uri="68e55bdf-09da-4615-ad05-ac088d173743"/>
    <ds:schemaRef ds:uri="http://schemas.microsoft.com/sharepoint/v3"/>
    <ds:schemaRef ds:uri="42e4a2d1-7a9a-46f4-96b1-e49f7be5213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Value creation opportunities &gt;&gt;</vt:lpstr>
      <vt:lpstr>1. Increase used car financing</vt:lpstr>
      <vt:lpstr>4. Expand digital presence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Pouloupatis Vassileios</dc:creator>
  <cp:lastModifiedBy>Pouloupatis Vassileios</cp:lastModifiedBy>
  <cp:lastPrinted>2019-12-06T19:44:44Z</cp:lastPrinted>
  <dcterms:created xsi:type="dcterms:W3CDTF">2019-12-02T20:05:52Z</dcterms:created>
  <dcterms:modified xsi:type="dcterms:W3CDTF">2025-07-14T15:11:23Z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0x0101008A8686E0F17B98438C91AA640C188FFD</vt:lpwstr>
  </property>
  <property fmtid="{D5CDD505-2E9C-101B-9397-08002B2CF9AE}" pid="4" name="DataSource">
    <vt:lpwstr/>
  </property>
  <property fmtid="{D5CDD505-2E9C-101B-9397-08002B2CF9AE}" pid="5" name="_dlc_DocIdItemGuid">
    <vt:lpwstr>1c9da79e-5eea-4175-b6f8-2a35415aa662</vt:lpwstr>
  </property>
  <property fmtid="{D5CDD505-2E9C-101B-9397-08002B2CF9AE}" pid="6" name="SourceSystem">
    <vt:lpwstr/>
  </property>
  <property fmtid="{D5CDD505-2E9C-101B-9397-08002B2CF9AE}" pid="7" name="MSIP_Label_83303d7c-e5a3-4cc8-90eb-69bfd7570ac4_Enabled">
    <vt:lpwstr>True</vt:lpwstr>
  </property>
  <property fmtid="{D5CDD505-2E9C-101B-9397-08002B2CF9AE}" pid="8" name="MSIP_Label_83303d7c-e5a3-4cc8-90eb-69bfd7570ac4_SiteId">
    <vt:lpwstr>cc8936bc-9382-4fff-87cb-6f55999549e7</vt:lpwstr>
  </property>
  <property fmtid="{D5CDD505-2E9C-101B-9397-08002B2CF9AE}" pid="9" name="MSIP_Label_83303d7c-e5a3-4cc8-90eb-69bfd7570ac4_SetDate">
    <vt:lpwstr>2025-06-05T22:00:17Z</vt:lpwstr>
  </property>
  <property fmtid="{D5CDD505-2E9C-101B-9397-08002B2CF9AE}" pid="10" name="MSIP_Label_83303d7c-e5a3-4cc8-90eb-69bfd7570ac4_Name">
    <vt:lpwstr>Client Confidential</vt:lpwstr>
  </property>
  <property fmtid="{D5CDD505-2E9C-101B-9397-08002B2CF9AE}" pid="11" name="MSIP_Label_83303d7c-e5a3-4cc8-90eb-69bfd7570ac4_ActionId">
    <vt:lpwstr>76b821e4-18e6-4da8-94a7-b05de63524f3</vt:lpwstr>
  </property>
  <property fmtid="{D5CDD505-2E9C-101B-9397-08002B2CF9AE}" pid="12" name="MSIP_Label_83303d7c-e5a3-4cc8-90eb-69bfd7570ac4_Removed">
    <vt:lpwstr>False</vt:lpwstr>
  </property>
  <property fmtid="{D5CDD505-2E9C-101B-9397-08002B2CF9AE}" pid="13" name="MSIP_Label_83303d7c-e5a3-4cc8-90eb-69bfd7570ac4_Extended_MSFT_Method">
    <vt:lpwstr>Standard</vt:lpwstr>
  </property>
  <property fmtid="{D5CDD505-2E9C-101B-9397-08002B2CF9AE}" pid="14" name="Sensitivity">
    <vt:lpwstr>Client Confidential</vt:lpwstr>
  </property>
</Properties>
</file>