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insey.sharepoint.com/sites/spe-int-g3shlooow/Shared Documents/06. Client Meetings/06. Ad-hoc meetings/07. Prepration meeting for CRO/"/>
    </mc:Choice>
  </mc:AlternateContent>
  <xr:revisionPtr revIDLastSave="0" documentId="8_{1F6E7B09-E3C1-421E-980C-76B60028D473}" xr6:coauthVersionLast="47" xr6:coauthVersionMax="47" xr10:uidLastSave="{00000000-0000-0000-0000-000000000000}"/>
  <bookViews>
    <workbookView xWindow="-110" yWindow="-110" windowWidth="19420" windowHeight="10300" activeTab="1" xr2:uid="{6D35250C-2AF7-4DAC-A638-A44B803649BF}"/>
  </bookViews>
  <sheets>
    <sheet name="Economics&gt;&gt;" sheetId="10" r:id="rId1"/>
    <sheet name="Base case scenario" sheetId="6" r:id="rId2"/>
    <sheet name="Dealer Risk - Sensitivity" sheetId="8" r:id="rId3"/>
    <sheet name="Market Risk - Sensitivity" sheetId="7" r:id="rId4"/>
    <sheet name="Success rate - Sensitivity" sheetId="9" r:id="rId5"/>
    <sheet name="Car Value - Sensitivity" sheetId="12" r:id="rId6"/>
    <sheet name="Additional info &gt;&gt;" sheetId="11" r:id="rId7"/>
    <sheet name="Repossession time plan" sheetId="3" r:id="rId8"/>
    <sheet name="ERB Greek Outlook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6" l="1"/>
  <c r="C12" i="6"/>
  <c r="O14" i="12" l="1"/>
  <c r="O10" i="12"/>
  <c r="O13" i="12" s="1"/>
  <c r="O18" i="12" s="1"/>
  <c r="O20" i="12" s="1"/>
  <c r="O8" i="12"/>
  <c r="O14" i="9"/>
  <c r="O13" i="9"/>
  <c r="O18" i="9" s="1"/>
  <c r="O20" i="9" s="1"/>
  <c r="O10" i="9"/>
  <c r="O8" i="9"/>
  <c r="O25" i="8"/>
  <c r="O14" i="8"/>
  <c r="O10" i="8"/>
  <c r="O13" i="8" s="1"/>
  <c r="O18" i="8" s="1"/>
  <c r="O20" i="8" s="1"/>
  <c r="O8" i="8"/>
  <c r="O26" i="8" s="1"/>
  <c r="O27" i="8" s="1"/>
  <c r="O14" i="7"/>
  <c r="O13" i="7"/>
  <c r="O18" i="7" s="1"/>
  <c r="O20" i="7" s="1"/>
  <c r="O10" i="7"/>
  <c r="O8" i="7"/>
  <c r="O25" i="7" s="1"/>
  <c r="O26" i="7" s="1"/>
  <c r="O27" i="7" s="1"/>
  <c r="C9" i="12"/>
  <c r="C10" i="12" s="1"/>
  <c r="C11" i="12" s="1"/>
  <c r="C12" i="12" s="1"/>
  <c r="C13" i="12" s="1"/>
  <c r="C14" i="12" s="1"/>
  <c r="C15" i="12" s="1"/>
  <c r="C8" i="12"/>
  <c r="C8" i="6"/>
  <c r="C11" i="6" s="1"/>
  <c r="C16" i="6" s="1"/>
  <c r="C18" i="6" s="1"/>
  <c r="O25" i="12" l="1"/>
  <c r="O26" i="12" s="1"/>
  <c r="O27" i="12" s="1"/>
  <c r="O21" i="12" s="1"/>
  <c r="O22" i="12" s="1"/>
  <c r="O23" i="12" s="1"/>
  <c r="C6" i="12" s="1"/>
  <c r="O25" i="9"/>
  <c r="O26" i="9" s="1"/>
  <c r="O27" i="9" s="1"/>
  <c r="O21" i="9" s="1"/>
  <c r="O22" i="9" s="1"/>
  <c r="O23" i="9" s="1"/>
  <c r="C6" i="9" s="1"/>
  <c r="O21" i="8"/>
  <c r="O22" i="8" s="1"/>
  <c r="O23" i="8" s="1"/>
  <c r="C6" i="8" s="1"/>
  <c r="O21" i="7"/>
  <c r="O22" i="7" s="1"/>
  <c r="O23" i="7" s="1"/>
  <c r="C6" i="7" s="1"/>
  <c r="C36" i="12"/>
  <c r="C37" i="12" s="1"/>
  <c r="C38" i="12" s="1"/>
  <c r="C36" i="9"/>
  <c r="C37" i="9" s="1"/>
  <c r="C38" i="9" s="1"/>
  <c r="C36" i="8"/>
  <c r="C37" i="8" s="1"/>
  <c r="C38" i="8" s="1"/>
  <c r="C36" i="7"/>
  <c r="C37" i="7" s="1"/>
  <c r="C38" i="7" s="1"/>
  <c r="C6" i="6"/>
  <c r="C24" i="6" l="1"/>
  <c r="C25" i="6" l="1"/>
  <c r="C19" i="6" s="1"/>
  <c r="C20" i="6" l="1"/>
  <c r="C21" i="6" s="1"/>
  <c r="M10" i="3" l="1"/>
  <c r="M5" i="3"/>
  <c r="M11" i="3"/>
  <c r="M12" i="3" s="1"/>
  <c r="M6" i="3"/>
  <c r="M7" i="3" s="1"/>
</calcChain>
</file>

<file path=xl/sharedStrings.xml><?xml version="1.0" encoding="utf-8"?>
<sst xmlns="http://schemas.openxmlformats.org/spreadsheetml/2006/main" count="173" uniqueCount="68">
  <si>
    <t>worst case scenario</t>
  </si>
  <si>
    <t>days</t>
  </si>
  <si>
    <t>weeks</t>
  </si>
  <si>
    <t>months</t>
  </si>
  <si>
    <t>best case scenario</t>
  </si>
  <si>
    <t>B</t>
  </si>
  <si>
    <t>A</t>
  </si>
  <si>
    <t>LGD, %</t>
  </si>
  <si>
    <t>Car value change due market conditions, %</t>
  </si>
  <si>
    <t>Downpayment, %</t>
  </si>
  <si>
    <t>Percentange of cars not repurchased by dealers, %</t>
  </si>
  <si>
    <t>Additional discount for not repurchased cars, %</t>
  </si>
  <si>
    <t>Base case scenario</t>
  </si>
  <si>
    <t>Dealer Risk - Sensitivity Scenario</t>
  </si>
  <si>
    <t>Market Risk - Sensitivity Scenario</t>
  </si>
  <si>
    <t>Repossesion success rate - Sensitivity Scenario</t>
  </si>
  <si>
    <t>Repossession success rate, %</t>
  </si>
  <si>
    <t>Car value, €</t>
  </si>
  <si>
    <t>Loan amount, €</t>
  </si>
  <si>
    <t>Depreation after 2.5y, %</t>
  </si>
  <si>
    <t>Car value following 2.5y of depreciation, €</t>
  </si>
  <si>
    <t>Additional depreciation due to aggravated condition of repossessed vehicles, %</t>
  </si>
  <si>
    <t>Car  value at repossession, €</t>
  </si>
  <si>
    <t>Fixed expenses, €</t>
  </si>
  <si>
    <t>Channel sales margin (average of dealers and other channels), %</t>
  </si>
  <si>
    <t>Car value net of costs, €</t>
  </si>
  <si>
    <t>Recovery over EAD , %</t>
  </si>
  <si>
    <t>Discounted recovery rate, %</t>
  </si>
  <si>
    <t>Discounted LGD, %</t>
  </si>
  <si>
    <t>18 months loan principal amortization, €</t>
  </si>
  <si>
    <t>Outstanding principal at 14th month since origination, €</t>
  </si>
  <si>
    <t>EAD, €</t>
  </si>
  <si>
    <t>Car Value - Sensitivity Scenario</t>
  </si>
  <si>
    <t>Car value, %</t>
  </si>
  <si>
    <t>FY2021</t>
  </si>
  <si>
    <t>FY2022</t>
  </si>
  <si>
    <t>FY2023</t>
  </si>
  <si>
    <t>FY2024f</t>
  </si>
  <si>
    <t>FY2025f</t>
  </si>
  <si>
    <t>FY2026f</t>
  </si>
  <si>
    <t>FY2027f</t>
  </si>
  <si>
    <t>FY208f</t>
  </si>
  <si>
    <t>Macroeconomic indicators</t>
  </si>
  <si>
    <t>Real GDP growth yoy</t>
  </si>
  <si>
    <t>8,7%</t>
  </si>
  <si>
    <t>5,7%</t>
  </si>
  <si>
    <t>2,3%</t>
  </si>
  <si>
    <t>2,2%</t>
  </si>
  <si>
    <t>2,1%</t>
  </si>
  <si>
    <t>1,9%</t>
  </si>
  <si>
    <t>Inflation (HICP) yoy</t>
  </si>
  <si>
    <t>0,6%</t>
  </si>
  <si>
    <t>9,3%</t>
  </si>
  <si>
    <t>4,2%</t>
  </si>
  <si>
    <t>3,0%</t>
  </si>
  <si>
    <t>2,5%</t>
  </si>
  <si>
    <t>Unemployment</t>
  </si>
  <si>
    <t>14,7%</t>
  </si>
  <si>
    <t>12,4%</t>
  </si>
  <si>
    <t>11,1%</t>
  </si>
  <si>
    <t>10,1%</t>
  </si>
  <si>
    <t>9,2%</t>
  </si>
  <si>
    <t>8,6%</t>
  </si>
  <si>
    <t>8,1%</t>
  </si>
  <si>
    <t>7,7%</t>
  </si>
  <si>
    <t>Source: Eurobank economic research &amp; analysis department</t>
  </si>
  <si>
    <t>Car value net of costs and repossession success rate,  €</t>
  </si>
  <si>
    <t>Outstanding principal at 18th month since origination,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</si>
</sst>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7" formatCode="_-* #,##0_-;\-* #,##0_-;_-* &quot;-&quot;??_-;_-@_-"/>
    <numFmt numFmtId="168" formatCode="_-* #,##0.00\ _€_-;\-* #,##0.00\ _€_-;_-* &quot;-&quot;??\ _€_-;_-@_-"/>
  </numFmts>
  <fonts count="12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charset val="161"/>
      <scheme val="minor"/>
    </font>
    <font>
      <b/>
      <sz val="15"/>
      <color theme="1"/>
      <name val="Aptos Narrow"/>
      <family val="2"/>
      <scheme val="minor"/>
    </font>
    <font>
      <sz val="11"/>
      <color theme="0"/>
      <name val="Aptos Narrow"/>
      <family val="2"/>
      <charset val="161"/>
      <scheme val="minor"/>
    </font>
    <font>
      <b/>
      <sz val="12"/>
      <color theme="0" tint="-0.34998626667073579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000000"/>
      <name val="Eurobank Sans"/>
    </font>
    <font>
      <sz val="11"/>
      <color rgb="FF000000"/>
      <name val="Eurobank Sans"/>
    </font>
    <font>
      <i/>
      <sz val="11"/>
      <color rgb="FF000000"/>
      <name val="Eurobank Sans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3" fillId="0" borderId="0" xfId="0" applyFont="1"/>
    <xf numFmtId="9" fontId="3" fillId="0" borderId="0" xfId="0" applyNumberFormat="1" applyFont="1"/>
    <xf numFmtId="3" fontId="0" fillId="0" borderId="0" xfId="0" applyNumberFormat="1"/>
    <xf numFmtId="9" fontId="0" fillId="0" borderId="0" xfId="1" applyFont="1"/>
    <xf numFmtId="0" fontId="0" fillId="2" borderId="3" xfId="0" applyFill="1" applyBorder="1"/>
    <xf numFmtId="0" fontId="3" fillId="2" borderId="2" xfId="0" applyFont="1" applyFill="1" applyBorder="1"/>
    <xf numFmtId="0" fontId="0" fillId="2" borderId="4" xfId="0" applyFill="1" applyBorder="1"/>
    <xf numFmtId="1" fontId="0" fillId="2" borderId="3" xfId="0" applyNumberFormat="1" applyFill="1" applyBorder="1"/>
    <xf numFmtId="0" fontId="3" fillId="2" borderId="4" xfId="0" applyFont="1" applyFill="1" applyBorder="1"/>
    <xf numFmtId="1" fontId="0" fillId="2" borderId="5" xfId="0" applyNumberFormat="1" applyFill="1" applyBorder="1"/>
    <xf numFmtId="0" fontId="0" fillId="2" borderId="6" xfId="0" applyFill="1" applyBorder="1"/>
    <xf numFmtId="0" fontId="3" fillId="2" borderId="3" xfId="0" applyFont="1" applyFill="1" applyBorder="1"/>
    <xf numFmtId="0" fontId="3" fillId="2" borderId="1" xfId="0" applyFont="1" applyFill="1" applyBorder="1"/>
    <xf numFmtId="0" fontId="0" fillId="3" borderId="3" xfId="0" applyFill="1" applyBorder="1"/>
    <xf numFmtId="0" fontId="0" fillId="3" borderId="4" xfId="0" applyFill="1" applyBorder="1"/>
    <xf numFmtId="10" fontId="0" fillId="0" borderId="0" xfId="0" applyNumberFormat="1"/>
    <xf numFmtId="167" fontId="0" fillId="0" borderId="0" xfId="2" applyNumberFormat="1" applyFont="1"/>
    <xf numFmtId="3" fontId="3" fillId="0" borderId="0" xfId="0" applyNumberFormat="1" applyFont="1"/>
    <xf numFmtId="167" fontId="3" fillId="0" borderId="0" xfId="2" applyNumberFormat="1" applyFont="1"/>
    <xf numFmtId="0" fontId="5" fillId="0" borderId="0" xfId="0" applyFont="1"/>
    <xf numFmtId="168" fontId="0" fillId="0" borderId="0" xfId="0" applyNumberFormat="1"/>
    <xf numFmtId="9" fontId="6" fillId="0" borderId="0" xfId="0" applyNumberFormat="1" applyFont="1"/>
    <xf numFmtId="0" fontId="7" fillId="0" borderId="0" xfId="0" applyFont="1"/>
    <xf numFmtId="0" fontId="3" fillId="5" borderId="0" xfId="0" applyFont="1" applyFill="1" applyAlignment="1">
      <alignment horizontal="center" vertical="center" textRotation="90" wrapText="1"/>
    </xf>
    <xf numFmtId="0" fontId="3" fillId="5" borderId="0" xfId="0" applyFont="1" applyFill="1" applyAlignment="1">
      <alignment horizontal="center"/>
    </xf>
    <xf numFmtId="9" fontId="0" fillId="0" borderId="7" xfId="1" applyFont="1" applyBorder="1"/>
    <xf numFmtId="0" fontId="0" fillId="0" borderId="7" xfId="0" applyBorder="1"/>
    <xf numFmtId="9" fontId="0" fillId="0" borderId="0" xfId="1" applyFont="1" applyBorder="1"/>
    <xf numFmtId="0" fontId="0" fillId="0" borderId="8" xfId="0" applyBorder="1"/>
    <xf numFmtId="3" fontId="0" fillId="0" borderId="8" xfId="0" applyNumberFormat="1" applyBorder="1"/>
    <xf numFmtId="0" fontId="0" fillId="0" borderId="9" xfId="0" applyBorder="1"/>
    <xf numFmtId="0" fontId="0" fillId="0" borderId="11" xfId="0" applyBorder="1"/>
    <xf numFmtId="9" fontId="4" fillId="4" borderId="12" xfId="1" applyFont="1" applyFill="1" applyBorder="1"/>
    <xf numFmtId="0" fontId="3" fillId="0" borderId="13" xfId="0" applyFont="1" applyBorder="1"/>
    <xf numFmtId="167" fontId="3" fillId="0" borderId="14" xfId="2" applyNumberFormat="1" applyFont="1" applyBorder="1"/>
    <xf numFmtId="3" fontId="3" fillId="0" borderId="14" xfId="0" applyNumberFormat="1" applyFont="1" applyBorder="1"/>
    <xf numFmtId="0" fontId="0" fillId="0" borderId="13" xfId="0" applyBorder="1"/>
    <xf numFmtId="9" fontId="4" fillId="4" borderId="14" xfId="1" applyFont="1" applyFill="1" applyBorder="1"/>
    <xf numFmtId="0" fontId="1" fillId="0" borderId="11" xfId="0" applyFont="1" applyBorder="1"/>
    <xf numFmtId="167" fontId="4" fillId="4" borderId="14" xfId="2" applyNumberFormat="1" applyFont="1" applyFill="1" applyBorder="1"/>
    <xf numFmtId="9" fontId="1" fillId="0" borderId="14" xfId="1" applyFont="1" applyBorder="1"/>
    <xf numFmtId="9" fontId="0" fillId="0" borderId="12" xfId="1" applyFont="1" applyBorder="1"/>
    <xf numFmtId="0" fontId="3" fillId="0" borderId="11" xfId="0" applyFont="1" applyBorder="1"/>
    <xf numFmtId="9" fontId="3" fillId="0" borderId="12" xfId="1" applyFont="1" applyBorder="1"/>
    <xf numFmtId="0" fontId="0" fillId="0" borderId="0" xfId="0" applyFill="1"/>
    <xf numFmtId="167" fontId="4" fillId="4" borderId="10" xfId="2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7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horizontal="center" vertical="center"/>
    </xf>
    <xf numFmtId="0" fontId="8" fillId="0" borderId="0" xfId="0" applyFont="1"/>
    <xf numFmtId="0" fontId="11" fillId="0" borderId="0" xfId="0" applyFont="1" applyAlignment="1">
      <alignment vertical="center"/>
    </xf>
    <xf numFmtId="0" fontId="3" fillId="0" borderId="9" xfId="0" applyFont="1" applyFill="1" applyBorder="1"/>
    <xf numFmtId="3" fontId="3" fillId="0" borderId="10" xfId="0" applyNumberFormat="1" applyFont="1" applyBorder="1"/>
    <xf numFmtId="0" fontId="3" fillId="0" borderId="9" xfId="0" applyFont="1" applyBorder="1"/>
    <xf numFmtId="167" fontId="3" fillId="0" borderId="10" xfId="2" applyNumberFormat="1" applyFont="1" applyFill="1" applyBorder="1"/>
  </cellXfs>
  <cellStyles count="4">
    <cellStyle name="Comma" xfId="2" builtinId="3"/>
    <cellStyle name="Normal" xfId="0" builtinId="0"/>
    <cellStyle name="Normal 2" xfId="3" xr:uid="{AC00A2A3-4707-4F43-BAE0-513E617BBF60}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0</xdr:row>
      <xdr:rowOff>83821</xdr:rowOff>
    </xdr:from>
    <xdr:to>
      <xdr:col>9</xdr:col>
      <xdr:colOff>106779</xdr:colOff>
      <xdr:row>24</xdr:row>
      <xdr:rowOff>7621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1442C-38B2-78A9-E587-2215E894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83821"/>
          <a:ext cx="5318859" cy="432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8BDD-DC45-4120-AF76-CB61DF5DB38C}">
  <sheetPr>
    <tabColor theme="7"/>
  </sheetPr>
  <dimension ref="A1"/>
  <sheetViews>
    <sheetView view="pageBreakPreview" zoomScale="60" zoomScaleNormal="100" workbookViewId="0"/>
  </sheetViews>
  <sheetFormatPr defaultRowHeight="14.5"/>
  <sheetData>
    <row r="1" spans="1:1">
      <c r="A1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01A4-0E2B-4B83-8380-EC9EE46C6186}">
  <dimension ref="B1:E25"/>
  <sheetViews>
    <sheetView showGridLines="0" tabSelected="1" workbookViewId="0"/>
  </sheetViews>
  <sheetFormatPr defaultRowHeight="14.5"/>
  <cols>
    <col min="1" max="1" width="0.7265625" customWidth="1"/>
    <col min="2" max="2" width="65.1796875" bestFit="1" customWidth="1"/>
    <col min="3" max="3" width="11.36328125" bestFit="1" customWidth="1"/>
    <col min="5" max="5" width="10.90625" bestFit="1" customWidth="1"/>
  </cols>
  <sheetData>
    <row r="1" spans="2:5" ht="5" customHeight="1"/>
    <row r="2" spans="2:5" ht="19.5">
      <c r="B2" s="20" t="s">
        <v>12</v>
      </c>
    </row>
    <row r="4" spans="2:5">
      <c r="B4" s="31" t="s">
        <v>17</v>
      </c>
      <c r="C4" s="46">
        <v>12000</v>
      </c>
    </row>
    <row r="5" spans="2:5">
      <c r="B5" s="32" t="s">
        <v>9</v>
      </c>
      <c r="C5" s="33">
        <v>0.25</v>
      </c>
    </row>
    <row r="6" spans="2:5">
      <c r="B6" s="34" t="s">
        <v>18</v>
      </c>
      <c r="C6" s="35">
        <f>C4*(1-C5)</f>
        <v>9000</v>
      </c>
    </row>
    <row r="7" spans="2:5">
      <c r="B7" s="32" t="s">
        <v>19</v>
      </c>
      <c r="C7" s="33">
        <v>0.35</v>
      </c>
    </row>
    <row r="8" spans="2:5">
      <c r="B8" s="34" t="s">
        <v>20</v>
      </c>
      <c r="C8" s="36">
        <f>C4*(1-C7)</f>
        <v>7800</v>
      </c>
    </row>
    <row r="9" spans="2:5">
      <c r="B9" s="37" t="s">
        <v>21</v>
      </c>
      <c r="C9" s="38">
        <v>0.1</v>
      </c>
    </row>
    <row r="10" spans="2:5">
      <c r="B10" s="39" t="s">
        <v>8</v>
      </c>
      <c r="C10" s="33">
        <v>0</v>
      </c>
    </row>
    <row r="11" spans="2:5">
      <c r="B11" s="34" t="s">
        <v>22</v>
      </c>
      <c r="C11" s="36">
        <f>C8*(1-C9+C10)</f>
        <v>7020</v>
      </c>
    </row>
    <row r="12" spans="2:5">
      <c r="B12" s="37" t="s">
        <v>23</v>
      </c>
      <c r="C12" s="40">
        <f>1500</f>
        <v>1500</v>
      </c>
    </row>
    <row r="13" spans="2:5">
      <c r="B13" s="37" t="s">
        <v>24</v>
      </c>
      <c r="C13" s="38">
        <v>0.05</v>
      </c>
    </row>
    <row r="14" spans="2:5">
      <c r="B14" s="37" t="s">
        <v>10</v>
      </c>
      <c r="C14" s="38">
        <v>0.2</v>
      </c>
    </row>
    <row r="15" spans="2:5">
      <c r="B15" s="32" t="s">
        <v>11</v>
      </c>
      <c r="C15" s="33">
        <v>0.03</v>
      </c>
    </row>
    <row r="16" spans="2:5">
      <c r="B16" s="57" t="s">
        <v>25</v>
      </c>
      <c r="C16" s="58">
        <f>C11-C12-(1-C14)*C11*C13-C11*C14*(C13+C15)</f>
        <v>5126.88</v>
      </c>
      <c r="D16" s="21"/>
      <c r="E16" s="17"/>
    </row>
    <row r="17" spans="2:5">
      <c r="B17" s="39" t="s">
        <v>16</v>
      </c>
      <c r="C17" s="33">
        <v>0.85</v>
      </c>
      <c r="D17" s="21"/>
      <c r="E17" s="17"/>
    </row>
    <row r="18" spans="2:5">
      <c r="B18" s="59" t="s">
        <v>66</v>
      </c>
      <c r="C18" s="60">
        <f>C16*C17</f>
        <v>4357.848</v>
      </c>
      <c r="D18" s="21"/>
      <c r="E18" s="17"/>
    </row>
    <row r="19" spans="2:5">
      <c r="B19" s="37" t="s">
        <v>26</v>
      </c>
      <c r="C19" s="41">
        <f>C18/C25</f>
        <v>0.6305784164432483</v>
      </c>
      <c r="E19" s="16"/>
    </row>
    <row r="20" spans="2:5">
      <c r="B20" s="32" t="s">
        <v>27</v>
      </c>
      <c r="C20" s="42">
        <f>C19/(1+2%)^3</f>
        <v>0.59420812549778024</v>
      </c>
      <c r="E20" s="16"/>
    </row>
    <row r="21" spans="2:5">
      <c r="B21" s="43" t="s">
        <v>28</v>
      </c>
      <c r="C21" s="44">
        <f>1-C20</f>
        <v>0.40579187450221976</v>
      </c>
      <c r="E21" s="16"/>
    </row>
    <row r="22" spans="2:5">
      <c r="B22" s="1"/>
      <c r="C22" s="18"/>
      <c r="E22" s="16"/>
    </row>
    <row r="23" spans="2:5">
      <c r="B23" s="29" t="s">
        <v>29</v>
      </c>
      <c r="C23" s="30">
        <f>CUMPRINC(9%/12,60,C6,1,18,0)</f>
        <v>-2290.4135663033826</v>
      </c>
    </row>
    <row r="24" spans="2:5">
      <c r="B24" s="29" t="s">
        <v>67</v>
      </c>
      <c r="C24" s="30">
        <f>C6+C23</f>
        <v>6709.586433696617</v>
      </c>
    </row>
    <row r="25" spans="2:5">
      <c r="B25" s="29" t="s">
        <v>31</v>
      </c>
      <c r="C25" s="30">
        <f>C24*(1+3%)</f>
        <v>6910.8740267075154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FA85-9461-4CE3-A4D1-61CA9309E7C5}">
  <dimension ref="B1:O38"/>
  <sheetViews>
    <sheetView showGridLines="0" workbookViewId="0"/>
  </sheetViews>
  <sheetFormatPr defaultRowHeight="14.5"/>
  <cols>
    <col min="1" max="1" width="1" customWidth="1"/>
    <col min="2" max="2" width="6.36328125" customWidth="1"/>
    <col min="3" max="4" width="7.54296875" customWidth="1"/>
    <col min="11" max="11" width="8.7265625" customWidth="1"/>
    <col min="14" max="14" width="62.7265625" customWidth="1"/>
    <col min="15" max="15" width="8.7265625" customWidth="1"/>
  </cols>
  <sheetData>
    <row r="1" spans="2:15" ht="3.5" customHeight="1"/>
    <row r="2" spans="2:15" ht="19.5">
      <c r="C2" s="20" t="s">
        <v>13</v>
      </c>
    </row>
    <row r="3" spans="2:15" ht="16">
      <c r="C3" s="23" t="s">
        <v>7</v>
      </c>
    </row>
    <row r="5" spans="2:15">
      <c r="D5" s="25" t="s">
        <v>11</v>
      </c>
      <c r="E5" s="25"/>
      <c r="F5" s="25"/>
      <c r="G5" s="25"/>
      <c r="H5" s="25"/>
      <c r="I5" s="25"/>
      <c r="J5" s="25"/>
      <c r="K5" s="25"/>
      <c r="L5" s="25"/>
    </row>
    <row r="6" spans="2:15">
      <c r="C6" s="22">
        <f>O23</f>
        <v>0.40579187450221976</v>
      </c>
      <c r="D6" s="2">
        <v>0</v>
      </c>
      <c r="E6" s="2">
        <v>0.03</v>
      </c>
      <c r="F6" s="2">
        <v>0.05</v>
      </c>
      <c r="G6" s="2">
        <v>7.0000000000000007E-2</v>
      </c>
      <c r="H6" s="2">
        <v>0.09</v>
      </c>
      <c r="I6" s="2">
        <v>0.11</v>
      </c>
      <c r="J6" s="2">
        <v>0.13</v>
      </c>
      <c r="K6" s="2">
        <v>0.15</v>
      </c>
      <c r="L6" s="2">
        <v>0.2</v>
      </c>
      <c r="N6" s="31" t="s">
        <v>17</v>
      </c>
      <c r="O6" s="46">
        <v>12000</v>
      </c>
    </row>
    <row r="7" spans="2:15">
      <c r="B7" s="24" t="s">
        <v>10</v>
      </c>
      <c r="C7" s="2">
        <v>0</v>
      </c>
      <c r="D7" s="4">
        <f t="dataTable" ref="D7:L15" dt2D="1" dtr="1" r1="O17" r2="O16"/>
        <v>0.40091014404510616</v>
      </c>
      <c r="E7" s="4">
        <v>0.40091014404510616</v>
      </c>
      <c r="F7" s="4">
        <v>0.40091014404510616</v>
      </c>
      <c r="G7" s="4">
        <v>0.40091014404510616</v>
      </c>
      <c r="H7" s="4">
        <v>0.40091014404510616</v>
      </c>
      <c r="I7" s="4">
        <v>0.40091014404510616</v>
      </c>
      <c r="J7" s="4">
        <v>0.40091014404510616</v>
      </c>
      <c r="K7" s="4">
        <v>0.40091014404510616</v>
      </c>
      <c r="L7" s="4">
        <v>0.40091014404510616</v>
      </c>
      <c r="N7" s="32" t="s">
        <v>9</v>
      </c>
      <c r="O7" s="33">
        <v>0.25</v>
      </c>
    </row>
    <row r="8" spans="2:15" ht="15" thickBot="1">
      <c r="B8" s="24"/>
      <c r="C8" s="2">
        <v>0.1</v>
      </c>
      <c r="D8" s="4">
        <v>0.40091014404510616</v>
      </c>
      <c r="E8" s="4">
        <v>0.40335100927366285</v>
      </c>
      <c r="F8" s="4">
        <v>0.40497825275936739</v>
      </c>
      <c r="G8" s="4">
        <v>0.40660549624507192</v>
      </c>
      <c r="H8" s="4">
        <v>0.40823273973077656</v>
      </c>
      <c r="I8" s="4">
        <v>0.40985998321648098</v>
      </c>
      <c r="J8" s="4">
        <v>0.41148722670218552</v>
      </c>
      <c r="K8" s="4">
        <v>0.41311447018789005</v>
      </c>
      <c r="L8" s="4">
        <v>0.41718257890215138</v>
      </c>
      <c r="N8" s="34" t="s">
        <v>18</v>
      </c>
      <c r="O8" s="35">
        <f>O6*(1-O7)</f>
        <v>9000</v>
      </c>
    </row>
    <row r="9" spans="2:15" ht="15" thickBot="1">
      <c r="B9" s="24"/>
      <c r="C9" s="2">
        <v>0.2</v>
      </c>
      <c r="D9" s="4">
        <v>0.40091014404510616</v>
      </c>
      <c r="E9" s="26">
        <v>0.40579187450221976</v>
      </c>
      <c r="F9" s="4">
        <v>0.40904636147362883</v>
      </c>
      <c r="G9" s="4">
        <v>0.412300848445038</v>
      </c>
      <c r="H9" s="4">
        <v>0.41555533541644707</v>
      </c>
      <c r="I9" s="4">
        <v>0.41880982238785613</v>
      </c>
      <c r="J9" s="4">
        <v>0.42206430935926509</v>
      </c>
      <c r="K9" s="4">
        <v>0.42531879633067415</v>
      </c>
      <c r="L9" s="4">
        <v>0.43345501375919682</v>
      </c>
      <c r="N9" s="32" t="s">
        <v>19</v>
      </c>
      <c r="O9" s="33">
        <v>0.35</v>
      </c>
    </row>
    <row r="10" spans="2:15">
      <c r="B10" s="24"/>
      <c r="C10" s="2">
        <v>0.3</v>
      </c>
      <c r="D10" s="4">
        <v>0.40091014404510616</v>
      </c>
      <c r="E10" s="4">
        <v>0.40823273973077656</v>
      </c>
      <c r="F10" s="4">
        <v>0.41311447018789016</v>
      </c>
      <c r="G10" s="4">
        <v>0.41799620064500376</v>
      </c>
      <c r="H10" s="4">
        <v>0.42287793110211735</v>
      </c>
      <c r="I10" s="4">
        <v>0.42775966155923095</v>
      </c>
      <c r="J10" s="4">
        <v>0.43264139201634444</v>
      </c>
      <c r="K10" s="4">
        <v>0.43752312247345804</v>
      </c>
      <c r="L10" s="4">
        <v>0.44972744861624203</v>
      </c>
      <c r="N10" s="34" t="s">
        <v>20</v>
      </c>
      <c r="O10" s="36">
        <f>O6*(1-O9)</f>
        <v>7800</v>
      </c>
    </row>
    <row r="11" spans="2:15">
      <c r="B11" s="24"/>
      <c r="C11" s="2">
        <v>0.4</v>
      </c>
      <c r="D11" s="4">
        <v>0.40091014404510616</v>
      </c>
      <c r="E11" s="4">
        <v>0.41067360495933347</v>
      </c>
      <c r="F11" s="4">
        <v>0.4171825789021516</v>
      </c>
      <c r="G11" s="4">
        <v>0.42369155284496962</v>
      </c>
      <c r="H11" s="4">
        <v>0.43020052678778775</v>
      </c>
      <c r="I11" s="4">
        <v>0.43670950073060588</v>
      </c>
      <c r="J11" s="4">
        <v>0.44321847467342401</v>
      </c>
      <c r="K11" s="4">
        <v>0.44972744861624214</v>
      </c>
      <c r="L11" s="4">
        <v>0.46599988347328736</v>
      </c>
      <c r="N11" s="37" t="s">
        <v>21</v>
      </c>
      <c r="O11" s="38">
        <v>0.1</v>
      </c>
    </row>
    <row r="12" spans="2:15">
      <c r="B12" s="24"/>
      <c r="C12" s="2">
        <v>0.5</v>
      </c>
      <c r="D12" s="4">
        <v>0.40091014404510616</v>
      </c>
      <c r="E12" s="4">
        <v>0.41311447018789016</v>
      </c>
      <c r="F12" s="4">
        <v>0.42125068761641293</v>
      </c>
      <c r="G12" s="4">
        <v>0.42938690504493549</v>
      </c>
      <c r="H12" s="4">
        <v>0.43752312247345804</v>
      </c>
      <c r="I12" s="4">
        <v>0.4456593399019807</v>
      </c>
      <c r="J12" s="4">
        <v>0.45379555733050336</v>
      </c>
      <c r="K12" s="4">
        <v>0.46193177475902603</v>
      </c>
      <c r="L12" s="4">
        <v>0.48227231833033268</v>
      </c>
      <c r="N12" s="39" t="s">
        <v>8</v>
      </c>
      <c r="O12" s="33">
        <v>0</v>
      </c>
    </row>
    <row r="13" spans="2:15">
      <c r="B13" s="24"/>
      <c r="C13" s="2">
        <v>0.6</v>
      </c>
      <c r="D13" s="4">
        <v>0.40091014404510616</v>
      </c>
      <c r="E13" s="4">
        <v>0.41555533541644685</v>
      </c>
      <c r="F13" s="4">
        <v>0.42531879633067404</v>
      </c>
      <c r="G13" s="4">
        <v>0.43508225724490135</v>
      </c>
      <c r="H13" s="4">
        <v>0.44484571815912843</v>
      </c>
      <c r="I13" s="4">
        <v>0.45460917907335574</v>
      </c>
      <c r="J13" s="4">
        <v>0.46437263998758282</v>
      </c>
      <c r="K13" s="4">
        <v>0.47413610090181002</v>
      </c>
      <c r="L13" s="4">
        <v>0.4985447531873779</v>
      </c>
      <c r="N13" s="34" t="s">
        <v>22</v>
      </c>
      <c r="O13" s="36">
        <f>O10*(1-O11+O12)</f>
        <v>7020</v>
      </c>
    </row>
    <row r="14" spans="2:15">
      <c r="B14" s="24"/>
      <c r="C14" s="2">
        <v>0.7</v>
      </c>
      <c r="D14" s="4">
        <v>0.40091014404510616</v>
      </c>
      <c r="E14" s="4">
        <v>0.41799620064500376</v>
      </c>
      <c r="F14" s="4">
        <v>0.42938690504493549</v>
      </c>
      <c r="G14" s="4">
        <v>0.4407776094448671</v>
      </c>
      <c r="H14" s="4">
        <v>0.45216831384479883</v>
      </c>
      <c r="I14" s="4">
        <v>0.46355901824473056</v>
      </c>
      <c r="J14" s="4">
        <v>0.47494972264466229</v>
      </c>
      <c r="K14" s="4">
        <v>0.4863404270445939</v>
      </c>
      <c r="L14" s="4">
        <v>0.51481718804442322</v>
      </c>
      <c r="N14" s="37" t="s">
        <v>23</v>
      </c>
      <c r="O14" s="40">
        <f>1500</f>
        <v>1500</v>
      </c>
    </row>
    <row r="15" spans="2:15">
      <c r="B15" s="24"/>
      <c r="C15" s="2">
        <v>0.8</v>
      </c>
      <c r="D15" s="4">
        <v>0.40091014404510616</v>
      </c>
      <c r="E15" s="4">
        <v>0.42043706587356044</v>
      </c>
      <c r="F15" s="4">
        <v>0.43345501375919682</v>
      </c>
      <c r="G15" s="4">
        <v>0.44647296164483297</v>
      </c>
      <c r="H15" s="4">
        <v>0.45949090953046912</v>
      </c>
      <c r="I15" s="4">
        <v>0.47250885741610549</v>
      </c>
      <c r="J15" s="4">
        <v>0.48552680530174164</v>
      </c>
      <c r="K15" s="4">
        <v>0.4985447531873779</v>
      </c>
      <c r="L15" s="4">
        <v>0.53108962290146844</v>
      </c>
      <c r="N15" s="37" t="s">
        <v>24</v>
      </c>
      <c r="O15" s="38">
        <v>0.05</v>
      </c>
    </row>
    <row r="16" spans="2:15" ht="15" thickBot="1">
      <c r="N16" s="37" t="s">
        <v>10</v>
      </c>
      <c r="O16" s="38">
        <v>0.2</v>
      </c>
    </row>
    <row r="17" spans="2:15" ht="15" thickBot="1">
      <c r="B17" s="27"/>
      <c r="C17" t="s">
        <v>12</v>
      </c>
      <c r="N17" s="32" t="s">
        <v>11</v>
      </c>
      <c r="O17" s="33">
        <v>0.03</v>
      </c>
    </row>
    <row r="18" spans="2:15">
      <c r="N18" s="57" t="s">
        <v>25</v>
      </c>
      <c r="O18" s="58">
        <f>O13-O14-(1-O16)*O13*O15-O13*O16*(O15+O17)</f>
        <v>5126.88</v>
      </c>
    </row>
    <row r="19" spans="2:15">
      <c r="N19" s="39" t="s">
        <v>16</v>
      </c>
      <c r="O19" s="33">
        <v>0.85</v>
      </c>
    </row>
    <row r="20" spans="2:15">
      <c r="N20" s="59" t="s">
        <v>66</v>
      </c>
      <c r="O20" s="60">
        <f>O18*O19</f>
        <v>4357.848</v>
      </c>
    </row>
    <row r="21" spans="2:15">
      <c r="N21" s="37" t="s">
        <v>26</v>
      </c>
      <c r="O21" s="41">
        <f>O20/O27</f>
        <v>0.6305784164432483</v>
      </c>
    </row>
    <row r="22" spans="2:15">
      <c r="N22" s="32" t="s">
        <v>27</v>
      </c>
      <c r="O22" s="42">
        <f>O21/(1+2%)^3</f>
        <v>0.59420812549778024</v>
      </c>
    </row>
    <row r="23" spans="2:15">
      <c r="N23" s="43" t="s">
        <v>28</v>
      </c>
      <c r="O23" s="44">
        <f>1-O22</f>
        <v>0.40579187450221976</v>
      </c>
    </row>
    <row r="24" spans="2:15">
      <c r="N24" s="1"/>
      <c r="O24" s="18"/>
    </row>
    <row r="25" spans="2:15">
      <c r="N25" s="29" t="s">
        <v>29</v>
      </c>
      <c r="O25" s="30">
        <f>CUMPRINC(9%/12,60,O8,1,18,0)</f>
        <v>-2290.4135663033826</v>
      </c>
    </row>
    <row r="26" spans="2:15">
      <c r="N26" s="29" t="s">
        <v>30</v>
      </c>
      <c r="O26" s="30">
        <f>O8+O25</f>
        <v>6709.586433696617</v>
      </c>
    </row>
    <row r="27" spans="2:15">
      <c r="N27" s="29" t="s">
        <v>31</v>
      </c>
      <c r="O27" s="30">
        <f>O26*(1+3%)</f>
        <v>6910.8740267075154</v>
      </c>
    </row>
    <row r="35" spans="3:3">
      <c r="C35" s="18"/>
    </row>
    <row r="36" spans="3:3">
      <c r="C36" s="3">
        <f>CUMPRINC(9%/12,60,O8,1,18,0)</f>
        <v>-2290.4135663033826</v>
      </c>
    </row>
    <row r="37" spans="3:3">
      <c r="C37" s="3">
        <f>O8+C36</f>
        <v>6709.586433696617</v>
      </c>
    </row>
    <row r="38" spans="3:3">
      <c r="C38" s="3">
        <f>C37*(1+3%)</f>
        <v>6910.8740267075154</v>
      </c>
    </row>
  </sheetData>
  <mergeCells count="2">
    <mergeCell ref="D5:L5"/>
    <mergeCell ref="B7:B15"/>
  </mergeCells>
  <conditionalFormatting sqref="D7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1794-9976-41D4-9F37-47E38A1D8E81}">
  <dimension ref="B1:O38"/>
  <sheetViews>
    <sheetView showGridLines="0" workbookViewId="0"/>
  </sheetViews>
  <sheetFormatPr defaultRowHeight="14.5"/>
  <cols>
    <col min="1" max="1" width="1" customWidth="1"/>
    <col min="2" max="2" width="6.36328125" customWidth="1"/>
    <col min="3" max="4" width="7.54296875" customWidth="1"/>
    <col min="11" max="11" width="8.7265625" customWidth="1"/>
    <col min="14" max="14" width="62.7265625" hidden="1" customWidth="1"/>
    <col min="15" max="15" width="8.7265625" hidden="1" customWidth="1"/>
  </cols>
  <sheetData>
    <row r="1" spans="2:15" ht="3.5" customHeight="1"/>
    <row r="2" spans="2:15" ht="19.5">
      <c r="C2" s="20" t="s">
        <v>14</v>
      </c>
    </row>
    <row r="3" spans="2:15" ht="16">
      <c r="C3" s="23" t="s">
        <v>7</v>
      </c>
    </row>
    <row r="5" spans="2:15">
      <c r="D5" s="25" t="s">
        <v>9</v>
      </c>
      <c r="E5" s="25"/>
      <c r="F5" s="25"/>
      <c r="G5" s="25"/>
      <c r="H5" s="25"/>
      <c r="I5" s="25"/>
      <c r="J5" s="25"/>
      <c r="K5" s="25"/>
      <c r="L5" s="25"/>
    </row>
    <row r="6" spans="2:15">
      <c r="C6" s="22">
        <f>O23</f>
        <v>0.40579187450221976</v>
      </c>
      <c r="D6" s="2">
        <v>0</v>
      </c>
      <c r="E6" s="2">
        <v>0.05</v>
      </c>
      <c r="F6" s="2">
        <v>0.1</v>
      </c>
      <c r="G6" s="2">
        <v>0.15</v>
      </c>
      <c r="H6" s="2">
        <v>0.2</v>
      </c>
      <c r="I6" s="2">
        <v>0.25</v>
      </c>
      <c r="J6" s="2">
        <v>0.3</v>
      </c>
      <c r="K6" s="2">
        <v>0.35</v>
      </c>
      <c r="L6" s="2">
        <v>0.4</v>
      </c>
      <c r="N6" s="31" t="s">
        <v>17</v>
      </c>
      <c r="O6" s="46">
        <v>12000</v>
      </c>
    </row>
    <row r="7" spans="2:15">
      <c r="B7" s="24" t="s">
        <v>8</v>
      </c>
      <c r="C7" s="2">
        <v>-0.2</v>
      </c>
      <c r="D7" s="4">
        <f t="dataTable" ref="D7:L15" dt2D="1" dtr="1" r1="O7" r2="O12"/>
        <v>0.68235372675208783</v>
      </c>
      <c r="E7" s="4">
        <v>0.66563550184430298</v>
      </c>
      <c r="F7" s="4">
        <v>0.64705969639120875</v>
      </c>
      <c r="G7" s="4">
        <v>0.62629850206127968</v>
      </c>
      <c r="H7" s="4">
        <v>0.60294215844010979</v>
      </c>
      <c r="I7" s="4">
        <v>0.57647163566945037</v>
      </c>
      <c r="J7" s="4">
        <v>0.54621960964583971</v>
      </c>
      <c r="K7" s="4">
        <v>0.51131342577244276</v>
      </c>
      <c r="L7" s="4">
        <v>0.47058954458681312</v>
      </c>
      <c r="N7" s="32" t="s">
        <v>9</v>
      </c>
      <c r="O7" s="33">
        <v>0.25</v>
      </c>
    </row>
    <row r="8" spans="2:15">
      <c r="B8" s="24"/>
      <c r="C8" s="2">
        <v>-0.15</v>
      </c>
      <c r="D8" s="4">
        <v>0.65035127153323213</v>
      </c>
      <c r="E8" s="4">
        <v>0.63194870687708637</v>
      </c>
      <c r="F8" s="4">
        <v>0.61150141281470227</v>
      </c>
      <c r="G8" s="4">
        <v>0.5886485547449789</v>
      </c>
      <c r="H8" s="4">
        <v>0.56293908941654003</v>
      </c>
      <c r="I8" s="4">
        <v>0.53380169537764277</v>
      </c>
      <c r="J8" s="4">
        <v>0.50050181647604586</v>
      </c>
      <c r="K8" s="4">
        <v>0.4620788792818955</v>
      </c>
      <c r="L8" s="4">
        <v>0.41725211922205352</v>
      </c>
      <c r="N8" s="34" t="s">
        <v>18</v>
      </c>
      <c r="O8" s="35">
        <f>O6*(1-O7)</f>
        <v>9000</v>
      </c>
    </row>
    <row r="9" spans="2:15">
      <c r="B9" s="24"/>
      <c r="C9" s="2">
        <v>-0.1</v>
      </c>
      <c r="D9" s="4">
        <v>0.61834881631437644</v>
      </c>
      <c r="E9" s="4">
        <v>0.59826191190986977</v>
      </c>
      <c r="F9" s="4">
        <v>0.57594312923819602</v>
      </c>
      <c r="G9" s="4">
        <v>0.55099860742867801</v>
      </c>
      <c r="H9" s="4">
        <v>0.52293602039297038</v>
      </c>
      <c r="I9" s="4">
        <v>0.49113175508583518</v>
      </c>
      <c r="J9" s="4">
        <v>0.45478402330625189</v>
      </c>
      <c r="K9" s="4">
        <v>0.41284433279134825</v>
      </c>
      <c r="L9" s="4">
        <v>0.36391469385729402</v>
      </c>
      <c r="N9" s="32" t="s">
        <v>19</v>
      </c>
      <c r="O9" s="33">
        <v>0.35</v>
      </c>
    </row>
    <row r="10" spans="2:15" ht="15" thickBot="1">
      <c r="B10" s="24"/>
      <c r="C10" s="2">
        <v>-0.05</v>
      </c>
      <c r="D10" s="4">
        <v>0.58634636109552063</v>
      </c>
      <c r="E10" s="4">
        <v>0.56457511694265317</v>
      </c>
      <c r="F10" s="4">
        <v>0.54038484566168954</v>
      </c>
      <c r="G10" s="4">
        <v>0.51334866011237712</v>
      </c>
      <c r="H10" s="4">
        <v>0.48293295136940073</v>
      </c>
      <c r="I10" s="4">
        <v>0.44846181479402736</v>
      </c>
      <c r="J10" s="4">
        <v>0.40906623013645804</v>
      </c>
      <c r="K10" s="4">
        <v>0.36360978630080076</v>
      </c>
      <c r="L10" s="4">
        <v>0.31057726849253431</v>
      </c>
      <c r="N10" s="34" t="s">
        <v>20</v>
      </c>
      <c r="O10" s="36">
        <f>O6*(1-O9)</f>
        <v>7800</v>
      </c>
    </row>
    <row r="11" spans="2:15" ht="15" thickBot="1">
      <c r="B11" s="24"/>
      <c r="C11" s="2">
        <v>0</v>
      </c>
      <c r="D11" s="4">
        <v>0.55434390587666493</v>
      </c>
      <c r="E11" s="4">
        <v>0.53088832197543667</v>
      </c>
      <c r="F11" s="4">
        <v>0.50482656208518328</v>
      </c>
      <c r="G11" s="4">
        <v>0.47569871279607634</v>
      </c>
      <c r="H11" s="4">
        <v>0.44292988234583097</v>
      </c>
      <c r="I11" s="26">
        <v>0.40579187450221976</v>
      </c>
      <c r="J11" s="4">
        <v>0.36334843696666419</v>
      </c>
      <c r="K11" s="4">
        <v>0.31437523981025361</v>
      </c>
      <c r="L11" s="4">
        <v>0.25723984312777481</v>
      </c>
      <c r="N11" s="37" t="s">
        <v>21</v>
      </c>
      <c r="O11" s="38">
        <v>0.1</v>
      </c>
    </row>
    <row r="12" spans="2:15">
      <c r="B12" s="24"/>
      <c r="C12" s="2">
        <v>0.05</v>
      </c>
      <c r="D12" s="4">
        <v>0.52234145065780924</v>
      </c>
      <c r="E12" s="4">
        <v>0.49720152700822007</v>
      </c>
      <c r="F12" s="4">
        <v>0.46926827850867681</v>
      </c>
      <c r="G12" s="4">
        <v>0.43804876547977534</v>
      </c>
      <c r="H12" s="4">
        <v>0.40292681332226132</v>
      </c>
      <c r="I12" s="4">
        <v>0.36312193421041206</v>
      </c>
      <c r="J12" s="4">
        <v>0.31763064379687012</v>
      </c>
      <c r="K12" s="4">
        <v>0.26514069331970624</v>
      </c>
      <c r="L12" s="4">
        <v>0.20390241776301521</v>
      </c>
      <c r="N12" s="39" t="s">
        <v>8</v>
      </c>
      <c r="O12" s="33">
        <v>0</v>
      </c>
    </row>
    <row r="13" spans="2:15">
      <c r="B13" s="24"/>
      <c r="C13" s="2">
        <v>0.1</v>
      </c>
      <c r="D13" s="4">
        <v>0.49033899543895354</v>
      </c>
      <c r="E13" s="4">
        <v>0.46351473204100357</v>
      </c>
      <c r="F13" s="4">
        <v>0.43370999493217055</v>
      </c>
      <c r="G13" s="4">
        <v>0.40039881816347467</v>
      </c>
      <c r="H13" s="4">
        <v>0.3629237442986919</v>
      </c>
      <c r="I13" s="4">
        <v>0.32045199391860457</v>
      </c>
      <c r="J13" s="4">
        <v>0.27191285062707649</v>
      </c>
      <c r="K13" s="4">
        <v>0.2159061468291591</v>
      </c>
      <c r="L13" s="4">
        <v>0.15056499239825594</v>
      </c>
      <c r="N13" s="34" t="s">
        <v>22</v>
      </c>
      <c r="O13" s="36">
        <f>O10*(1-O11+O12)</f>
        <v>7020</v>
      </c>
    </row>
    <row r="14" spans="2:15">
      <c r="B14" s="24"/>
      <c r="C14" s="2">
        <v>0.15</v>
      </c>
      <c r="D14" s="4">
        <v>0.45833654022009773</v>
      </c>
      <c r="E14" s="4">
        <v>0.42982793707378708</v>
      </c>
      <c r="F14" s="4">
        <v>0.39815171135566418</v>
      </c>
      <c r="G14" s="4">
        <v>0.36274887084717378</v>
      </c>
      <c r="H14" s="4">
        <v>0.32292067527512203</v>
      </c>
      <c r="I14" s="4">
        <v>0.27778205362679687</v>
      </c>
      <c r="J14" s="4">
        <v>0.22619505745728241</v>
      </c>
      <c r="K14" s="4">
        <v>0.16667160033861184</v>
      </c>
      <c r="L14" s="4">
        <v>9.7227567033496221E-2</v>
      </c>
      <c r="N14" s="37" t="s">
        <v>23</v>
      </c>
      <c r="O14" s="40">
        <f>1500</f>
        <v>1500</v>
      </c>
    </row>
    <row r="15" spans="2:15">
      <c r="B15" s="24"/>
      <c r="C15" s="2">
        <v>0.2</v>
      </c>
      <c r="D15" s="4">
        <v>0.42633408500124192</v>
      </c>
      <c r="E15" s="4">
        <v>0.39614114210657037</v>
      </c>
      <c r="F15" s="4">
        <v>0.36259342777915771</v>
      </c>
      <c r="G15" s="4">
        <v>0.32509892353087266</v>
      </c>
      <c r="H15" s="4">
        <v>0.28291760625155227</v>
      </c>
      <c r="I15" s="4">
        <v>0.23511211333498916</v>
      </c>
      <c r="J15" s="4">
        <v>0.18047726428748845</v>
      </c>
      <c r="K15" s="4">
        <v>0.11743705384806435</v>
      </c>
      <c r="L15" s="4">
        <v>4.3890141668736615E-2</v>
      </c>
      <c r="N15" s="37" t="s">
        <v>24</v>
      </c>
      <c r="O15" s="38">
        <v>0.05</v>
      </c>
    </row>
    <row r="16" spans="2:15" ht="15" thickBot="1">
      <c r="N16" s="37" t="s">
        <v>10</v>
      </c>
      <c r="O16" s="38">
        <v>0.2</v>
      </c>
    </row>
    <row r="17" spans="2:15" ht="15" thickBot="1">
      <c r="B17" s="27"/>
      <c r="C17" t="s">
        <v>12</v>
      </c>
      <c r="N17" s="32" t="s">
        <v>11</v>
      </c>
      <c r="O17" s="33">
        <v>0.03</v>
      </c>
    </row>
    <row r="18" spans="2:15">
      <c r="N18" s="57" t="s">
        <v>25</v>
      </c>
      <c r="O18" s="58">
        <f>O13-O14-(1-O16)*O13*O15-O13*O16*(O15+O17)</f>
        <v>5126.88</v>
      </c>
    </row>
    <row r="19" spans="2:15">
      <c r="N19" s="39" t="s">
        <v>16</v>
      </c>
      <c r="O19" s="33">
        <v>0.85</v>
      </c>
    </row>
    <row r="20" spans="2:15">
      <c r="N20" s="59" t="s">
        <v>66</v>
      </c>
      <c r="O20" s="60">
        <f>O18*O19</f>
        <v>4357.848</v>
      </c>
    </row>
    <row r="21" spans="2:15">
      <c r="N21" s="37" t="s">
        <v>26</v>
      </c>
      <c r="O21" s="41">
        <f>O20/O27</f>
        <v>0.6305784164432483</v>
      </c>
    </row>
    <row r="22" spans="2:15">
      <c r="N22" s="32" t="s">
        <v>27</v>
      </c>
      <c r="O22" s="42">
        <f>O21/(1+2%)^3</f>
        <v>0.59420812549778024</v>
      </c>
    </row>
    <row r="23" spans="2:15">
      <c r="N23" s="43" t="s">
        <v>28</v>
      </c>
      <c r="O23" s="44">
        <f>1-O22</f>
        <v>0.40579187450221976</v>
      </c>
    </row>
    <row r="24" spans="2:15">
      <c r="N24" s="1"/>
      <c r="O24" s="18"/>
    </row>
    <row r="25" spans="2:15">
      <c r="N25" s="29" t="s">
        <v>29</v>
      </c>
      <c r="O25" s="30">
        <f>CUMPRINC(9%/12,60,O8,1,18,0)</f>
        <v>-2290.4135663033826</v>
      </c>
    </row>
    <row r="26" spans="2:15">
      <c r="N26" s="29" t="s">
        <v>30</v>
      </c>
      <c r="O26" s="30">
        <f>O8+O25</f>
        <v>6709.586433696617</v>
      </c>
    </row>
    <row r="27" spans="2:15">
      <c r="N27" s="29" t="s">
        <v>31</v>
      </c>
      <c r="O27" s="30">
        <f>O26*(1+3%)</f>
        <v>6910.8740267075154</v>
      </c>
    </row>
    <row r="35" spans="3:3">
      <c r="C35" s="18"/>
    </row>
    <row r="36" spans="3:3">
      <c r="C36" s="3">
        <f>CUMPRINC(9%/12,60,O8,1,18,0)</f>
        <v>-2290.4135663033826</v>
      </c>
    </row>
    <row r="37" spans="3:3">
      <c r="C37" s="3">
        <f>O8+C36</f>
        <v>6709.586433696617</v>
      </c>
    </row>
    <row r="38" spans="3:3">
      <c r="C38" s="3">
        <f>C37*(1+3%)</f>
        <v>6910.8740267075154</v>
      </c>
    </row>
  </sheetData>
  <mergeCells count="2">
    <mergeCell ref="D5:L5"/>
    <mergeCell ref="B7:B15"/>
  </mergeCells>
  <conditionalFormatting sqref="D7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FFE9-95BE-4A1D-A155-BE082DB2EB50}">
  <dimension ref="B1:O38"/>
  <sheetViews>
    <sheetView showGridLines="0" workbookViewId="0"/>
  </sheetViews>
  <sheetFormatPr defaultRowHeight="14.5"/>
  <cols>
    <col min="1" max="1" width="1" customWidth="1"/>
    <col min="2" max="2" width="6.36328125" customWidth="1"/>
    <col min="3" max="4" width="7.54296875" customWidth="1"/>
    <col min="11" max="11" width="8.7265625" customWidth="1"/>
    <col min="14" max="14" width="62.7265625" hidden="1" customWidth="1"/>
    <col min="15" max="15" width="8.7265625" hidden="1" customWidth="1"/>
  </cols>
  <sheetData>
    <row r="1" spans="2:15" ht="3.5" customHeight="1"/>
    <row r="2" spans="2:15" ht="19.5">
      <c r="C2" s="20" t="s">
        <v>15</v>
      </c>
    </row>
    <row r="3" spans="2:15" ht="16">
      <c r="C3" s="23" t="s">
        <v>7</v>
      </c>
    </row>
    <row r="5" spans="2:15">
      <c r="D5" s="25" t="s">
        <v>9</v>
      </c>
      <c r="E5" s="25"/>
      <c r="F5" s="25"/>
      <c r="G5" s="25"/>
      <c r="H5" s="25"/>
      <c r="I5" s="25"/>
      <c r="J5" s="25"/>
      <c r="K5" s="25"/>
      <c r="L5" s="25"/>
    </row>
    <row r="6" spans="2:15">
      <c r="C6" s="22">
        <f>O23</f>
        <v>0.40579187450221976</v>
      </c>
      <c r="D6" s="2">
        <v>0</v>
      </c>
      <c r="E6" s="2">
        <v>0.05</v>
      </c>
      <c r="F6" s="2">
        <v>0.1</v>
      </c>
      <c r="G6" s="2">
        <v>0.15</v>
      </c>
      <c r="H6" s="2">
        <v>0.2</v>
      </c>
      <c r="I6" s="2">
        <v>0.25</v>
      </c>
      <c r="J6" s="2">
        <v>0.3</v>
      </c>
      <c r="K6" s="2">
        <v>0.35</v>
      </c>
      <c r="L6" s="2">
        <v>0.4</v>
      </c>
      <c r="N6" s="31" t="s">
        <v>17</v>
      </c>
      <c r="O6" s="46">
        <v>12000</v>
      </c>
    </row>
    <row r="7" spans="2:15">
      <c r="B7" s="24" t="s">
        <v>16</v>
      </c>
      <c r="C7" s="2">
        <v>0.6</v>
      </c>
      <c r="D7" s="4">
        <f t="dataTable" ref="D7:L15" dt2D="1" dtr="1" r1="O7" r2="O19"/>
        <v>0.68541922767764585</v>
      </c>
      <c r="E7" s="4">
        <v>0.66886234492383756</v>
      </c>
      <c r="F7" s="4">
        <v>0.65046580853071756</v>
      </c>
      <c r="G7" s="4">
        <v>0.62990497373840681</v>
      </c>
      <c r="H7" s="4">
        <v>0.60677403459705714</v>
      </c>
      <c r="I7" s="4">
        <v>0.58055897023686098</v>
      </c>
      <c r="J7" s="4">
        <v>0.55059889668235118</v>
      </c>
      <c r="K7" s="4">
        <v>0.51602958104253194</v>
      </c>
      <c r="L7" s="4">
        <v>0.47569871279607634</v>
      </c>
      <c r="N7" s="32" t="s">
        <v>9</v>
      </c>
      <c r="O7" s="33">
        <v>0.25</v>
      </c>
    </row>
    <row r="8" spans="2:15">
      <c r="B8" s="24"/>
      <c r="C8" s="2">
        <v>0.65</v>
      </c>
      <c r="D8" s="4">
        <v>0.65920416331744969</v>
      </c>
      <c r="E8" s="4">
        <v>0.64126754033415745</v>
      </c>
      <c r="F8" s="4">
        <v>0.62133795924161073</v>
      </c>
      <c r="G8" s="4">
        <v>0.5990637215499407</v>
      </c>
      <c r="H8" s="4">
        <v>0.574005204146812</v>
      </c>
      <c r="I8" s="4">
        <v>0.54560555108993269</v>
      </c>
      <c r="J8" s="4">
        <v>0.51314880473921376</v>
      </c>
      <c r="K8" s="4">
        <v>0.47569871279607634</v>
      </c>
      <c r="L8" s="4">
        <v>0.43200693886241603</v>
      </c>
      <c r="N8" s="34" t="s">
        <v>18</v>
      </c>
      <c r="O8" s="35">
        <f>O6*(1-O7)</f>
        <v>9000</v>
      </c>
    </row>
    <row r="9" spans="2:15">
      <c r="B9" s="24"/>
      <c r="C9" s="2">
        <v>0.7</v>
      </c>
      <c r="D9" s="4">
        <v>0.63298909895725353</v>
      </c>
      <c r="E9" s="28">
        <v>0.61367273574447734</v>
      </c>
      <c r="F9" s="4">
        <v>0.59221010995250389</v>
      </c>
      <c r="G9" s="4">
        <v>0.56822246936147458</v>
      </c>
      <c r="H9" s="4">
        <v>0.54123637369656685</v>
      </c>
      <c r="I9" s="4">
        <v>0.51065213194300463</v>
      </c>
      <c r="J9" s="4">
        <v>0.47569871279607634</v>
      </c>
      <c r="K9" s="4">
        <v>0.43536784454962063</v>
      </c>
      <c r="L9" s="4">
        <v>0.38831516492875573</v>
      </c>
      <c r="N9" s="32" t="s">
        <v>19</v>
      </c>
      <c r="O9" s="33">
        <v>0.35</v>
      </c>
    </row>
    <row r="10" spans="2:15">
      <c r="B10" s="24"/>
      <c r="C10" s="2">
        <v>0.75</v>
      </c>
      <c r="D10" s="4">
        <v>0.60677403459705737</v>
      </c>
      <c r="E10" s="4">
        <v>0.586077931154797</v>
      </c>
      <c r="F10" s="4">
        <v>0.56308226066339695</v>
      </c>
      <c r="G10" s="4">
        <v>0.53738121717300857</v>
      </c>
      <c r="H10" s="4">
        <v>0.50846754324632149</v>
      </c>
      <c r="I10" s="4">
        <v>0.47569871279607634</v>
      </c>
      <c r="J10" s="4">
        <v>0.43824862085293892</v>
      </c>
      <c r="K10" s="4">
        <v>0.39503697630316492</v>
      </c>
      <c r="L10" s="4">
        <v>0.34462339099509554</v>
      </c>
      <c r="N10" s="34" t="s">
        <v>20</v>
      </c>
      <c r="O10" s="36">
        <f>O6*(1-O9)</f>
        <v>7800</v>
      </c>
    </row>
    <row r="11" spans="2:15" ht="15" thickBot="1">
      <c r="B11" s="24"/>
      <c r="C11" s="2">
        <v>0.8</v>
      </c>
      <c r="D11" s="4">
        <v>0.58055897023686109</v>
      </c>
      <c r="E11" s="4">
        <v>0.55848312656511689</v>
      </c>
      <c r="F11" s="4">
        <v>0.53395441137429012</v>
      </c>
      <c r="G11" s="4">
        <v>0.50653996498454235</v>
      </c>
      <c r="H11" s="4">
        <v>0.47569871279607634</v>
      </c>
      <c r="I11" s="4">
        <v>0.44074529364914805</v>
      </c>
      <c r="J11" s="4">
        <v>0.40079852890980161</v>
      </c>
      <c r="K11" s="4">
        <v>0.35470610805670921</v>
      </c>
      <c r="L11" s="4">
        <v>0.30093161706143523</v>
      </c>
      <c r="N11" s="37" t="s">
        <v>21</v>
      </c>
      <c r="O11" s="38">
        <v>0.1</v>
      </c>
    </row>
    <row r="12" spans="2:15" ht="15" thickBot="1">
      <c r="B12" s="24"/>
      <c r="C12" s="2">
        <v>0.85</v>
      </c>
      <c r="D12" s="4">
        <v>0.55434390587666493</v>
      </c>
      <c r="E12" s="4">
        <v>0.53088832197543667</v>
      </c>
      <c r="F12" s="4">
        <v>0.50482656208518328</v>
      </c>
      <c r="G12" s="4">
        <v>0.47569871279607634</v>
      </c>
      <c r="H12" s="4">
        <v>0.44292988234583097</v>
      </c>
      <c r="I12" s="26">
        <v>0.40579187450221976</v>
      </c>
      <c r="J12" s="4">
        <v>0.36334843696666419</v>
      </c>
      <c r="K12" s="4">
        <v>0.31437523981025361</v>
      </c>
      <c r="L12" s="4">
        <v>0.25723984312777481</v>
      </c>
      <c r="N12" s="39" t="s">
        <v>8</v>
      </c>
      <c r="O12" s="33">
        <v>0</v>
      </c>
    </row>
    <row r="13" spans="2:15">
      <c r="B13" s="24"/>
      <c r="C13" s="2">
        <v>0.9</v>
      </c>
      <c r="D13" s="4">
        <v>0.52812884151646866</v>
      </c>
      <c r="E13" s="4">
        <v>0.50329351738575645</v>
      </c>
      <c r="F13" s="4">
        <v>0.47569871279607634</v>
      </c>
      <c r="G13" s="4">
        <v>0.44485746060761022</v>
      </c>
      <c r="H13" s="4">
        <v>0.41016105189558583</v>
      </c>
      <c r="I13" s="4">
        <v>0.37083845535529147</v>
      </c>
      <c r="J13" s="4">
        <v>0.32589834502352666</v>
      </c>
      <c r="K13" s="4">
        <v>0.27404437156379791</v>
      </c>
      <c r="L13" s="4">
        <v>0.21354806919411451</v>
      </c>
      <c r="N13" s="34" t="s">
        <v>22</v>
      </c>
      <c r="O13" s="36">
        <f>O10*(1-O11+O12)</f>
        <v>7020</v>
      </c>
    </row>
    <row r="14" spans="2:15">
      <c r="B14" s="24"/>
      <c r="C14" s="2">
        <v>0.95</v>
      </c>
      <c r="D14" s="4">
        <v>0.5019137771562725</v>
      </c>
      <c r="E14" s="4">
        <v>0.47569871279607634</v>
      </c>
      <c r="F14" s="4">
        <v>0.44657086350696951</v>
      </c>
      <c r="G14" s="4">
        <v>0.41401620841914399</v>
      </c>
      <c r="H14" s="4">
        <v>0.37739222144534057</v>
      </c>
      <c r="I14" s="4">
        <v>0.3358850362083633</v>
      </c>
      <c r="J14" s="4">
        <v>0.28844825308038935</v>
      </c>
      <c r="K14" s="4">
        <v>0.2337135033173422</v>
      </c>
      <c r="L14" s="4">
        <v>0.1698562952604542</v>
      </c>
      <c r="N14" s="37" t="s">
        <v>23</v>
      </c>
      <c r="O14" s="40">
        <f>1500</f>
        <v>1500</v>
      </c>
    </row>
    <row r="15" spans="2:15">
      <c r="B15" s="24"/>
      <c r="C15" s="2">
        <v>1</v>
      </c>
      <c r="D15" s="4">
        <v>0.47569871279607634</v>
      </c>
      <c r="E15" s="4">
        <v>0.44810390820639612</v>
      </c>
      <c r="F15" s="4">
        <v>0.41744301421786267</v>
      </c>
      <c r="G15" s="4">
        <v>0.38317495623067799</v>
      </c>
      <c r="H15" s="4">
        <v>0.34462339099509531</v>
      </c>
      <c r="I15" s="4">
        <v>0.30093161706143501</v>
      </c>
      <c r="J15" s="4">
        <v>0.25099816113725193</v>
      </c>
      <c r="K15" s="4">
        <v>0.19338263507088649</v>
      </c>
      <c r="L15" s="4">
        <v>0.1261645213267939</v>
      </c>
      <c r="N15" s="37" t="s">
        <v>24</v>
      </c>
      <c r="O15" s="38">
        <v>0.05</v>
      </c>
    </row>
    <row r="16" spans="2:15" ht="15" thickBot="1">
      <c r="N16" s="37" t="s">
        <v>10</v>
      </c>
      <c r="O16" s="38">
        <v>0.2</v>
      </c>
    </row>
    <row r="17" spans="2:15" ht="15" thickBot="1">
      <c r="B17" s="27"/>
      <c r="C17" t="s">
        <v>12</v>
      </c>
      <c r="N17" s="32" t="s">
        <v>11</v>
      </c>
      <c r="O17" s="33">
        <v>0.03</v>
      </c>
    </row>
    <row r="18" spans="2:15">
      <c r="N18" s="57" t="s">
        <v>25</v>
      </c>
      <c r="O18" s="58">
        <f>O13-O14-(1-O16)*O13*O15-O13*O16*(O15+O17)</f>
        <v>5126.88</v>
      </c>
    </row>
    <row r="19" spans="2:15">
      <c r="N19" s="39" t="s">
        <v>16</v>
      </c>
      <c r="O19" s="33">
        <v>0.85</v>
      </c>
    </row>
    <row r="20" spans="2:15">
      <c r="N20" s="59" t="s">
        <v>66</v>
      </c>
      <c r="O20" s="60">
        <f>O18*O19</f>
        <v>4357.848</v>
      </c>
    </row>
    <row r="21" spans="2:15">
      <c r="N21" s="37" t="s">
        <v>26</v>
      </c>
      <c r="O21" s="41">
        <f>O20/O27</f>
        <v>0.6305784164432483</v>
      </c>
    </row>
    <row r="22" spans="2:15">
      <c r="N22" s="32" t="s">
        <v>27</v>
      </c>
      <c r="O22" s="42">
        <f>O21/(1+2%)^3</f>
        <v>0.59420812549778024</v>
      </c>
    </row>
    <row r="23" spans="2:15">
      <c r="N23" s="43" t="s">
        <v>28</v>
      </c>
      <c r="O23" s="44">
        <f>1-O22</f>
        <v>0.40579187450221976</v>
      </c>
    </row>
    <row r="24" spans="2:15">
      <c r="N24" s="1"/>
      <c r="O24" s="18"/>
    </row>
    <row r="25" spans="2:15">
      <c r="N25" s="29" t="s">
        <v>29</v>
      </c>
      <c r="O25" s="30">
        <f>CUMPRINC(9%/12,60,O8,1,18,0)</f>
        <v>-2290.4135663033826</v>
      </c>
    </row>
    <row r="26" spans="2:15">
      <c r="N26" s="29" t="s">
        <v>30</v>
      </c>
      <c r="O26" s="30">
        <f>O8+O25</f>
        <v>6709.586433696617</v>
      </c>
    </row>
    <row r="27" spans="2:15">
      <c r="N27" s="29" t="s">
        <v>31</v>
      </c>
      <c r="O27" s="30">
        <f>O26*(1+3%)</f>
        <v>6910.8740267075154</v>
      </c>
    </row>
    <row r="35" spans="3:3">
      <c r="C35" s="18"/>
    </row>
    <row r="36" spans="3:3">
      <c r="C36" s="3">
        <f>CUMPRINC(9%/12,60,O8,1,18,0)</f>
        <v>-2290.4135663033826</v>
      </c>
    </row>
    <row r="37" spans="3:3">
      <c r="C37" s="3">
        <f>O8+C36</f>
        <v>6709.586433696617</v>
      </c>
    </row>
    <row r="38" spans="3:3">
      <c r="C38" s="3">
        <f>C37*(1+3%)</f>
        <v>6910.8740267075154</v>
      </c>
    </row>
  </sheetData>
  <mergeCells count="2">
    <mergeCell ref="D5:L5"/>
    <mergeCell ref="B7:B15"/>
  </mergeCells>
  <conditionalFormatting sqref="D7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C1ABA-66E5-4270-9A70-6E24985F0A82}">
  <dimension ref="B1:O38"/>
  <sheetViews>
    <sheetView showGridLines="0" workbookViewId="0">
      <selection activeCell="N1" sqref="N1:O1048576"/>
    </sheetView>
  </sheetViews>
  <sheetFormatPr defaultRowHeight="14.5"/>
  <cols>
    <col min="1" max="1" width="1" customWidth="1"/>
    <col min="2" max="2" width="6.36328125" customWidth="1"/>
    <col min="3" max="3" width="11.7265625" customWidth="1"/>
    <col min="4" max="4" width="7.54296875" customWidth="1"/>
    <col min="11" max="11" width="8.7265625" customWidth="1"/>
    <col min="14" max="14" width="62.7265625" hidden="1" customWidth="1"/>
    <col min="15" max="15" width="8.7265625" hidden="1" customWidth="1"/>
  </cols>
  <sheetData>
    <row r="1" spans="2:15" ht="3.5" customHeight="1"/>
    <row r="2" spans="2:15" ht="19.5">
      <c r="C2" s="20" t="s">
        <v>32</v>
      </c>
    </row>
    <row r="3" spans="2:15" ht="16">
      <c r="C3" s="23" t="s">
        <v>7</v>
      </c>
    </row>
    <row r="5" spans="2:15">
      <c r="D5" s="25" t="s">
        <v>9</v>
      </c>
      <c r="E5" s="25"/>
      <c r="F5" s="25"/>
      <c r="G5" s="25"/>
      <c r="H5" s="25"/>
      <c r="I5" s="25"/>
      <c r="J5" s="25"/>
      <c r="K5" s="25"/>
      <c r="L5" s="25"/>
    </row>
    <row r="6" spans="2:15">
      <c r="C6" s="22">
        <f>O23</f>
        <v>0.40579187450221976</v>
      </c>
      <c r="D6" s="2">
        <v>0</v>
      </c>
      <c r="E6" s="2">
        <v>0.05</v>
      </c>
      <c r="F6" s="2">
        <v>0.1</v>
      </c>
      <c r="G6" s="2">
        <v>0.15</v>
      </c>
      <c r="H6" s="2">
        <v>0.2</v>
      </c>
      <c r="I6" s="2">
        <v>0.25</v>
      </c>
      <c r="J6" s="2">
        <v>0.3</v>
      </c>
      <c r="K6" s="2">
        <v>0.35</v>
      </c>
      <c r="L6" s="2">
        <v>0.4</v>
      </c>
      <c r="N6" s="31" t="s">
        <v>17</v>
      </c>
      <c r="O6" s="46">
        <v>12000</v>
      </c>
    </row>
    <row r="7" spans="2:15" ht="15" thickBot="1">
      <c r="B7" s="24" t="s">
        <v>33</v>
      </c>
      <c r="C7" s="19">
        <v>10000</v>
      </c>
      <c r="D7" s="4">
        <f t="dataTable" ref="D7:L15" dt2D="1" dtr="1" r1="O7" r2="O6"/>
        <v>0.58042152583987849</v>
      </c>
      <c r="E7" s="4">
        <v>0.55833844825250356</v>
      </c>
      <c r="F7" s="4">
        <v>0.53380169537764277</v>
      </c>
      <c r="G7" s="4">
        <v>0.50637826569397471</v>
      </c>
      <c r="H7" s="4">
        <v>0.47552690729984814</v>
      </c>
      <c r="I7" s="4">
        <v>0.44056203445317133</v>
      </c>
      <c r="J7" s="4">
        <v>0.4006021797712549</v>
      </c>
      <c r="K7" s="4">
        <v>0.35449465513827449</v>
      </c>
      <c r="L7" s="4">
        <v>0.30070254306646427</v>
      </c>
      <c r="N7" s="32" t="s">
        <v>9</v>
      </c>
      <c r="O7" s="33">
        <v>0.25</v>
      </c>
    </row>
    <row r="8" spans="2:15" ht="15" thickBot="1">
      <c r="B8" s="24"/>
      <c r="C8" s="19">
        <f>C7+2000</f>
        <v>12000</v>
      </c>
      <c r="D8" s="4">
        <v>0.55434390587666493</v>
      </c>
      <c r="E8" s="4">
        <v>0.53088832197543667</v>
      </c>
      <c r="F8" s="4">
        <v>0.50482656208518328</v>
      </c>
      <c r="G8" s="4">
        <v>0.47569871279607634</v>
      </c>
      <c r="H8" s="4">
        <v>0.44292988234583097</v>
      </c>
      <c r="I8" s="26">
        <v>0.40579187450221976</v>
      </c>
      <c r="J8" s="4">
        <v>0.36334843696666419</v>
      </c>
      <c r="K8" s="4">
        <v>0.31437523981025361</v>
      </c>
      <c r="L8" s="4">
        <v>0.25723984312777481</v>
      </c>
      <c r="N8" s="34" t="s">
        <v>18</v>
      </c>
      <c r="O8" s="35">
        <f>O6*(1-O7)</f>
        <v>9000</v>
      </c>
    </row>
    <row r="9" spans="2:15">
      <c r="B9" s="24"/>
      <c r="C9" s="19">
        <f t="shared" ref="C9:C15" si="0">C8+2000</f>
        <v>14000</v>
      </c>
      <c r="D9" s="4">
        <v>0.53571703447436936</v>
      </c>
      <c r="E9" s="28">
        <v>0.51128108892038893</v>
      </c>
      <c r="F9" s="4">
        <v>0.4841300383048549</v>
      </c>
      <c r="G9" s="4">
        <v>0.45378474644043476</v>
      </c>
      <c r="H9" s="4">
        <v>0.41964629309296175</v>
      </c>
      <c r="I9" s="4">
        <v>0.380956045965826</v>
      </c>
      <c r="J9" s="4">
        <v>0.33673862067767069</v>
      </c>
      <c r="K9" s="4">
        <v>0.28571851457595299</v>
      </c>
      <c r="L9" s="4">
        <v>0.22619505745728241</v>
      </c>
      <c r="N9" s="32" t="s">
        <v>19</v>
      </c>
      <c r="O9" s="33">
        <v>0.35</v>
      </c>
    </row>
    <row r="10" spans="2:15">
      <c r="B10" s="24"/>
      <c r="C10" s="19">
        <f t="shared" si="0"/>
        <v>16000</v>
      </c>
      <c r="D10" s="4">
        <v>0.52174688092264798</v>
      </c>
      <c r="E10" s="4">
        <v>0.49657566412910303</v>
      </c>
      <c r="F10" s="4">
        <v>0.46860764546960887</v>
      </c>
      <c r="G10" s="4">
        <v>0.43734927167370341</v>
      </c>
      <c r="H10" s="4">
        <v>0.40218360115330987</v>
      </c>
      <c r="I10" s="4">
        <v>0.36232917456353064</v>
      </c>
      <c r="J10" s="4">
        <v>0.31678125846092542</v>
      </c>
      <c r="K10" s="4">
        <v>0.26422597065022746</v>
      </c>
      <c r="L10" s="4">
        <v>0.20291146820441308</v>
      </c>
      <c r="N10" s="34" t="s">
        <v>20</v>
      </c>
      <c r="O10" s="36">
        <f>O6*(1-O9)</f>
        <v>7800</v>
      </c>
    </row>
    <row r="11" spans="2:15">
      <c r="B11" s="24"/>
      <c r="C11" s="19">
        <f t="shared" si="0"/>
        <v>18000</v>
      </c>
      <c r="D11" s="4">
        <v>0.51088120593797548</v>
      </c>
      <c r="E11" s="4">
        <v>0.48513811151365849</v>
      </c>
      <c r="F11" s="4">
        <v>0.45653467326441732</v>
      </c>
      <c r="G11" s="4">
        <v>0.42456612463291243</v>
      </c>
      <c r="H11" s="4">
        <v>0.38860150742246946</v>
      </c>
      <c r="I11" s="4">
        <v>0.34784160791730079</v>
      </c>
      <c r="J11" s="4">
        <v>0.30125886562567927</v>
      </c>
      <c r="K11" s="4">
        <v>0.24750954759688559</v>
      </c>
      <c r="L11" s="4">
        <v>0.18480200989662598</v>
      </c>
      <c r="N11" s="37" t="s">
        <v>21</v>
      </c>
      <c r="O11" s="38">
        <v>0.1</v>
      </c>
    </row>
    <row r="12" spans="2:15">
      <c r="B12" s="24"/>
      <c r="C12" s="19">
        <f t="shared" si="0"/>
        <v>20000</v>
      </c>
      <c r="D12" s="4">
        <v>0.50218866595023781</v>
      </c>
      <c r="E12" s="4">
        <v>0.4759880694213029</v>
      </c>
      <c r="F12" s="4">
        <v>0.4468762955002642</v>
      </c>
      <c r="G12" s="4">
        <v>0.41433960700027972</v>
      </c>
      <c r="H12" s="4">
        <v>0.37773583243779718</v>
      </c>
      <c r="I12" s="28">
        <v>0.33625155460031708</v>
      </c>
      <c r="J12" s="4">
        <v>0.28884095135748244</v>
      </c>
      <c r="K12" s="4">
        <v>0.23413640915421186</v>
      </c>
      <c r="L12" s="4">
        <v>0.17031444325039635</v>
      </c>
      <c r="N12" s="39" t="s">
        <v>8</v>
      </c>
      <c r="O12" s="33">
        <v>0</v>
      </c>
    </row>
    <row r="13" spans="2:15">
      <c r="B13" s="24"/>
      <c r="C13" s="19">
        <f t="shared" si="0"/>
        <v>22000</v>
      </c>
      <c r="D13" s="4">
        <v>0.4950765877784522</v>
      </c>
      <c r="E13" s="4">
        <v>0.46850167134573906</v>
      </c>
      <c r="F13" s="4">
        <v>0.43897398642050234</v>
      </c>
      <c r="G13" s="4">
        <v>0.40597245620994371</v>
      </c>
      <c r="H13" s="4">
        <v>0.36884573472306514</v>
      </c>
      <c r="I13" s="4">
        <v>0.32676878370460294</v>
      </c>
      <c r="J13" s="4">
        <v>0.27868083968350288</v>
      </c>
      <c r="K13" s="4">
        <v>0.22319475042838788</v>
      </c>
      <c r="L13" s="4">
        <v>0.15846097963075356</v>
      </c>
      <c r="N13" s="34" t="s">
        <v>22</v>
      </c>
      <c r="O13" s="36">
        <f>O10*(1-O11+O12)</f>
        <v>7020</v>
      </c>
    </row>
    <row r="14" spans="2:15">
      <c r="B14" s="24"/>
      <c r="C14" s="19">
        <f t="shared" si="0"/>
        <v>24000</v>
      </c>
      <c r="D14" s="4">
        <v>0.48914985596863092</v>
      </c>
      <c r="E14" s="4">
        <v>0.46226300628276928</v>
      </c>
      <c r="F14" s="4">
        <v>0.43238872885403434</v>
      </c>
      <c r="G14" s="4">
        <v>0.39899983055133037</v>
      </c>
      <c r="H14" s="4">
        <v>0.36143731996078854</v>
      </c>
      <c r="I14" s="4">
        <v>0.31886647462484119</v>
      </c>
      <c r="J14" s="4">
        <v>0.27021407995518698</v>
      </c>
      <c r="K14" s="4">
        <v>0.2140767014902013</v>
      </c>
      <c r="L14" s="4">
        <v>0.14858309328105157</v>
      </c>
      <c r="N14" s="37" t="s">
        <v>23</v>
      </c>
      <c r="O14" s="40">
        <f>1500</f>
        <v>1500</v>
      </c>
    </row>
    <row r="15" spans="2:15">
      <c r="B15" s="24"/>
      <c r="C15" s="19">
        <f t="shared" si="0"/>
        <v>26000</v>
      </c>
      <c r="D15" s="4">
        <v>0.48413492905262834</v>
      </c>
      <c r="E15" s="4">
        <v>0.45698413584487185</v>
      </c>
      <c r="F15" s="4">
        <v>0.42681658783625376</v>
      </c>
      <c r="G15" s="4">
        <v>0.39309991653250387</v>
      </c>
      <c r="H15" s="4">
        <v>0.35516866131578539</v>
      </c>
      <c r="I15" s="4">
        <v>0.31217990540350449</v>
      </c>
      <c r="J15" s="4">
        <v>0.26304989864661177</v>
      </c>
      <c r="K15" s="4">
        <v>0.20636142931173596</v>
      </c>
      <c r="L15" s="4">
        <v>0.14022488175438053</v>
      </c>
      <c r="N15" s="37" t="s">
        <v>24</v>
      </c>
      <c r="O15" s="38">
        <v>0.05</v>
      </c>
    </row>
    <row r="16" spans="2:15" ht="15" thickBot="1">
      <c r="N16" s="37" t="s">
        <v>10</v>
      </c>
      <c r="O16" s="38">
        <v>0.2</v>
      </c>
    </row>
    <row r="17" spans="2:15" ht="15" thickBot="1">
      <c r="B17" s="27"/>
      <c r="C17" t="s">
        <v>12</v>
      </c>
      <c r="N17" s="32" t="s">
        <v>11</v>
      </c>
      <c r="O17" s="33">
        <v>0.03</v>
      </c>
    </row>
    <row r="18" spans="2:15">
      <c r="N18" s="57" t="s">
        <v>25</v>
      </c>
      <c r="O18" s="58">
        <f>O13-O14-(1-O16)*O13*O15-O13*O16*(O15+O17)</f>
        <v>5126.88</v>
      </c>
    </row>
    <row r="19" spans="2:15">
      <c r="N19" s="39" t="s">
        <v>16</v>
      </c>
      <c r="O19" s="33">
        <v>0.85</v>
      </c>
    </row>
    <row r="20" spans="2:15">
      <c r="N20" s="59" t="s">
        <v>66</v>
      </c>
      <c r="O20" s="60">
        <f>O18*O19</f>
        <v>4357.848</v>
      </c>
    </row>
    <row r="21" spans="2:15">
      <c r="N21" s="37" t="s">
        <v>26</v>
      </c>
      <c r="O21" s="41">
        <f>O20/O27</f>
        <v>0.6305784164432483</v>
      </c>
    </row>
    <row r="22" spans="2:15">
      <c r="N22" s="32" t="s">
        <v>27</v>
      </c>
      <c r="O22" s="42">
        <f>O21/(1+2%)^3</f>
        <v>0.59420812549778024</v>
      </c>
    </row>
    <row r="23" spans="2:15">
      <c r="N23" s="43" t="s">
        <v>28</v>
      </c>
      <c r="O23" s="44">
        <f>1-O22</f>
        <v>0.40579187450221976</v>
      </c>
    </row>
    <row r="24" spans="2:15">
      <c r="N24" s="1"/>
      <c r="O24" s="18"/>
    </row>
    <row r="25" spans="2:15">
      <c r="N25" s="29" t="s">
        <v>29</v>
      </c>
      <c r="O25" s="30">
        <f>CUMPRINC(9%/12,60,O8,1,18,0)</f>
        <v>-2290.4135663033826</v>
      </c>
    </row>
    <row r="26" spans="2:15">
      <c r="N26" s="29" t="s">
        <v>30</v>
      </c>
      <c r="O26" s="30">
        <f>O8+O25</f>
        <v>6709.586433696617</v>
      </c>
    </row>
    <row r="27" spans="2:15">
      <c r="N27" s="29" t="s">
        <v>31</v>
      </c>
      <c r="O27" s="30">
        <f>O26*(1+3%)</f>
        <v>6910.8740267075154</v>
      </c>
    </row>
    <row r="35" spans="3:3">
      <c r="C35" s="18"/>
    </row>
    <row r="36" spans="3:3">
      <c r="C36" s="3">
        <f>CUMPRINC(9%/12,60,O8,1,18,0)</f>
        <v>-2290.4135663033826</v>
      </c>
    </row>
    <row r="37" spans="3:3">
      <c r="C37" s="3">
        <f>O8+C36</f>
        <v>6709.586433696617</v>
      </c>
    </row>
    <row r="38" spans="3:3">
      <c r="C38" s="3">
        <f>C37*(1+3%)</f>
        <v>6910.8740267075154</v>
      </c>
    </row>
  </sheetData>
  <mergeCells count="2">
    <mergeCell ref="D5:L5"/>
    <mergeCell ref="B7:B15"/>
  </mergeCells>
  <conditionalFormatting sqref="D7:L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098C-6D0A-4F13-A89B-E73C079C37B3}">
  <sheetPr>
    <tabColor theme="7"/>
  </sheetPr>
  <dimension ref="A1"/>
  <sheetViews>
    <sheetView view="pageBreakPreview" zoomScale="60" zoomScaleNormal="100" workbookViewId="0"/>
  </sheetViews>
  <sheetFormatPr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565A-2124-4D38-BF15-6F2ECF6DA24D}">
  <dimension ref="M3:N12"/>
  <sheetViews>
    <sheetView zoomScale="85" zoomScaleNormal="85" workbookViewId="0"/>
  </sheetViews>
  <sheetFormatPr defaultRowHeight="14.5"/>
  <cols>
    <col min="14" max="14" width="17.453125" bestFit="1" customWidth="1"/>
  </cols>
  <sheetData>
    <row r="3" spans="13:14" ht="15" thickBot="1"/>
    <row r="4" spans="13:14">
      <c r="M4" s="13" t="s">
        <v>6</v>
      </c>
      <c r="N4" s="6" t="s">
        <v>4</v>
      </c>
    </row>
    <row r="5" spans="13:14">
      <c r="M5" s="5">
        <f>60+10+150+(3*30)</f>
        <v>310</v>
      </c>
      <c r="N5" s="7" t="s">
        <v>1</v>
      </c>
    </row>
    <row r="6" spans="13:14">
      <c r="M6" s="8">
        <f>+M5/7</f>
        <v>44.285714285714285</v>
      </c>
      <c r="N6" s="7" t="s">
        <v>2</v>
      </c>
    </row>
    <row r="7" spans="13:14">
      <c r="M7" s="8">
        <f>+M6/4</f>
        <v>11.071428571428571</v>
      </c>
      <c r="N7" s="7" t="s">
        <v>3</v>
      </c>
    </row>
    <row r="8" spans="13:14">
      <c r="M8" s="14"/>
      <c r="N8" s="15"/>
    </row>
    <row r="9" spans="13:14">
      <c r="M9" s="12" t="s">
        <v>5</v>
      </c>
      <c r="N9" s="9" t="s">
        <v>0</v>
      </c>
    </row>
    <row r="10" spans="13:14">
      <c r="M10" s="5">
        <f>60+10+150+(7*30)</f>
        <v>430</v>
      </c>
      <c r="N10" s="7" t="s">
        <v>1</v>
      </c>
    </row>
    <row r="11" spans="13:14">
      <c r="M11" s="8">
        <f>+M10/7</f>
        <v>61.428571428571431</v>
      </c>
      <c r="N11" s="7" t="s">
        <v>2</v>
      </c>
    </row>
    <row r="12" spans="13:14" ht="15" thickBot="1">
      <c r="M12" s="10">
        <f>+M11/4</f>
        <v>15.357142857142858</v>
      </c>
      <c r="N12" s="11" t="s">
        <v>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6D49-4BBB-4AAD-AF1A-DCC21A901A64}">
  <dimension ref="A1:K8"/>
  <sheetViews>
    <sheetView workbookViewId="0"/>
  </sheetViews>
  <sheetFormatPr defaultRowHeight="14.5"/>
  <cols>
    <col min="1" max="1" width="25.453125" bestFit="1" customWidth="1"/>
  </cols>
  <sheetData>
    <row r="1" spans="1:11" ht="15" thickBot="1">
      <c r="A1" s="47"/>
      <c r="B1" s="48"/>
      <c r="C1" s="48"/>
      <c r="D1" s="49" t="s">
        <v>34</v>
      </c>
      <c r="E1" s="50" t="s">
        <v>35</v>
      </c>
      <c r="F1" s="50" t="s">
        <v>36</v>
      </c>
      <c r="G1" s="50" t="s">
        <v>37</v>
      </c>
      <c r="H1" s="50" t="s">
        <v>38</v>
      </c>
      <c r="I1" s="50" t="s">
        <v>39</v>
      </c>
      <c r="J1" s="50" t="s">
        <v>40</v>
      </c>
      <c r="K1" s="50" t="s">
        <v>41</v>
      </c>
    </row>
    <row r="2" spans="1:11">
      <c r="A2" s="51" t="s">
        <v>42</v>
      </c>
      <c r="B2" s="55"/>
      <c r="C2" s="55"/>
      <c r="D2" s="52"/>
      <c r="E2" s="52"/>
      <c r="F2" s="52"/>
      <c r="G2" s="52"/>
      <c r="H2" s="52"/>
      <c r="I2" s="52"/>
      <c r="J2" s="47"/>
      <c r="K2" s="47"/>
    </row>
    <row r="3" spans="1:11">
      <c r="A3" s="53" t="s">
        <v>43</v>
      </c>
      <c r="B3" s="47"/>
      <c r="C3" s="47"/>
      <c r="D3" s="54" t="s">
        <v>44</v>
      </c>
      <c r="E3" s="54" t="s">
        <v>45</v>
      </c>
      <c r="F3" s="54" t="s">
        <v>46</v>
      </c>
      <c r="G3" s="54" t="s">
        <v>46</v>
      </c>
      <c r="H3" s="54" t="s">
        <v>47</v>
      </c>
      <c r="I3" s="54" t="s">
        <v>46</v>
      </c>
      <c r="J3" s="54" t="s">
        <v>48</v>
      </c>
      <c r="K3" s="54" t="s">
        <v>49</v>
      </c>
    </row>
    <row r="4" spans="1:11">
      <c r="A4" s="53" t="s">
        <v>50</v>
      </c>
      <c r="B4" s="47"/>
      <c r="C4" s="47"/>
      <c r="D4" s="54" t="s">
        <v>51</v>
      </c>
      <c r="E4" s="54" t="s">
        <v>52</v>
      </c>
      <c r="F4" s="54" t="s">
        <v>53</v>
      </c>
      <c r="G4" s="54" t="s">
        <v>54</v>
      </c>
      <c r="H4" s="54" t="s">
        <v>54</v>
      </c>
      <c r="I4" s="54" t="s">
        <v>55</v>
      </c>
      <c r="J4" s="54" t="s">
        <v>46</v>
      </c>
      <c r="K4" s="54" t="s">
        <v>47</v>
      </c>
    </row>
    <row r="5" spans="1:11">
      <c r="A5" s="53" t="s">
        <v>56</v>
      </c>
      <c r="B5" s="47"/>
      <c r="C5" s="47"/>
      <c r="D5" s="54" t="s">
        <v>57</v>
      </c>
      <c r="E5" s="54" t="s">
        <v>58</v>
      </c>
      <c r="F5" s="54" t="s">
        <v>59</v>
      </c>
      <c r="G5" s="54" t="s">
        <v>60</v>
      </c>
      <c r="H5" s="54" t="s">
        <v>61</v>
      </c>
      <c r="I5" s="54" t="s">
        <v>62</v>
      </c>
      <c r="J5" s="54" t="s">
        <v>63</v>
      </c>
      <c r="K5" s="54" t="s">
        <v>64</v>
      </c>
    </row>
    <row r="8" spans="1:11">
      <c r="A8" s="56" t="s">
        <v>65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Economics&gt;&gt;</vt:lpstr>
      <vt:lpstr>Base case scenario</vt:lpstr>
      <vt:lpstr>Dealer Risk - Sensitivity</vt:lpstr>
      <vt:lpstr>Market Risk - Sensitivity</vt:lpstr>
      <vt:lpstr>Success rate - Sensitivity</vt:lpstr>
      <vt:lpstr>Car Value - Sensitivity</vt:lpstr>
      <vt:lpstr>Additional info &gt;&gt;</vt:lpstr>
      <vt:lpstr>Repossession time plan</vt:lpstr>
      <vt:lpstr>ERB Greek Outlook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Efthymiou Dimitrios</dc:creator>
  <cp:lastModifiedBy>Marco Agnatica</cp:lastModifiedBy>
  <dcterms:created xsi:type="dcterms:W3CDTF">2025-08-04T13:38:36Z</dcterms:created>
  <dcterms:modified xsi:type="dcterms:W3CDTF">2025-08-28T16:43:29Z</dcterms:modified>
</cp:coreProperties>
</file>