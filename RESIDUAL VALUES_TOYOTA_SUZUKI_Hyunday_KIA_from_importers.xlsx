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McKinsey\"/>
    </mc:Choice>
  </mc:AlternateContent>
  <xr:revisionPtr revIDLastSave="0" documentId="13_ncr:1_{5128D2D8-C684-4EF7-A4F3-D299E04E59AE}" xr6:coauthVersionLast="47" xr6:coauthVersionMax="47" xr10:uidLastSave="{00000000-0000-0000-0000-000000000000}"/>
  <bookViews>
    <workbookView xWindow="-108" yWindow="-108" windowWidth="23256" windowHeight="12456" activeTab="1" xr2:uid="{C467E451-2290-4D0A-A31C-76159792D20E}"/>
  </bookViews>
  <sheets>
    <sheet name="RESIDUAL VALUES FROM IMPORTERS" sheetId="1" r:id="rId1"/>
    <sheet name="Hyunday &amp; K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3" i="1"/>
  <c r="G13" i="1"/>
  <c r="G9" i="1"/>
  <c r="F8" i="1" l="1"/>
  <c r="E8" i="1"/>
  <c r="D8" i="1"/>
  <c r="C8" i="1"/>
  <c r="F6" i="1"/>
  <c r="E6" i="1"/>
  <c r="D6" i="1"/>
  <c r="C6" i="1"/>
  <c r="F4" i="1"/>
  <c r="E4" i="1"/>
  <c r="D4" i="1"/>
  <c r="C4" i="1"/>
  <c r="D14" i="1"/>
  <c r="E14" i="1"/>
  <c r="F14" i="1"/>
  <c r="C14" i="1"/>
  <c r="D12" i="1"/>
  <c r="E12" i="1"/>
  <c r="F12" i="1"/>
  <c r="C12" i="1"/>
  <c r="D10" i="1"/>
  <c r="E10" i="1"/>
  <c r="F10" i="1"/>
  <c r="C10" i="1"/>
</calcChain>
</file>

<file path=xl/sharedStrings.xml><?xml version="1.0" encoding="utf-8"?>
<sst xmlns="http://schemas.openxmlformats.org/spreadsheetml/2006/main" count="10" uniqueCount="9">
  <si>
    <t>SUZUKI SWIFT GL+</t>
  </si>
  <si>
    <t>SUZUKI VITARA 2WD GL+</t>
  </si>
  <si>
    <t>SUZUKI S-CROSS 2WD GL+</t>
  </si>
  <si>
    <t>Price</t>
  </si>
  <si>
    <t>Model</t>
  </si>
  <si>
    <t>TOYOTA YARIS</t>
  </si>
  <si>
    <t xml:space="preserve">TOYOTA YARIS CROSS </t>
  </si>
  <si>
    <t>TOYOTA CHR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</si>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</sst>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\ &quot;€&quot;"/>
  </numFmts>
  <fonts count="6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Eurobank Sans"/>
      <charset val="161"/>
    </font>
    <font>
      <b/>
      <sz val="11"/>
      <color theme="1"/>
      <name val="Eurobank Sans"/>
      <charset val="161"/>
    </font>
    <font>
      <sz val="8"/>
      <name val="Aptos Narrow"/>
      <family val="2"/>
      <charset val="161"/>
      <scheme val="minor"/>
    </font>
    <font>
      <b/>
      <sz val="11"/>
      <color rgb="FF00B050"/>
      <name val="Eurobank Sans"/>
      <charset val="16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164" fontId="2" fillId="0" borderId="1" xfId="1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9" fontId="5" fillId="3" borderId="1" xfId="0" applyNumberFormat="1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/>
    </xf>
    <xf numFmtId="9" fontId="5" fillId="0" borderId="1" xfId="2" applyFont="1" applyBorder="1" applyAlignment="1">
      <alignment horizontal="center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465283</xdr:colOff>
      <xdr:row>10</xdr:row>
      <xdr:rowOff>167813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B0A94A-A7F9-6F6C-465E-590937F18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2083" cy="1996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F60B-AA16-4B85-BA61-A7CBB043DD46}">
  <dimension ref="A2:G14"/>
  <sheetViews>
    <sheetView workbookViewId="0">
      <selection activeCell="F5" sqref="F5"/>
    </sheetView>
  </sheetViews>
  <sheetFormatPr defaultColWidth="8.77734375" defaultRowHeight="13.8" x14ac:dyDescent="0.25"/>
  <cols>
    <col min="1" max="1" width="25.77734375" style="2" customWidth="1"/>
    <col min="2" max="4" width="10.109375" style="2" bestFit="1" customWidth="1"/>
    <col min="5" max="6" width="9.6640625" style="2" bestFit="1" customWidth="1"/>
    <col min="7" max="7" width="8.77734375" style="10"/>
    <col min="8" max="16384" width="8.77734375" style="2"/>
  </cols>
  <sheetData>
    <row r="2" spans="1:7" ht="14.4" x14ac:dyDescent="0.3">
      <c r="A2" s="5" t="s">
        <v>4</v>
      </c>
      <c r="B2" s="5" t="s">
        <v>3</v>
      </c>
      <c r="C2" s="5">
        <v>1</v>
      </c>
      <c r="D2" s="5">
        <v>2</v>
      </c>
      <c r="E2" s="5">
        <v>3</v>
      </c>
      <c r="F2" s="5">
        <v>4</v>
      </c>
    </row>
    <row r="3" spans="1:7" ht="14.4" x14ac:dyDescent="0.3">
      <c r="A3" s="12" t="s">
        <v>0</v>
      </c>
      <c r="B3" s="3">
        <v>18860</v>
      </c>
      <c r="C3" s="9">
        <v>0.83</v>
      </c>
      <c r="D3" s="9">
        <v>0.74</v>
      </c>
      <c r="E3" s="9">
        <v>0.65</v>
      </c>
      <c r="F3" s="9">
        <v>0.55000000000000004</v>
      </c>
      <c r="G3" s="11">
        <f>100%-37.47%</f>
        <v>0.62529999999999997</v>
      </c>
    </row>
    <row r="4" spans="1:7" x14ac:dyDescent="0.25">
      <c r="A4" s="13"/>
      <c r="B4" s="3"/>
      <c r="C4" s="4">
        <f>$B3*C3</f>
        <v>15653.8</v>
      </c>
      <c r="D4" s="4">
        <f>$B3*D3</f>
        <v>13956.4</v>
      </c>
      <c r="E4" s="4">
        <f>$B3*E3</f>
        <v>12259</v>
      </c>
      <c r="F4" s="4">
        <f>$B3*F3</f>
        <v>10373</v>
      </c>
    </row>
    <row r="5" spans="1:7" ht="14.4" x14ac:dyDescent="0.3">
      <c r="A5" s="12" t="s">
        <v>1</v>
      </c>
      <c r="B5" s="3">
        <v>23400</v>
      </c>
      <c r="C5" s="9">
        <v>0.82</v>
      </c>
      <c r="D5" s="9">
        <v>0.72</v>
      </c>
      <c r="E5" s="9">
        <v>0.6</v>
      </c>
      <c r="F5" s="9">
        <v>0.5</v>
      </c>
      <c r="G5" s="11">
        <f>100%-40.34%</f>
        <v>0.59660000000000002</v>
      </c>
    </row>
    <row r="6" spans="1:7" x14ac:dyDescent="0.25">
      <c r="A6" s="13"/>
      <c r="B6" s="3"/>
      <c r="C6" s="4">
        <f>$B5*C5</f>
        <v>19188</v>
      </c>
      <c r="D6" s="4">
        <f>$B5*D5</f>
        <v>16848</v>
      </c>
      <c r="E6" s="4">
        <f>$B5*E5</f>
        <v>14040</v>
      </c>
      <c r="F6" s="4">
        <f>$B5*F5</f>
        <v>11700</v>
      </c>
    </row>
    <row r="7" spans="1:7" ht="14.4" x14ac:dyDescent="0.3">
      <c r="A7" s="12" t="s">
        <v>2</v>
      </c>
      <c r="B7" s="3">
        <v>25800</v>
      </c>
      <c r="C7" s="9">
        <v>0.8</v>
      </c>
      <c r="D7" s="9">
        <v>0.7</v>
      </c>
      <c r="E7" s="9">
        <v>0.6</v>
      </c>
      <c r="F7" s="9">
        <v>0.5</v>
      </c>
      <c r="G7" s="10" t="s">
        <v>8</v>
      </c>
    </row>
    <row r="8" spans="1:7" x14ac:dyDescent="0.25">
      <c r="A8" s="13"/>
      <c r="B8" s="1"/>
      <c r="C8" s="4">
        <f>$B7*C7</f>
        <v>20640</v>
      </c>
      <c r="D8" s="4">
        <f>$B7*D7</f>
        <v>18060</v>
      </c>
      <c r="E8" s="4">
        <f>$B7*E7</f>
        <v>15480</v>
      </c>
      <c r="F8" s="4">
        <f>$B7*F7</f>
        <v>12900</v>
      </c>
    </row>
    <row r="9" spans="1:7" ht="14.4" x14ac:dyDescent="0.3">
      <c r="A9" s="12" t="s">
        <v>5</v>
      </c>
      <c r="B9" s="6">
        <v>17335</v>
      </c>
      <c r="C9" s="8">
        <v>0.86</v>
      </c>
      <c r="D9" s="7">
        <v>0.77</v>
      </c>
      <c r="E9" s="7">
        <v>0.72</v>
      </c>
      <c r="F9" s="7">
        <v>0.65</v>
      </c>
      <c r="G9" s="11">
        <f>100%-37.45%</f>
        <v>0.62549999999999994</v>
      </c>
    </row>
    <row r="10" spans="1:7" x14ac:dyDescent="0.25">
      <c r="A10" s="13"/>
      <c r="B10" s="6"/>
      <c r="C10" s="4">
        <f>$B9*C9</f>
        <v>14908.1</v>
      </c>
      <c r="D10" s="4">
        <f>$B9*D9</f>
        <v>13347.95</v>
      </c>
      <c r="E10" s="4">
        <f>$B9*E9</f>
        <v>12481.199999999999</v>
      </c>
      <c r="F10" s="4">
        <f>$B9*F9</f>
        <v>11267.75</v>
      </c>
    </row>
    <row r="11" spans="1:7" ht="14.4" x14ac:dyDescent="0.25">
      <c r="A11" s="12" t="s">
        <v>6</v>
      </c>
      <c r="B11" s="6">
        <v>24120</v>
      </c>
      <c r="C11" s="7">
        <v>0.86</v>
      </c>
      <c r="D11" s="7">
        <v>0.77</v>
      </c>
      <c r="E11" s="7">
        <v>0.72</v>
      </c>
      <c r="F11" s="7">
        <v>0.67</v>
      </c>
      <c r="G11" s="10" t="s">
        <v>8</v>
      </c>
    </row>
    <row r="12" spans="1:7" x14ac:dyDescent="0.25">
      <c r="A12" s="13"/>
      <c r="B12" s="6"/>
      <c r="C12" s="4">
        <f>$B11*C11</f>
        <v>20743.2</v>
      </c>
      <c r="D12" s="4">
        <f>$B11*D11</f>
        <v>18572.400000000001</v>
      </c>
      <c r="E12" s="4">
        <f>$B11*E11</f>
        <v>17366.399999999998</v>
      </c>
      <c r="F12" s="4">
        <f>$B11*F11</f>
        <v>16160.400000000001</v>
      </c>
    </row>
    <row r="13" spans="1:7" ht="14.4" x14ac:dyDescent="0.25">
      <c r="A13" s="12" t="s">
        <v>7</v>
      </c>
      <c r="B13" s="6">
        <v>29300</v>
      </c>
      <c r="C13" s="7">
        <v>0.84</v>
      </c>
      <c r="D13" s="7">
        <v>0.76</v>
      </c>
      <c r="E13" s="7">
        <v>0.7</v>
      </c>
      <c r="F13" s="7">
        <v>0.64</v>
      </c>
      <c r="G13" s="11">
        <f>100%-36.12%</f>
        <v>0.63880000000000003</v>
      </c>
    </row>
    <row r="14" spans="1:7" x14ac:dyDescent="0.25">
      <c r="A14" s="13"/>
      <c r="B14" s="1"/>
      <c r="C14" s="4">
        <f>$B13*C13</f>
        <v>24612</v>
      </c>
      <c r="D14" s="4">
        <f>$B13*D13</f>
        <v>22268</v>
      </c>
      <c r="E14" s="4">
        <f>$B13*E13</f>
        <v>20510</v>
      </c>
      <c r="F14" s="4">
        <f>$B13*F13</f>
        <v>18752</v>
      </c>
    </row>
  </sheetData>
  <mergeCells count="6">
    <mergeCell ref="A13:A14"/>
    <mergeCell ref="A3:A4"/>
    <mergeCell ref="A5:A6"/>
    <mergeCell ref="A7:A8"/>
    <mergeCell ref="A9:A10"/>
    <mergeCell ref="A11:A1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C167-CCB5-4CF5-850F-43D79A397C8C}">
  <dimension ref="A1"/>
  <sheetViews>
    <sheetView tabSelected="1" workbookViewId="0">
      <selection activeCell="I22" sqref="I2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RESIDUAL VALUES FROM IMPORTERS</vt:lpstr>
      <vt:lpstr>Hyunday &amp; KIA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Sotiropoulou Aikaterini theodora</dc:creator>
  <cp:lastModifiedBy>Pouloupatis Vassileios</cp:lastModifiedBy>
  <dcterms:created xsi:type="dcterms:W3CDTF">2025-08-27T11:10:08Z</dcterms:created>
  <dcterms:modified xsi:type="dcterms:W3CDTF">2025-09-03T06:44:08Z</dcterms:modified>
</cp:coreProperties>
</file>