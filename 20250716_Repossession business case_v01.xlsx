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8_{68B95C3B-5FCF-4CB6-8603-5BB7FC84F2C2}" xr6:coauthVersionLast="47" xr6:coauthVersionMax="47" xr10:uidLastSave="{00000000-0000-0000-0000-000000000000}"/>
  <bookViews>
    <workbookView xWindow="-108" yWindow="-108" windowWidth="23256" windowHeight="12456" xr2:uid="{4A4FF443-A57E-43A5-A44B-CECC72A3B79A}"/>
  </bookViews>
  <sheets>
    <sheet name="Repossession business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C27" i="1"/>
  <c r="P15" i="1" s="1"/>
  <c r="C26" i="1"/>
  <c r="P16" i="1" s="1"/>
  <c r="G37" i="1"/>
  <c r="F37" i="1"/>
  <c r="E37" i="1"/>
  <c r="D37" i="1"/>
  <c r="G35" i="1"/>
  <c r="F35" i="1"/>
  <c r="E35" i="1"/>
  <c r="D35" i="1"/>
  <c r="F20" i="1"/>
  <c r="K19" i="1"/>
  <c r="M19" i="1" s="1"/>
  <c r="N19" i="1" s="1"/>
  <c r="O19" i="1" s="1"/>
  <c r="H19" i="1"/>
  <c r="J19" i="1" s="1"/>
  <c r="K18" i="1"/>
  <c r="M18" i="1" s="1"/>
  <c r="N18" i="1" s="1"/>
  <c r="O18" i="1" s="1"/>
  <c r="H18" i="1"/>
  <c r="J18" i="1" s="1"/>
  <c r="K17" i="1"/>
  <c r="M17" i="1" s="1"/>
  <c r="N17" i="1" s="1"/>
  <c r="O17" i="1" s="1"/>
  <c r="G17" i="1"/>
  <c r="H17" i="1" s="1"/>
  <c r="K16" i="1"/>
  <c r="M16" i="1" s="1"/>
  <c r="N16" i="1" s="1"/>
  <c r="O16" i="1" s="1"/>
  <c r="H16" i="1"/>
  <c r="J16" i="1" s="1"/>
  <c r="K15" i="1"/>
  <c r="M15" i="1" s="1"/>
  <c r="N15" i="1" s="1"/>
  <c r="O15" i="1" s="1"/>
  <c r="G15" i="1"/>
  <c r="H15" i="1" s="1"/>
  <c r="J15" i="1" s="1"/>
  <c r="K14" i="1"/>
  <c r="M14" i="1" s="1"/>
  <c r="N14" i="1" s="1"/>
  <c r="O14" i="1" s="1"/>
  <c r="H14" i="1"/>
  <c r="J14" i="1" s="1"/>
  <c r="H20" i="1" l="1"/>
  <c r="P14" i="1"/>
  <c r="P19" i="1"/>
  <c r="P18" i="1"/>
  <c r="P17" i="1"/>
  <c r="Q19" i="1"/>
  <c r="R19" i="1" s="1"/>
  <c r="Q16" i="1"/>
  <c r="R16" i="1" s="1"/>
  <c r="Q17" i="1"/>
  <c r="R17" i="1" s="1"/>
  <c r="Q14" i="1"/>
  <c r="R14" i="1" s="1"/>
  <c r="Q15" i="1"/>
  <c r="R15" i="1" s="1"/>
  <c r="Q18" i="1"/>
  <c r="R18" i="1" s="1"/>
  <c r="J17" i="1"/>
  <c r="J20" i="1" s="1"/>
</calcChain>
</file>

<file path=xl/sharedStrings.xml><?xml version="1.0" encoding="utf-8"?>
<sst xmlns="http://schemas.openxmlformats.org/spreadsheetml/2006/main" count="112" uniqueCount="79">
  <si>
    <t>Initial market price of car, €</t>
  </si>
  <si>
    <t>Car type</t>
  </si>
  <si>
    <t>Car age at repayment</t>
  </si>
  <si>
    <t>Avg. car age at origination</t>
  </si>
  <si>
    <t>Product</t>
  </si>
  <si>
    <t>Bad rate (2023) - assuming no release of credit policy</t>
  </si>
  <si>
    <t>Repossession penetration</t>
  </si>
  <si>
    <t>Time at default</t>
  </si>
  <si>
    <t>Time to repossess</t>
  </si>
  <si>
    <t>RV ratio at repossession</t>
  </si>
  <si>
    <t>RV at repossession</t>
  </si>
  <si>
    <t>Expected repossession costs per car</t>
  </si>
  <si>
    <t>RV, incl. repossession costs and repossession penetration</t>
  </si>
  <si>
    <t>RV ratio, incl. repossession costs and repossession penetration</t>
  </si>
  <si>
    <t>years</t>
  </si>
  <si>
    <t>#k</t>
  </si>
  <si>
    <t>%</t>
  </si>
  <si>
    <t>#</t>
  </si>
  <si>
    <t>months</t>
  </si>
  <si>
    <t>€</t>
  </si>
  <si>
    <t>New cars</t>
  </si>
  <si>
    <t>&lt;= 4</t>
  </si>
  <si>
    <t>Loan</t>
  </si>
  <si>
    <t>Leasing</t>
  </si>
  <si>
    <t>Used cars</t>
  </si>
  <si>
    <t>9-12</t>
  </si>
  <si>
    <t>Total</t>
  </si>
  <si>
    <t>Expected repossession costs per car, excl. remarketing</t>
  </si>
  <si>
    <t>Expected remarketing costs</t>
  </si>
  <si>
    <t>Average</t>
  </si>
  <si>
    <t>% of RV</t>
  </si>
  <si>
    <t>Value chain step</t>
  </si>
  <si>
    <t>Cost type</t>
  </si>
  <si>
    <t>per car data</t>
  </si>
  <si>
    <t>€ (% of RV for remarketing)</t>
  </si>
  <si>
    <t>Lower bound</t>
  </si>
  <si>
    <t>Upper bound</t>
  </si>
  <si>
    <t>Legal repossession</t>
  </si>
  <si>
    <t>Commission to repossession agent</t>
  </si>
  <si>
    <t>Asset recovery</t>
  </si>
  <si>
    <t>Fixed fee pre-negotiated with repossession agent depending on car location</t>
  </si>
  <si>
    <t>Storage</t>
  </si>
  <si>
    <t>Rent for outdoor lot with surveillance for ~60-90 days</t>
  </si>
  <si>
    <t>Inspection</t>
  </si>
  <si>
    <t>Fixed fee pre-negotiated with de-fleeting company for inspection and market value estimation</t>
  </si>
  <si>
    <t>Remarketing</t>
  </si>
  <si>
    <t>Marketplace or dealer commission for car resale (higher for dealer)</t>
  </si>
  <si>
    <t>4. Depreciation rates</t>
  </si>
  <si>
    <t>Make</t>
  </si>
  <si>
    <t>Model</t>
  </si>
  <si>
    <t>Market Price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</si>
  <si>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</si>
  <si>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</si>
  <si>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</si>
  <si>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</si>
  <si>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</si>
  <si>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</si>
  <si>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</si>
  <si>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</si>
  <si>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</si>
  <si>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</si>
  <si>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</si>
  <si>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</si>
  <si>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</si>
  <si>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</si>
  <si>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</si>
  <si>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Audi</t>
  </si>
  <si>
    <t>A4</t>
  </si>
  <si>
    <t>Repossession business case</t>
  </si>
  <si>
    <t># cars for ERB (2030)</t>
  </si>
  <si>
    <t># expected cars for ERB with bad rates (2030)</t>
  </si>
  <si>
    <t># cars repossessed by ERB (2030)</t>
  </si>
  <si>
    <t>Time at repossession</t>
  </si>
  <si>
    <t>&lt;= 9</t>
  </si>
  <si>
    <t>&gt; 12</t>
  </si>
  <si>
    <t>3. Expected repossession costs per car</t>
  </si>
  <si>
    <t>2. RV, incl. expected repossession costs and repossession penetration</t>
  </si>
  <si>
    <t>1. Entry parameters</t>
  </si>
  <si>
    <t>Time of default post-contract initiation,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</si>
</sst>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trike/>
      <sz val="24"/>
      <color theme="1"/>
      <name val="Georgia"/>
      <family val="1"/>
    </font>
    <font>
      <b/>
      <sz val="24"/>
      <color theme="1"/>
      <name val="Georgia"/>
      <family val="1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003366"/>
      <name val="Arial"/>
      <family val="2"/>
    </font>
    <font>
      <b/>
      <sz val="11"/>
      <color rgb="FF000000"/>
      <name val="Arial"/>
      <family val="2"/>
    </font>
    <font>
      <b/>
      <i/>
      <sz val="11"/>
      <color rgb="FF003366"/>
      <name val="Arial"/>
      <family val="2"/>
    </font>
    <font>
      <sz val="8"/>
      <name val="Aptos Narrow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5" fillId="2" borderId="0" xfId="2" applyFont="1" applyFill="1"/>
    <xf numFmtId="0" fontId="6" fillId="3" borderId="0" xfId="2" applyFont="1" applyFill="1"/>
    <xf numFmtId="0" fontId="5" fillId="3" borderId="0" xfId="2" applyFont="1" applyFill="1"/>
    <xf numFmtId="0" fontId="7" fillId="0" borderId="2" xfId="0" applyFont="1" applyBorder="1"/>
    <xf numFmtId="0" fontId="8" fillId="0" borderId="2" xfId="0" applyFont="1" applyBorder="1" applyAlignment="1">
      <alignment horizontal="right"/>
    </xf>
    <xf numFmtId="3" fontId="8" fillId="0" borderId="2" xfId="0" applyNumberFormat="1" applyFont="1" applyBorder="1"/>
    <xf numFmtId="3" fontId="8" fillId="4" borderId="2" xfId="0" applyNumberFormat="1" applyFont="1" applyFill="1" applyBorder="1"/>
    <xf numFmtId="0" fontId="6" fillId="5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9" fillId="6" borderId="2" xfId="0" applyFont="1" applyFill="1" applyBorder="1"/>
    <xf numFmtId="0" fontId="9" fillId="6" borderId="3" xfId="0" applyFont="1" applyFill="1" applyBorder="1"/>
    <xf numFmtId="0" fontId="7" fillId="0" borderId="4" xfId="0" applyFont="1" applyBorder="1"/>
    <xf numFmtId="0" fontId="8" fillId="0" borderId="2" xfId="0" applyFont="1" applyBorder="1"/>
    <xf numFmtId="164" fontId="8" fillId="0" borderId="3" xfId="0" applyNumberFormat="1" applyFont="1" applyBorder="1"/>
    <xf numFmtId="3" fontId="7" fillId="2" borderId="2" xfId="0" applyNumberFormat="1" applyFont="1" applyFill="1" applyBorder="1"/>
    <xf numFmtId="9" fontId="8" fillId="4" borderId="2" xfId="0" applyNumberFormat="1" applyFont="1" applyFill="1" applyBorder="1"/>
    <xf numFmtId="9" fontId="7" fillId="2" borderId="2" xfId="0" applyNumberFormat="1" applyFont="1" applyFill="1" applyBorder="1"/>
    <xf numFmtId="0" fontId="7" fillId="0" borderId="5" xfId="0" applyFont="1" applyBorder="1"/>
    <xf numFmtId="0" fontId="8" fillId="0" borderId="5" xfId="0" applyFont="1" applyBorder="1"/>
    <xf numFmtId="164" fontId="7" fillId="0" borderId="5" xfId="0" applyNumberFormat="1" applyFont="1" applyBorder="1"/>
    <xf numFmtId="3" fontId="7" fillId="2" borderId="5" xfId="0" applyNumberFormat="1" applyFont="1" applyFill="1" applyBorder="1"/>
    <xf numFmtId="9" fontId="8" fillId="4" borderId="5" xfId="0" applyNumberFormat="1" applyFont="1" applyFill="1" applyBorder="1"/>
    <xf numFmtId="3" fontId="8" fillId="4" borderId="5" xfId="0" applyNumberFormat="1" applyFont="1" applyFill="1" applyBorder="1"/>
    <xf numFmtId="9" fontId="7" fillId="2" borderId="5" xfId="0" applyNumberFormat="1" applyFont="1" applyFill="1" applyBorder="1"/>
    <xf numFmtId="0" fontId="7" fillId="0" borderId="0" xfId="0" applyFont="1"/>
    <xf numFmtId="0" fontId="8" fillId="0" borderId="4" xfId="0" applyFont="1" applyBorder="1"/>
    <xf numFmtId="164" fontId="8" fillId="0" borderId="4" xfId="0" applyNumberFormat="1" applyFont="1" applyBorder="1"/>
    <xf numFmtId="3" fontId="7" fillId="0" borderId="4" xfId="0" applyNumberFormat="1" applyFont="1" applyBorder="1"/>
    <xf numFmtId="9" fontId="8" fillId="4" borderId="0" xfId="0" applyNumberFormat="1" applyFont="1" applyFill="1"/>
    <xf numFmtId="3" fontId="7" fillId="0" borderId="0" xfId="0" applyNumberFormat="1" applyFont="1"/>
    <xf numFmtId="3" fontId="8" fillId="4" borderId="4" xfId="0" applyNumberFormat="1" applyFont="1" applyFill="1" applyBorder="1"/>
    <xf numFmtId="9" fontId="7" fillId="0" borderId="4" xfId="0" applyNumberFormat="1" applyFont="1" applyBorder="1"/>
    <xf numFmtId="3" fontId="7" fillId="0" borderId="5" xfId="0" applyNumberFormat="1" applyFont="1" applyBorder="1"/>
    <xf numFmtId="9" fontId="7" fillId="0" borderId="5" xfId="0" applyNumberFormat="1" applyFont="1" applyBorder="1"/>
    <xf numFmtId="0" fontId="7" fillId="0" borderId="6" xfId="0" applyFont="1" applyBorder="1"/>
    <xf numFmtId="0" fontId="7" fillId="0" borderId="6" xfId="0" quotePrefix="1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3" fontId="7" fillId="0" borderId="6" xfId="0" applyNumberFormat="1" applyFont="1" applyBorder="1"/>
    <xf numFmtId="9" fontId="8" fillId="4" borderId="6" xfId="0" applyNumberFormat="1" applyFont="1" applyFill="1" applyBorder="1"/>
    <xf numFmtId="3" fontId="8" fillId="4" borderId="6" xfId="0" applyNumberFormat="1" applyFont="1" applyFill="1" applyBorder="1"/>
    <xf numFmtId="9" fontId="7" fillId="0" borderId="6" xfId="0" applyNumberFormat="1" applyFont="1" applyBorder="1"/>
    <xf numFmtId="0" fontId="10" fillId="0" borderId="4" xfId="0" applyFont="1" applyBorder="1"/>
    <xf numFmtId="3" fontId="10" fillId="7" borderId="4" xfId="0" applyNumberFormat="1" applyFont="1" applyFill="1" applyBorder="1"/>
    <xf numFmtId="3" fontId="10" fillId="0" borderId="4" xfId="0" applyNumberFormat="1" applyFont="1" applyBorder="1"/>
    <xf numFmtId="0" fontId="7" fillId="7" borderId="4" xfId="0" applyFont="1" applyFill="1" applyBorder="1"/>
    <xf numFmtId="0" fontId="7" fillId="7" borderId="2" xfId="0" applyFont="1" applyFill="1" applyBorder="1"/>
    <xf numFmtId="0" fontId="6" fillId="5" borderId="3" xfId="2" applyFont="1" applyFill="1" applyBorder="1"/>
    <xf numFmtId="0" fontId="11" fillId="6" borderId="2" xfId="2" applyFont="1" applyFill="1" applyBorder="1"/>
    <xf numFmtId="0" fontId="9" fillId="6" borderId="2" xfId="2" applyFont="1" applyFill="1" applyBorder="1"/>
    <xf numFmtId="0" fontId="7" fillId="0" borderId="2" xfId="2" applyFont="1" applyBorder="1"/>
    <xf numFmtId="9" fontId="7" fillId="0" borderId="2" xfId="2" applyNumberFormat="1" applyFont="1" applyBorder="1"/>
    <xf numFmtId="0" fontId="6" fillId="5" borderId="2" xfId="2" applyFont="1" applyFill="1" applyBorder="1"/>
    <xf numFmtId="0" fontId="7" fillId="0" borderId="5" xfId="2" applyFont="1" applyBorder="1"/>
    <xf numFmtId="0" fontId="10" fillId="0" borderId="4" xfId="2" applyFont="1" applyBorder="1"/>
    <xf numFmtId="9" fontId="8" fillId="0" borderId="5" xfId="2" applyNumberFormat="1" applyFont="1" applyBorder="1"/>
    <xf numFmtId="9" fontId="10" fillId="0" borderId="4" xfId="0" applyNumberFormat="1" applyFont="1" applyBorder="1"/>
    <xf numFmtId="0" fontId="6" fillId="5" borderId="2" xfId="0" applyFont="1" applyFill="1" applyBorder="1"/>
    <xf numFmtId="0" fontId="6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9" fontId="8" fillId="0" borderId="2" xfId="1" applyFont="1" applyFill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6" xfId="0" quotePrefix="1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3" fontId="10" fillId="0" borderId="4" xfId="2" applyNumberFormat="1" applyFont="1" applyBorder="1"/>
    <xf numFmtId="3" fontId="8" fillId="0" borderId="2" xfId="2" applyNumberFormat="1" applyFont="1" applyBorder="1"/>
    <xf numFmtId="3" fontId="8" fillId="0" borderId="5" xfId="2" applyNumberFormat="1" applyFont="1" applyBorder="1"/>
    <xf numFmtId="3" fontId="7" fillId="0" borderId="2" xfId="2" applyNumberFormat="1" applyFont="1" applyBorder="1"/>
  </cellXfs>
  <cellStyles count="3">
    <cellStyle name="Normal" xfId="0" builtinId="0"/>
    <cellStyle name="Normal 3" xfId="2" xr:uid="{7DA6D95B-D5B3-4FF0-9ACA-5A844B91D75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C29B-3889-4C22-A38F-FBCDD587C287}">
  <sheetPr>
    <tabColor rgb="FF000000"/>
  </sheetPr>
  <dimension ref="A1:S42"/>
  <sheetViews>
    <sheetView showGridLines="0" tabSelected="1" topLeftCell="I3" zoomScale="57" zoomScaleNormal="85" workbookViewId="0">
      <selection activeCell="AH48" sqref="AH48"/>
    </sheetView>
  </sheetViews>
  <sheetFormatPr defaultColWidth="8.77734375" defaultRowHeight="14.4" x14ac:dyDescent="0.3"/>
  <cols>
    <col min="1" max="1" width="2.5546875" style="3" customWidth="1"/>
    <col min="2" max="2" width="39" style="3" customWidth="1"/>
    <col min="3" max="3" width="89.33203125" style="3" customWidth="1"/>
    <col min="4" max="4" width="30.5546875" style="3" bestFit="1" customWidth="1"/>
    <col min="5" max="6" width="14.6640625" style="3" bestFit="1" customWidth="1"/>
    <col min="7" max="7" width="38.6640625" style="3" bestFit="1" customWidth="1"/>
    <col min="8" max="8" width="26.33203125" style="3" bestFit="1" customWidth="1"/>
    <col min="9" max="9" width="25.33203125" style="3" bestFit="1" customWidth="1"/>
    <col min="10" max="10" width="21.44140625" style="3" bestFit="1" customWidth="1"/>
    <col min="11" max="11" width="14.6640625" style="3" bestFit="1" customWidth="1"/>
    <col min="12" max="12" width="18.21875" style="3" bestFit="1" customWidth="1"/>
    <col min="13" max="15" width="15.21875" style="3" bestFit="1" customWidth="1"/>
    <col min="16" max="16" width="25.77734375" style="3" bestFit="1" customWidth="1"/>
    <col min="17" max="17" width="32.77734375" bestFit="1" customWidth="1"/>
    <col min="18" max="18" width="36.21875" style="3" bestFit="1" customWidth="1"/>
    <col min="19" max="16384" width="8.77734375" style="3"/>
  </cols>
  <sheetData>
    <row r="1" spans="1:18" s="2" customFormat="1" ht="30.6" customHeight="1" thickBot="1" x14ac:dyDescent="0.55000000000000004">
      <c r="A1" s="1"/>
      <c r="B1" s="2" t="s">
        <v>68</v>
      </c>
    </row>
    <row r="2" spans="1:18" ht="13.8" x14ac:dyDescent="0.25">
      <c r="Q2" s="3"/>
    </row>
    <row r="3" spans="1:18" s="6" customFormat="1" ht="13.8" x14ac:dyDescent="0.25">
      <c r="A3" s="4"/>
      <c r="B3" s="5" t="s">
        <v>77</v>
      </c>
    </row>
    <row r="4" spans="1:18" ht="13.8" x14ac:dyDescent="0.25">
      <c r="Q4" s="3"/>
    </row>
    <row r="5" spans="1:18" ht="13.8" x14ac:dyDescent="0.25">
      <c r="B5" s="7" t="s">
        <v>48</v>
      </c>
      <c r="C5" s="8" t="s">
        <v>66</v>
      </c>
      <c r="Q5" s="3"/>
    </row>
    <row r="6" spans="1:18" ht="13.8" x14ac:dyDescent="0.25">
      <c r="B6" s="7" t="s">
        <v>49</v>
      </c>
      <c r="C6" s="8" t="s">
        <v>67</v>
      </c>
      <c r="Q6" s="3"/>
    </row>
    <row r="7" spans="1:18" ht="13.8" x14ac:dyDescent="0.25">
      <c r="B7" s="7" t="s">
        <v>0</v>
      </c>
      <c r="C7" s="9">
        <v>50000</v>
      </c>
      <c r="Q7" s="3"/>
    </row>
    <row r="8" spans="1:18" ht="13.8" x14ac:dyDescent="0.25">
      <c r="B8" s="7" t="s">
        <v>78</v>
      </c>
      <c r="C8" s="10">
        <v>2</v>
      </c>
      <c r="Q8" s="3"/>
    </row>
    <row r="9" spans="1:18" ht="13.8" x14ac:dyDescent="0.25">
      <c r="Q9" s="3"/>
    </row>
    <row r="10" spans="1:18" s="6" customFormat="1" ht="13.8" x14ac:dyDescent="0.25">
      <c r="A10" s="4"/>
      <c r="B10" s="5" t="s">
        <v>76</v>
      </c>
    </row>
    <row r="11" spans="1:18" ht="13.8" x14ac:dyDescent="0.25">
      <c r="Q11" s="3"/>
    </row>
    <row r="12" spans="1:18" ht="27.6" x14ac:dyDescent="0.25">
      <c r="B12" s="11" t="s">
        <v>1</v>
      </c>
      <c r="C12" s="11" t="s">
        <v>2</v>
      </c>
      <c r="D12" s="11" t="s">
        <v>3</v>
      </c>
      <c r="E12" s="11" t="s">
        <v>4</v>
      </c>
      <c r="F12" s="11" t="s">
        <v>69</v>
      </c>
      <c r="G12" s="11" t="s">
        <v>5</v>
      </c>
      <c r="H12" s="11" t="s">
        <v>70</v>
      </c>
      <c r="I12" s="11" t="s">
        <v>6</v>
      </c>
      <c r="J12" s="11" t="s">
        <v>71</v>
      </c>
      <c r="K12" s="11" t="s">
        <v>7</v>
      </c>
      <c r="L12" s="11" t="s">
        <v>8</v>
      </c>
      <c r="M12" s="11" t="s">
        <v>72</v>
      </c>
      <c r="N12" s="11" t="s">
        <v>9</v>
      </c>
      <c r="O12" s="11" t="s">
        <v>10</v>
      </c>
      <c r="P12" s="11" t="s">
        <v>11</v>
      </c>
      <c r="Q12" s="11" t="s">
        <v>12</v>
      </c>
      <c r="R12" s="11" t="s">
        <v>13</v>
      </c>
    </row>
    <row r="13" spans="1:18" ht="13.8" x14ac:dyDescent="0.25">
      <c r="B13" s="12"/>
      <c r="C13" s="12" t="s">
        <v>14</v>
      </c>
      <c r="D13" s="12" t="s">
        <v>14</v>
      </c>
      <c r="E13" s="12"/>
      <c r="F13" s="13" t="s">
        <v>15</v>
      </c>
      <c r="G13" s="13" t="s">
        <v>16</v>
      </c>
      <c r="H13" s="12" t="s">
        <v>17</v>
      </c>
      <c r="I13" s="13" t="s">
        <v>16</v>
      </c>
      <c r="J13" s="14" t="s">
        <v>17</v>
      </c>
      <c r="K13" s="13" t="s">
        <v>14</v>
      </c>
      <c r="L13" s="13" t="s">
        <v>18</v>
      </c>
      <c r="M13" s="13" t="s">
        <v>14</v>
      </c>
      <c r="N13" s="15" t="s">
        <v>16</v>
      </c>
      <c r="O13" s="15" t="s">
        <v>19</v>
      </c>
      <c r="P13" s="13" t="s">
        <v>19</v>
      </c>
      <c r="Q13" s="12" t="s">
        <v>19</v>
      </c>
      <c r="R13" s="15" t="s">
        <v>16</v>
      </c>
    </row>
    <row r="14" spans="1:18" ht="13.8" x14ac:dyDescent="0.25">
      <c r="B14" s="16" t="s">
        <v>20</v>
      </c>
      <c r="C14" s="67" t="s">
        <v>21</v>
      </c>
      <c r="D14" s="7">
        <v>0</v>
      </c>
      <c r="E14" s="16" t="s">
        <v>22</v>
      </c>
      <c r="F14" s="17">
        <v>10</v>
      </c>
      <c r="G14" s="18">
        <v>1.2E-2</v>
      </c>
      <c r="H14" s="19">
        <f>F14*G14*1000</f>
        <v>120</v>
      </c>
      <c r="I14" s="20">
        <v>1</v>
      </c>
      <c r="J14" s="19">
        <f t="shared" ref="J14:J19" si="0">I14*H14</f>
        <v>120</v>
      </c>
      <c r="K14" s="19">
        <f>D14+$C$8</f>
        <v>2</v>
      </c>
      <c r="L14" s="10">
        <v>10</v>
      </c>
      <c r="M14" s="19">
        <f>ROUND(K14+L14/12, 0)</f>
        <v>3</v>
      </c>
      <c r="N14" s="21">
        <f>1+HLOOKUP("Y"&amp;M14,$E$41:$S$42, 2, FALSE)</f>
        <v>0.68216739539806304</v>
      </c>
      <c r="O14" s="19">
        <f>N14*$C$7</f>
        <v>34108.369769903155</v>
      </c>
      <c r="P14" s="19">
        <f>INDEX($C$26:$C$27, MATCH($E14, $B$26:$B$27,0))+INDEX($D$26:$D$27, MATCH($E14,$B$26:$B$27,0))*$O14</f>
        <v>2425.4184884951578</v>
      </c>
      <c r="Q14" s="19">
        <f>O14*I14-P14</f>
        <v>31682.951281407997</v>
      </c>
      <c r="R14" s="21">
        <f>Q14/$C$7</f>
        <v>0.6336590256281599</v>
      </c>
    </row>
    <row r="15" spans="1:18" ht="13.8" x14ac:dyDescent="0.25">
      <c r="B15" s="22" t="s">
        <v>20</v>
      </c>
      <c r="C15" s="68" t="s">
        <v>21</v>
      </c>
      <c r="D15" s="22">
        <v>0</v>
      </c>
      <c r="E15" s="22" t="s">
        <v>23</v>
      </c>
      <c r="F15" s="23">
        <v>11</v>
      </c>
      <c r="G15" s="24">
        <f>G14</f>
        <v>1.2E-2</v>
      </c>
      <c r="H15" s="25">
        <f>F15*G15*1000</f>
        <v>132</v>
      </c>
      <c r="I15" s="26">
        <v>1</v>
      </c>
      <c r="J15" s="25">
        <f t="shared" si="0"/>
        <v>132</v>
      </c>
      <c r="K15" s="25">
        <f t="shared" ref="K15:K18" si="1">D15+$C$8</f>
        <v>2</v>
      </c>
      <c r="L15" s="27">
        <v>1</v>
      </c>
      <c r="M15" s="25">
        <f t="shared" ref="M15:M19" si="2">ROUND(K15+L15/12, 0)</f>
        <v>2</v>
      </c>
      <c r="N15" s="28">
        <f t="shared" ref="N15:N19" si="3">1+HLOOKUP("Y"&amp;M15,$E$41:$S$42, 2, FALSE)</f>
        <v>0.776324634764753</v>
      </c>
      <c r="O15" s="25">
        <f t="shared" ref="O15:O18" si="4">N15*$C$7</f>
        <v>38816.23173823765</v>
      </c>
      <c r="P15" s="25">
        <f t="shared" ref="P15:P19" si="5">INDEX($C$26:$C$27, MATCH($E15, $B$26:$B$27,0))+INDEX($D$26:$D$27, MATCH($E15,$B$26:$B$27,0))*$O15</f>
        <v>3335.8115869118828</v>
      </c>
      <c r="Q15" s="25">
        <f t="shared" ref="Q15:Q19" si="6">O15*I15-P15</f>
        <v>35480.420151325765</v>
      </c>
      <c r="R15" s="28">
        <f t="shared" ref="R15:R19" si="7">Q15/$C$7</f>
        <v>0.70960840302651529</v>
      </c>
    </row>
    <row r="16" spans="1:18" ht="13.8" x14ac:dyDescent="0.25">
      <c r="B16" s="29" t="s">
        <v>24</v>
      </c>
      <c r="C16" s="69" t="s">
        <v>73</v>
      </c>
      <c r="D16" s="29">
        <v>3</v>
      </c>
      <c r="E16" s="29" t="s">
        <v>22</v>
      </c>
      <c r="F16" s="30">
        <v>3</v>
      </c>
      <c r="G16" s="31">
        <v>8.0000000000000002E-3</v>
      </c>
      <c r="H16" s="32">
        <f>F16*G16*1000</f>
        <v>24</v>
      </c>
      <c r="I16" s="33">
        <v>0.9</v>
      </c>
      <c r="J16" s="34">
        <f t="shared" si="0"/>
        <v>21.6</v>
      </c>
      <c r="K16" s="32">
        <f t="shared" si="1"/>
        <v>5</v>
      </c>
      <c r="L16" s="35">
        <v>10</v>
      </c>
      <c r="M16" s="32">
        <f t="shared" si="2"/>
        <v>6</v>
      </c>
      <c r="N16" s="36">
        <f t="shared" si="3"/>
        <v>0.4790715597785814</v>
      </c>
      <c r="O16" s="32">
        <f t="shared" si="4"/>
        <v>23953.577988929072</v>
      </c>
      <c r="P16" s="32">
        <f t="shared" si="5"/>
        <v>1917.6788994464537</v>
      </c>
      <c r="Q16" s="32">
        <f t="shared" si="6"/>
        <v>19640.54129058971</v>
      </c>
      <c r="R16" s="36">
        <f t="shared" si="7"/>
        <v>0.39281082581179422</v>
      </c>
    </row>
    <row r="17" spans="1:18" ht="13.8" x14ac:dyDescent="0.25">
      <c r="B17" s="22" t="s">
        <v>24</v>
      </c>
      <c r="C17" s="68" t="s">
        <v>73</v>
      </c>
      <c r="D17" s="22">
        <v>3</v>
      </c>
      <c r="E17" s="22" t="s">
        <v>23</v>
      </c>
      <c r="F17" s="23">
        <v>3</v>
      </c>
      <c r="G17" s="24">
        <f>G16</f>
        <v>8.0000000000000002E-3</v>
      </c>
      <c r="H17" s="37">
        <f t="shared" ref="H17:H19" si="8">F17*G17*1000</f>
        <v>24</v>
      </c>
      <c r="I17" s="26">
        <v>1</v>
      </c>
      <c r="J17" s="37">
        <f t="shared" si="0"/>
        <v>24</v>
      </c>
      <c r="K17" s="37">
        <f t="shared" si="1"/>
        <v>5</v>
      </c>
      <c r="L17" s="27">
        <v>1</v>
      </c>
      <c r="M17" s="37">
        <f t="shared" si="2"/>
        <v>5</v>
      </c>
      <c r="N17" s="38">
        <f t="shared" si="3"/>
        <v>0.53524229468164453</v>
      </c>
      <c r="O17" s="37">
        <f t="shared" si="4"/>
        <v>26762.114734082228</v>
      </c>
      <c r="P17" s="37">
        <f t="shared" si="5"/>
        <v>2733.1057367041112</v>
      </c>
      <c r="Q17" s="37">
        <f t="shared" si="6"/>
        <v>24029.008997378118</v>
      </c>
      <c r="R17" s="38">
        <f t="shared" si="7"/>
        <v>0.48058017994756236</v>
      </c>
    </row>
    <row r="18" spans="1:18" ht="13.8" x14ac:dyDescent="0.25">
      <c r="B18" s="39" t="s">
        <v>24</v>
      </c>
      <c r="C18" s="70" t="s">
        <v>25</v>
      </c>
      <c r="D18" s="40">
        <v>6</v>
      </c>
      <c r="E18" s="39" t="s">
        <v>22</v>
      </c>
      <c r="F18" s="41">
        <v>4</v>
      </c>
      <c r="G18" s="42">
        <v>3.5999999999999997E-2</v>
      </c>
      <c r="H18" s="43">
        <f t="shared" si="8"/>
        <v>144</v>
      </c>
      <c r="I18" s="44">
        <v>0.85</v>
      </c>
      <c r="J18" s="43">
        <f t="shared" si="0"/>
        <v>122.39999999999999</v>
      </c>
      <c r="K18" s="43">
        <f t="shared" si="1"/>
        <v>8</v>
      </c>
      <c r="L18" s="45">
        <v>10</v>
      </c>
      <c r="M18" s="43">
        <f t="shared" si="2"/>
        <v>9</v>
      </c>
      <c r="N18" s="46">
        <f t="shared" si="3"/>
        <v>0.35930937556997122</v>
      </c>
      <c r="O18" s="43">
        <f t="shared" si="4"/>
        <v>17965.468778498562</v>
      </c>
      <c r="P18" s="43">
        <f t="shared" si="5"/>
        <v>1618.2734389249281</v>
      </c>
      <c r="Q18" s="43">
        <f t="shared" si="6"/>
        <v>13652.375022798849</v>
      </c>
      <c r="R18" s="46">
        <f t="shared" si="7"/>
        <v>0.27304750045597698</v>
      </c>
    </row>
    <row r="19" spans="1:18" ht="13.8" x14ac:dyDescent="0.25">
      <c r="B19" s="39" t="s">
        <v>24</v>
      </c>
      <c r="C19" s="71" t="s">
        <v>74</v>
      </c>
      <c r="D19" s="39">
        <v>9</v>
      </c>
      <c r="E19" s="39" t="s">
        <v>22</v>
      </c>
      <c r="F19" s="41">
        <v>2</v>
      </c>
      <c r="G19" s="42">
        <v>2.8000000000000001E-2</v>
      </c>
      <c r="H19" s="43">
        <f t="shared" si="8"/>
        <v>56</v>
      </c>
      <c r="I19" s="44">
        <v>0.8</v>
      </c>
      <c r="J19" s="43">
        <f t="shared" si="0"/>
        <v>44.800000000000004</v>
      </c>
      <c r="K19" s="43">
        <f>D19+$C$8</f>
        <v>11</v>
      </c>
      <c r="L19" s="45">
        <v>10</v>
      </c>
      <c r="M19" s="43">
        <f t="shared" si="2"/>
        <v>12</v>
      </c>
      <c r="N19" s="46">
        <f t="shared" si="3"/>
        <v>0.27694204980221837</v>
      </c>
      <c r="O19" s="43">
        <f>N19*$C$7</f>
        <v>13847.102490110918</v>
      </c>
      <c r="P19" s="43">
        <f t="shared" si="5"/>
        <v>1412.355124505546</v>
      </c>
      <c r="Q19" s="43">
        <f t="shared" si="6"/>
        <v>9665.3268675831896</v>
      </c>
      <c r="R19" s="46">
        <f t="shared" si="7"/>
        <v>0.19330653735166378</v>
      </c>
    </row>
    <row r="20" spans="1:18" ht="13.8" x14ac:dyDescent="0.25">
      <c r="B20" s="47" t="s">
        <v>26</v>
      </c>
      <c r="C20" s="48"/>
      <c r="D20" s="48"/>
      <c r="E20" s="48"/>
      <c r="F20" s="49">
        <f>SUM(F14:F19)</f>
        <v>33</v>
      </c>
      <c r="G20" s="32"/>
      <c r="H20" s="49">
        <f>SUM(H14:H19)</f>
        <v>500</v>
      </c>
      <c r="I20" s="48"/>
      <c r="J20" s="49">
        <f>SUM(J14:J19)</f>
        <v>464.8</v>
      </c>
      <c r="K20" s="48"/>
      <c r="L20" s="50"/>
      <c r="M20" s="48"/>
      <c r="N20" s="51"/>
      <c r="O20" s="50"/>
      <c r="P20" s="50"/>
      <c r="Q20" s="50"/>
      <c r="R20" s="50"/>
    </row>
    <row r="22" spans="1:18" s="6" customFormat="1" ht="13.8" x14ac:dyDescent="0.25">
      <c r="A22" s="4"/>
      <c r="B22" s="5" t="s">
        <v>75</v>
      </c>
    </row>
    <row r="23" spans="1:18" s="4" customFormat="1" ht="13.8" x14ac:dyDescent="0.25"/>
    <row r="24" spans="1:18" s="4" customFormat="1" ht="13.8" x14ac:dyDescent="0.25">
      <c r="B24" s="52" t="s">
        <v>4</v>
      </c>
      <c r="C24" s="52" t="s">
        <v>27</v>
      </c>
      <c r="D24" s="52" t="s">
        <v>28</v>
      </c>
    </row>
    <row r="25" spans="1:18" s="4" customFormat="1" ht="13.8" x14ac:dyDescent="0.25">
      <c r="B25" s="53" t="s">
        <v>29</v>
      </c>
      <c r="C25" s="54" t="s">
        <v>19</v>
      </c>
      <c r="D25" s="54" t="s">
        <v>30</v>
      </c>
    </row>
    <row r="26" spans="1:18" s="4" customFormat="1" ht="13.8" x14ac:dyDescent="0.25">
      <c r="B26" s="55" t="s">
        <v>22</v>
      </c>
      <c r="C26" s="75">
        <f>AVERAGE(D35:E35)</f>
        <v>720</v>
      </c>
      <c r="D26" s="56">
        <f>AVERAGE(D36:E36)</f>
        <v>0.05</v>
      </c>
    </row>
    <row r="27" spans="1:18" s="4" customFormat="1" ht="13.8" x14ac:dyDescent="0.25">
      <c r="B27" s="55" t="s">
        <v>23</v>
      </c>
      <c r="C27" s="75">
        <f>AVERAGE(F35:G35)</f>
        <v>1395</v>
      </c>
      <c r="D27" s="56">
        <f>AVERAGE(F36:G36)</f>
        <v>0.05</v>
      </c>
    </row>
    <row r="28" spans="1:18" s="4" customFormat="1" ht="13.8" x14ac:dyDescent="0.25"/>
    <row r="29" spans="1:18" s="4" customFormat="1" ht="13.8" x14ac:dyDescent="0.25">
      <c r="B29" s="52" t="s">
        <v>31</v>
      </c>
      <c r="C29" s="52" t="s">
        <v>32</v>
      </c>
      <c r="D29" s="52" t="s">
        <v>22</v>
      </c>
      <c r="E29" s="57"/>
      <c r="F29" s="57" t="s">
        <v>23</v>
      </c>
      <c r="G29" s="57"/>
    </row>
    <row r="30" spans="1:18" s="4" customFormat="1" ht="13.8" x14ac:dyDescent="0.25">
      <c r="B30" s="53" t="s">
        <v>33</v>
      </c>
      <c r="C30" s="54" t="s">
        <v>34</v>
      </c>
      <c r="D30" s="54" t="s">
        <v>35</v>
      </c>
      <c r="E30" s="54" t="s">
        <v>36</v>
      </c>
      <c r="F30" s="54" t="s">
        <v>35</v>
      </c>
      <c r="G30" s="54" t="s">
        <v>36</v>
      </c>
    </row>
    <row r="31" spans="1:18" s="4" customFormat="1" ht="13.8" x14ac:dyDescent="0.25">
      <c r="B31" s="55" t="s">
        <v>37</v>
      </c>
      <c r="C31" s="55" t="s">
        <v>38</v>
      </c>
      <c r="D31" s="73">
        <v>200</v>
      </c>
      <c r="E31" s="73">
        <v>350</v>
      </c>
      <c r="F31" s="73">
        <v>900</v>
      </c>
      <c r="G31" s="73">
        <v>1000</v>
      </c>
    </row>
    <row r="32" spans="1:18" s="4" customFormat="1" ht="13.8" x14ac:dyDescent="0.25">
      <c r="B32" s="55" t="s">
        <v>39</v>
      </c>
      <c r="C32" s="55" t="s">
        <v>40</v>
      </c>
      <c r="D32" s="73">
        <v>150</v>
      </c>
      <c r="E32" s="73">
        <v>300</v>
      </c>
      <c r="F32" s="73">
        <v>150</v>
      </c>
      <c r="G32" s="73">
        <v>300</v>
      </c>
    </row>
    <row r="33" spans="1:19" s="4" customFormat="1" ht="13.8" x14ac:dyDescent="0.25">
      <c r="B33" s="55" t="s">
        <v>41</v>
      </c>
      <c r="C33" s="55" t="s">
        <v>42</v>
      </c>
      <c r="D33" s="73">
        <v>40</v>
      </c>
      <c r="E33" s="73">
        <v>50</v>
      </c>
      <c r="F33" s="73">
        <v>40</v>
      </c>
      <c r="G33" s="73">
        <v>50</v>
      </c>
    </row>
    <row r="34" spans="1:19" s="4" customFormat="1" ht="13.8" x14ac:dyDescent="0.25">
      <c r="B34" s="58" t="s">
        <v>43</v>
      </c>
      <c r="C34" s="58" t="s">
        <v>44</v>
      </c>
      <c r="D34" s="74">
        <v>150</v>
      </c>
      <c r="E34" s="74">
        <v>200</v>
      </c>
      <c r="F34" s="74">
        <v>150</v>
      </c>
      <c r="G34" s="74">
        <v>200</v>
      </c>
    </row>
    <row r="35" spans="1:19" s="4" customFormat="1" ht="13.8" x14ac:dyDescent="0.25">
      <c r="B35" s="59" t="s">
        <v>27</v>
      </c>
      <c r="C35" s="59"/>
      <c r="D35" s="72">
        <f>SUM(D31:D34)</f>
        <v>540</v>
      </c>
      <c r="E35" s="72">
        <f>SUM(E31:E34)</f>
        <v>900</v>
      </c>
      <c r="F35" s="72">
        <f>SUM(F31:F34)</f>
        <v>1240</v>
      </c>
      <c r="G35" s="72">
        <f>SUM(G31:G34)</f>
        <v>1550</v>
      </c>
    </row>
    <row r="36" spans="1:19" s="4" customFormat="1" ht="13.8" x14ac:dyDescent="0.25">
      <c r="B36" s="58" t="s">
        <v>45</v>
      </c>
      <c r="C36" s="58" t="s">
        <v>46</v>
      </c>
      <c r="D36" s="60">
        <v>0.02</v>
      </c>
      <c r="E36" s="60">
        <v>0.08</v>
      </c>
      <c r="F36" s="60">
        <v>0.02</v>
      </c>
      <c r="G36" s="60">
        <v>0.08</v>
      </c>
    </row>
    <row r="37" spans="1:19" x14ac:dyDescent="0.3">
      <c r="B37" s="47" t="s">
        <v>28</v>
      </c>
      <c r="C37" s="47"/>
      <c r="D37" s="61">
        <f>SUM(D36)</f>
        <v>0.02</v>
      </c>
      <c r="E37" s="61">
        <f t="shared" ref="E37:G37" si="9">SUM(E36)</f>
        <v>0.08</v>
      </c>
      <c r="F37" s="61">
        <f t="shared" si="9"/>
        <v>0.02</v>
      </c>
      <c r="G37" s="61">
        <f t="shared" si="9"/>
        <v>0.08</v>
      </c>
    </row>
    <row r="38" spans="1:19" s="4" customFormat="1" ht="13.8" x14ac:dyDescent="0.25"/>
    <row r="39" spans="1:19" s="6" customFormat="1" ht="13.8" x14ac:dyDescent="0.25">
      <c r="A39" s="4"/>
      <c r="B39" s="5" t="s">
        <v>47</v>
      </c>
    </row>
    <row r="40" spans="1:19" s="4" customFormat="1" ht="13.8" x14ac:dyDescent="0.25"/>
    <row r="41" spans="1:19" s="4" customFormat="1" ht="13.8" x14ac:dyDescent="0.25">
      <c r="B41" s="62" t="s">
        <v>48</v>
      </c>
      <c r="C41" s="63" t="s">
        <v>49</v>
      </c>
      <c r="D41" s="63" t="s">
        <v>50</v>
      </c>
      <c r="E41" s="63" t="s">
        <v>51</v>
      </c>
      <c r="F41" s="63" t="s">
        <v>52</v>
      </c>
      <c r="G41" s="63" t="s">
        <v>53</v>
      </c>
      <c r="H41" s="63" t="s">
        <v>54</v>
      </c>
      <c r="I41" s="63" t="s">
        <v>55</v>
      </c>
      <c r="J41" s="63" t="s">
        <v>56</v>
      </c>
      <c r="K41" s="63" t="s">
        <v>57</v>
      </c>
      <c r="L41" s="63" t="s">
        <v>58</v>
      </c>
      <c r="M41" s="63" t="s">
        <v>59</v>
      </c>
      <c r="N41" s="63" t="s">
        <v>60</v>
      </c>
      <c r="O41" s="63" t="s">
        <v>61</v>
      </c>
      <c r="P41" s="63" t="s">
        <v>62</v>
      </c>
      <c r="Q41" s="63" t="s">
        <v>63</v>
      </c>
      <c r="R41" s="63" t="s">
        <v>64</v>
      </c>
      <c r="S41" s="63" t="s">
        <v>65</v>
      </c>
    </row>
    <row r="42" spans="1:19" ht="13.8" x14ac:dyDescent="0.25">
      <c r="B42" s="17" t="s">
        <v>66</v>
      </c>
      <c r="C42" s="64" t="s">
        <v>67</v>
      </c>
      <c r="D42" s="65">
        <v>50000</v>
      </c>
      <c r="E42" s="66">
        <v>-0.12605898240075603</v>
      </c>
      <c r="F42" s="66">
        <v>-0.22367536523524706</v>
      </c>
      <c r="G42" s="66">
        <v>-0.31783260460193696</v>
      </c>
      <c r="H42" s="66">
        <v>-0.39762623903741739</v>
      </c>
      <c r="I42" s="66">
        <v>-0.46475770531835547</v>
      </c>
      <c r="J42" s="66">
        <v>-0.5209284402214186</v>
      </c>
      <c r="K42" s="66">
        <v>-0.56783988052327361</v>
      </c>
      <c r="L42" s="66">
        <v>-0.60719346300058785</v>
      </c>
      <c r="M42" s="66">
        <v>-0.64069062443002878</v>
      </c>
      <c r="N42" s="66">
        <v>-0.67003280158826306</v>
      </c>
      <c r="O42" s="66">
        <v>-0.69692143125195827</v>
      </c>
      <c r="P42" s="66">
        <v>-0.72305795019778163</v>
      </c>
      <c r="Q42" s="66">
        <v>-0.75014379520240004</v>
      </c>
      <c r="R42" s="66">
        <v>-0.77988040304248085</v>
      </c>
      <c r="S42" s="66">
        <v>-0.81396921049469129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e55bdf-09da-4615-ad05-ac088d173743">HJESJR6M7V5E-708027023-584</_dlc_DocId>
    <DataSourceTaxHTField xmlns="http://schemas.microsoft.com/sharepoint/v3">
      <Terms xmlns="http://schemas.microsoft.com/office/infopath/2007/PartnerControls"/>
    </DataSourceTaxHTField>
    <_dlc_DocIdUrl xmlns="68e55bdf-09da-4615-ad05-ac088d173743">
      <Url>https://mckinsey.sharepoint.com/sites/spe-int-g3shlooow/_layouts/15/DocIdRedir.aspx?ID=HJESJR6M7V5E-708027023-584</Url>
      <Description>HJESJR6M7V5E-708027023-584</Description>
    </_dlc_DocIdUrl>
    <SourceSystemTaxHTField xmlns="http://schemas.microsoft.com/sharepoint/v3">
      <Terms xmlns="http://schemas.microsoft.com/office/infopath/2007/PartnerControls"/>
    </SourceSystemTaxHTField>
    <lcf76f155ced4ddcb4097134ff3c332f xmlns="42e4a2d1-7a9a-46f4-96b1-e49f7be52138">
      <Terms xmlns="http://schemas.microsoft.com/office/infopath/2007/PartnerControls"/>
    </lcf76f155ced4ddcb4097134ff3c332f>
    <TaxCatchAll xmlns="68e55bdf-09da-4615-ad05-ac088d1737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686E0F17B98438C91AA640C188FFD" ma:contentTypeVersion="13" ma:contentTypeDescription="Create a new document." ma:contentTypeScope="" ma:versionID="a00b06ad32e11f95d2cb64f0cbc4564b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6a26cbd4267670edac215513d8ab14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599494-04D6-44CE-B840-69B9928F7DEB}">
  <ds:schemaRefs>
    <ds:schemaRef ds:uri="http://schemas.microsoft.com/office/2006/metadata/properties"/>
    <ds:schemaRef ds:uri="http://schemas.microsoft.com/office/infopath/2007/PartnerControls"/>
    <ds:schemaRef ds:uri="68e55bdf-09da-4615-ad05-ac088d173743"/>
    <ds:schemaRef ds:uri="http://schemas.microsoft.com/sharepoint/v3"/>
    <ds:schemaRef ds:uri="42e4a2d1-7a9a-46f4-96b1-e49f7be52138"/>
  </ds:schemaRefs>
</ds:datastoreItem>
</file>

<file path=customXml/itemProps2.xml><?xml version="1.0" encoding="utf-8"?>
<ds:datastoreItem xmlns:ds="http://schemas.openxmlformats.org/officeDocument/2006/customXml" ds:itemID="{52147D2D-05B3-43AC-8D49-39A711A8DB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543F48-37CD-4568-B47D-8409F49AB82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2FF1D16-5673-474B-A1C6-53B2FB52C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Repossession business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El Gemayel</dc:creator>
  <cp:lastModifiedBy>Pouloupatis Vassileios</cp:lastModifiedBy>
  <dcterms:created xsi:type="dcterms:W3CDTF">2025-07-16T18:11:33Z</dcterms:created>
  <dcterms:modified xsi:type="dcterms:W3CDTF">2025-07-18T07:04:50Z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0x0101008A8686E0F17B98438C91AA640C188FFD</vt:lpwstr>
  </property>
  <property fmtid="{D5CDD505-2E9C-101B-9397-08002B2CF9AE}" pid="4" name="DataSource">
    <vt:lpwstr>2;#|0b10eabc-00d3-4553-8252-f6efa1cda259</vt:lpwstr>
  </property>
  <property fmtid="{D5CDD505-2E9C-101B-9397-08002B2CF9AE}" pid="5" name="_dlc_DocIdItemGuid">
    <vt:lpwstr>43d5d9ca-1517-4459-9cb4-58e99deac9ba</vt:lpwstr>
  </property>
  <property fmtid="{D5CDD505-2E9C-101B-9397-08002B2CF9AE}" pid="6" name="SourceSystem">
    <vt:lpwstr>1;#|e1155322-03d8-4904-a51c-d7d7cbd8ca84</vt:lpwstr>
  </property>
</Properties>
</file>