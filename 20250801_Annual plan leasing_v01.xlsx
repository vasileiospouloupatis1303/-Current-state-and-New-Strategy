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bank-my.sharepoint.com/personal/vpouloupatis_eurobank_gr/Documents/Backup 2025/Desktop/McKinsey/"/>
    </mc:Choice>
  </mc:AlternateContent>
  <xr:revisionPtr revIDLastSave="0" documentId="13_ncr:1_{CB079156-69DD-411B-A8F2-23C9A54E0348}" xr6:coauthVersionLast="47" xr6:coauthVersionMax="47" xr10:uidLastSave="{00000000-0000-0000-0000-000000000000}"/>
  <bookViews>
    <workbookView xWindow="-108" yWindow="-108" windowWidth="23256" windowHeight="12456" xr2:uid="{0E264E3E-53FB-44CE-845C-DE3A93A0BA85}"/>
  </bookViews>
  <sheets>
    <sheet name="Annual plan leasing" sheetId="1" r:id="rId1"/>
  </sheets>
  <definedNames>
    <definedName name="_xlnm._FilterDatabase" localSheetId="0" hidden="1">'Annual plan leasing'!$B$57:$I$60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D27" i="1"/>
  <c r="E27" i="1"/>
  <c r="F27" i="1"/>
  <c r="G27" i="1"/>
  <c r="H27" i="1"/>
  <c r="I27" i="1"/>
  <c r="C27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D21" i="1"/>
  <c r="E21" i="1"/>
  <c r="F21" i="1"/>
  <c r="G21" i="1"/>
  <c r="H21" i="1"/>
  <c r="I21" i="1"/>
  <c r="C21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D13" i="1"/>
  <c r="E13" i="1"/>
  <c r="F13" i="1"/>
  <c r="G13" i="1"/>
  <c r="H13" i="1"/>
  <c r="I13" i="1"/>
  <c r="C13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D7" i="1"/>
  <c r="E7" i="1"/>
  <c r="F7" i="1"/>
  <c r="G7" i="1"/>
  <c r="H7" i="1"/>
  <c r="I7" i="1"/>
  <c r="C7" i="1"/>
</calcChain>
</file>

<file path=xl/sharedStrings.xml><?xml version="1.0" encoding="utf-8"?>
<sst xmlns="http://schemas.openxmlformats.org/spreadsheetml/2006/main" count="161" uniqueCount="26">
  <si>
    <t>Total market fleet leased</t>
  </si>
  <si>
    <t>in #k</t>
  </si>
  <si>
    <t>SME</t>
  </si>
  <si>
    <t>Individual</t>
  </si>
  <si>
    <t>Ramp-up</t>
  </si>
  <si>
    <t>n/a</t>
  </si>
  <si>
    <t>Total</t>
  </si>
  <si>
    <t>Total market yearly production leased</t>
  </si>
  <si>
    <t>Addressable market fleet leased</t>
  </si>
  <si>
    <t>Addresable market new production leased</t>
  </si>
  <si>
    <t>ERB new production leased</t>
  </si>
  <si>
    <t>Market share</t>
  </si>
  <si>
    <t>ERB fleet leased</t>
  </si>
  <si>
    <t>ERB RAR per car</t>
  </si>
  <si>
    <t>in €</t>
  </si>
  <si>
    <t>ERB RAR</t>
  </si>
  <si>
    <t>in M€</t>
  </si>
  <si>
    <t>Addressable market new production leased</t>
  </si>
  <si>
    <t>Addressable market yearly production leased</t>
  </si>
  <si>
    <t>Annual plan leasing</t>
  </si>
  <si>
    <t>1. Financial lease</t>
  </si>
  <si>
    <t>2.2 Ambitious - Operating lease starting in 2026</t>
  </si>
  <si>
    <t>2.1 Conservative - Operating lease starting in 2028</t>
  </si>
  <si>
    <t>A. Total - Conservative</t>
  </si>
  <si>
    <t>B. Total - Ambitious</t>
  </si>
  <si>
    <t>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</si>
</sst>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trike/>
      <sz val="24"/>
      <color theme="1"/>
      <name val="Georgia"/>
      <family val="1"/>
    </font>
    <font>
      <b/>
      <sz val="24"/>
      <color theme="1"/>
      <name val="Georgia"/>
      <family val="1"/>
    </font>
    <font>
      <b/>
      <i/>
      <sz val="11"/>
      <color rgb="FF003366"/>
      <name val="Aptos Narrow"/>
      <family val="2"/>
      <scheme val="minor"/>
    </font>
    <font>
      <b/>
      <sz val="11"/>
      <color rgb="FF00336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5">
    <xf numFmtId="0" fontId="0" fillId="0" borderId="0"/>
    <xf numFmtId="0" fontId="1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4" fillId="2" borderId="1" xfId="0" applyFont="1" applyFill="1" applyBorder="1"/>
    <xf numFmtId="0" fontId="5" fillId="2" borderId="1" xfId="0" applyFont="1" applyFill="1" applyBorder="1"/>
    <xf numFmtId="0" fontId="0" fillId="2" borderId="0" xfId="0" applyFill="1"/>
    <xf numFmtId="0" fontId="2" fillId="3" borderId="0" xfId="0" applyFont="1" applyFill="1"/>
    <xf numFmtId="0" fontId="2" fillId="4" borderId="2" xfId="0" applyFont="1" applyFill="1" applyBorder="1"/>
    <xf numFmtId="0" fontId="6" fillId="5" borderId="2" xfId="0" applyFont="1" applyFill="1" applyBorder="1"/>
    <xf numFmtId="0" fontId="7" fillId="5" borderId="2" xfId="0" applyFont="1" applyFill="1" applyBorder="1"/>
    <xf numFmtId="0" fontId="8" fillId="0" borderId="2" xfId="0" applyFont="1" applyBorder="1"/>
    <xf numFmtId="3" fontId="8" fillId="0" borderId="2" xfId="0" applyNumberFormat="1" applyFont="1" applyBorder="1"/>
    <xf numFmtId="3" fontId="0" fillId="2" borderId="0" xfId="0" applyNumberFormat="1" applyFill="1"/>
    <xf numFmtId="0" fontId="8" fillId="0" borderId="3" xfId="0" applyFont="1" applyBorder="1"/>
    <xf numFmtId="3" fontId="8" fillId="0" borderId="3" xfId="0" applyNumberFormat="1" applyFont="1" applyBorder="1"/>
    <xf numFmtId="0" fontId="8" fillId="0" borderId="4" xfId="0" applyFont="1" applyBorder="1"/>
    <xf numFmtId="3" fontId="9" fillId="6" borderId="4" xfId="0" applyNumberFormat="1" applyFont="1" applyFill="1" applyBorder="1"/>
    <xf numFmtId="9" fontId="8" fillId="0" borderId="4" xfId="0" applyNumberFormat="1" applyFont="1" applyBorder="1"/>
    <xf numFmtId="0" fontId="10" fillId="0" borderId="5" xfId="0" applyFont="1" applyBorder="1"/>
    <xf numFmtId="3" fontId="10" fillId="0" borderId="5" xfId="0" applyNumberFormat="1" applyFont="1" applyBorder="1"/>
    <xf numFmtId="3" fontId="10" fillId="7" borderId="5" xfId="0" applyNumberFormat="1" applyFont="1" applyFill="1" applyBorder="1"/>
    <xf numFmtId="9" fontId="9" fillId="6" borderId="4" xfId="0" applyNumberFormat="1" applyFont="1" applyFill="1" applyBorder="1"/>
    <xf numFmtId="0" fontId="3" fillId="2" borderId="0" xfId="0" applyFont="1" applyFill="1"/>
    <xf numFmtId="3" fontId="8" fillId="0" borderId="2" xfId="1" applyNumberFormat="1" applyFont="1" applyBorder="1"/>
    <xf numFmtId="3" fontId="8" fillId="0" borderId="2" xfId="2" applyNumberFormat="1" applyFont="1" applyBorder="1"/>
    <xf numFmtId="3" fontId="8" fillId="0" borderId="3" xfId="1" applyNumberFormat="1" applyFont="1" applyBorder="1"/>
    <xf numFmtId="3" fontId="8" fillId="0" borderId="3" xfId="2" applyNumberFormat="1" applyFont="1" applyBorder="1"/>
    <xf numFmtId="3" fontId="9" fillId="6" borderId="2" xfId="0" applyNumberFormat="1" applyFont="1" applyFill="1" applyBorder="1"/>
    <xf numFmtId="0" fontId="2" fillId="8" borderId="0" xfId="0" applyFont="1" applyFill="1"/>
    <xf numFmtId="9" fontId="0" fillId="2" borderId="0" xfId="4" applyFont="1" applyFill="1"/>
  </cellXfs>
  <cellStyles count="5">
    <cellStyle name="Normal" xfId="0" builtinId="0"/>
    <cellStyle name="Normal 3" xfId="1" xr:uid="{1CC7413A-7157-442E-9CF6-9E4D943C16CA}"/>
    <cellStyle name="Normal 3 2" xfId="2" xr:uid="{A6F6A720-701D-4737-B6A7-6CF2FD5DB7A7}"/>
    <cellStyle name="Normal 5" xfId="3" xr:uid="{09F1D575-09DD-4E11-B92D-FB2A7FDD1162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C7EE-8FB3-47CA-8158-210401DFB69F}">
  <sheetPr>
    <tabColor rgb="FFFFC000"/>
  </sheetPr>
  <dimension ref="A1:Z188"/>
  <sheetViews>
    <sheetView tabSelected="1" zoomScale="85" zoomScaleNormal="85" workbookViewId="0">
      <selection activeCell="I8" sqref="I8"/>
    </sheetView>
  </sheetViews>
  <sheetFormatPr defaultColWidth="9.33203125" defaultRowHeight="14.4" outlineLevelRow="1" x14ac:dyDescent="0.3"/>
  <cols>
    <col min="1" max="1" width="2.5546875" style="3" customWidth="1"/>
    <col min="2" max="2" width="17.5546875" style="3" bestFit="1" customWidth="1"/>
    <col min="3" max="9" width="8.5546875" style="3" customWidth="1"/>
    <col min="10" max="16384" width="9.33203125" style="3"/>
  </cols>
  <sheetData>
    <row r="1" spans="1:14" s="2" customFormat="1" ht="30.6" customHeight="1" thickBot="1" x14ac:dyDescent="0.55000000000000004">
      <c r="A1" s="1"/>
      <c r="B1" s="2" t="s">
        <v>19</v>
      </c>
    </row>
    <row r="3" spans="1:14" s="4" customFormat="1" x14ac:dyDescent="0.3">
      <c r="A3" s="3"/>
      <c r="B3" s="4" t="s">
        <v>23</v>
      </c>
    </row>
    <row r="5" spans="1:14" x14ac:dyDescent="0.3">
      <c r="B5" s="5" t="s">
        <v>12</v>
      </c>
      <c r="C5" s="5"/>
      <c r="D5" s="5"/>
      <c r="E5" s="5"/>
      <c r="F5" s="5"/>
      <c r="G5" s="5"/>
      <c r="H5" s="5"/>
      <c r="I5" s="5"/>
    </row>
    <row r="6" spans="1:14" x14ac:dyDescent="0.3">
      <c r="B6" s="6" t="s">
        <v>16</v>
      </c>
      <c r="C6" s="7">
        <v>2024</v>
      </c>
      <c r="D6" s="7">
        <v>2025</v>
      </c>
      <c r="E6" s="7">
        <v>2026</v>
      </c>
      <c r="F6" s="7">
        <v>2027</v>
      </c>
      <c r="G6" s="7">
        <v>2028</v>
      </c>
      <c r="H6" s="7">
        <v>2029</v>
      </c>
      <c r="I6" s="7">
        <v>2030</v>
      </c>
    </row>
    <row r="7" spans="1:14" x14ac:dyDescent="0.3">
      <c r="B7" s="8" t="s">
        <v>2</v>
      </c>
      <c r="C7" s="21">
        <f>C71+C123</f>
        <v>0</v>
      </c>
      <c r="D7" s="21">
        <f t="shared" ref="D7:I7" si="0">D71+D123</f>
        <v>0</v>
      </c>
      <c r="E7" s="21">
        <f t="shared" si="0"/>
        <v>0.21548984503533336</v>
      </c>
      <c r="F7" s="21">
        <f t="shared" si="0"/>
        <v>0.54759993396160622</v>
      </c>
      <c r="G7" s="21">
        <f t="shared" si="0"/>
        <v>1.8660768537865158</v>
      </c>
      <c r="H7" s="21">
        <f t="shared" si="0"/>
        <v>3.391015345742002</v>
      </c>
      <c r="I7" s="22">
        <f t="shared" si="0"/>
        <v>4.8648016627059265</v>
      </c>
    </row>
    <row r="8" spans="1:14" x14ac:dyDescent="0.3">
      <c r="B8" s="11" t="s">
        <v>3</v>
      </c>
      <c r="C8" s="23">
        <f t="shared" ref="C8:I8" si="1">C72+C124</f>
        <v>0</v>
      </c>
      <c r="D8" s="23">
        <f t="shared" si="1"/>
        <v>0</v>
      </c>
      <c r="E8" s="23">
        <f t="shared" si="1"/>
        <v>0.27811637543372275</v>
      </c>
      <c r="F8" s="23">
        <f t="shared" si="1"/>
        <v>0.740557222793504</v>
      </c>
      <c r="G8" s="23">
        <f t="shared" si="1"/>
        <v>2.7036914648602215</v>
      </c>
      <c r="H8" s="23">
        <f t="shared" si="1"/>
        <v>5.1451758841081796</v>
      </c>
      <c r="I8" s="24">
        <f t="shared" si="1"/>
        <v>7.1205383674057359</v>
      </c>
    </row>
    <row r="9" spans="1:14" x14ac:dyDescent="0.3">
      <c r="B9" s="16" t="s">
        <v>6</v>
      </c>
      <c r="C9" s="17">
        <f t="shared" ref="C9:I9" si="2">C73+C125</f>
        <v>0</v>
      </c>
      <c r="D9" s="17">
        <f t="shared" si="2"/>
        <v>0</v>
      </c>
      <c r="E9" s="17">
        <f t="shared" si="2"/>
        <v>0.49360622046905611</v>
      </c>
      <c r="F9" s="17">
        <f t="shared" si="2"/>
        <v>1.2881571567551102</v>
      </c>
      <c r="G9" s="17">
        <f t="shared" si="2"/>
        <v>4.5697683186467373</v>
      </c>
      <c r="H9" s="17">
        <f t="shared" si="2"/>
        <v>8.5361912298501821</v>
      </c>
      <c r="I9" s="18">
        <f t="shared" si="2"/>
        <v>11.985340030111663</v>
      </c>
      <c r="N9" s="27"/>
    </row>
    <row r="11" spans="1:14" x14ac:dyDescent="0.3">
      <c r="B11" s="5" t="s">
        <v>15</v>
      </c>
      <c r="C11" s="5"/>
      <c r="D11" s="5"/>
      <c r="E11" s="5"/>
      <c r="F11" s="5"/>
      <c r="G11" s="5"/>
      <c r="H11" s="5"/>
      <c r="I11" s="5"/>
    </row>
    <row r="12" spans="1:14" x14ac:dyDescent="0.3">
      <c r="B12" s="6" t="s">
        <v>16</v>
      </c>
      <c r="C12" s="7">
        <v>2024</v>
      </c>
      <c r="D12" s="7">
        <v>2025</v>
      </c>
      <c r="E12" s="7">
        <v>2026</v>
      </c>
      <c r="F12" s="7">
        <v>2027</v>
      </c>
      <c r="G12" s="7">
        <v>2028</v>
      </c>
      <c r="H12" s="7">
        <v>2029</v>
      </c>
      <c r="I12" s="7">
        <v>2030</v>
      </c>
    </row>
    <row r="13" spans="1:14" x14ac:dyDescent="0.3">
      <c r="B13" s="8" t="s">
        <v>2</v>
      </c>
      <c r="C13" s="21">
        <f>C82+C134</f>
        <v>0</v>
      </c>
      <c r="D13" s="21">
        <f t="shared" ref="D13:I13" si="3">D82+D134</f>
        <v>0</v>
      </c>
      <c r="E13" s="21">
        <f t="shared" si="3"/>
        <v>9.4985821557503694E-2</v>
      </c>
      <c r="F13" s="21">
        <f t="shared" si="3"/>
        <v>0.24756585535905257</v>
      </c>
      <c r="G13" s="21">
        <f t="shared" si="3"/>
        <v>1.3658281301820439</v>
      </c>
      <c r="H13" s="21">
        <f t="shared" si="3"/>
        <v>2.8108513146864862</v>
      </c>
      <c r="I13" s="22">
        <f t="shared" si="3"/>
        <v>4.3607867218828602</v>
      </c>
    </row>
    <row r="14" spans="1:14" x14ac:dyDescent="0.3">
      <c r="B14" s="11" t="s">
        <v>3</v>
      </c>
      <c r="C14" s="23">
        <f t="shared" ref="C14:I14" si="4">C83+C135</f>
        <v>0</v>
      </c>
      <c r="D14" s="23">
        <f t="shared" si="4"/>
        <v>0</v>
      </c>
      <c r="E14" s="23">
        <f t="shared" si="4"/>
        <v>0.12259098522640705</v>
      </c>
      <c r="F14" s="23">
        <f t="shared" si="4"/>
        <v>0.33480040981168663</v>
      </c>
      <c r="G14" s="23">
        <f t="shared" si="4"/>
        <v>1.9989599370374806</v>
      </c>
      <c r="H14" s="23">
        <f t="shared" si="4"/>
        <v>4.2936542361378454</v>
      </c>
      <c r="I14" s="24">
        <f t="shared" si="4"/>
        <v>6.3860050035933522</v>
      </c>
    </row>
    <row r="15" spans="1:14" x14ac:dyDescent="0.3">
      <c r="B15" s="16" t="s">
        <v>6</v>
      </c>
      <c r="C15" s="17">
        <f t="shared" ref="C15:I15" si="5">C84+C136</f>
        <v>0</v>
      </c>
      <c r="D15" s="17">
        <f t="shared" si="5"/>
        <v>0</v>
      </c>
      <c r="E15" s="17">
        <f t="shared" si="5"/>
        <v>0.21757680678391073</v>
      </c>
      <c r="F15" s="17">
        <f t="shared" si="5"/>
        <v>0.58236626517073919</v>
      </c>
      <c r="G15" s="17">
        <f t="shared" si="5"/>
        <v>3.3647880672195249</v>
      </c>
      <c r="H15" s="17">
        <f t="shared" si="5"/>
        <v>7.1045055508243316</v>
      </c>
      <c r="I15" s="18">
        <f t="shared" si="5"/>
        <v>10.746791725476212</v>
      </c>
    </row>
    <row r="17" spans="1:9" s="4" customFormat="1" x14ac:dyDescent="0.3">
      <c r="A17" s="3"/>
      <c r="B17" s="4" t="s">
        <v>24</v>
      </c>
    </row>
    <row r="19" spans="1:9" x14ac:dyDescent="0.3">
      <c r="B19" s="5" t="s">
        <v>12</v>
      </c>
      <c r="C19" s="5"/>
      <c r="D19" s="5"/>
      <c r="E19" s="5"/>
      <c r="F19" s="5"/>
      <c r="G19" s="5"/>
      <c r="H19" s="5"/>
      <c r="I19" s="5"/>
    </row>
    <row r="20" spans="1:9" x14ac:dyDescent="0.3">
      <c r="B20" s="6" t="s">
        <v>16</v>
      </c>
      <c r="C20" s="7">
        <v>2024</v>
      </c>
      <c r="D20" s="7">
        <v>2025</v>
      </c>
      <c r="E20" s="7">
        <v>2026</v>
      </c>
      <c r="F20" s="7">
        <v>2027</v>
      </c>
      <c r="G20" s="7">
        <v>2028</v>
      </c>
      <c r="H20" s="7">
        <v>2029</v>
      </c>
      <c r="I20" s="7">
        <v>2030</v>
      </c>
    </row>
    <row r="21" spans="1:9" x14ac:dyDescent="0.3">
      <c r="B21" s="8" t="s">
        <v>2</v>
      </c>
      <c r="C21" s="21">
        <f>C71+C175</f>
        <v>0</v>
      </c>
      <c r="D21" s="21">
        <f t="shared" ref="D21:I21" si="6">D71+D175</f>
        <v>0</v>
      </c>
      <c r="E21" s="21">
        <f t="shared" si="6"/>
        <v>0.21548984503533336</v>
      </c>
      <c r="F21" s="21">
        <f t="shared" si="6"/>
        <v>0.54759993396160622</v>
      </c>
      <c r="G21" s="21">
        <f t="shared" si="6"/>
        <v>2.3207240675192433</v>
      </c>
      <c r="H21" s="21">
        <f t="shared" si="6"/>
        <v>4.3121435350384871</v>
      </c>
      <c r="I21" s="22">
        <f t="shared" si="6"/>
        <v>6.2228264229885939</v>
      </c>
    </row>
    <row r="22" spans="1:9" x14ac:dyDescent="0.3">
      <c r="B22" s="11" t="s">
        <v>3</v>
      </c>
      <c r="C22" s="23">
        <f t="shared" ref="C22:I22" si="7">C72+C176</f>
        <v>0</v>
      </c>
      <c r="D22" s="23">
        <f t="shared" si="7"/>
        <v>0</v>
      </c>
      <c r="E22" s="23">
        <f t="shared" si="7"/>
        <v>0.8343491263011682</v>
      </c>
      <c r="F22" s="23">
        <f t="shared" si="7"/>
        <v>2.5299655666203664</v>
      </c>
      <c r="G22" s="23">
        <f t="shared" si="7"/>
        <v>5.170042650779056</v>
      </c>
      <c r="H22" s="23">
        <f t="shared" si="7"/>
        <v>8.0707085822975255</v>
      </c>
      <c r="I22" s="24">
        <f t="shared" si="7"/>
        <v>9.737777167355226</v>
      </c>
    </row>
    <row r="23" spans="1:9" x14ac:dyDescent="0.3">
      <c r="B23" s="16" t="s">
        <v>6</v>
      </c>
      <c r="C23" s="17">
        <f t="shared" ref="C23:I23" si="8">C73+C177</f>
        <v>0</v>
      </c>
      <c r="D23" s="17">
        <f t="shared" si="8"/>
        <v>0</v>
      </c>
      <c r="E23" s="17">
        <f t="shared" si="8"/>
        <v>1.0498389713365017</v>
      </c>
      <c r="F23" s="17">
        <f t="shared" si="8"/>
        <v>3.0775655005819726</v>
      </c>
      <c r="G23" s="17">
        <f t="shared" si="8"/>
        <v>7.4907667182982998</v>
      </c>
      <c r="H23" s="17">
        <f t="shared" si="8"/>
        <v>12.382852117336011</v>
      </c>
      <c r="I23" s="18">
        <f t="shared" si="8"/>
        <v>15.960603590343821</v>
      </c>
    </row>
    <row r="25" spans="1:9" x14ac:dyDescent="0.3">
      <c r="B25" s="5" t="s">
        <v>15</v>
      </c>
      <c r="C25" s="5"/>
      <c r="D25" s="5"/>
      <c r="E25" s="5"/>
      <c r="F25" s="5"/>
      <c r="G25" s="5"/>
      <c r="H25" s="5"/>
      <c r="I25" s="5"/>
    </row>
    <row r="26" spans="1:9" x14ac:dyDescent="0.3">
      <c r="B26" s="6" t="s">
        <v>16</v>
      </c>
      <c r="C26" s="7">
        <v>2024</v>
      </c>
      <c r="D26" s="7">
        <v>2025</v>
      </c>
      <c r="E26" s="7">
        <v>2026</v>
      </c>
      <c r="F26" s="7">
        <v>2027</v>
      </c>
      <c r="G26" s="7">
        <v>2028</v>
      </c>
      <c r="H26" s="7">
        <v>2029</v>
      </c>
      <c r="I26" s="7">
        <v>2030</v>
      </c>
    </row>
    <row r="27" spans="1:9" x14ac:dyDescent="0.3">
      <c r="B27" s="8" t="s">
        <v>2</v>
      </c>
      <c r="C27" s="21">
        <f>C82+C186</f>
        <v>0</v>
      </c>
      <c r="D27" s="21">
        <f t="shared" ref="D27:I27" si="9">D82+D186</f>
        <v>0</v>
      </c>
      <c r="E27" s="21">
        <f t="shared" si="9"/>
        <v>9.4985821557503694E-2</v>
      </c>
      <c r="F27" s="21">
        <f t="shared" si="9"/>
        <v>0.24756585535905257</v>
      </c>
      <c r="G27" s="21">
        <f t="shared" si="9"/>
        <v>1.826919520730663</v>
      </c>
      <c r="H27" s="21">
        <f t="shared" si="9"/>
        <v>3.7689890324875996</v>
      </c>
      <c r="I27" s="22">
        <f t="shared" si="9"/>
        <v>5.8095950582578055</v>
      </c>
    </row>
    <row r="28" spans="1:9" x14ac:dyDescent="0.3">
      <c r="B28" s="11" t="s">
        <v>3</v>
      </c>
      <c r="C28" s="23">
        <f t="shared" ref="C28:I28" si="10">C83+C187</f>
        <v>0</v>
      </c>
      <c r="D28" s="23">
        <f t="shared" si="10"/>
        <v>0</v>
      </c>
      <c r="E28" s="23">
        <f t="shared" si="10"/>
        <v>0.65885452079055251</v>
      </c>
      <c r="F28" s="23">
        <f t="shared" si="10"/>
        <v>2.1042025697234839</v>
      </c>
      <c r="G28" s="23">
        <f t="shared" si="10"/>
        <v>4.5002692237695925</v>
      </c>
      <c r="H28" s="23">
        <f t="shared" si="10"/>
        <v>7.3367303848946461</v>
      </c>
      <c r="I28" s="24">
        <f t="shared" si="10"/>
        <v>9.1782054866401541</v>
      </c>
    </row>
    <row r="29" spans="1:9" x14ac:dyDescent="0.3">
      <c r="B29" s="16" t="s">
        <v>6</v>
      </c>
      <c r="C29" s="17">
        <f t="shared" ref="C29:I29" si="11">C84+C188</f>
        <v>0</v>
      </c>
      <c r="D29" s="17">
        <f t="shared" si="11"/>
        <v>0</v>
      </c>
      <c r="E29" s="17">
        <f t="shared" si="11"/>
        <v>0.75384034234805619</v>
      </c>
      <c r="F29" s="17">
        <f t="shared" si="11"/>
        <v>2.3517684250825366</v>
      </c>
      <c r="G29" s="17">
        <f t="shared" si="11"/>
        <v>6.3271887445002557</v>
      </c>
      <c r="H29" s="17">
        <f t="shared" si="11"/>
        <v>11.105719417382247</v>
      </c>
      <c r="I29" s="18">
        <f t="shared" si="11"/>
        <v>14.987800544897961</v>
      </c>
    </row>
    <row r="31" spans="1:9" s="26" customFormat="1" x14ac:dyDescent="0.3">
      <c r="A31" s="3"/>
      <c r="B31" s="26" t="s">
        <v>25</v>
      </c>
    </row>
    <row r="33" spans="1:9" s="26" customFormat="1" x14ac:dyDescent="0.3">
      <c r="A33" s="3"/>
      <c r="B33" s="26" t="s">
        <v>20</v>
      </c>
    </row>
    <row r="35" spans="1:9" outlineLevel="1" x14ac:dyDescent="0.3">
      <c r="B35" s="5" t="s">
        <v>0</v>
      </c>
      <c r="C35" s="5"/>
      <c r="D35" s="5"/>
      <c r="E35" s="5"/>
      <c r="F35" s="5"/>
      <c r="G35" s="5"/>
      <c r="H35" s="5"/>
      <c r="I35" s="5"/>
    </row>
    <row r="36" spans="1:9" outlineLevel="1" x14ac:dyDescent="0.3">
      <c r="B36" s="6" t="s">
        <v>1</v>
      </c>
      <c r="C36" s="7">
        <v>2024</v>
      </c>
      <c r="D36" s="7">
        <v>2025</v>
      </c>
      <c r="E36" s="7">
        <v>2026</v>
      </c>
      <c r="F36" s="7">
        <v>2027</v>
      </c>
      <c r="G36" s="7">
        <v>2028</v>
      </c>
      <c r="H36" s="7">
        <v>2029</v>
      </c>
      <c r="I36" s="7">
        <v>2030</v>
      </c>
    </row>
    <row r="37" spans="1:9" outlineLevel="1" x14ac:dyDescent="0.3">
      <c r="B37" s="8" t="s">
        <v>2</v>
      </c>
      <c r="C37" s="9">
        <v>6.4031450000000012</v>
      </c>
      <c r="D37" s="9">
        <v>6.6102358320430321</v>
      </c>
      <c r="E37" s="9">
        <v>6.817326664086063</v>
      </c>
      <c r="F37" s="9">
        <v>7.0244174961290931</v>
      </c>
      <c r="G37" s="9">
        <v>7.231508328172124</v>
      </c>
      <c r="H37" s="9">
        <v>7.4385991602151549</v>
      </c>
      <c r="I37" s="9">
        <v>7.6456899922581858</v>
      </c>
    </row>
    <row r="38" spans="1:9" outlineLevel="1" x14ac:dyDescent="0.3">
      <c r="B38" s="11" t="s">
        <v>3</v>
      </c>
      <c r="C38" s="12">
        <v>3.9249000000000005</v>
      </c>
      <c r="D38" s="12">
        <v>4.9811132982146002</v>
      </c>
      <c r="E38" s="12">
        <v>6.0373265964291996</v>
      </c>
      <c r="F38" s="12">
        <v>7.0935398946437989</v>
      </c>
      <c r="G38" s="12">
        <v>8.1497531928583982</v>
      </c>
      <c r="H38" s="12">
        <v>9.2059664910729992</v>
      </c>
      <c r="I38" s="12">
        <v>10.262179789287599</v>
      </c>
    </row>
    <row r="39" spans="1:9" outlineLevel="1" x14ac:dyDescent="0.3">
      <c r="B39" s="13" t="s">
        <v>4</v>
      </c>
      <c r="C39" s="14" t="s">
        <v>5</v>
      </c>
      <c r="D39" s="15">
        <v>0.16666666666666666</v>
      </c>
      <c r="E39" s="15">
        <v>0.33333333333333331</v>
      </c>
      <c r="F39" s="15">
        <v>0.5</v>
      </c>
      <c r="G39" s="15">
        <v>0.66666666666666663</v>
      </c>
      <c r="H39" s="15">
        <v>0.83333333333333337</v>
      </c>
      <c r="I39" s="15">
        <v>1</v>
      </c>
    </row>
    <row r="40" spans="1:9" outlineLevel="1" x14ac:dyDescent="0.3">
      <c r="B40" s="16" t="s">
        <v>6</v>
      </c>
      <c r="C40" s="17">
        <v>10.328045000000001</v>
      </c>
      <c r="D40" s="17">
        <v>11.591349130257633</v>
      </c>
      <c r="E40" s="17">
        <v>12.854653260515263</v>
      </c>
      <c r="F40" s="17">
        <v>14.117957390772892</v>
      </c>
      <c r="G40" s="17">
        <v>15.381261521030522</v>
      </c>
      <c r="H40" s="17">
        <v>16.644565651288154</v>
      </c>
      <c r="I40" s="18">
        <v>17.907869781545784</v>
      </c>
    </row>
    <row r="41" spans="1:9" outlineLevel="1" x14ac:dyDescent="0.3"/>
    <row r="42" spans="1:9" outlineLevel="1" x14ac:dyDescent="0.3">
      <c r="B42" s="5" t="s">
        <v>7</v>
      </c>
      <c r="C42" s="5"/>
      <c r="D42" s="5"/>
      <c r="E42" s="5"/>
      <c r="F42" s="5"/>
      <c r="G42" s="5"/>
      <c r="H42" s="5"/>
      <c r="I42" s="5"/>
    </row>
    <row r="43" spans="1:9" outlineLevel="1" x14ac:dyDescent="0.3">
      <c r="B43" s="6" t="s">
        <v>1</v>
      </c>
      <c r="C43" s="7">
        <v>2024</v>
      </c>
      <c r="D43" s="7">
        <v>2025</v>
      </c>
      <c r="E43" s="7">
        <v>2026</v>
      </c>
      <c r="F43" s="7">
        <v>2027</v>
      </c>
      <c r="G43" s="7">
        <v>2028</v>
      </c>
      <c r="H43" s="7">
        <v>2029</v>
      </c>
      <c r="I43" s="7">
        <v>2030</v>
      </c>
    </row>
    <row r="44" spans="1:9" outlineLevel="1" x14ac:dyDescent="0.3">
      <c r="B44" s="8" t="s">
        <v>2</v>
      </c>
      <c r="C44" s="9">
        <v>2.0365608320430315</v>
      </c>
      <c r="D44" s="9">
        <v>2.0957296411981829</v>
      </c>
      <c r="E44" s="9">
        <v>2.1548984503533335</v>
      </c>
      <c r="F44" s="9">
        <v>2.2140672595084858</v>
      </c>
      <c r="G44" s="9">
        <v>2.2732360686636373</v>
      </c>
      <c r="H44" s="9">
        <v>2.3324048778187896</v>
      </c>
      <c r="I44" s="9">
        <v>2.1844828549309101</v>
      </c>
    </row>
    <row r="45" spans="1:9" outlineLevel="1" x14ac:dyDescent="0.3">
      <c r="B45" s="11" t="s">
        <v>3</v>
      </c>
      <c r="C45" s="12">
        <v>2.1776132982145997</v>
      </c>
      <c r="D45" s="12">
        <v>2.4793885262759137</v>
      </c>
      <c r="E45" s="12">
        <v>2.7811637543372276</v>
      </c>
      <c r="F45" s="12">
        <v>3.0829389823985416</v>
      </c>
      <c r="G45" s="12">
        <v>3.3847142104598582</v>
      </c>
      <c r="H45" s="12">
        <v>3.6864894385211704</v>
      </c>
      <c r="I45" s="12">
        <v>2.9320513683678855</v>
      </c>
    </row>
    <row r="46" spans="1:9" outlineLevel="1" x14ac:dyDescent="0.3">
      <c r="B46" s="13" t="s">
        <v>4</v>
      </c>
      <c r="C46" s="14" t="s">
        <v>5</v>
      </c>
      <c r="D46" s="15">
        <v>0.16666666666666666</v>
      </c>
      <c r="E46" s="15">
        <v>0.33333333333333331</v>
      </c>
      <c r="F46" s="15">
        <v>0.5</v>
      </c>
      <c r="G46" s="15">
        <v>0.66666666666666663</v>
      </c>
      <c r="H46" s="15">
        <v>0.83333333333333337</v>
      </c>
      <c r="I46" s="15">
        <v>1</v>
      </c>
    </row>
    <row r="47" spans="1:9" outlineLevel="1" x14ac:dyDescent="0.3">
      <c r="B47" s="16" t="s">
        <v>6</v>
      </c>
      <c r="C47" s="17">
        <v>4.2141741302576312</v>
      </c>
      <c r="D47" s="17">
        <v>4.5751181674740966</v>
      </c>
      <c r="E47" s="17">
        <v>4.9360622046905611</v>
      </c>
      <c r="F47" s="17">
        <v>5.2970062419070274</v>
      </c>
      <c r="G47" s="17">
        <v>5.6579502791234955</v>
      </c>
      <c r="H47" s="17">
        <v>6.01889431633996</v>
      </c>
      <c r="I47" s="18">
        <v>5.116534223298796</v>
      </c>
    </row>
    <row r="48" spans="1:9" outlineLevel="1" x14ac:dyDescent="0.3"/>
    <row r="49" spans="2:13" outlineLevel="1" x14ac:dyDescent="0.3">
      <c r="B49" s="5" t="s">
        <v>8</v>
      </c>
      <c r="C49" s="5"/>
      <c r="D49" s="5"/>
      <c r="E49" s="5"/>
      <c r="F49" s="5"/>
      <c r="G49" s="5"/>
      <c r="H49" s="5"/>
      <c r="I49" s="5"/>
    </row>
    <row r="50" spans="2:13" outlineLevel="1" x14ac:dyDescent="0.3">
      <c r="B50" s="6" t="s">
        <v>1</v>
      </c>
      <c r="C50" s="7">
        <v>2024</v>
      </c>
      <c r="D50" s="7">
        <v>2025</v>
      </c>
      <c r="E50" s="7">
        <v>2026</v>
      </c>
      <c r="F50" s="7">
        <v>2027</v>
      </c>
      <c r="G50" s="7">
        <v>2028</v>
      </c>
      <c r="H50" s="7">
        <v>2029</v>
      </c>
      <c r="I50" s="7">
        <v>2030</v>
      </c>
    </row>
    <row r="51" spans="2:13" outlineLevel="1" x14ac:dyDescent="0.3">
      <c r="B51" s="8" t="s">
        <v>2</v>
      </c>
      <c r="C51" s="9">
        <v>3.3362301154000003</v>
      </c>
      <c r="D51" s="9">
        <v>3.4441306346737637</v>
      </c>
      <c r="E51" s="9">
        <v>3.5520311539475276</v>
      </c>
      <c r="F51" s="9">
        <v>3.659931673221291</v>
      </c>
      <c r="G51" s="9">
        <v>3.7678321924950544</v>
      </c>
      <c r="H51" s="9">
        <v>3.8757327117688183</v>
      </c>
      <c r="I51" s="9">
        <v>3.9836332310425817</v>
      </c>
    </row>
    <row r="52" spans="2:13" outlineLevel="1" x14ac:dyDescent="0.3">
      <c r="B52" s="11" t="s">
        <v>3</v>
      </c>
      <c r="C52" s="12">
        <v>2.1936014792900647</v>
      </c>
      <c r="D52" s="12">
        <v>2.7839123288427623</v>
      </c>
      <c r="E52" s="12">
        <v>3.3742231783954599</v>
      </c>
      <c r="F52" s="12">
        <v>3.964534027948158</v>
      </c>
      <c r="G52" s="12">
        <v>4.5548448775008552</v>
      </c>
      <c r="H52" s="12">
        <v>5.1451557270535542</v>
      </c>
      <c r="I52" s="12">
        <v>5.7354665766062514</v>
      </c>
    </row>
    <row r="53" spans="2:13" outlineLevel="1" x14ac:dyDescent="0.3">
      <c r="B53" s="13" t="s">
        <v>4</v>
      </c>
      <c r="C53" s="14" t="s">
        <v>5</v>
      </c>
      <c r="D53" s="15">
        <v>0.16666666666666666</v>
      </c>
      <c r="E53" s="15">
        <v>0.33333333333333331</v>
      </c>
      <c r="F53" s="15">
        <v>0.5</v>
      </c>
      <c r="G53" s="15">
        <v>0.66666666666666663</v>
      </c>
      <c r="H53" s="15">
        <v>0.83333333333333337</v>
      </c>
      <c r="I53" s="15">
        <v>1</v>
      </c>
    </row>
    <row r="54" spans="2:13" outlineLevel="1" x14ac:dyDescent="0.3">
      <c r="B54" s="16" t="s">
        <v>6</v>
      </c>
      <c r="C54" s="17">
        <v>5.5298315946900649</v>
      </c>
      <c r="D54" s="17">
        <v>6.2280429635165255</v>
      </c>
      <c r="E54" s="17">
        <v>6.926254332342987</v>
      </c>
      <c r="F54" s="17">
        <v>7.6244657011694486</v>
      </c>
      <c r="G54" s="17">
        <v>8.3226770699959101</v>
      </c>
      <c r="H54" s="17">
        <v>9.0208884388223716</v>
      </c>
      <c r="I54" s="18">
        <v>9.7190998076488331</v>
      </c>
    </row>
    <row r="55" spans="2:13" outlineLevel="1" x14ac:dyDescent="0.3"/>
    <row r="56" spans="2:13" outlineLevel="1" x14ac:dyDescent="0.3">
      <c r="B56" s="5" t="s">
        <v>9</v>
      </c>
      <c r="C56" s="5"/>
      <c r="D56" s="5"/>
      <c r="E56" s="5"/>
      <c r="F56" s="5"/>
      <c r="G56" s="5"/>
      <c r="H56" s="5"/>
      <c r="I56" s="5"/>
    </row>
    <row r="57" spans="2:13" outlineLevel="1" x14ac:dyDescent="0.3">
      <c r="B57" s="6" t="s">
        <v>1</v>
      </c>
      <c r="C57" s="7">
        <v>2024</v>
      </c>
      <c r="D57" s="7">
        <v>2025</v>
      </c>
      <c r="E57" s="7">
        <v>2026</v>
      </c>
      <c r="F57" s="7">
        <v>2027</v>
      </c>
      <c r="G57" s="7">
        <v>2028</v>
      </c>
      <c r="H57" s="7">
        <v>2029</v>
      </c>
      <c r="I57" s="7">
        <v>2030</v>
      </c>
    </row>
    <row r="58" spans="2:13" outlineLevel="1" x14ac:dyDescent="0.3">
      <c r="B58" s="8" t="s">
        <v>2</v>
      </c>
      <c r="C58" s="9">
        <v>1.0611091236737638</v>
      </c>
      <c r="D58" s="9">
        <v>1.0919378434662677</v>
      </c>
      <c r="E58" s="9">
        <v>1.1227665632587711</v>
      </c>
      <c r="F58" s="9">
        <v>1.1535952830512755</v>
      </c>
      <c r="G58" s="9">
        <v>1.1844240028437794</v>
      </c>
      <c r="H58" s="9">
        <v>1.2152527226362828</v>
      </c>
      <c r="I58" s="9">
        <v>1.1381809231550233</v>
      </c>
    </row>
    <row r="59" spans="2:13" outlineLevel="1" x14ac:dyDescent="0.3">
      <c r="B59" s="11" t="s">
        <v>3</v>
      </c>
      <c r="C59" s="12">
        <v>1.2170541293498589</v>
      </c>
      <c r="D59" s="12">
        <v>1.3857143720792011</v>
      </c>
      <c r="E59" s="12">
        <v>1.5543746148085438</v>
      </c>
      <c r="F59" s="12">
        <v>1.7230348575378853</v>
      </c>
      <c r="G59" s="12">
        <v>1.8916951002672291</v>
      </c>
      <c r="H59" s="12">
        <v>2.0603553429965697</v>
      </c>
      <c r="I59" s="12">
        <v>1.6387047361732148</v>
      </c>
    </row>
    <row r="60" spans="2:13" outlineLevel="1" x14ac:dyDescent="0.3">
      <c r="B60" s="16" t="s">
        <v>6</v>
      </c>
      <c r="C60" s="17">
        <v>2.2781632530236227</v>
      </c>
      <c r="D60" s="17">
        <v>2.4776522155454686</v>
      </c>
      <c r="E60" s="17">
        <v>2.6771411780673149</v>
      </c>
      <c r="F60" s="17">
        <v>2.8766301405891608</v>
      </c>
      <c r="G60" s="17">
        <v>3.0761191031110084</v>
      </c>
      <c r="H60" s="17">
        <v>3.2756080656328526</v>
      </c>
      <c r="I60" s="18">
        <v>2.7768856593282383</v>
      </c>
      <c r="J60" s="10"/>
      <c r="K60" s="10"/>
      <c r="L60" s="10"/>
      <c r="M60" s="10"/>
    </row>
    <row r="61" spans="2:13" outlineLevel="1" x14ac:dyDescent="0.3">
      <c r="J61" s="10"/>
      <c r="K61" s="10"/>
      <c r="L61" s="10"/>
      <c r="M61" s="10"/>
    </row>
    <row r="62" spans="2:13" outlineLevel="1" x14ac:dyDescent="0.3">
      <c r="B62" s="5" t="s">
        <v>10</v>
      </c>
      <c r="C62" s="5"/>
      <c r="D62" s="5"/>
      <c r="E62" s="5"/>
      <c r="F62" s="5"/>
      <c r="G62" s="5"/>
      <c r="H62" s="5"/>
      <c r="I62" s="5"/>
    </row>
    <row r="63" spans="2:13" outlineLevel="1" x14ac:dyDescent="0.3">
      <c r="B63" s="6" t="s">
        <v>1</v>
      </c>
      <c r="C63" s="7">
        <v>2024</v>
      </c>
      <c r="D63" s="7">
        <v>2025</v>
      </c>
      <c r="E63" s="7">
        <v>2026</v>
      </c>
      <c r="F63" s="7">
        <v>2027</v>
      </c>
      <c r="G63" s="7">
        <v>2028</v>
      </c>
      <c r="H63" s="7">
        <v>2029</v>
      </c>
      <c r="I63" s="7">
        <v>2030</v>
      </c>
    </row>
    <row r="64" spans="2:13" outlineLevel="1" x14ac:dyDescent="0.3">
      <c r="B64" s="8" t="s">
        <v>2</v>
      </c>
      <c r="C64" s="9">
        <v>0</v>
      </c>
      <c r="D64" s="9">
        <v>0</v>
      </c>
      <c r="E64" s="9">
        <v>0.21548984503533336</v>
      </c>
      <c r="F64" s="9">
        <v>0.33211008892627286</v>
      </c>
      <c r="G64" s="9">
        <v>0.4091824923594547</v>
      </c>
      <c r="H64" s="9">
        <v>0.41983287800738212</v>
      </c>
      <c r="I64" s="9">
        <v>0.43689657098618206</v>
      </c>
    </row>
    <row r="65" spans="2:26" outlineLevel="1" x14ac:dyDescent="0.3">
      <c r="B65" s="11" t="s">
        <v>3</v>
      </c>
      <c r="C65" s="12">
        <v>0</v>
      </c>
      <c r="D65" s="12">
        <v>0</v>
      </c>
      <c r="E65" s="12">
        <v>0.27811637543372275</v>
      </c>
      <c r="F65" s="12">
        <v>0.46244084735978119</v>
      </c>
      <c r="G65" s="12">
        <v>0.60924855788277443</v>
      </c>
      <c r="H65" s="12">
        <v>0.66356809893381064</v>
      </c>
      <c r="I65" s="12">
        <v>0.58641027367357712</v>
      </c>
    </row>
    <row r="66" spans="2:26" outlineLevel="1" x14ac:dyDescent="0.3">
      <c r="B66" s="13" t="s">
        <v>11</v>
      </c>
      <c r="C66" s="19">
        <v>0</v>
      </c>
      <c r="D66" s="19">
        <v>0</v>
      </c>
      <c r="E66" s="19">
        <v>0.1</v>
      </c>
      <c r="F66" s="19">
        <v>0.15</v>
      </c>
      <c r="G66" s="19">
        <v>0.18</v>
      </c>
      <c r="H66" s="19">
        <v>0.18</v>
      </c>
      <c r="I66" s="19">
        <v>0.2</v>
      </c>
    </row>
    <row r="67" spans="2:26" outlineLevel="1" x14ac:dyDescent="0.3">
      <c r="B67" s="16" t="s">
        <v>6</v>
      </c>
      <c r="C67" s="17">
        <v>0</v>
      </c>
      <c r="D67" s="17">
        <v>0</v>
      </c>
      <c r="E67" s="17">
        <v>0.49360622046905611</v>
      </c>
      <c r="F67" s="17">
        <v>0.79455093628605411</v>
      </c>
      <c r="G67" s="17">
        <v>1.0184310502422291</v>
      </c>
      <c r="H67" s="17">
        <v>1.0834009769411928</v>
      </c>
      <c r="I67" s="18">
        <v>1.0233068446597593</v>
      </c>
    </row>
    <row r="68" spans="2:26" outlineLevel="1" x14ac:dyDescent="0.3">
      <c r="J68" s="10"/>
      <c r="K68" s="10"/>
      <c r="L68" s="10"/>
      <c r="M68" s="10"/>
    </row>
    <row r="69" spans="2:26" outlineLevel="1" x14ac:dyDescent="0.3">
      <c r="B69" s="5" t="s">
        <v>12</v>
      </c>
      <c r="C69" s="5"/>
      <c r="D69" s="5"/>
      <c r="E69" s="5"/>
      <c r="F69" s="5"/>
      <c r="G69" s="5"/>
      <c r="H69" s="5"/>
      <c r="I69" s="5"/>
    </row>
    <row r="70" spans="2:26" outlineLevel="1" x14ac:dyDescent="0.3">
      <c r="B70" s="6" t="s">
        <v>1</v>
      </c>
      <c r="C70" s="7">
        <v>2024</v>
      </c>
      <c r="D70" s="7">
        <v>2025</v>
      </c>
      <c r="E70" s="7">
        <v>2026</v>
      </c>
      <c r="F70" s="7">
        <v>2027</v>
      </c>
      <c r="G70" s="7">
        <v>2028</v>
      </c>
      <c r="H70" s="7">
        <v>2029</v>
      </c>
      <c r="I70" s="7">
        <v>2030</v>
      </c>
    </row>
    <row r="71" spans="2:26" outlineLevel="1" x14ac:dyDescent="0.3">
      <c r="B71" s="8" t="s">
        <v>2</v>
      </c>
      <c r="C71" s="9">
        <v>0</v>
      </c>
      <c r="D71" s="9">
        <v>0</v>
      </c>
      <c r="E71" s="9">
        <v>0.21548984503533336</v>
      </c>
      <c r="F71" s="9">
        <v>0.54759993396160622</v>
      </c>
      <c r="G71" s="9">
        <v>0.95678242632106092</v>
      </c>
      <c r="H71" s="9">
        <v>1.2688703818107765</v>
      </c>
      <c r="I71" s="9">
        <v>1.4319669858161552</v>
      </c>
    </row>
    <row r="72" spans="2:26" outlineLevel="1" x14ac:dyDescent="0.3">
      <c r="B72" s="11" t="s">
        <v>3</v>
      </c>
      <c r="C72" s="12">
        <v>0</v>
      </c>
      <c r="D72" s="12">
        <v>0</v>
      </c>
      <c r="E72" s="12">
        <v>0.27811637543372275</v>
      </c>
      <c r="F72" s="12">
        <v>0.740557222793504</v>
      </c>
      <c r="G72" s="12">
        <v>1.3498057806762784</v>
      </c>
      <c r="H72" s="12">
        <v>1.8743156918932276</v>
      </c>
      <c r="I72" s="12">
        <v>2.0904473541700526</v>
      </c>
    </row>
    <row r="73" spans="2:26" outlineLevel="1" x14ac:dyDescent="0.3">
      <c r="B73" s="16" t="s">
        <v>6</v>
      </c>
      <c r="C73" s="17">
        <v>0</v>
      </c>
      <c r="D73" s="17">
        <v>0</v>
      </c>
      <c r="E73" s="17">
        <v>0.49360622046905611</v>
      </c>
      <c r="F73" s="17">
        <v>1.2881571567551102</v>
      </c>
      <c r="G73" s="17">
        <v>2.3065882069973394</v>
      </c>
      <c r="H73" s="17">
        <v>3.1431860737040038</v>
      </c>
      <c r="I73" s="18">
        <v>3.5224143399862076</v>
      </c>
    </row>
    <row r="74" spans="2:26" outlineLevel="1" x14ac:dyDescent="0.3"/>
    <row r="75" spans="2:26" s="20" customFormat="1" outlineLevel="1" x14ac:dyDescent="0.3">
      <c r="B75" s="5" t="s">
        <v>13</v>
      </c>
      <c r="C75" s="5"/>
      <c r="D75" s="5"/>
      <c r="E75" s="5"/>
      <c r="F75" s="5"/>
      <c r="G75" s="5"/>
      <c r="H75" s="5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s="20" customFormat="1" outlineLevel="1" x14ac:dyDescent="0.3">
      <c r="B76" s="6" t="s">
        <v>14</v>
      </c>
      <c r="C76" s="7">
        <v>2024</v>
      </c>
      <c r="D76" s="7">
        <v>2025</v>
      </c>
      <c r="E76" s="7">
        <v>2026</v>
      </c>
      <c r="F76" s="7">
        <v>2027</v>
      </c>
      <c r="G76" s="7">
        <v>2028</v>
      </c>
      <c r="H76" s="7">
        <v>2029</v>
      </c>
      <c r="I76" s="7">
        <v>2030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s="20" customFormat="1" outlineLevel="1" x14ac:dyDescent="0.3">
      <c r="B77" s="8" t="s">
        <v>2</v>
      </c>
      <c r="C77" s="9">
        <v>419.02622651798902</v>
      </c>
      <c r="D77" s="9">
        <v>429.77048873639899</v>
      </c>
      <c r="E77" s="9">
        <v>440.79024485784515</v>
      </c>
      <c r="F77" s="9">
        <v>452.09255882855916</v>
      </c>
      <c r="G77" s="9">
        <v>463.68467572159915</v>
      </c>
      <c r="H77" s="9">
        <v>475.57402638112734</v>
      </c>
      <c r="I77" s="9">
        <v>487.76823218577164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s="20" customFormat="1" outlineLevel="1" x14ac:dyDescent="0.3">
      <c r="B78" s="8" t="s">
        <v>3</v>
      </c>
      <c r="C78" s="9">
        <v>419.02622651798902</v>
      </c>
      <c r="D78" s="9">
        <v>429.77048873639899</v>
      </c>
      <c r="E78" s="9">
        <v>440.79024485784515</v>
      </c>
      <c r="F78" s="9">
        <v>452.09255882855916</v>
      </c>
      <c r="G78" s="9">
        <v>463.68467572159915</v>
      </c>
      <c r="H78" s="9">
        <v>475.57402638112734</v>
      </c>
      <c r="I78" s="9">
        <v>487.76823218577164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outlineLevel="1" x14ac:dyDescent="0.3"/>
    <row r="80" spans="2:26" s="20" customFormat="1" outlineLevel="1" x14ac:dyDescent="0.3">
      <c r="B80" s="5" t="s">
        <v>15</v>
      </c>
      <c r="C80" s="5"/>
      <c r="D80" s="5"/>
      <c r="E80" s="5"/>
      <c r="F80" s="5"/>
      <c r="G80" s="5"/>
      <c r="H80" s="5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s="20" customFormat="1" outlineLevel="1" x14ac:dyDescent="0.3">
      <c r="B81" s="6" t="s">
        <v>16</v>
      </c>
      <c r="C81" s="7">
        <v>2024</v>
      </c>
      <c r="D81" s="7">
        <v>2025</v>
      </c>
      <c r="E81" s="7">
        <v>2026</v>
      </c>
      <c r="F81" s="7">
        <v>2027</v>
      </c>
      <c r="G81" s="7">
        <v>2028</v>
      </c>
      <c r="H81" s="7">
        <v>2029</v>
      </c>
      <c r="I81" s="7">
        <v>2030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s="20" customFormat="1" outlineLevel="1" x14ac:dyDescent="0.3">
      <c r="B82" s="8" t="s">
        <v>2</v>
      </c>
      <c r="C82" s="21">
        <v>0</v>
      </c>
      <c r="D82" s="21">
        <v>0</v>
      </c>
      <c r="E82" s="21">
        <v>9.4985821557503694E-2</v>
      </c>
      <c r="F82" s="21">
        <v>0.24756585535905257</v>
      </c>
      <c r="G82" s="21">
        <v>0.44364534908480596</v>
      </c>
      <c r="H82" s="21">
        <v>0.60344179643350937</v>
      </c>
      <c r="I82" s="22">
        <v>0.69846800521993391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s="20" customFormat="1" outlineLevel="1" x14ac:dyDescent="0.3">
      <c r="B83" s="11" t="s">
        <v>3</v>
      </c>
      <c r="C83" s="23">
        <v>0</v>
      </c>
      <c r="D83" s="23">
        <v>0</v>
      </c>
      <c r="E83" s="23">
        <v>0.12259098522640705</v>
      </c>
      <c r="F83" s="23">
        <v>0.33480040981168663</v>
      </c>
      <c r="G83" s="23">
        <v>0.62588425570002015</v>
      </c>
      <c r="H83" s="23">
        <v>0.89137586030299076</v>
      </c>
      <c r="I83" s="24">
        <v>1.0196538104209503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s="20" customFormat="1" outlineLevel="1" x14ac:dyDescent="0.3">
      <c r="B84" s="16" t="s">
        <v>6</v>
      </c>
      <c r="C84" s="17">
        <v>0</v>
      </c>
      <c r="D84" s="17">
        <v>0</v>
      </c>
      <c r="E84" s="17">
        <v>0.21757680678391073</v>
      </c>
      <c r="F84" s="17">
        <v>0.58236626517073919</v>
      </c>
      <c r="G84" s="17">
        <v>1.0695296047848262</v>
      </c>
      <c r="H84" s="17">
        <v>1.4948176567365001</v>
      </c>
      <c r="I84" s="18">
        <v>1.7181218156408842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6" spans="1:26" s="26" customFormat="1" x14ac:dyDescent="0.3">
      <c r="A86" s="3"/>
      <c r="B86" s="26" t="s">
        <v>22</v>
      </c>
    </row>
    <row r="88" spans="1:26" outlineLevel="1" x14ac:dyDescent="0.3">
      <c r="B88" s="5" t="s">
        <v>0</v>
      </c>
      <c r="C88" s="5"/>
      <c r="D88" s="5"/>
      <c r="E88" s="5"/>
      <c r="F88" s="5"/>
      <c r="G88" s="5"/>
      <c r="H88" s="5"/>
      <c r="I88" s="5"/>
    </row>
    <row r="89" spans="1:26" outlineLevel="1" x14ac:dyDescent="0.3">
      <c r="B89" s="6" t="s">
        <v>1</v>
      </c>
      <c r="C89" s="7">
        <v>2024</v>
      </c>
      <c r="D89" s="7">
        <v>2025</v>
      </c>
      <c r="E89" s="7">
        <v>2026</v>
      </c>
      <c r="F89" s="7">
        <v>2027</v>
      </c>
      <c r="G89" s="7">
        <v>2028</v>
      </c>
      <c r="H89" s="7">
        <v>2029</v>
      </c>
      <c r="I89" s="7">
        <v>2030</v>
      </c>
    </row>
    <row r="90" spans="1:26" outlineLevel="1" x14ac:dyDescent="0.3">
      <c r="B90" s="8" t="s">
        <v>2</v>
      </c>
      <c r="C90" s="9">
        <v>25.612580000000005</v>
      </c>
      <c r="D90" s="9">
        <v>26.440943328172128</v>
      </c>
      <c r="E90" s="9">
        <v>27.269306656344252</v>
      </c>
      <c r="F90" s="9">
        <v>28.097669984516372</v>
      </c>
      <c r="G90" s="9">
        <v>28.926033312688496</v>
      </c>
      <c r="H90" s="9">
        <v>29.75439664086062</v>
      </c>
      <c r="I90" s="9">
        <v>30.582759969032743</v>
      </c>
    </row>
    <row r="91" spans="1:26" outlineLevel="1" x14ac:dyDescent="0.3">
      <c r="B91" s="11" t="s">
        <v>3</v>
      </c>
      <c r="C91" s="12">
        <v>15.699600000000002</v>
      </c>
      <c r="D91" s="12">
        <v>19.924453192858401</v>
      </c>
      <c r="E91" s="12">
        <v>24.149306385716798</v>
      </c>
      <c r="F91" s="12">
        <v>28.374159578575195</v>
      </c>
      <c r="G91" s="12">
        <v>32.599012771433593</v>
      </c>
      <c r="H91" s="12">
        <v>36.823865964291997</v>
      </c>
      <c r="I91" s="12">
        <v>41.048719157150394</v>
      </c>
    </row>
    <row r="92" spans="1:26" outlineLevel="1" x14ac:dyDescent="0.3">
      <c r="B92" s="13" t="s">
        <v>4</v>
      </c>
      <c r="C92" s="14" t="s">
        <v>5</v>
      </c>
      <c r="D92" s="15">
        <v>0.16666666666666666</v>
      </c>
      <c r="E92" s="15">
        <v>0.33333333333333331</v>
      </c>
      <c r="F92" s="15">
        <v>0.5</v>
      </c>
      <c r="G92" s="15">
        <v>0.66666666666666663</v>
      </c>
      <c r="H92" s="15">
        <v>0.83333333333333337</v>
      </c>
      <c r="I92" s="15">
        <v>1</v>
      </c>
    </row>
    <row r="93" spans="1:26" outlineLevel="1" x14ac:dyDescent="0.3">
      <c r="B93" s="16" t="s">
        <v>6</v>
      </c>
      <c r="C93" s="17">
        <v>41.312180000000005</v>
      </c>
      <c r="D93" s="17">
        <v>46.365396521030533</v>
      </c>
      <c r="E93" s="17">
        <v>51.418613042061054</v>
      </c>
      <c r="F93" s="17">
        <v>56.471829563091568</v>
      </c>
      <c r="G93" s="17">
        <v>61.525046084122089</v>
      </c>
      <c r="H93" s="17">
        <v>66.578262605152617</v>
      </c>
      <c r="I93" s="18">
        <v>71.631479126183137</v>
      </c>
    </row>
    <row r="94" spans="1:26" outlineLevel="1" x14ac:dyDescent="0.3"/>
    <row r="95" spans="1:26" outlineLevel="1" x14ac:dyDescent="0.3">
      <c r="B95" s="5" t="s">
        <v>7</v>
      </c>
      <c r="C95" s="5"/>
      <c r="D95" s="5"/>
      <c r="E95" s="5"/>
      <c r="F95" s="5"/>
      <c r="G95" s="5"/>
      <c r="H95" s="5"/>
      <c r="I95" s="5"/>
    </row>
    <row r="96" spans="1:26" outlineLevel="1" x14ac:dyDescent="0.3">
      <c r="B96" s="6" t="s">
        <v>1</v>
      </c>
      <c r="C96" s="7">
        <v>2024</v>
      </c>
      <c r="D96" s="7">
        <v>2025</v>
      </c>
      <c r="E96" s="7">
        <v>2026</v>
      </c>
      <c r="F96" s="7">
        <v>2027</v>
      </c>
      <c r="G96" s="7">
        <v>2028</v>
      </c>
      <c r="H96" s="7">
        <v>2029</v>
      </c>
      <c r="I96" s="7">
        <v>2030</v>
      </c>
    </row>
    <row r="97" spans="2:13" outlineLevel="1" x14ac:dyDescent="0.3">
      <c r="B97" s="8" t="s">
        <v>2</v>
      </c>
      <c r="C97" s="9">
        <v>8.146243328172126</v>
      </c>
      <c r="D97" s="9">
        <v>8.3829185647927318</v>
      </c>
      <c r="E97" s="9">
        <v>8.619593801413334</v>
      </c>
      <c r="F97" s="9">
        <v>8.8562690380339433</v>
      </c>
      <c r="G97" s="9">
        <v>9.092944274654549</v>
      </c>
      <c r="H97" s="9">
        <v>9.3296195112751583</v>
      </c>
      <c r="I97" s="9">
        <v>8.7379314197236404</v>
      </c>
    </row>
    <row r="98" spans="2:13" outlineLevel="1" x14ac:dyDescent="0.3">
      <c r="B98" s="11" t="s">
        <v>3</v>
      </c>
      <c r="C98" s="12">
        <v>8.7104531928583988</v>
      </c>
      <c r="D98" s="12">
        <v>9.9175541051036546</v>
      </c>
      <c r="E98" s="12">
        <v>11.12465501734891</v>
      </c>
      <c r="F98" s="12">
        <v>12.331755929594166</v>
      </c>
      <c r="G98" s="12">
        <v>13.538856841839433</v>
      </c>
      <c r="H98" s="12">
        <v>14.745957754084682</v>
      </c>
      <c r="I98" s="12">
        <v>11.728205473471542</v>
      </c>
    </row>
    <row r="99" spans="2:13" outlineLevel="1" x14ac:dyDescent="0.3">
      <c r="B99" s="16" t="s">
        <v>6</v>
      </c>
      <c r="C99" s="17">
        <v>16.856696521030525</v>
      </c>
      <c r="D99" s="17">
        <v>18.300472669896386</v>
      </c>
      <c r="E99" s="17">
        <v>19.744248818762244</v>
      </c>
      <c r="F99" s="17">
        <v>21.18802496762811</v>
      </c>
      <c r="G99" s="17">
        <v>22.631801116493982</v>
      </c>
      <c r="H99" s="17">
        <v>24.07557726535984</v>
      </c>
      <c r="I99" s="18">
        <v>20.466136893195184</v>
      </c>
    </row>
    <row r="100" spans="2:13" outlineLevel="1" x14ac:dyDescent="0.3"/>
    <row r="101" spans="2:13" outlineLevel="1" x14ac:dyDescent="0.3">
      <c r="B101" s="5" t="s">
        <v>8</v>
      </c>
      <c r="C101" s="5"/>
      <c r="D101" s="5"/>
      <c r="E101" s="5"/>
      <c r="F101" s="5"/>
      <c r="G101" s="5"/>
      <c r="H101" s="5"/>
      <c r="I101" s="5"/>
    </row>
    <row r="102" spans="2:13" outlineLevel="1" x14ac:dyDescent="0.3">
      <c r="B102" s="6" t="s">
        <v>1</v>
      </c>
      <c r="C102" s="7">
        <v>2024</v>
      </c>
      <c r="D102" s="7">
        <v>2025</v>
      </c>
      <c r="E102" s="7">
        <v>2026</v>
      </c>
      <c r="F102" s="7">
        <v>2027</v>
      </c>
      <c r="G102" s="7">
        <v>2028</v>
      </c>
      <c r="H102" s="7">
        <v>2029</v>
      </c>
      <c r="I102" s="7">
        <v>2030</v>
      </c>
    </row>
    <row r="103" spans="2:13" outlineLevel="1" x14ac:dyDescent="0.3">
      <c r="B103" s="8" t="s">
        <v>2</v>
      </c>
      <c r="C103" s="9">
        <v>13.344920461600001</v>
      </c>
      <c r="D103" s="9">
        <v>13.776522538695055</v>
      </c>
      <c r="E103" s="9">
        <v>14.20812461579011</v>
      </c>
      <c r="F103" s="9">
        <v>14.639726692885164</v>
      </c>
      <c r="G103" s="9">
        <v>15.071328769980218</v>
      </c>
      <c r="H103" s="9">
        <v>15.502930847075273</v>
      </c>
      <c r="I103" s="9">
        <v>15.934532924170327</v>
      </c>
    </row>
    <row r="104" spans="2:13" outlineLevel="1" x14ac:dyDescent="0.3">
      <c r="B104" s="11" t="s">
        <v>3</v>
      </c>
      <c r="C104" s="12">
        <v>8.7744059171602586</v>
      </c>
      <c r="D104" s="12">
        <v>11.135649315371049</v>
      </c>
      <c r="E104" s="12">
        <v>13.49689271358184</v>
      </c>
      <c r="F104" s="12">
        <v>15.858136111792632</v>
      </c>
      <c r="G104" s="12">
        <v>18.219379510003421</v>
      </c>
      <c r="H104" s="12">
        <v>20.580622908214217</v>
      </c>
      <c r="I104" s="12">
        <v>22.941866306425005</v>
      </c>
    </row>
    <row r="105" spans="2:13" outlineLevel="1" x14ac:dyDescent="0.3">
      <c r="B105" s="13" t="s">
        <v>4</v>
      </c>
      <c r="C105" s="14" t="s">
        <v>5</v>
      </c>
      <c r="D105" s="15">
        <v>0.16666666666666666</v>
      </c>
      <c r="E105" s="15">
        <v>0.33333333333333331</v>
      </c>
      <c r="F105" s="15">
        <v>0.5</v>
      </c>
      <c r="G105" s="15">
        <v>0.66666666666666663</v>
      </c>
      <c r="H105" s="15">
        <v>0.83333333333333337</v>
      </c>
      <c r="I105" s="15">
        <v>1</v>
      </c>
    </row>
    <row r="106" spans="2:13" outlineLevel="1" x14ac:dyDescent="0.3">
      <c r="B106" s="16" t="s">
        <v>6</v>
      </c>
      <c r="C106" s="17">
        <v>22.11932637876026</v>
      </c>
      <c r="D106" s="17">
        <v>24.912171854066102</v>
      </c>
      <c r="E106" s="17">
        <v>27.705017329371948</v>
      </c>
      <c r="F106" s="17">
        <v>30.497862804677794</v>
      </c>
      <c r="G106" s="17">
        <v>33.29070827998364</v>
      </c>
      <c r="H106" s="17">
        <v>36.083553755289486</v>
      </c>
      <c r="I106" s="18">
        <v>38.876399230595332</v>
      </c>
    </row>
    <row r="107" spans="2:13" outlineLevel="1" x14ac:dyDescent="0.3"/>
    <row r="108" spans="2:13" outlineLevel="1" x14ac:dyDescent="0.3">
      <c r="B108" s="5" t="s">
        <v>17</v>
      </c>
      <c r="C108" s="5"/>
      <c r="D108" s="5"/>
      <c r="E108" s="5"/>
      <c r="F108" s="5"/>
      <c r="G108" s="5"/>
      <c r="H108" s="5"/>
      <c r="I108" s="5"/>
    </row>
    <row r="109" spans="2:13" outlineLevel="1" x14ac:dyDescent="0.3">
      <c r="B109" s="6" t="s">
        <v>1</v>
      </c>
      <c r="C109" s="7">
        <v>2024</v>
      </c>
      <c r="D109" s="7">
        <v>2025</v>
      </c>
      <c r="E109" s="7">
        <v>2026</v>
      </c>
      <c r="F109" s="7">
        <v>2027</v>
      </c>
      <c r="G109" s="7">
        <v>2028</v>
      </c>
      <c r="H109" s="7">
        <v>2029</v>
      </c>
      <c r="I109" s="7">
        <v>2030</v>
      </c>
    </row>
    <row r="110" spans="2:13" outlineLevel="1" x14ac:dyDescent="0.3">
      <c r="B110" s="8" t="s">
        <v>2</v>
      </c>
      <c r="C110" s="9">
        <v>4.244436494695055</v>
      </c>
      <c r="D110" s="9">
        <v>4.3677513738650706</v>
      </c>
      <c r="E110" s="9">
        <v>4.4910662530350844</v>
      </c>
      <c r="F110" s="9">
        <v>4.6143811322051018</v>
      </c>
      <c r="G110" s="9">
        <v>4.7376960113751174</v>
      </c>
      <c r="H110" s="9">
        <v>4.8610108905451312</v>
      </c>
      <c r="I110" s="9">
        <v>4.5527236926200931</v>
      </c>
    </row>
    <row r="111" spans="2:13" outlineLevel="1" x14ac:dyDescent="0.3">
      <c r="B111" s="11" t="s">
        <v>3</v>
      </c>
      <c r="C111" s="12">
        <v>4.8682165173994356</v>
      </c>
      <c r="D111" s="12">
        <v>5.5428574883168045</v>
      </c>
      <c r="E111" s="12">
        <v>6.2174984592341751</v>
      </c>
      <c r="F111" s="12">
        <v>6.8921394301515413</v>
      </c>
      <c r="G111" s="12">
        <v>7.5667804010689164</v>
      </c>
      <c r="H111" s="12">
        <v>8.241421371986279</v>
      </c>
      <c r="I111" s="12">
        <v>6.5548189446928591</v>
      </c>
    </row>
    <row r="112" spans="2:13" outlineLevel="1" x14ac:dyDescent="0.3">
      <c r="B112" s="16" t="s">
        <v>6</v>
      </c>
      <c r="C112" s="17">
        <v>9.1126530120944906</v>
      </c>
      <c r="D112" s="17">
        <v>9.9106088621818742</v>
      </c>
      <c r="E112" s="17">
        <v>10.70856471226926</v>
      </c>
      <c r="F112" s="17">
        <v>11.506520562356643</v>
      </c>
      <c r="G112" s="17">
        <v>12.304476412444034</v>
      </c>
      <c r="H112" s="17">
        <v>13.10243226253141</v>
      </c>
      <c r="I112" s="18">
        <v>11.107542637312953</v>
      </c>
      <c r="J112" s="10"/>
      <c r="K112" s="10"/>
      <c r="L112" s="10"/>
      <c r="M112" s="10"/>
    </row>
    <row r="113" spans="2:26" outlineLevel="1" x14ac:dyDescent="0.3"/>
    <row r="114" spans="2:26" outlineLevel="1" x14ac:dyDescent="0.3">
      <c r="B114" s="5" t="s">
        <v>10</v>
      </c>
      <c r="C114" s="5"/>
      <c r="D114" s="5"/>
      <c r="E114" s="5"/>
      <c r="F114" s="5"/>
      <c r="G114" s="5"/>
      <c r="H114" s="5"/>
      <c r="I114" s="5"/>
    </row>
    <row r="115" spans="2:26" outlineLevel="1" x14ac:dyDescent="0.3">
      <c r="B115" s="6" t="s">
        <v>1</v>
      </c>
      <c r="C115" s="7">
        <v>2024</v>
      </c>
      <c r="D115" s="7">
        <v>2025</v>
      </c>
      <c r="E115" s="7">
        <v>2026</v>
      </c>
      <c r="F115" s="7">
        <v>2027</v>
      </c>
      <c r="G115" s="7">
        <v>2028</v>
      </c>
      <c r="H115" s="7">
        <v>2029</v>
      </c>
      <c r="I115" s="7">
        <v>2030</v>
      </c>
    </row>
    <row r="116" spans="2:26" outlineLevel="1" x14ac:dyDescent="0.3">
      <c r="B116" s="8" t="s">
        <v>2</v>
      </c>
      <c r="C116" s="9">
        <v>0</v>
      </c>
      <c r="D116" s="9">
        <v>0</v>
      </c>
      <c r="E116" s="9">
        <v>0</v>
      </c>
      <c r="F116" s="9">
        <v>0</v>
      </c>
      <c r="G116" s="9">
        <v>0.90929442746545497</v>
      </c>
      <c r="H116" s="9">
        <v>1.2128505364657707</v>
      </c>
      <c r="I116" s="9">
        <v>1.310689712958546</v>
      </c>
    </row>
    <row r="117" spans="2:26" outlineLevel="1" x14ac:dyDescent="0.3">
      <c r="B117" s="11" t="s">
        <v>3</v>
      </c>
      <c r="C117" s="12">
        <v>0</v>
      </c>
      <c r="D117" s="12">
        <v>0</v>
      </c>
      <c r="E117" s="12">
        <v>0</v>
      </c>
      <c r="F117" s="12">
        <v>0</v>
      </c>
      <c r="G117" s="12">
        <v>1.3538856841839433</v>
      </c>
      <c r="H117" s="12">
        <v>1.9169745080310088</v>
      </c>
      <c r="I117" s="12">
        <v>1.7592308210207313</v>
      </c>
    </row>
    <row r="118" spans="2:26" outlineLevel="1" x14ac:dyDescent="0.3">
      <c r="B118" s="13" t="s">
        <v>11</v>
      </c>
      <c r="C118" s="19">
        <v>0</v>
      </c>
      <c r="D118" s="19">
        <v>0</v>
      </c>
      <c r="E118" s="19">
        <v>0</v>
      </c>
      <c r="F118" s="19">
        <v>0</v>
      </c>
      <c r="G118" s="19">
        <v>0.1</v>
      </c>
      <c r="H118" s="19">
        <v>0.13</v>
      </c>
      <c r="I118" s="19">
        <v>0.15</v>
      </c>
    </row>
    <row r="119" spans="2:26" outlineLevel="1" x14ac:dyDescent="0.3">
      <c r="B119" s="16" t="s">
        <v>6</v>
      </c>
      <c r="C119" s="17">
        <v>0</v>
      </c>
      <c r="D119" s="17">
        <v>0</v>
      </c>
      <c r="E119" s="17">
        <v>0</v>
      </c>
      <c r="F119" s="17">
        <v>0</v>
      </c>
      <c r="G119" s="17">
        <v>2.2631801116493984</v>
      </c>
      <c r="H119" s="17">
        <v>3.1298250444967795</v>
      </c>
      <c r="I119" s="18">
        <v>3.0699205339792774</v>
      </c>
    </row>
    <row r="120" spans="2:26" outlineLevel="1" x14ac:dyDescent="0.3"/>
    <row r="121" spans="2:26" outlineLevel="1" x14ac:dyDescent="0.3">
      <c r="B121" s="5" t="s">
        <v>12</v>
      </c>
      <c r="C121" s="5"/>
      <c r="D121" s="5"/>
      <c r="E121" s="5"/>
      <c r="F121" s="5"/>
      <c r="G121" s="5"/>
      <c r="H121" s="5"/>
      <c r="I121" s="5"/>
    </row>
    <row r="122" spans="2:26" outlineLevel="1" x14ac:dyDescent="0.3">
      <c r="B122" s="6" t="s">
        <v>1</v>
      </c>
      <c r="C122" s="7">
        <v>2024</v>
      </c>
      <c r="D122" s="7">
        <v>2025</v>
      </c>
      <c r="E122" s="7">
        <v>2026</v>
      </c>
      <c r="F122" s="7">
        <v>2027</v>
      </c>
      <c r="G122" s="7">
        <v>2028</v>
      </c>
      <c r="H122" s="7">
        <v>2029</v>
      </c>
      <c r="I122" s="7">
        <v>2030</v>
      </c>
    </row>
    <row r="123" spans="2:26" outlineLevel="1" x14ac:dyDescent="0.3">
      <c r="B123" s="8" t="s">
        <v>2</v>
      </c>
      <c r="C123" s="9">
        <v>0</v>
      </c>
      <c r="D123" s="9">
        <v>0</v>
      </c>
      <c r="E123" s="9">
        <v>0</v>
      </c>
      <c r="F123" s="9">
        <v>0</v>
      </c>
      <c r="G123" s="9">
        <v>0.90929442746545497</v>
      </c>
      <c r="H123" s="9">
        <v>2.1221449639312255</v>
      </c>
      <c r="I123" s="9">
        <v>3.4328346768897715</v>
      </c>
    </row>
    <row r="124" spans="2:26" outlineLevel="1" x14ac:dyDescent="0.3">
      <c r="B124" s="11" t="s">
        <v>3</v>
      </c>
      <c r="C124" s="12">
        <v>0</v>
      </c>
      <c r="D124" s="12">
        <v>0</v>
      </c>
      <c r="E124" s="12">
        <v>0</v>
      </c>
      <c r="F124" s="12">
        <v>0</v>
      </c>
      <c r="G124" s="12">
        <v>1.3538856841839433</v>
      </c>
      <c r="H124" s="12">
        <v>3.2708601922149523</v>
      </c>
      <c r="I124" s="12">
        <v>5.0300910132356833</v>
      </c>
    </row>
    <row r="125" spans="2:26" outlineLevel="1" x14ac:dyDescent="0.3">
      <c r="B125" s="16" t="s">
        <v>6</v>
      </c>
      <c r="C125" s="17">
        <v>0</v>
      </c>
      <c r="D125" s="17">
        <v>0</v>
      </c>
      <c r="E125" s="17">
        <v>0</v>
      </c>
      <c r="F125" s="17">
        <v>0</v>
      </c>
      <c r="G125" s="17">
        <v>2.2631801116493984</v>
      </c>
      <c r="H125" s="17">
        <v>5.3930051561461774</v>
      </c>
      <c r="I125" s="18">
        <v>8.4629256901254557</v>
      </c>
    </row>
    <row r="126" spans="2:26" outlineLevel="1" x14ac:dyDescent="0.3"/>
    <row r="127" spans="2:26" s="20" customFormat="1" outlineLevel="1" x14ac:dyDescent="0.3">
      <c r="B127" s="5" t="s">
        <v>13</v>
      </c>
      <c r="C127" s="5"/>
      <c r="D127" s="5"/>
      <c r="E127" s="5"/>
      <c r="F127" s="5"/>
      <c r="G127" s="5"/>
      <c r="H127" s="5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s="20" customFormat="1" outlineLevel="1" x14ac:dyDescent="0.3">
      <c r="B128" s="6" t="s">
        <v>14</v>
      </c>
      <c r="C128" s="7">
        <v>2024</v>
      </c>
      <c r="D128" s="7">
        <v>2025</v>
      </c>
      <c r="E128" s="7">
        <v>2026</v>
      </c>
      <c r="F128" s="7">
        <v>2027</v>
      </c>
      <c r="G128" s="7">
        <v>2028</v>
      </c>
      <c r="H128" s="7">
        <v>2029</v>
      </c>
      <c r="I128" s="7">
        <v>2030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s="20" customFormat="1" outlineLevel="1" x14ac:dyDescent="0.3">
      <c r="B129" s="8" t="s">
        <v>2</v>
      </c>
      <c r="C129" s="9">
        <v>916.49677711471452</v>
      </c>
      <c r="D129" s="9">
        <v>939.9966944766303</v>
      </c>
      <c r="E129" s="9">
        <v>964.09917382218498</v>
      </c>
      <c r="F129" s="9">
        <v>988.81966545865123</v>
      </c>
      <c r="G129" s="9">
        <v>1014.1740158550269</v>
      </c>
      <c r="H129" s="9">
        <v>1040.1784778000276</v>
      </c>
      <c r="I129" s="9">
        <v>1066.8497208205413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s="20" customFormat="1" outlineLevel="1" x14ac:dyDescent="0.3">
      <c r="B130" s="8" t="s">
        <v>3</v>
      </c>
      <c r="C130" s="9">
        <v>916.49677711471452</v>
      </c>
      <c r="D130" s="9">
        <v>939.9966944766303</v>
      </c>
      <c r="E130" s="9">
        <v>964.09917382218498</v>
      </c>
      <c r="F130" s="9">
        <v>988.81966545865123</v>
      </c>
      <c r="G130" s="9">
        <v>1014.1740158550269</v>
      </c>
      <c r="H130" s="9">
        <v>1040.1784778000276</v>
      </c>
      <c r="I130" s="9">
        <v>1066.8497208205413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outlineLevel="1" x14ac:dyDescent="0.3"/>
    <row r="132" spans="1:26" s="20" customFormat="1" outlineLevel="1" x14ac:dyDescent="0.3">
      <c r="B132" s="5" t="s">
        <v>15</v>
      </c>
      <c r="C132" s="5"/>
      <c r="D132" s="5"/>
      <c r="E132" s="5"/>
      <c r="F132" s="5"/>
      <c r="G132" s="5"/>
      <c r="H132" s="5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s="20" customFormat="1" outlineLevel="1" x14ac:dyDescent="0.3">
      <c r="B133" s="6" t="s">
        <v>16</v>
      </c>
      <c r="C133" s="7">
        <v>2024</v>
      </c>
      <c r="D133" s="7">
        <v>2025</v>
      </c>
      <c r="E133" s="7">
        <v>2026</v>
      </c>
      <c r="F133" s="7">
        <v>2027</v>
      </c>
      <c r="G133" s="7">
        <v>2028</v>
      </c>
      <c r="H133" s="7">
        <v>2029</v>
      </c>
      <c r="I133" s="7">
        <v>2030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s="20" customFormat="1" outlineLevel="1" x14ac:dyDescent="0.3">
      <c r="B134" s="8" t="s">
        <v>2</v>
      </c>
      <c r="C134" s="9">
        <v>0</v>
      </c>
      <c r="D134" s="9">
        <v>0</v>
      </c>
      <c r="E134" s="9">
        <v>0</v>
      </c>
      <c r="F134" s="9">
        <v>0</v>
      </c>
      <c r="G134" s="9">
        <v>0.92218278109723795</v>
      </c>
      <c r="H134" s="9">
        <v>2.2074095182529767</v>
      </c>
      <c r="I134" s="9">
        <v>3.6623187166629259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s="20" customFormat="1" outlineLevel="1" x14ac:dyDescent="0.3">
      <c r="B135" s="11" t="s">
        <v>3</v>
      </c>
      <c r="C135" s="12">
        <v>0</v>
      </c>
      <c r="D135" s="12">
        <v>0</v>
      </c>
      <c r="E135" s="12">
        <v>0</v>
      </c>
      <c r="F135" s="12">
        <v>0</v>
      </c>
      <c r="G135" s="12">
        <v>1.3730756813374605</v>
      </c>
      <c r="H135" s="12">
        <v>3.4022783758348547</v>
      </c>
      <c r="I135" s="12">
        <v>5.3663511931724024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s="20" customFormat="1" outlineLevel="1" x14ac:dyDescent="0.3">
      <c r="B136" s="16" t="s">
        <v>6</v>
      </c>
      <c r="C136" s="17">
        <v>0</v>
      </c>
      <c r="D136" s="17">
        <v>0</v>
      </c>
      <c r="E136" s="17">
        <v>0</v>
      </c>
      <c r="F136" s="17">
        <v>0</v>
      </c>
      <c r="G136" s="17">
        <v>2.2952584624346986</v>
      </c>
      <c r="H136" s="17">
        <v>5.6096878940878314</v>
      </c>
      <c r="I136" s="18">
        <v>9.0286699098353278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8" spans="1:26" s="26" customFormat="1" x14ac:dyDescent="0.3">
      <c r="A138" s="3"/>
      <c r="B138" s="26" t="s">
        <v>21</v>
      </c>
    </row>
    <row r="140" spans="1:26" outlineLevel="1" x14ac:dyDescent="0.3">
      <c r="B140" s="5" t="s">
        <v>0</v>
      </c>
      <c r="C140" s="5"/>
      <c r="D140" s="5"/>
      <c r="E140" s="5"/>
      <c r="F140" s="5"/>
      <c r="G140" s="5"/>
      <c r="H140" s="5"/>
      <c r="I140" s="5"/>
    </row>
    <row r="141" spans="1:26" outlineLevel="1" x14ac:dyDescent="0.3">
      <c r="B141" s="6" t="s">
        <v>1</v>
      </c>
      <c r="C141" s="7">
        <v>2024</v>
      </c>
      <c r="D141" s="7">
        <v>2025</v>
      </c>
      <c r="E141" s="7">
        <v>2026</v>
      </c>
      <c r="F141" s="7">
        <v>2027</v>
      </c>
      <c r="G141" s="7">
        <v>2028</v>
      </c>
      <c r="H141" s="7">
        <v>2029</v>
      </c>
      <c r="I141" s="7">
        <v>2030</v>
      </c>
    </row>
    <row r="142" spans="1:26" outlineLevel="1" x14ac:dyDescent="0.3">
      <c r="B142" s="8" t="s">
        <v>2</v>
      </c>
      <c r="C142" s="9">
        <v>25.612580000000005</v>
      </c>
      <c r="D142" s="9">
        <v>26.440943328172128</v>
      </c>
      <c r="E142" s="9">
        <v>27.269306656344252</v>
      </c>
      <c r="F142" s="9">
        <v>28.097669984516372</v>
      </c>
      <c r="G142" s="9">
        <v>28.926033312688496</v>
      </c>
      <c r="H142" s="9">
        <v>29.75439664086062</v>
      </c>
      <c r="I142" s="9">
        <v>30.582759969032743</v>
      </c>
    </row>
    <row r="143" spans="1:26" outlineLevel="1" x14ac:dyDescent="0.3">
      <c r="B143" s="11" t="s">
        <v>3</v>
      </c>
      <c r="C143" s="12">
        <v>15.699600000000002</v>
      </c>
      <c r="D143" s="12">
        <v>19.924453192858401</v>
      </c>
      <c r="E143" s="12">
        <v>24.149306385716798</v>
      </c>
      <c r="F143" s="12">
        <v>28.374159578575195</v>
      </c>
      <c r="G143" s="12">
        <v>32.599012771433593</v>
      </c>
      <c r="H143" s="12">
        <v>36.823865964291997</v>
      </c>
      <c r="I143" s="12">
        <v>41.048719157150394</v>
      </c>
    </row>
    <row r="144" spans="1:26" outlineLevel="1" x14ac:dyDescent="0.3">
      <c r="B144" s="13" t="s">
        <v>4</v>
      </c>
      <c r="C144" s="14" t="s">
        <v>5</v>
      </c>
      <c r="D144" s="15">
        <v>0.16666666666666666</v>
      </c>
      <c r="E144" s="15">
        <v>0.33333333333333331</v>
      </c>
      <c r="F144" s="15">
        <v>0.5</v>
      </c>
      <c r="G144" s="15">
        <v>0.66666666666666663</v>
      </c>
      <c r="H144" s="15">
        <v>0.83333333333333337</v>
      </c>
      <c r="I144" s="15">
        <v>1</v>
      </c>
    </row>
    <row r="145" spans="2:9" outlineLevel="1" x14ac:dyDescent="0.3">
      <c r="B145" s="16" t="s">
        <v>6</v>
      </c>
      <c r="C145" s="17">
        <v>41.312180000000005</v>
      </c>
      <c r="D145" s="17">
        <v>46.365396521030533</v>
      </c>
      <c r="E145" s="17">
        <v>51.418613042061054</v>
      </c>
      <c r="F145" s="17">
        <v>56.471829563091568</v>
      </c>
      <c r="G145" s="17">
        <v>61.525046084122089</v>
      </c>
      <c r="H145" s="17">
        <v>66.578262605152617</v>
      </c>
      <c r="I145" s="18">
        <v>71.631479126183137</v>
      </c>
    </row>
    <row r="146" spans="2:9" outlineLevel="1" x14ac:dyDescent="0.3"/>
    <row r="147" spans="2:9" outlineLevel="1" x14ac:dyDescent="0.3">
      <c r="B147" s="5" t="s">
        <v>7</v>
      </c>
      <c r="C147" s="5"/>
      <c r="D147" s="5"/>
      <c r="E147" s="5"/>
      <c r="F147" s="5"/>
      <c r="G147" s="5"/>
      <c r="H147" s="5"/>
      <c r="I147" s="5"/>
    </row>
    <row r="148" spans="2:9" outlineLevel="1" x14ac:dyDescent="0.3">
      <c r="B148" s="6" t="s">
        <v>1</v>
      </c>
      <c r="C148" s="7">
        <v>2024</v>
      </c>
      <c r="D148" s="7">
        <v>2025</v>
      </c>
      <c r="E148" s="7">
        <v>2026</v>
      </c>
      <c r="F148" s="7">
        <v>2027</v>
      </c>
      <c r="G148" s="7">
        <v>2028</v>
      </c>
      <c r="H148" s="7">
        <v>2029</v>
      </c>
      <c r="I148" s="7">
        <v>2030</v>
      </c>
    </row>
    <row r="149" spans="2:9" outlineLevel="1" x14ac:dyDescent="0.3">
      <c r="B149" s="8" t="s">
        <v>2</v>
      </c>
      <c r="C149" s="9">
        <v>8.146243328172126</v>
      </c>
      <c r="D149" s="9">
        <v>8.3829185647927318</v>
      </c>
      <c r="E149" s="9">
        <v>8.619593801413334</v>
      </c>
      <c r="F149" s="9">
        <v>8.8562690380339433</v>
      </c>
      <c r="G149" s="9">
        <v>9.092944274654549</v>
      </c>
      <c r="H149" s="9">
        <v>9.3296195112751583</v>
      </c>
      <c r="I149" s="9">
        <v>8.7379314197236404</v>
      </c>
    </row>
    <row r="150" spans="2:9" outlineLevel="1" x14ac:dyDescent="0.3">
      <c r="B150" s="11" t="s">
        <v>3</v>
      </c>
      <c r="C150" s="12">
        <v>8.7104531928583988</v>
      </c>
      <c r="D150" s="12">
        <v>9.9175541051036546</v>
      </c>
      <c r="E150" s="12">
        <v>11.12465501734891</v>
      </c>
      <c r="F150" s="12">
        <v>12.331755929594166</v>
      </c>
      <c r="G150" s="12">
        <v>13.538856841839433</v>
      </c>
      <c r="H150" s="12">
        <v>14.745957754084682</v>
      </c>
      <c r="I150" s="12">
        <v>11.728205473471542</v>
      </c>
    </row>
    <row r="151" spans="2:9" outlineLevel="1" x14ac:dyDescent="0.3">
      <c r="B151" s="16" t="s">
        <v>6</v>
      </c>
      <c r="C151" s="17">
        <v>16.856696521030525</v>
      </c>
      <c r="D151" s="17">
        <v>18.300472669896386</v>
      </c>
      <c r="E151" s="17">
        <v>19.744248818762244</v>
      </c>
      <c r="F151" s="17">
        <v>21.18802496762811</v>
      </c>
      <c r="G151" s="17">
        <v>22.631801116493982</v>
      </c>
      <c r="H151" s="17">
        <v>24.07557726535984</v>
      </c>
      <c r="I151" s="18">
        <v>20.466136893195184</v>
      </c>
    </row>
    <row r="152" spans="2:9" outlineLevel="1" x14ac:dyDescent="0.3"/>
    <row r="153" spans="2:9" outlineLevel="1" x14ac:dyDescent="0.3">
      <c r="B153" s="5" t="s">
        <v>8</v>
      </c>
      <c r="C153" s="5"/>
      <c r="D153" s="5"/>
      <c r="E153" s="5"/>
      <c r="F153" s="5"/>
      <c r="G153" s="5"/>
      <c r="H153" s="5"/>
      <c r="I153" s="5"/>
    </row>
    <row r="154" spans="2:9" outlineLevel="1" x14ac:dyDescent="0.3">
      <c r="B154" s="6" t="s">
        <v>1</v>
      </c>
      <c r="C154" s="7">
        <v>2024</v>
      </c>
      <c r="D154" s="7">
        <v>2025</v>
      </c>
      <c r="E154" s="7">
        <v>2026</v>
      </c>
      <c r="F154" s="7">
        <v>2027</v>
      </c>
      <c r="G154" s="7">
        <v>2028</v>
      </c>
      <c r="H154" s="7">
        <v>2029</v>
      </c>
      <c r="I154" s="7">
        <v>2030</v>
      </c>
    </row>
    <row r="155" spans="2:9" outlineLevel="1" x14ac:dyDescent="0.3">
      <c r="B155" s="8" t="s">
        <v>2</v>
      </c>
      <c r="C155" s="9">
        <v>13.344920461600001</v>
      </c>
      <c r="D155" s="9">
        <v>13.776522538695055</v>
      </c>
      <c r="E155" s="9">
        <v>14.20812461579011</v>
      </c>
      <c r="F155" s="9">
        <v>14.639726692885164</v>
      </c>
      <c r="G155" s="9">
        <v>15.071328769980218</v>
      </c>
      <c r="H155" s="9">
        <v>15.502930847075273</v>
      </c>
      <c r="I155" s="9">
        <v>15.934532924170327</v>
      </c>
    </row>
    <row r="156" spans="2:9" outlineLevel="1" x14ac:dyDescent="0.3">
      <c r="B156" s="11" t="s">
        <v>3</v>
      </c>
      <c r="C156" s="12">
        <v>8.7744059171602586</v>
      </c>
      <c r="D156" s="12">
        <v>11.135649315371049</v>
      </c>
      <c r="E156" s="12">
        <v>13.49689271358184</v>
      </c>
      <c r="F156" s="12">
        <v>15.858136111792632</v>
      </c>
      <c r="G156" s="12">
        <v>18.219379510003421</v>
      </c>
      <c r="H156" s="12">
        <v>20.580622908214217</v>
      </c>
      <c r="I156" s="12">
        <v>22.941866306425005</v>
      </c>
    </row>
    <row r="157" spans="2:9" outlineLevel="1" x14ac:dyDescent="0.3">
      <c r="B157" s="13" t="s">
        <v>4</v>
      </c>
      <c r="C157" s="14" t="s">
        <v>5</v>
      </c>
      <c r="D157" s="15">
        <v>0.16666666666666666</v>
      </c>
      <c r="E157" s="15">
        <v>0.33333333333333331</v>
      </c>
      <c r="F157" s="15">
        <v>0.5</v>
      </c>
      <c r="G157" s="15">
        <v>0.66666666666666663</v>
      </c>
      <c r="H157" s="15">
        <v>0.83333333333333337</v>
      </c>
      <c r="I157" s="15">
        <v>1</v>
      </c>
    </row>
    <row r="158" spans="2:9" outlineLevel="1" x14ac:dyDescent="0.3">
      <c r="B158" s="16" t="s">
        <v>6</v>
      </c>
      <c r="C158" s="17">
        <v>22.11932637876026</v>
      </c>
      <c r="D158" s="17">
        <v>24.912171854066102</v>
      </c>
      <c r="E158" s="17">
        <v>27.705017329371948</v>
      </c>
      <c r="F158" s="17">
        <v>30.497862804677794</v>
      </c>
      <c r="G158" s="17">
        <v>33.29070827998364</v>
      </c>
      <c r="H158" s="17">
        <v>36.083553755289486</v>
      </c>
      <c r="I158" s="18">
        <v>38.876399230595332</v>
      </c>
    </row>
    <row r="159" spans="2:9" outlineLevel="1" x14ac:dyDescent="0.3"/>
    <row r="160" spans="2:9" outlineLevel="1" x14ac:dyDescent="0.3">
      <c r="B160" s="5" t="s">
        <v>18</v>
      </c>
      <c r="C160" s="5"/>
      <c r="D160" s="5"/>
      <c r="E160" s="5"/>
      <c r="F160" s="5"/>
      <c r="G160" s="5"/>
      <c r="H160" s="5"/>
      <c r="I160" s="5"/>
    </row>
    <row r="161" spans="2:9" outlineLevel="1" x14ac:dyDescent="0.3">
      <c r="B161" s="6" t="s">
        <v>1</v>
      </c>
      <c r="C161" s="7">
        <v>2024</v>
      </c>
      <c r="D161" s="7">
        <v>2025</v>
      </c>
      <c r="E161" s="7">
        <v>2026</v>
      </c>
      <c r="F161" s="7">
        <v>2027</v>
      </c>
      <c r="G161" s="7">
        <v>2028</v>
      </c>
      <c r="H161" s="7">
        <v>2029</v>
      </c>
      <c r="I161" s="7">
        <v>2030</v>
      </c>
    </row>
    <row r="162" spans="2:9" outlineLevel="1" x14ac:dyDescent="0.3">
      <c r="B162" s="8" t="s">
        <v>2</v>
      </c>
      <c r="C162" s="9">
        <v>4.244436494695055</v>
      </c>
      <c r="D162" s="9">
        <v>4.3677513738650706</v>
      </c>
      <c r="E162" s="9">
        <v>4.4910662530350844</v>
      </c>
      <c r="F162" s="9">
        <v>4.6143811322051018</v>
      </c>
      <c r="G162" s="9">
        <v>4.7376960113751174</v>
      </c>
      <c r="H162" s="9">
        <v>4.8610108905451312</v>
      </c>
      <c r="I162" s="9">
        <v>4.5527236926200931</v>
      </c>
    </row>
    <row r="163" spans="2:9" outlineLevel="1" x14ac:dyDescent="0.3">
      <c r="B163" s="11" t="s">
        <v>3</v>
      </c>
      <c r="C163" s="12">
        <v>4.8682165173994356</v>
      </c>
      <c r="D163" s="12">
        <v>5.5428574883168045</v>
      </c>
      <c r="E163" s="12">
        <v>6.2174984592341751</v>
      </c>
      <c r="F163" s="12">
        <v>6.8921394301515413</v>
      </c>
      <c r="G163" s="12">
        <v>7.5667804010689164</v>
      </c>
      <c r="H163" s="12">
        <v>8.241421371986279</v>
      </c>
      <c r="I163" s="12">
        <v>6.5548189446928591</v>
      </c>
    </row>
    <row r="164" spans="2:9" outlineLevel="1" x14ac:dyDescent="0.3">
      <c r="B164" s="16" t="s">
        <v>6</v>
      </c>
      <c r="C164" s="17">
        <v>9.1126530120944906</v>
      </c>
      <c r="D164" s="17">
        <v>9.9106088621818742</v>
      </c>
      <c r="E164" s="17">
        <v>10.70856471226926</v>
      </c>
      <c r="F164" s="17">
        <v>11.506520562356643</v>
      </c>
      <c r="G164" s="17">
        <v>12.304476412444034</v>
      </c>
      <c r="H164" s="17">
        <v>13.10243226253141</v>
      </c>
      <c r="I164" s="18">
        <v>11.107542637312953</v>
      </c>
    </row>
    <row r="165" spans="2:9" outlineLevel="1" x14ac:dyDescent="0.3"/>
    <row r="166" spans="2:9" outlineLevel="1" x14ac:dyDescent="0.3">
      <c r="B166" s="5" t="s">
        <v>10</v>
      </c>
      <c r="C166" s="5"/>
      <c r="D166" s="5"/>
      <c r="E166" s="5"/>
      <c r="F166" s="5"/>
      <c r="G166" s="5"/>
      <c r="H166" s="5"/>
      <c r="I166" s="5"/>
    </row>
    <row r="167" spans="2:9" outlineLevel="1" x14ac:dyDescent="0.3">
      <c r="B167" s="6" t="s">
        <v>1</v>
      </c>
      <c r="C167" s="7">
        <v>2024</v>
      </c>
      <c r="D167" s="7">
        <v>2025</v>
      </c>
      <c r="E167" s="7">
        <v>2026</v>
      </c>
      <c r="F167" s="7">
        <v>2027</v>
      </c>
      <c r="G167" s="7">
        <v>2028</v>
      </c>
      <c r="H167" s="7">
        <v>2029</v>
      </c>
      <c r="I167" s="7">
        <v>2030</v>
      </c>
    </row>
    <row r="168" spans="2:9" outlineLevel="1" x14ac:dyDescent="0.3">
      <c r="B168" s="8" t="s">
        <v>2</v>
      </c>
      <c r="C168" s="9">
        <v>0</v>
      </c>
      <c r="D168" s="9">
        <v>0</v>
      </c>
      <c r="E168" s="25">
        <v>0</v>
      </c>
      <c r="F168" s="25">
        <v>0</v>
      </c>
      <c r="G168" s="9">
        <v>1.3639416411981824</v>
      </c>
      <c r="H168" s="9">
        <v>1.6793315120295285</v>
      </c>
      <c r="I168" s="9">
        <v>1.7475862839447283</v>
      </c>
    </row>
    <row r="169" spans="2:9" outlineLevel="1" x14ac:dyDescent="0.3">
      <c r="B169" s="11" t="s">
        <v>3</v>
      </c>
      <c r="C169" s="12">
        <v>0</v>
      </c>
      <c r="D169" s="12">
        <v>0</v>
      </c>
      <c r="E169" s="12">
        <v>0.5562327508674455</v>
      </c>
      <c r="F169" s="12">
        <v>1.2331755929594168</v>
      </c>
      <c r="G169" s="12">
        <v>2.0308285262759149</v>
      </c>
      <c r="H169" s="12">
        <v>2.6542723957352425</v>
      </c>
      <c r="I169" s="12">
        <v>2.3456410946943085</v>
      </c>
    </row>
    <row r="170" spans="2:9" outlineLevel="1" x14ac:dyDescent="0.3">
      <c r="B170" s="13" t="s">
        <v>11</v>
      </c>
      <c r="C170" s="19">
        <v>0</v>
      </c>
      <c r="D170" s="19">
        <v>0</v>
      </c>
      <c r="E170" s="19">
        <v>0.05</v>
      </c>
      <c r="F170" s="19">
        <v>0.1</v>
      </c>
      <c r="G170" s="19">
        <v>0.15</v>
      </c>
      <c r="H170" s="19">
        <v>0.18</v>
      </c>
      <c r="I170" s="19">
        <v>0.2</v>
      </c>
    </row>
    <row r="171" spans="2:9" outlineLevel="1" x14ac:dyDescent="0.3">
      <c r="B171" s="16" t="s">
        <v>6</v>
      </c>
      <c r="C171" s="17">
        <v>0</v>
      </c>
      <c r="D171" s="17">
        <v>0</v>
      </c>
      <c r="E171" s="17">
        <v>0.5562327508674455</v>
      </c>
      <c r="F171" s="17">
        <v>1.2331755929594168</v>
      </c>
      <c r="G171" s="17">
        <v>3.3947701674740971</v>
      </c>
      <c r="H171" s="17">
        <v>4.333603907764771</v>
      </c>
      <c r="I171" s="18">
        <v>4.0932273786390372</v>
      </c>
    </row>
    <row r="172" spans="2:9" outlineLevel="1" x14ac:dyDescent="0.3"/>
    <row r="173" spans="2:9" outlineLevel="1" x14ac:dyDescent="0.3">
      <c r="B173" s="5" t="s">
        <v>12</v>
      </c>
      <c r="C173" s="5"/>
      <c r="D173" s="5"/>
      <c r="E173" s="5"/>
      <c r="F173" s="5"/>
      <c r="G173" s="5"/>
      <c r="H173" s="5"/>
      <c r="I173" s="5"/>
    </row>
    <row r="174" spans="2:9" outlineLevel="1" x14ac:dyDescent="0.3">
      <c r="B174" s="6" t="s">
        <v>1</v>
      </c>
      <c r="C174" s="7">
        <v>2024</v>
      </c>
      <c r="D174" s="7">
        <v>2025</v>
      </c>
      <c r="E174" s="7">
        <v>2026</v>
      </c>
      <c r="F174" s="7">
        <v>2027</v>
      </c>
      <c r="G174" s="7">
        <v>2028</v>
      </c>
      <c r="H174" s="7">
        <v>2029</v>
      </c>
      <c r="I174" s="7">
        <v>2030</v>
      </c>
    </row>
    <row r="175" spans="2:9" outlineLevel="1" x14ac:dyDescent="0.3">
      <c r="B175" s="8" t="s">
        <v>2</v>
      </c>
      <c r="C175" s="9">
        <v>0</v>
      </c>
      <c r="D175" s="9">
        <v>0</v>
      </c>
      <c r="E175" s="9">
        <v>0</v>
      </c>
      <c r="F175" s="9">
        <v>0</v>
      </c>
      <c r="G175" s="9">
        <v>1.3639416411981824</v>
      </c>
      <c r="H175" s="9">
        <v>3.0432731532277106</v>
      </c>
      <c r="I175" s="9">
        <v>4.7908594371724389</v>
      </c>
    </row>
    <row r="176" spans="2:9" outlineLevel="1" x14ac:dyDescent="0.3">
      <c r="B176" s="11" t="s">
        <v>3</v>
      </c>
      <c r="C176" s="12">
        <v>0</v>
      </c>
      <c r="D176" s="12">
        <v>0</v>
      </c>
      <c r="E176" s="12">
        <v>0.5562327508674455</v>
      </c>
      <c r="F176" s="12">
        <v>1.7894083438268624</v>
      </c>
      <c r="G176" s="12">
        <v>3.8202368701027773</v>
      </c>
      <c r="H176" s="12">
        <v>6.1963928904042973</v>
      </c>
      <c r="I176" s="12">
        <v>7.6473298131851735</v>
      </c>
    </row>
    <row r="177" spans="2:26" outlineLevel="1" x14ac:dyDescent="0.3">
      <c r="B177" s="17" t="s">
        <v>6</v>
      </c>
      <c r="C177" s="17">
        <v>0</v>
      </c>
      <c r="D177" s="17">
        <v>0</v>
      </c>
      <c r="E177" s="17">
        <v>0.5562327508674455</v>
      </c>
      <c r="F177" s="17">
        <v>1.7894083438268624</v>
      </c>
      <c r="G177" s="17">
        <v>5.18417851130096</v>
      </c>
      <c r="H177" s="17">
        <v>9.2396660436320079</v>
      </c>
      <c r="I177" s="18">
        <v>12.438189250357613</v>
      </c>
    </row>
    <row r="178" spans="2:26" outlineLevel="1" x14ac:dyDescent="0.3"/>
    <row r="179" spans="2:26" s="20" customFormat="1" outlineLevel="1" x14ac:dyDescent="0.3">
      <c r="B179" s="5" t="s">
        <v>13</v>
      </c>
      <c r="C179" s="5"/>
      <c r="D179" s="5"/>
      <c r="E179" s="5"/>
      <c r="F179" s="5"/>
      <c r="G179" s="5"/>
      <c r="H179" s="5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s="20" customFormat="1" outlineLevel="1" x14ac:dyDescent="0.3">
      <c r="B180" s="6" t="s">
        <v>14</v>
      </c>
      <c r="C180" s="7">
        <v>2024</v>
      </c>
      <c r="D180" s="7">
        <v>2025</v>
      </c>
      <c r="E180" s="7">
        <v>2026</v>
      </c>
      <c r="F180" s="7">
        <v>2027</v>
      </c>
      <c r="G180" s="7">
        <v>2028</v>
      </c>
      <c r="H180" s="7">
        <v>2029</v>
      </c>
      <c r="I180" s="7">
        <v>2030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s="20" customFormat="1" outlineLevel="1" x14ac:dyDescent="0.3">
      <c r="B181" s="8" t="s">
        <v>2</v>
      </c>
      <c r="C181" s="9">
        <v>916.49677711471452</v>
      </c>
      <c r="D181" s="9">
        <v>939.9966944766303</v>
      </c>
      <c r="E181" s="9">
        <v>964.09917382218498</v>
      </c>
      <c r="F181" s="9">
        <v>988.81966545865123</v>
      </c>
      <c r="G181" s="9">
        <v>1014.1740158550269</v>
      </c>
      <c r="H181" s="9">
        <v>1040.1784778000276</v>
      </c>
      <c r="I181" s="9">
        <v>1066.8497208205413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s="20" customFormat="1" outlineLevel="1" x14ac:dyDescent="0.3">
      <c r="B182" s="8" t="s">
        <v>3</v>
      </c>
      <c r="C182" s="9">
        <v>916.49677711471452</v>
      </c>
      <c r="D182" s="9">
        <v>939.9966944766303</v>
      </c>
      <c r="E182" s="9">
        <v>964.09917382218498</v>
      </c>
      <c r="F182" s="9">
        <v>988.81966545865123</v>
      </c>
      <c r="G182" s="9">
        <v>1014.1740158550269</v>
      </c>
      <c r="H182" s="9">
        <v>1040.1784778000276</v>
      </c>
      <c r="I182" s="9">
        <v>1066.8497208205413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outlineLevel="1" x14ac:dyDescent="0.3"/>
    <row r="184" spans="2:26" s="20" customFormat="1" outlineLevel="1" x14ac:dyDescent="0.3">
      <c r="B184" s="5" t="s">
        <v>15</v>
      </c>
      <c r="C184" s="5"/>
      <c r="D184" s="5"/>
      <c r="E184" s="5"/>
      <c r="F184" s="5"/>
      <c r="G184" s="5"/>
      <c r="H184" s="5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s="20" customFormat="1" outlineLevel="1" x14ac:dyDescent="0.3">
      <c r="B185" s="6" t="s">
        <v>16</v>
      </c>
      <c r="C185" s="7">
        <v>2024</v>
      </c>
      <c r="D185" s="7">
        <v>2025</v>
      </c>
      <c r="E185" s="7">
        <v>2026</v>
      </c>
      <c r="F185" s="7">
        <v>2027</v>
      </c>
      <c r="G185" s="7">
        <v>2028</v>
      </c>
      <c r="H185" s="7">
        <v>2029</v>
      </c>
      <c r="I185" s="7">
        <v>2030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s="20" customFormat="1" outlineLevel="1" x14ac:dyDescent="0.3">
      <c r="B186" s="8" t="s">
        <v>2</v>
      </c>
      <c r="C186" s="21">
        <v>0</v>
      </c>
      <c r="D186" s="21">
        <v>0</v>
      </c>
      <c r="E186" s="21">
        <v>0</v>
      </c>
      <c r="F186" s="21">
        <v>0</v>
      </c>
      <c r="G186" s="21">
        <v>1.383274171645857</v>
      </c>
      <c r="H186" s="21">
        <v>3.1655472360540902</v>
      </c>
      <c r="I186" s="21">
        <v>5.1111270530378716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s="20" customFormat="1" outlineLevel="1" x14ac:dyDescent="0.3">
      <c r="B187" s="11" t="s">
        <v>3</v>
      </c>
      <c r="C187" s="23">
        <v>0</v>
      </c>
      <c r="D187" s="23">
        <v>0</v>
      </c>
      <c r="E187" s="23">
        <v>0.53626353556414541</v>
      </c>
      <c r="F187" s="23">
        <v>1.7694021599117973</v>
      </c>
      <c r="G187" s="23">
        <v>3.8743849680695726</v>
      </c>
      <c r="H187" s="23">
        <v>6.4453545245916555</v>
      </c>
      <c r="I187" s="23">
        <v>8.1585516762192043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s="20" customFormat="1" outlineLevel="1" x14ac:dyDescent="0.3">
      <c r="B188" s="16" t="s">
        <v>6</v>
      </c>
      <c r="C188" s="17">
        <v>0</v>
      </c>
      <c r="D188" s="17">
        <v>0</v>
      </c>
      <c r="E188" s="17">
        <v>0.53626353556414541</v>
      </c>
      <c r="F188" s="17">
        <v>1.7694021599117973</v>
      </c>
      <c r="G188" s="17">
        <v>5.2576591397154298</v>
      </c>
      <c r="H188" s="17">
        <v>9.6109017606457456</v>
      </c>
      <c r="I188" s="18">
        <v>13.269678729257077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plan leasing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El Gemayel</dc:creator>
  <cp:lastModifiedBy>Pouloupatis Vassileios</cp:lastModifiedBy>
  <dcterms:created xsi:type="dcterms:W3CDTF">2025-08-01T15:45:01Z</dcterms:created>
  <dcterms:modified xsi:type="dcterms:W3CDTF">2026-05-13T11:26:16Z</dcterms:modified>
</cp:coreProperties>
</file>