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pouloupatis\Desktop\"/>
    </mc:Choice>
  </mc:AlternateContent>
  <xr:revisionPtr revIDLastSave="0" documentId="13_ncr:1_{3AB68496-6318-4BA8-8FB2-3D740D3DDF10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Sheet1" sheetId="1" state="hidden" r:id="rId1"/>
    <sheet name="Amortization Chart" sheetId="2" r:id="rId2"/>
    <sheet name="Copyright-2" sheetId="4" state="hidden" r:id="rId3"/>
  </sheets>
  <externalReferences>
    <externalReference r:id="rId4"/>
  </externalReferences>
  <definedNames>
    <definedName name="Balance">OFFSET(Sheet1!$E$11,0,0,COUNT(Sheet1!$E$11:$E$40,"&gt;0"),1)</definedName>
    <definedName name="Holiday">'[1]Bill Payment and Holidays'!$K$8:$K$26</definedName>
    <definedName name="Inte">OFFSET(Sheet1!$D$11,0,0,COUNT(Sheet1!$D$11:$D$40,"&gt;0"),1)</definedName>
    <definedName name="Interest">OFFSET(Sheet1!$C$11,0,0,COUNT(Sheet1!$C$11:$C$40,"&gt;0"),1)</definedName>
    <definedName name="Principal">OFFSET(Sheet1!$B$11,0,0,COUNT(Sheet1!$B$11:$B$40,"&gt;0"),1)</definedName>
    <definedName name="_xlnm.Print_Area" localSheetId="1">'Amortization Chart'!$A$1:$W$26</definedName>
    <definedName name="YearPeriod">'[1]Bill Payment and Holidays'!$O$3:$O$368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9" i="2" l="1"/>
  <c r="I36" i="2" s="1"/>
  <c r="I43" i="2"/>
  <c r="I50" i="2"/>
  <c r="I74" i="2"/>
  <c r="I75" i="2"/>
  <c r="I82" i="2"/>
  <c r="I35" i="2"/>
  <c r="H37" i="2"/>
  <c r="H38" i="2" s="1"/>
  <c r="H39" i="2" s="1"/>
  <c r="H40" i="2" s="1"/>
  <c r="H41" i="2" s="1"/>
  <c r="H42" i="2" s="1"/>
  <c r="H43" i="2" s="1"/>
  <c r="H44" i="2" s="1"/>
  <c r="H45" i="2" s="1"/>
  <c r="H46" i="2" s="1"/>
  <c r="H47" i="2" s="1"/>
  <c r="H48" i="2" s="1"/>
  <c r="H49" i="2" s="1"/>
  <c r="H50" i="2" s="1"/>
  <c r="H51" i="2" s="1"/>
  <c r="H52" i="2" s="1"/>
  <c r="H53" i="2" s="1"/>
  <c r="H54" i="2" s="1"/>
  <c r="H55" i="2" s="1"/>
  <c r="H56" i="2" s="1"/>
  <c r="H57" i="2" s="1"/>
  <c r="H58" i="2" s="1"/>
  <c r="H59" i="2" s="1"/>
  <c r="H60" i="2" s="1"/>
  <c r="H61" i="2" s="1"/>
  <c r="H62" i="2" s="1"/>
  <c r="H63" i="2" s="1"/>
  <c r="H64" i="2" s="1"/>
  <c r="H65" i="2" s="1"/>
  <c r="H66" i="2" s="1"/>
  <c r="H67" i="2" s="1"/>
  <c r="H68" i="2" s="1"/>
  <c r="H69" i="2" s="1"/>
  <c r="H70" i="2" s="1"/>
  <c r="H71" i="2" s="1"/>
  <c r="H72" i="2" s="1"/>
  <c r="H73" i="2" s="1"/>
  <c r="H74" i="2" s="1"/>
  <c r="H75" i="2" s="1"/>
  <c r="H76" i="2" s="1"/>
  <c r="H77" i="2" s="1"/>
  <c r="H78" i="2" s="1"/>
  <c r="H79" i="2" s="1"/>
  <c r="H80" i="2" s="1"/>
  <c r="H81" i="2" s="1"/>
  <c r="H82" i="2" s="1"/>
  <c r="H36" i="2"/>
  <c r="H35" i="2"/>
  <c r="E33" i="2"/>
  <c r="E32" i="2"/>
  <c r="E31" i="2"/>
  <c r="E30" i="2"/>
  <c r="U16" i="2"/>
  <c r="G6" i="1"/>
  <c r="G5" i="1"/>
  <c r="G4" i="1"/>
  <c r="G3" i="1"/>
  <c r="U7" i="2"/>
  <c r="U11" i="2" s="1"/>
  <c r="U20" i="2" s="1"/>
  <c r="I59" i="2" l="1"/>
  <c r="I67" i="2"/>
  <c r="I66" i="2"/>
  <c r="I58" i="2"/>
  <c r="I51" i="2"/>
  <c r="I81" i="2"/>
  <c r="I73" i="2"/>
  <c r="I65" i="2"/>
  <c r="I57" i="2"/>
  <c r="I49" i="2"/>
  <c r="I71" i="2"/>
  <c r="I55" i="2"/>
  <c r="I62" i="2"/>
  <c r="I46" i="2"/>
  <c r="I77" i="2"/>
  <c r="I69" i="2"/>
  <c r="I61" i="2"/>
  <c r="I53" i="2"/>
  <c r="I45" i="2"/>
  <c r="I80" i="2"/>
  <c r="I72" i="2"/>
  <c r="I64" i="2"/>
  <c r="I56" i="2"/>
  <c r="I48" i="2"/>
  <c r="I79" i="2"/>
  <c r="I63" i="2"/>
  <c r="I47" i="2"/>
  <c r="I78" i="2"/>
  <c r="I70" i="2"/>
  <c r="I54" i="2"/>
  <c r="I76" i="2"/>
  <c r="I68" i="2"/>
  <c r="I60" i="2"/>
  <c r="I52" i="2"/>
  <c r="I44" i="2"/>
  <c r="I42" i="2"/>
  <c r="I41" i="2"/>
  <c r="I40" i="2"/>
  <c r="I39" i="2"/>
  <c r="I38" i="2"/>
  <c r="I37" i="2"/>
  <c r="G7" i="1"/>
  <c r="I11" i="1"/>
  <c r="I12" i="1" l="1"/>
  <c r="L11" i="1"/>
  <c r="M11" i="1"/>
  <c r="I13" i="1" l="1"/>
  <c r="K11" i="1"/>
  <c r="N11" i="1"/>
  <c r="M12" i="1"/>
  <c r="I14" i="1" l="1"/>
  <c r="I15" i="1" s="1"/>
  <c r="J11" i="1"/>
  <c r="M13" i="1"/>
  <c r="M14" i="1" l="1"/>
  <c r="M15" i="1" s="1"/>
  <c r="L12" i="1"/>
  <c r="I16" i="1"/>
  <c r="K12" i="1" l="1"/>
  <c r="N12" i="1"/>
  <c r="M16" i="1"/>
  <c r="I17" i="1"/>
  <c r="J12" i="1" l="1"/>
  <c r="I18" i="1"/>
  <c r="M17" i="1"/>
  <c r="L13" i="1" l="1"/>
  <c r="M18" i="1"/>
  <c r="I19" i="1"/>
  <c r="N13" i="1" l="1"/>
  <c r="K13" i="1"/>
  <c r="I20" i="1"/>
  <c r="M19" i="1"/>
  <c r="J13" i="1" l="1"/>
  <c r="M20" i="1"/>
  <c r="I21" i="1"/>
  <c r="L14" i="1" l="1"/>
  <c r="I22" i="1"/>
  <c r="M21" i="1"/>
  <c r="N14" i="1" l="1"/>
  <c r="K14" i="1"/>
  <c r="M22" i="1"/>
  <c r="I23" i="1"/>
  <c r="J14" i="1" l="1"/>
  <c r="I24" i="1"/>
  <c r="M23" i="1"/>
  <c r="L15" i="1" l="1"/>
  <c r="M24" i="1"/>
  <c r="I25" i="1"/>
  <c r="K15" i="1" l="1"/>
  <c r="N15" i="1"/>
  <c r="I26" i="1"/>
  <c r="M25" i="1"/>
  <c r="J15" i="1" l="1"/>
  <c r="M26" i="1"/>
  <c r="I27" i="1"/>
  <c r="L16" i="1" l="1"/>
  <c r="M27" i="1"/>
  <c r="I28" i="1"/>
  <c r="K16" i="1" l="1"/>
  <c r="N16" i="1"/>
  <c r="I29" i="1"/>
  <c r="M28" i="1"/>
  <c r="J16" i="1" l="1"/>
  <c r="I30" i="1"/>
  <c r="M29" i="1"/>
  <c r="L17" i="1" l="1"/>
  <c r="I31" i="1"/>
  <c r="M30" i="1"/>
  <c r="K17" i="1" l="1"/>
  <c r="N17" i="1"/>
  <c r="M31" i="1"/>
  <c r="I32" i="1"/>
  <c r="J17" i="1" l="1"/>
  <c r="L18" i="1" s="1"/>
  <c r="M32" i="1"/>
  <c r="I33" i="1"/>
  <c r="N18" i="1" l="1"/>
  <c r="K18" i="1"/>
  <c r="J18" i="1" s="1"/>
  <c r="L19" i="1" s="1"/>
  <c r="I34" i="1"/>
  <c r="M33" i="1"/>
  <c r="N19" i="1" l="1"/>
  <c r="K19" i="1"/>
  <c r="J19" i="1" s="1"/>
  <c r="L20" i="1" s="1"/>
  <c r="M34" i="1"/>
  <c r="I35" i="1"/>
  <c r="K20" i="1" l="1"/>
  <c r="J20" i="1" s="1"/>
  <c r="L21" i="1" s="1"/>
  <c r="N20" i="1"/>
  <c r="M35" i="1"/>
  <c r="I36" i="1"/>
  <c r="K21" i="1" l="1"/>
  <c r="J21" i="1" s="1"/>
  <c r="N21" i="1"/>
  <c r="I37" i="1"/>
  <c r="M36" i="1"/>
  <c r="L22" i="1" l="1"/>
  <c r="I38" i="1"/>
  <c r="M37" i="1"/>
  <c r="C11" i="1" l="1"/>
  <c r="N22" i="1"/>
  <c r="K22" i="1"/>
  <c r="B11" i="1" s="1"/>
  <c r="I39" i="1"/>
  <c r="M38" i="1"/>
  <c r="J22" i="1" l="1"/>
  <c r="M39" i="1"/>
  <c r="I40" i="1"/>
  <c r="E11" i="1" l="1"/>
  <c r="D11" i="1" s="1"/>
  <c r="L23" i="1"/>
  <c r="M40" i="1"/>
  <c r="I41" i="1"/>
  <c r="N23" i="1" l="1"/>
  <c r="K23" i="1"/>
  <c r="J23" i="1" s="1"/>
  <c r="I42" i="1"/>
  <c r="M41" i="1"/>
  <c r="L24" i="1" l="1"/>
  <c r="M42" i="1"/>
  <c r="I43" i="1"/>
  <c r="N24" i="1" l="1"/>
  <c r="K24" i="1"/>
  <c r="J24" i="1" s="1"/>
  <c r="L25" i="1" s="1"/>
  <c r="M43" i="1"/>
  <c r="I44" i="1"/>
  <c r="K25" i="1" l="1"/>
  <c r="J25" i="1" s="1"/>
  <c r="N25" i="1"/>
  <c r="I45" i="1"/>
  <c r="M44" i="1"/>
  <c r="L26" i="1" l="1"/>
  <c r="I46" i="1"/>
  <c r="M45" i="1"/>
  <c r="K26" i="1" l="1"/>
  <c r="J26" i="1" s="1"/>
  <c r="N26" i="1"/>
  <c r="I47" i="1"/>
  <c r="M46" i="1"/>
  <c r="L27" i="1" l="1"/>
  <c r="M47" i="1"/>
  <c r="I48" i="1"/>
  <c r="N27" i="1" l="1"/>
  <c r="K27" i="1"/>
  <c r="J27" i="1" s="1"/>
  <c r="L28" i="1" s="1"/>
  <c r="M48" i="1"/>
  <c r="I49" i="1"/>
  <c r="N28" i="1" l="1"/>
  <c r="K28" i="1"/>
  <c r="J28" i="1" s="1"/>
  <c r="L29" i="1" s="1"/>
  <c r="I50" i="1"/>
  <c r="M49" i="1"/>
  <c r="N29" i="1" l="1"/>
  <c r="K29" i="1"/>
  <c r="J29" i="1" s="1"/>
  <c r="L30" i="1" s="1"/>
  <c r="M50" i="1"/>
  <c r="I51" i="1"/>
  <c r="K30" i="1" l="1"/>
  <c r="J30" i="1" s="1"/>
  <c r="L31" i="1" s="1"/>
  <c r="N30" i="1"/>
  <c r="M51" i="1"/>
  <c r="I52" i="1"/>
  <c r="N31" i="1" l="1"/>
  <c r="K31" i="1"/>
  <c r="J31" i="1" s="1"/>
  <c r="L32" i="1" s="1"/>
  <c r="I53" i="1"/>
  <c r="M52" i="1"/>
  <c r="N32" i="1" l="1"/>
  <c r="K32" i="1"/>
  <c r="J32" i="1" s="1"/>
  <c r="L33" i="1" s="1"/>
  <c r="K33" i="1" s="1"/>
  <c r="J33" i="1" s="1"/>
  <c r="I54" i="1"/>
  <c r="M53" i="1"/>
  <c r="N33" i="1" l="1"/>
  <c r="L34" i="1"/>
  <c r="I55" i="1"/>
  <c r="M54" i="1"/>
  <c r="M55" i="1" l="1"/>
  <c r="I56" i="1"/>
  <c r="N34" i="1"/>
  <c r="K34" i="1"/>
  <c r="J34" i="1" l="1"/>
  <c r="E12" i="1" s="1"/>
  <c r="M56" i="1"/>
  <c r="I57" i="1"/>
  <c r="B12" i="1" l="1"/>
  <c r="C12" i="1"/>
  <c r="L35" i="1"/>
  <c r="I58" i="1"/>
  <c r="M57" i="1"/>
  <c r="D12" i="1" l="1"/>
  <c r="N35" i="1"/>
  <c r="K35" i="1"/>
  <c r="J35" i="1" s="1"/>
  <c r="L36" i="1" s="1"/>
  <c r="M58" i="1"/>
  <c r="I59" i="1"/>
  <c r="N36" i="1" l="1"/>
  <c r="K36" i="1"/>
  <c r="M59" i="1"/>
  <c r="I60" i="1"/>
  <c r="J36" i="1" l="1"/>
  <c r="L37" i="1" s="1"/>
  <c r="I61" i="1"/>
  <c r="M60" i="1"/>
  <c r="N37" i="1" l="1"/>
  <c r="K37" i="1"/>
  <c r="I62" i="1"/>
  <c r="M61" i="1"/>
  <c r="J37" i="1" l="1"/>
  <c r="L38" i="1" s="1"/>
  <c r="I63" i="1"/>
  <c r="M62" i="1"/>
  <c r="M63" i="1" l="1"/>
  <c r="I64" i="1"/>
  <c r="N38" i="1"/>
  <c r="K38" i="1"/>
  <c r="J38" i="1" l="1"/>
  <c r="L39" i="1" s="1"/>
  <c r="M64" i="1"/>
  <c r="I65" i="1"/>
  <c r="N39" i="1" l="1"/>
  <c r="K39" i="1"/>
  <c r="I66" i="1"/>
  <c r="M65" i="1"/>
  <c r="J39" i="1" l="1"/>
  <c r="L40" i="1" s="1"/>
  <c r="M66" i="1"/>
  <c r="I67" i="1"/>
  <c r="K40" i="1" l="1"/>
  <c r="J40" i="1" s="1"/>
  <c r="N40" i="1"/>
  <c r="M67" i="1"/>
  <c r="I68" i="1"/>
  <c r="L41" i="1" l="1"/>
  <c r="I69" i="1"/>
  <c r="M68" i="1"/>
  <c r="N41" i="1" l="1"/>
  <c r="K41" i="1"/>
  <c r="J41" i="1" s="1"/>
  <c r="I70" i="1"/>
  <c r="M69" i="1"/>
  <c r="L42" i="1" l="1"/>
  <c r="I71" i="1"/>
  <c r="M70" i="1"/>
  <c r="M71" i="1" l="1"/>
  <c r="I72" i="1"/>
  <c r="N42" i="1"/>
  <c r="K42" i="1"/>
  <c r="J42" i="1" s="1"/>
  <c r="L43" i="1" l="1"/>
  <c r="M72" i="1"/>
  <c r="I73" i="1"/>
  <c r="N43" i="1" l="1"/>
  <c r="K43" i="1"/>
  <c r="J43" i="1" s="1"/>
  <c r="I74" i="1"/>
  <c r="M73" i="1"/>
  <c r="M74" i="1" l="1"/>
  <c r="I75" i="1"/>
  <c r="L44" i="1"/>
  <c r="K44" i="1" l="1"/>
  <c r="J44" i="1" s="1"/>
  <c r="N44" i="1"/>
  <c r="M75" i="1"/>
  <c r="I76" i="1"/>
  <c r="I77" i="1" l="1"/>
  <c r="M76" i="1"/>
  <c r="L45" i="1"/>
  <c r="I78" i="1" l="1"/>
  <c r="M77" i="1"/>
  <c r="N45" i="1"/>
  <c r="K45" i="1"/>
  <c r="J45" i="1" s="1"/>
  <c r="I79" i="1" l="1"/>
  <c r="M78" i="1"/>
  <c r="L46" i="1"/>
  <c r="N46" i="1" l="1"/>
  <c r="K46" i="1"/>
  <c r="M79" i="1"/>
  <c r="I80" i="1"/>
  <c r="J46" i="1" l="1"/>
  <c r="E13" i="1" s="1"/>
  <c r="M80" i="1"/>
  <c r="I81" i="1"/>
  <c r="C13" i="1" l="1"/>
  <c r="B13" i="1"/>
  <c r="L47" i="1"/>
  <c r="I82" i="1"/>
  <c r="M81" i="1"/>
  <c r="D13" i="1" l="1"/>
  <c r="N47" i="1"/>
  <c r="K47" i="1"/>
  <c r="M82" i="1"/>
  <c r="I83" i="1"/>
  <c r="J47" i="1" l="1"/>
  <c r="L48" i="1" s="1"/>
  <c r="M83" i="1"/>
  <c r="I84" i="1"/>
  <c r="N48" i="1" l="1"/>
  <c r="K48" i="1"/>
  <c r="M84" i="1"/>
  <c r="I85" i="1"/>
  <c r="J48" i="1" l="1"/>
  <c r="L49" i="1" s="1"/>
  <c r="N49" i="1" s="1"/>
  <c r="I86" i="1"/>
  <c r="M85" i="1"/>
  <c r="K49" i="1" l="1"/>
  <c r="J49" i="1" s="1"/>
  <c r="L50" i="1" s="1"/>
  <c r="M86" i="1"/>
  <c r="I87" i="1"/>
  <c r="I88" i="1" l="1"/>
  <c r="M87" i="1"/>
  <c r="N50" i="1"/>
  <c r="K50" i="1"/>
  <c r="J50" i="1" l="1"/>
  <c r="L51" i="1" s="1"/>
  <c r="M88" i="1"/>
  <c r="I89" i="1"/>
  <c r="N51" i="1" l="1"/>
  <c r="K51" i="1"/>
  <c r="I90" i="1"/>
  <c r="M89" i="1"/>
  <c r="J51" i="1" l="1"/>
  <c r="L52" i="1" s="1"/>
  <c r="M90" i="1"/>
  <c r="I91" i="1"/>
  <c r="I92" i="1" l="1"/>
  <c r="M91" i="1"/>
  <c r="K52" i="1"/>
  <c r="N52" i="1"/>
  <c r="J52" i="1" l="1"/>
  <c r="L53" i="1" s="1"/>
  <c r="M92" i="1"/>
  <c r="I93" i="1"/>
  <c r="I94" i="1" l="1"/>
  <c r="M93" i="1"/>
  <c r="N53" i="1"/>
  <c r="K53" i="1"/>
  <c r="J53" i="1" s="1"/>
  <c r="L54" i="1" l="1"/>
  <c r="M94" i="1"/>
  <c r="I95" i="1"/>
  <c r="I96" i="1" l="1"/>
  <c r="M95" i="1"/>
  <c r="N54" i="1"/>
  <c r="K54" i="1"/>
  <c r="J54" i="1" s="1"/>
  <c r="M96" i="1" l="1"/>
  <c r="I97" i="1"/>
  <c r="L55" i="1"/>
  <c r="I98" i="1" l="1"/>
  <c r="M97" i="1"/>
  <c r="N55" i="1"/>
  <c r="K55" i="1"/>
  <c r="J55" i="1" s="1"/>
  <c r="L56" i="1" l="1"/>
  <c r="M98" i="1"/>
  <c r="I99" i="1"/>
  <c r="I100" i="1" l="1"/>
  <c r="M99" i="1"/>
  <c r="N56" i="1"/>
  <c r="K56" i="1"/>
  <c r="J56" i="1" s="1"/>
  <c r="M100" i="1" l="1"/>
  <c r="I101" i="1"/>
  <c r="L57" i="1"/>
  <c r="N57" i="1" l="1"/>
  <c r="K57" i="1"/>
  <c r="J57" i="1" s="1"/>
  <c r="I102" i="1"/>
  <c r="M101" i="1"/>
  <c r="M102" i="1" l="1"/>
  <c r="I103" i="1"/>
  <c r="L58" i="1"/>
  <c r="K58" i="1" l="1"/>
  <c r="N58" i="1"/>
  <c r="I104" i="1"/>
  <c r="M103" i="1"/>
  <c r="J58" i="1" l="1"/>
  <c r="E14" i="1" s="1"/>
  <c r="M104" i="1"/>
  <c r="I105" i="1"/>
  <c r="C14" i="1" l="1"/>
  <c r="B14" i="1"/>
  <c r="L59" i="1"/>
  <c r="I106" i="1"/>
  <c r="M105" i="1"/>
  <c r="D14" i="1" l="1"/>
  <c r="K59" i="1"/>
  <c r="J59" i="1" s="1"/>
  <c r="L60" i="1" s="1"/>
  <c r="N59" i="1"/>
  <c r="M106" i="1"/>
  <c r="I107" i="1"/>
  <c r="I108" i="1" l="1"/>
  <c r="M107" i="1"/>
  <c r="K60" i="1"/>
  <c r="N60" i="1"/>
  <c r="J60" i="1" l="1"/>
  <c r="L61" i="1" s="1"/>
  <c r="M108" i="1"/>
  <c r="I109" i="1"/>
  <c r="N61" i="1" l="1"/>
  <c r="K61" i="1"/>
  <c r="I110" i="1"/>
  <c r="M109" i="1"/>
  <c r="J61" i="1" l="1"/>
  <c r="L62" i="1" s="1"/>
  <c r="M110" i="1"/>
  <c r="I111" i="1"/>
  <c r="I112" i="1" l="1"/>
  <c r="M111" i="1"/>
  <c r="N62" i="1"/>
  <c r="K62" i="1"/>
  <c r="J62" i="1" l="1"/>
  <c r="L63" i="1" s="1"/>
  <c r="M112" i="1"/>
  <c r="I113" i="1"/>
  <c r="N63" i="1" l="1"/>
  <c r="K63" i="1"/>
  <c r="I114" i="1"/>
  <c r="M113" i="1"/>
  <c r="J63" i="1" l="1"/>
  <c r="L64" i="1" s="1"/>
  <c r="M114" i="1"/>
  <c r="I115" i="1"/>
  <c r="I116" i="1" l="1"/>
  <c r="M115" i="1"/>
  <c r="N64" i="1"/>
  <c r="K64" i="1"/>
  <c r="J64" i="1" s="1"/>
  <c r="L65" i="1" l="1"/>
  <c r="M116" i="1"/>
  <c r="I117" i="1"/>
  <c r="I118" i="1" l="1"/>
  <c r="M117" i="1"/>
  <c r="N65" i="1"/>
  <c r="K65" i="1"/>
  <c r="J65" i="1" s="1"/>
  <c r="M118" i="1" l="1"/>
  <c r="I119" i="1"/>
  <c r="L66" i="1"/>
  <c r="N66" i="1" l="1"/>
  <c r="K66" i="1"/>
  <c r="J66" i="1" s="1"/>
  <c r="I120" i="1"/>
  <c r="M119" i="1"/>
  <c r="M120" i="1" l="1"/>
  <c r="I121" i="1"/>
  <c r="L67" i="1"/>
  <c r="I122" i="1" l="1"/>
  <c r="M121" i="1"/>
  <c r="N67" i="1"/>
  <c r="K67" i="1"/>
  <c r="J67" i="1" s="1"/>
  <c r="M122" i="1" l="1"/>
  <c r="I123" i="1"/>
  <c r="L68" i="1"/>
  <c r="I124" i="1" l="1"/>
  <c r="M123" i="1"/>
  <c r="K68" i="1"/>
  <c r="J68" i="1" s="1"/>
  <c r="N68" i="1"/>
  <c r="M124" i="1" l="1"/>
  <c r="I125" i="1"/>
  <c r="L69" i="1"/>
  <c r="N69" i="1" l="1"/>
  <c r="K69" i="1"/>
  <c r="J69" i="1" s="1"/>
  <c r="I126" i="1"/>
  <c r="M125" i="1"/>
  <c r="L70" i="1" l="1"/>
  <c r="M126" i="1"/>
  <c r="I127" i="1"/>
  <c r="I128" i="1" l="1"/>
  <c r="M127" i="1"/>
  <c r="N70" i="1"/>
  <c r="K70" i="1"/>
  <c r="J70" i="1" l="1"/>
  <c r="E15" i="1" s="1"/>
  <c r="M128" i="1"/>
  <c r="I129" i="1"/>
  <c r="C15" i="1" l="1"/>
  <c r="B15" i="1"/>
  <c r="L71" i="1"/>
  <c r="N71" i="1" s="1"/>
  <c r="I130" i="1"/>
  <c r="M129" i="1"/>
  <c r="D15" i="1" l="1"/>
  <c r="K71" i="1"/>
  <c r="J71" i="1" s="1"/>
  <c r="L72" i="1" s="1"/>
  <c r="M130" i="1"/>
  <c r="I131" i="1"/>
  <c r="I132" i="1" l="1"/>
  <c r="M131" i="1"/>
  <c r="N72" i="1"/>
  <c r="K72" i="1"/>
  <c r="J72" i="1" l="1"/>
  <c r="L73" i="1" s="1"/>
  <c r="I133" i="1"/>
  <c r="M132" i="1"/>
  <c r="M133" i="1" l="1"/>
  <c r="I134" i="1"/>
  <c r="N73" i="1"/>
  <c r="K73" i="1"/>
  <c r="J73" i="1" l="1"/>
  <c r="L74" i="1" s="1"/>
  <c r="M134" i="1"/>
  <c r="I135" i="1"/>
  <c r="M135" i="1" l="1"/>
  <c r="I136" i="1"/>
  <c r="K74" i="1"/>
  <c r="N74" i="1"/>
  <c r="J74" i="1" l="1"/>
  <c r="L75" i="1" s="1"/>
  <c r="I137" i="1"/>
  <c r="M136" i="1"/>
  <c r="I138" i="1" l="1"/>
  <c r="M137" i="1"/>
  <c r="N75" i="1"/>
  <c r="K75" i="1"/>
  <c r="J75" i="1" l="1"/>
  <c r="L76" i="1" s="1"/>
  <c r="M138" i="1"/>
  <c r="I139" i="1"/>
  <c r="I140" i="1" l="1"/>
  <c r="M139" i="1"/>
  <c r="N76" i="1"/>
  <c r="K76" i="1"/>
  <c r="J76" i="1" s="1"/>
  <c r="L77" i="1" l="1"/>
  <c r="I141" i="1"/>
  <c r="M140" i="1"/>
  <c r="M141" i="1" l="1"/>
  <c r="I142" i="1"/>
  <c r="N77" i="1"/>
  <c r="K77" i="1"/>
  <c r="J77" i="1" s="1"/>
  <c r="L78" i="1" l="1"/>
  <c r="M142" i="1"/>
  <c r="I143" i="1"/>
  <c r="N78" i="1" l="1"/>
  <c r="K78" i="1"/>
  <c r="J78" i="1" s="1"/>
  <c r="M143" i="1"/>
  <c r="I144" i="1"/>
  <c r="L79" i="1" l="1"/>
  <c r="I145" i="1"/>
  <c r="M144" i="1"/>
  <c r="K79" i="1" l="1"/>
  <c r="J79" i="1" s="1"/>
  <c r="N79" i="1"/>
  <c r="I146" i="1"/>
  <c r="M145" i="1"/>
  <c r="M146" i="1" l="1"/>
  <c r="I147" i="1"/>
  <c r="L80" i="1"/>
  <c r="N80" i="1" l="1"/>
  <c r="K80" i="1"/>
  <c r="J80" i="1" s="1"/>
  <c r="I148" i="1"/>
  <c r="M147" i="1"/>
  <c r="I149" i="1" l="1"/>
  <c r="M148" i="1"/>
  <c r="L81" i="1"/>
  <c r="N81" i="1" l="1"/>
  <c r="K81" i="1"/>
  <c r="J81" i="1" s="1"/>
  <c r="M149" i="1"/>
  <c r="I150" i="1"/>
  <c r="L82" i="1" l="1"/>
  <c r="M150" i="1"/>
  <c r="I151" i="1"/>
  <c r="N82" i="1" l="1"/>
  <c r="K82" i="1"/>
  <c r="M151" i="1"/>
  <c r="I152" i="1"/>
  <c r="J82" i="1" l="1"/>
  <c r="E16" i="1" s="1"/>
  <c r="I153" i="1"/>
  <c r="M152" i="1"/>
  <c r="C16" i="1" l="1"/>
  <c r="B16" i="1"/>
  <c r="L83" i="1"/>
  <c r="I154" i="1"/>
  <c r="M153" i="1"/>
  <c r="D16" i="1" l="1"/>
  <c r="K83" i="1"/>
  <c r="J83" i="1" s="1"/>
  <c r="L84" i="1" s="1"/>
  <c r="N83" i="1"/>
  <c r="M154" i="1"/>
  <c r="I155" i="1"/>
  <c r="N84" i="1" l="1"/>
  <c r="K84" i="1"/>
  <c r="I156" i="1"/>
  <c r="M155" i="1"/>
  <c r="J84" i="1" l="1"/>
  <c r="L85" i="1" s="1"/>
  <c r="I157" i="1"/>
  <c r="M156" i="1"/>
  <c r="M157" i="1" l="1"/>
  <c r="I158" i="1"/>
  <c r="N85" i="1"/>
  <c r="K85" i="1"/>
  <c r="J85" i="1" l="1"/>
  <c r="L86" i="1" s="1"/>
  <c r="M158" i="1"/>
  <c r="I159" i="1"/>
  <c r="N86" i="1" l="1"/>
  <c r="K86" i="1"/>
  <c r="M159" i="1"/>
  <c r="I160" i="1"/>
  <c r="J86" i="1" l="1"/>
  <c r="L87" i="1" s="1"/>
  <c r="I161" i="1"/>
  <c r="M160" i="1"/>
  <c r="I162" i="1" l="1"/>
  <c r="M161" i="1"/>
  <c r="N87" i="1"/>
  <c r="K87" i="1"/>
  <c r="J87" i="1" l="1"/>
  <c r="L88" i="1" s="1"/>
  <c r="M162" i="1"/>
  <c r="I163" i="1"/>
  <c r="I164" i="1" l="1"/>
  <c r="M163" i="1"/>
  <c r="N88" i="1"/>
  <c r="K88" i="1"/>
  <c r="J88" i="1" s="1"/>
  <c r="I165" i="1" l="1"/>
  <c r="M164" i="1"/>
  <c r="L89" i="1"/>
  <c r="M165" i="1" l="1"/>
  <c r="I166" i="1"/>
  <c r="N89" i="1"/>
  <c r="K89" i="1"/>
  <c r="J89" i="1" s="1"/>
  <c r="I167" i="1" l="1"/>
  <c r="M166" i="1"/>
  <c r="L90" i="1"/>
  <c r="M167" i="1" l="1"/>
  <c r="I168" i="1"/>
  <c r="N90" i="1"/>
  <c r="K90" i="1"/>
  <c r="J90" i="1" s="1"/>
  <c r="I169" i="1" l="1"/>
  <c r="M168" i="1"/>
  <c r="L91" i="1"/>
  <c r="N91" i="1" l="1"/>
  <c r="K91" i="1"/>
  <c r="J91" i="1" s="1"/>
  <c r="M169" i="1"/>
  <c r="I170" i="1"/>
  <c r="I171" i="1" l="1"/>
  <c r="M170" i="1"/>
  <c r="L92" i="1"/>
  <c r="N92" i="1" l="1"/>
  <c r="K92" i="1"/>
  <c r="J92" i="1" s="1"/>
  <c r="M171" i="1"/>
  <c r="I172" i="1"/>
  <c r="L93" i="1" l="1"/>
  <c r="I173" i="1"/>
  <c r="M172" i="1"/>
  <c r="M173" i="1" l="1"/>
  <c r="I174" i="1"/>
  <c r="N93" i="1"/>
  <c r="K93" i="1"/>
  <c r="J93" i="1" s="1"/>
  <c r="I175" i="1" l="1"/>
  <c r="M174" i="1"/>
  <c r="L94" i="1"/>
  <c r="M175" i="1" l="1"/>
  <c r="I176" i="1"/>
  <c r="N94" i="1"/>
  <c r="K94" i="1"/>
  <c r="J94" i="1" l="1"/>
  <c r="E17" i="1" s="1"/>
  <c r="I177" i="1"/>
  <c r="M176" i="1"/>
  <c r="C17" i="1" l="1"/>
  <c r="B17" i="1"/>
  <c r="L95" i="1"/>
  <c r="M177" i="1"/>
  <c r="I178" i="1"/>
  <c r="D17" i="1" l="1"/>
  <c r="K95" i="1"/>
  <c r="N95" i="1"/>
  <c r="I179" i="1"/>
  <c r="M178" i="1"/>
  <c r="J95" i="1" l="1"/>
  <c r="L96" i="1" s="1"/>
  <c r="M179" i="1"/>
  <c r="I180" i="1"/>
  <c r="K96" i="1" l="1"/>
  <c r="N96" i="1"/>
  <c r="I181" i="1"/>
  <c r="M180" i="1"/>
  <c r="J96" i="1" l="1"/>
  <c r="L97" i="1" s="1"/>
  <c r="K97" i="1" s="1"/>
  <c r="I182" i="1"/>
  <c r="M181" i="1"/>
  <c r="N97" i="1" l="1"/>
  <c r="J97" i="1"/>
  <c r="L98" i="1" s="1"/>
  <c r="I183" i="1"/>
  <c r="M182" i="1"/>
  <c r="K98" i="1" l="1"/>
  <c r="N98" i="1"/>
  <c r="I184" i="1"/>
  <c r="M183" i="1"/>
  <c r="J98" i="1" l="1"/>
  <c r="L99" i="1" s="1"/>
  <c r="M184" i="1"/>
  <c r="I185" i="1"/>
  <c r="N99" i="1" l="1"/>
  <c r="K99" i="1"/>
  <c r="M185" i="1"/>
  <c r="I186" i="1"/>
  <c r="J99" i="1" l="1"/>
  <c r="L100" i="1" s="1"/>
  <c r="M186" i="1"/>
  <c r="I187" i="1"/>
  <c r="I188" i="1" l="1"/>
  <c r="M187" i="1"/>
  <c r="N100" i="1"/>
  <c r="K100" i="1"/>
  <c r="J100" i="1" l="1"/>
  <c r="L101" i="1" s="1"/>
  <c r="I189" i="1"/>
  <c r="M188" i="1"/>
  <c r="I190" i="1" l="1"/>
  <c r="M189" i="1"/>
  <c r="N101" i="1"/>
  <c r="K101" i="1"/>
  <c r="J101" i="1" s="1"/>
  <c r="L102" i="1" l="1"/>
  <c r="I191" i="1"/>
  <c r="M190" i="1"/>
  <c r="N102" i="1" l="1"/>
  <c r="K102" i="1"/>
  <c r="J102" i="1" s="1"/>
  <c r="I192" i="1"/>
  <c r="M191" i="1"/>
  <c r="L103" i="1" l="1"/>
  <c r="M192" i="1"/>
  <c r="I193" i="1"/>
  <c r="M193" i="1" l="1"/>
  <c r="I194" i="1"/>
  <c r="N103" i="1"/>
  <c r="K103" i="1"/>
  <c r="J103" i="1" s="1"/>
  <c r="L104" i="1" l="1"/>
  <c r="M194" i="1"/>
  <c r="I195" i="1"/>
  <c r="I196" i="1" l="1"/>
  <c r="M195" i="1"/>
  <c r="N104" i="1"/>
  <c r="K104" i="1"/>
  <c r="J104" i="1" s="1"/>
  <c r="I197" i="1" l="1"/>
  <c r="M196" i="1"/>
  <c r="L105" i="1"/>
  <c r="I198" i="1" l="1"/>
  <c r="M197" i="1"/>
  <c r="N105" i="1"/>
  <c r="K105" i="1"/>
  <c r="J105" i="1" s="1"/>
  <c r="L106" i="1" l="1"/>
  <c r="I199" i="1"/>
  <c r="M198" i="1"/>
  <c r="N106" i="1" l="1"/>
  <c r="K106" i="1"/>
  <c r="I200" i="1"/>
  <c r="M199" i="1"/>
  <c r="J106" i="1" l="1"/>
  <c r="E18" i="1" s="1"/>
  <c r="M200" i="1"/>
  <c r="I201" i="1"/>
  <c r="C18" i="1" l="1"/>
  <c r="B18" i="1"/>
  <c r="L107" i="1"/>
  <c r="N107" i="1" s="1"/>
  <c r="M201" i="1"/>
  <c r="I202" i="1"/>
  <c r="D18" i="1" l="1"/>
  <c r="K107" i="1"/>
  <c r="J107" i="1" s="1"/>
  <c r="L108" i="1" s="1"/>
  <c r="M202" i="1"/>
  <c r="I203" i="1"/>
  <c r="I204" i="1" l="1"/>
  <c r="M203" i="1"/>
  <c r="N108" i="1"/>
  <c r="K108" i="1"/>
  <c r="J108" i="1" l="1"/>
  <c r="L109" i="1" s="1"/>
  <c r="I205" i="1"/>
  <c r="M204" i="1"/>
  <c r="I206" i="1" l="1"/>
  <c r="M205" i="1"/>
  <c r="N109" i="1"/>
  <c r="K109" i="1"/>
  <c r="J109" i="1" l="1"/>
  <c r="L110" i="1" s="1"/>
  <c r="I207" i="1"/>
  <c r="M206" i="1"/>
  <c r="N110" i="1" l="1"/>
  <c r="K110" i="1"/>
  <c r="I208" i="1"/>
  <c r="M207" i="1"/>
  <c r="J110" i="1" l="1"/>
  <c r="L111" i="1" s="1"/>
  <c r="M208" i="1"/>
  <c r="I209" i="1"/>
  <c r="N111" i="1" l="1"/>
  <c r="K111" i="1"/>
  <c r="M209" i="1"/>
  <c r="I210" i="1"/>
  <c r="J111" i="1" l="1"/>
  <c r="L112" i="1" s="1"/>
  <c r="M210" i="1"/>
  <c r="I211" i="1"/>
  <c r="I212" i="1" l="1"/>
  <c r="M211" i="1"/>
  <c r="N112" i="1"/>
  <c r="K112" i="1"/>
  <c r="J112" i="1" s="1"/>
  <c r="I213" i="1" l="1"/>
  <c r="M212" i="1"/>
  <c r="L113" i="1"/>
  <c r="K113" i="1" l="1"/>
  <c r="J113" i="1" s="1"/>
  <c r="N113" i="1"/>
  <c r="I214" i="1"/>
  <c r="M213" i="1"/>
  <c r="I215" i="1" l="1"/>
  <c r="M214" i="1"/>
  <c r="L114" i="1"/>
  <c r="K114" i="1" l="1"/>
  <c r="J114" i="1" s="1"/>
  <c r="N114" i="1"/>
  <c r="I216" i="1"/>
  <c r="M215" i="1"/>
  <c r="I217" i="1" l="1"/>
  <c r="M216" i="1"/>
  <c r="L115" i="1"/>
  <c r="N115" i="1" l="1"/>
  <c r="K115" i="1"/>
  <c r="J115" i="1" s="1"/>
  <c r="I218" i="1"/>
  <c r="M217" i="1"/>
  <c r="M218" i="1" l="1"/>
  <c r="I219" i="1"/>
  <c r="L116" i="1"/>
  <c r="I220" i="1" l="1"/>
  <c r="M219" i="1"/>
  <c r="N116" i="1"/>
  <c r="K116" i="1"/>
  <c r="J116" i="1" s="1"/>
  <c r="L117" i="1" l="1"/>
  <c r="I221" i="1"/>
  <c r="M220" i="1"/>
  <c r="I222" i="1" l="1"/>
  <c r="M221" i="1"/>
  <c r="N117" i="1"/>
  <c r="K117" i="1"/>
  <c r="J117" i="1" s="1"/>
  <c r="M222" i="1" l="1"/>
  <c r="I223" i="1"/>
  <c r="L118" i="1"/>
  <c r="N118" i="1" l="1"/>
  <c r="K118" i="1"/>
  <c r="I224" i="1"/>
  <c r="M223" i="1"/>
  <c r="J118" i="1" l="1"/>
  <c r="E19" i="1" s="1"/>
  <c r="I225" i="1"/>
  <c r="M224" i="1"/>
  <c r="C19" i="1" l="1"/>
  <c r="B19" i="1"/>
  <c r="L119" i="1"/>
  <c r="K119" i="1" s="1"/>
  <c r="I226" i="1"/>
  <c r="M225" i="1"/>
  <c r="D19" i="1" l="1"/>
  <c r="N119" i="1"/>
  <c r="J119" i="1"/>
  <c r="L120" i="1" s="1"/>
  <c r="M226" i="1"/>
  <c r="I227" i="1"/>
  <c r="N120" i="1" l="1"/>
  <c r="K120" i="1"/>
  <c r="I228" i="1"/>
  <c r="M227" i="1"/>
  <c r="J120" i="1" l="1"/>
  <c r="L121" i="1" s="1"/>
  <c r="I229" i="1"/>
  <c r="M228" i="1"/>
  <c r="I230" i="1" l="1"/>
  <c r="M229" i="1"/>
  <c r="N121" i="1"/>
  <c r="K121" i="1"/>
  <c r="J121" i="1" l="1"/>
  <c r="L122" i="1" s="1"/>
  <c r="M230" i="1"/>
  <c r="I231" i="1"/>
  <c r="I232" i="1" l="1"/>
  <c r="M231" i="1"/>
  <c r="N122" i="1"/>
  <c r="K122" i="1"/>
  <c r="J122" i="1" l="1"/>
  <c r="L123" i="1" s="1"/>
  <c r="I233" i="1"/>
  <c r="M232" i="1"/>
  <c r="I234" i="1" l="1"/>
  <c r="M233" i="1"/>
  <c r="N123" i="1"/>
  <c r="K123" i="1"/>
  <c r="J123" i="1" l="1"/>
  <c r="L124" i="1" s="1"/>
  <c r="M234" i="1"/>
  <c r="I235" i="1"/>
  <c r="N124" i="1" l="1"/>
  <c r="K124" i="1"/>
  <c r="J124" i="1" s="1"/>
  <c r="I236" i="1"/>
  <c r="M235" i="1"/>
  <c r="I237" i="1" l="1"/>
  <c r="M236" i="1"/>
  <c r="L125" i="1"/>
  <c r="I238" i="1" l="1"/>
  <c r="M237" i="1"/>
  <c r="N125" i="1"/>
  <c r="K125" i="1"/>
  <c r="J125" i="1" s="1"/>
  <c r="L126" i="1" l="1"/>
  <c r="M238" i="1"/>
  <c r="I239" i="1"/>
  <c r="I240" i="1" l="1"/>
  <c r="M239" i="1"/>
  <c r="K126" i="1"/>
  <c r="J126" i="1" s="1"/>
  <c r="N126" i="1"/>
  <c r="I241" i="1" l="1"/>
  <c r="M240" i="1"/>
  <c r="L127" i="1"/>
  <c r="K127" i="1" l="1"/>
  <c r="J127" i="1" s="1"/>
  <c r="N127" i="1"/>
  <c r="I242" i="1"/>
  <c r="M241" i="1"/>
  <c r="M242" i="1" l="1"/>
  <c r="I243" i="1"/>
  <c r="L128" i="1"/>
  <c r="I244" i="1" l="1"/>
  <c r="M243" i="1"/>
  <c r="N128" i="1"/>
  <c r="K128" i="1"/>
  <c r="J128" i="1" s="1"/>
  <c r="L129" i="1" l="1"/>
  <c r="I245" i="1"/>
  <c r="M244" i="1"/>
  <c r="I246" i="1" l="1"/>
  <c r="M245" i="1"/>
  <c r="N129" i="1"/>
  <c r="K129" i="1"/>
  <c r="J129" i="1" s="1"/>
  <c r="M246" i="1" l="1"/>
  <c r="I247" i="1"/>
  <c r="L130" i="1"/>
  <c r="I248" i="1" l="1"/>
  <c r="M247" i="1"/>
  <c r="N130" i="1"/>
  <c r="K130" i="1"/>
  <c r="J130" i="1" l="1"/>
  <c r="E20" i="1" s="1"/>
  <c r="I249" i="1"/>
  <c r="M248" i="1"/>
  <c r="C20" i="1" l="1"/>
  <c r="B20" i="1"/>
  <c r="L131" i="1"/>
  <c r="I250" i="1"/>
  <c r="M249" i="1"/>
  <c r="D20" i="1" l="1"/>
  <c r="N131" i="1"/>
  <c r="K131" i="1"/>
  <c r="M250" i="1"/>
  <c r="I251" i="1"/>
  <c r="J131" i="1" l="1"/>
  <c r="L132" i="1" s="1"/>
  <c r="K132" i="1" s="1"/>
  <c r="I252" i="1"/>
  <c r="M251" i="1"/>
  <c r="N132" i="1" l="1"/>
  <c r="J132" i="1"/>
  <c r="L133" i="1" s="1"/>
  <c r="I253" i="1"/>
  <c r="M252" i="1"/>
  <c r="I254" i="1" l="1"/>
  <c r="M253" i="1"/>
  <c r="N133" i="1"/>
  <c r="K133" i="1"/>
  <c r="J133" i="1" l="1"/>
  <c r="L134" i="1" s="1"/>
  <c r="M254" i="1"/>
  <c r="I255" i="1"/>
  <c r="I256" i="1" l="1"/>
  <c r="M255" i="1"/>
  <c r="N134" i="1"/>
  <c r="K134" i="1"/>
  <c r="J134" i="1" l="1"/>
  <c r="L135" i="1" s="1"/>
  <c r="M256" i="1"/>
  <c r="I257" i="1"/>
  <c r="I258" i="1" l="1"/>
  <c r="M257" i="1"/>
  <c r="K135" i="1"/>
  <c r="N135" i="1"/>
  <c r="J135" i="1" l="1"/>
  <c r="L136" i="1" s="1"/>
  <c r="M258" i="1"/>
  <c r="I259" i="1"/>
  <c r="N136" i="1" l="1"/>
  <c r="K136" i="1"/>
  <c r="J136" i="1" s="1"/>
  <c r="I260" i="1"/>
  <c r="M259" i="1"/>
  <c r="I261" i="1" l="1"/>
  <c r="M260" i="1"/>
  <c r="L137" i="1"/>
  <c r="N137" i="1" l="1"/>
  <c r="K137" i="1"/>
  <c r="J137" i="1" s="1"/>
  <c r="M261" i="1"/>
  <c r="I262" i="1"/>
  <c r="I263" i="1" l="1"/>
  <c r="M262" i="1"/>
  <c r="L138" i="1"/>
  <c r="M263" i="1" l="1"/>
  <c r="I264" i="1"/>
  <c r="N138" i="1"/>
  <c r="K138" i="1"/>
  <c r="J138" i="1" s="1"/>
  <c r="I265" i="1" l="1"/>
  <c r="M264" i="1"/>
  <c r="L139" i="1"/>
  <c r="N139" i="1" l="1"/>
  <c r="K139" i="1"/>
  <c r="J139" i="1" s="1"/>
  <c r="M265" i="1"/>
  <c r="I266" i="1"/>
  <c r="I267" i="1" l="1"/>
  <c r="M266" i="1"/>
  <c r="L140" i="1"/>
  <c r="N140" i="1" l="1"/>
  <c r="K140" i="1"/>
  <c r="J140" i="1" s="1"/>
  <c r="M267" i="1"/>
  <c r="I268" i="1"/>
  <c r="I269" i="1" l="1"/>
  <c r="M268" i="1"/>
  <c r="L141" i="1"/>
  <c r="N141" i="1" l="1"/>
  <c r="K141" i="1"/>
  <c r="J141" i="1" s="1"/>
  <c r="M269" i="1"/>
  <c r="I270" i="1"/>
  <c r="L142" i="1" l="1"/>
  <c r="I271" i="1"/>
  <c r="M270" i="1"/>
  <c r="M271" i="1" l="1"/>
  <c r="I272" i="1"/>
  <c r="N142" i="1"/>
  <c r="K142" i="1"/>
  <c r="J142" i="1" l="1"/>
  <c r="E21" i="1" s="1"/>
  <c r="I273" i="1"/>
  <c r="M272" i="1"/>
  <c r="C21" i="1" l="1"/>
  <c r="B21" i="1"/>
  <c r="L143" i="1"/>
  <c r="M273" i="1"/>
  <c r="I274" i="1"/>
  <c r="D21" i="1" l="1"/>
  <c r="K143" i="1"/>
  <c r="J143" i="1" s="1"/>
  <c r="L144" i="1" s="1"/>
  <c r="N143" i="1"/>
  <c r="I275" i="1"/>
  <c r="M274" i="1"/>
  <c r="N144" i="1" l="1"/>
  <c r="K144" i="1"/>
  <c r="M275" i="1"/>
  <c r="I276" i="1"/>
  <c r="J144" i="1" l="1"/>
  <c r="L145" i="1" s="1"/>
  <c r="I277" i="1"/>
  <c r="M276" i="1"/>
  <c r="M277" i="1" l="1"/>
  <c r="I278" i="1"/>
  <c r="N145" i="1"/>
  <c r="K145" i="1"/>
  <c r="J145" i="1" l="1"/>
  <c r="L146" i="1" s="1"/>
  <c r="I279" i="1"/>
  <c r="M278" i="1"/>
  <c r="N146" i="1" l="1"/>
  <c r="K146" i="1"/>
  <c r="M279" i="1"/>
  <c r="I280" i="1"/>
  <c r="J146" i="1" l="1"/>
  <c r="L147" i="1" s="1"/>
  <c r="I281" i="1"/>
  <c r="M280" i="1"/>
  <c r="K147" i="1" l="1"/>
  <c r="N147" i="1"/>
  <c r="M281" i="1"/>
  <c r="I282" i="1"/>
  <c r="J147" i="1" l="1"/>
  <c r="L148" i="1" s="1"/>
  <c r="I283" i="1"/>
  <c r="M282" i="1"/>
  <c r="N148" i="1" l="1"/>
  <c r="K148" i="1"/>
  <c r="J148" i="1" s="1"/>
  <c r="M283" i="1"/>
  <c r="I284" i="1"/>
  <c r="L149" i="1" l="1"/>
  <c r="I285" i="1"/>
  <c r="M284" i="1"/>
  <c r="M285" i="1" l="1"/>
  <c r="I286" i="1"/>
  <c r="N149" i="1"/>
  <c r="K149" i="1"/>
  <c r="J149" i="1" s="1"/>
  <c r="L150" i="1" l="1"/>
  <c r="I287" i="1"/>
  <c r="M286" i="1"/>
  <c r="N150" i="1" l="1"/>
  <c r="K150" i="1"/>
  <c r="J150" i="1" s="1"/>
  <c r="M287" i="1"/>
  <c r="I288" i="1"/>
  <c r="L151" i="1" l="1"/>
  <c r="I289" i="1"/>
  <c r="M288" i="1"/>
  <c r="M289" i="1" l="1"/>
  <c r="I290" i="1"/>
  <c r="N151" i="1"/>
  <c r="K151" i="1"/>
  <c r="J151" i="1" s="1"/>
  <c r="L152" i="1" l="1"/>
  <c r="I291" i="1"/>
  <c r="M290" i="1"/>
  <c r="M291" i="1" l="1"/>
  <c r="I292" i="1"/>
  <c r="N152" i="1"/>
  <c r="K152" i="1"/>
  <c r="J152" i="1" s="1"/>
  <c r="I293" i="1" l="1"/>
  <c r="M292" i="1"/>
  <c r="L153" i="1"/>
  <c r="N153" i="1" l="1"/>
  <c r="K153" i="1"/>
  <c r="J153" i="1" s="1"/>
  <c r="M293" i="1"/>
  <c r="I294" i="1"/>
  <c r="I295" i="1" l="1"/>
  <c r="M294" i="1"/>
  <c r="L154" i="1"/>
  <c r="M295" i="1" l="1"/>
  <c r="I296" i="1"/>
  <c r="N154" i="1"/>
  <c r="K154" i="1"/>
  <c r="J154" i="1" l="1"/>
  <c r="E22" i="1" s="1"/>
  <c r="I297" i="1"/>
  <c r="M296" i="1"/>
  <c r="C22" i="1" l="1"/>
  <c r="B22" i="1"/>
  <c r="L155" i="1"/>
  <c r="K155" i="1" s="1"/>
  <c r="M297" i="1"/>
  <c r="I298" i="1"/>
  <c r="D22" i="1" l="1"/>
  <c r="N155" i="1"/>
  <c r="J155" i="1"/>
  <c r="L156" i="1" s="1"/>
  <c r="I299" i="1"/>
  <c r="M298" i="1"/>
  <c r="N156" i="1" l="1"/>
  <c r="K156" i="1"/>
  <c r="M299" i="1"/>
  <c r="I300" i="1"/>
  <c r="J156" i="1" l="1"/>
  <c r="L157" i="1" s="1"/>
  <c r="I301" i="1"/>
  <c r="M300" i="1"/>
  <c r="N157" i="1" l="1"/>
  <c r="K157" i="1"/>
  <c r="M301" i="1"/>
  <c r="I302" i="1"/>
  <c r="J157" i="1" l="1"/>
  <c r="L158" i="1" s="1"/>
  <c r="I303" i="1"/>
  <c r="M302" i="1"/>
  <c r="M303" i="1" l="1"/>
  <c r="I304" i="1"/>
  <c r="N158" i="1"/>
  <c r="K158" i="1"/>
  <c r="J158" i="1" l="1"/>
  <c r="L159" i="1" s="1"/>
  <c r="I305" i="1"/>
  <c r="M304" i="1"/>
  <c r="M305" i="1" l="1"/>
  <c r="I306" i="1"/>
  <c r="N159" i="1"/>
  <c r="K159" i="1"/>
  <c r="J159" i="1" l="1"/>
  <c r="L160" i="1" s="1"/>
  <c r="I307" i="1"/>
  <c r="M306" i="1"/>
  <c r="N160" i="1" l="1"/>
  <c r="K160" i="1"/>
  <c r="J160" i="1" s="1"/>
  <c r="M307" i="1"/>
  <c r="I308" i="1"/>
  <c r="I309" i="1" l="1"/>
  <c r="M308" i="1"/>
  <c r="L161" i="1"/>
  <c r="M309" i="1" l="1"/>
  <c r="I310" i="1"/>
  <c r="N161" i="1"/>
  <c r="K161" i="1"/>
  <c r="J161" i="1" s="1"/>
  <c r="I311" i="1" l="1"/>
  <c r="M310" i="1"/>
  <c r="L162" i="1"/>
  <c r="N162" i="1" l="1"/>
  <c r="K162" i="1"/>
  <c r="J162" i="1" s="1"/>
  <c r="M311" i="1"/>
  <c r="I312" i="1"/>
  <c r="I313" i="1" l="1"/>
  <c r="M312" i="1"/>
  <c r="L163" i="1"/>
  <c r="N163" i="1" l="1"/>
  <c r="K163" i="1"/>
  <c r="J163" i="1" s="1"/>
  <c r="M313" i="1"/>
  <c r="I314" i="1"/>
  <c r="M314" i="1" l="1"/>
  <c r="I315" i="1"/>
  <c r="L164" i="1"/>
  <c r="N164" i="1" l="1"/>
  <c r="K164" i="1"/>
  <c r="J164" i="1" s="1"/>
  <c r="I316" i="1"/>
  <c r="M315" i="1"/>
  <c r="L165" i="1" l="1"/>
  <c r="M316" i="1"/>
  <c r="I317" i="1"/>
  <c r="I318" i="1" l="1"/>
  <c r="M317" i="1"/>
  <c r="N165" i="1"/>
  <c r="K165" i="1"/>
  <c r="J165" i="1" s="1"/>
  <c r="M318" i="1" l="1"/>
  <c r="I319" i="1"/>
  <c r="L166" i="1"/>
  <c r="N166" i="1" l="1"/>
  <c r="K166" i="1"/>
  <c r="I320" i="1"/>
  <c r="M319" i="1"/>
  <c r="J166" i="1" l="1"/>
  <c r="E23" i="1" s="1"/>
  <c r="M320" i="1"/>
  <c r="I321" i="1"/>
  <c r="C23" i="1" l="1"/>
  <c r="B23" i="1"/>
  <c r="L167" i="1"/>
  <c r="I322" i="1"/>
  <c r="M321" i="1"/>
  <c r="D23" i="1" l="1"/>
  <c r="N167" i="1"/>
  <c r="K167" i="1"/>
  <c r="M322" i="1"/>
  <c r="I323" i="1"/>
  <c r="J167" i="1" l="1"/>
  <c r="L168" i="1" s="1"/>
  <c r="I324" i="1"/>
  <c r="M323" i="1"/>
  <c r="K168" i="1" l="1"/>
  <c r="N168" i="1"/>
  <c r="M324" i="1"/>
  <c r="I325" i="1"/>
  <c r="J168" i="1" l="1"/>
  <c r="L169" i="1" s="1"/>
  <c r="K169" i="1" s="1"/>
  <c r="J169" i="1" s="1"/>
  <c r="I326" i="1"/>
  <c r="M325" i="1"/>
  <c r="N169" i="1" l="1"/>
  <c r="M326" i="1"/>
  <c r="I327" i="1"/>
  <c r="L170" i="1"/>
  <c r="N170" i="1" l="1"/>
  <c r="K170" i="1"/>
  <c r="I328" i="1"/>
  <c r="M327" i="1"/>
  <c r="J170" i="1" l="1"/>
  <c r="L171" i="1" s="1"/>
  <c r="M328" i="1"/>
  <c r="I329" i="1"/>
  <c r="K171" i="1" l="1"/>
  <c r="N171" i="1"/>
  <c r="I330" i="1"/>
  <c r="M329" i="1"/>
  <c r="J171" i="1" l="1"/>
  <c r="L172" i="1" s="1"/>
  <c r="M330" i="1"/>
  <c r="I331" i="1"/>
  <c r="N172" i="1" l="1"/>
  <c r="K172" i="1"/>
  <c r="I332" i="1"/>
  <c r="M331" i="1"/>
  <c r="J172" i="1" l="1"/>
  <c r="L173" i="1" s="1"/>
  <c r="M332" i="1"/>
  <c r="I333" i="1"/>
  <c r="I334" i="1" l="1"/>
  <c r="M333" i="1"/>
  <c r="N173" i="1"/>
  <c r="K173" i="1"/>
  <c r="J173" i="1" s="1"/>
  <c r="L174" i="1" l="1"/>
  <c r="M334" i="1"/>
  <c r="I335" i="1"/>
  <c r="I336" i="1" l="1"/>
  <c r="M335" i="1"/>
  <c r="N174" i="1"/>
  <c r="K174" i="1"/>
  <c r="J174" i="1" s="1"/>
  <c r="L175" i="1" l="1"/>
  <c r="M336" i="1"/>
  <c r="I337" i="1"/>
  <c r="I338" i="1" l="1"/>
  <c r="M337" i="1"/>
  <c r="N175" i="1"/>
  <c r="K175" i="1"/>
  <c r="J175" i="1" s="1"/>
  <c r="M338" i="1" l="1"/>
  <c r="I339" i="1"/>
  <c r="L176" i="1"/>
  <c r="N176" i="1" l="1"/>
  <c r="K176" i="1"/>
  <c r="J176" i="1" s="1"/>
  <c r="I340" i="1"/>
  <c r="M339" i="1"/>
  <c r="L177" i="1" l="1"/>
  <c r="M340" i="1"/>
  <c r="I341" i="1"/>
  <c r="I342" i="1" l="1"/>
  <c r="M341" i="1"/>
  <c r="N177" i="1"/>
  <c r="K177" i="1"/>
  <c r="J177" i="1" s="1"/>
  <c r="M342" i="1" l="1"/>
  <c r="I343" i="1"/>
  <c r="L178" i="1"/>
  <c r="N178" i="1" l="1"/>
  <c r="K178" i="1"/>
  <c r="I344" i="1"/>
  <c r="M343" i="1"/>
  <c r="J178" i="1" l="1"/>
  <c r="E24" i="1" s="1"/>
  <c r="M344" i="1"/>
  <c r="I345" i="1"/>
  <c r="C24" i="1" l="1"/>
  <c r="B24" i="1"/>
  <c r="L179" i="1"/>
  <c r="N179" i="1" s="1"/>
  <c r="I346" i="1"/>
  <c r="M345" i="1"/>
  <c r="D24" i="1" l="1"/>
  <c r="K179" i="1"/>
  <c r="J179" i="1" s="1"/>
  <c r="L180" i="1" s="1"/>
  <c r="M346" i="1"/>
  <c r="I347" i="1"/>
  <c r="N180" i="1" l="1"/>
  <c r="K180" i="1"/>
  <c r="I348" i="1"/>
  <c r="M347" i="1"/>
  <c r="J180" i="1" l="1"/>
  <c r="L181" i="1" s="1"/>
  <c r="M348" i="1"/>
  <c r="I349" i="1"/>
  <c r="I350" i="1" l="1"/>
  <c r="M349" i="1"/>
  <c r="N181" i="1"/>
  <c r="K181" i="1"/>
  <c r="J181" i="1" l="1"/>
  <c r="L182" i="1" s="1"/>
  <c r="M350" i="1"/>
  <c r="I351" i="1"/>
  <c r="N182" i="1" l="1"/>
  <c r="K182" i="1"/>
  <c r="I352" i="1"/>
  <c r="M351" i="1"/>
  <c r="J182" i="1" l="1"/>
  <c r="L183" i="1" s="1"/>
  <c r="M352" i="1"/>
  <c r="I353" i="1"/>
  <c r="I354" i="1" l="1"/>
  <c r="M353" i="1"/>
  <c r="N183" i="1"/>
  <c r="K183" i="1"/>
  <c r="J183" i="1" l="1"/>
  <c r="L184" i="1" s="1"/>
  <c r="M354" i="1"/>
  <c r="I355" i="1"/>
  <c r="K184" i="1" l="1"/>
  <c r="J184" i="1" s="1"/>
  <c r="N184" i="1"/>
  <c r="I356" i="1"/>
  <c r="M355" i="1"/>
  <c r="L185" i="1" l="1"/>
  <c r="M356" i="1"/>
  <c r="I357" i="1"/>
  <c r="I358" i="1" l="1"/>
  <c r="M357" i="1"/>
  <c r="K185" i="1"/>
  <c r="J185" i="1" s="1"/>
  <c r="N185" i="1"/>
  <c r="L186" i="1" l="1"/>
  <c r="M358" i="1"/>
  <c r="I359" i="1"/>
  <c r="I360" i="1" l="1"/>
  <c r="M359" i="1"/>
  <c r="K186" i="1"/>
  <c r="J186" i="1" s="1"/>
  <c r="N186" i="1"/>
  <c r="M360" i="1" l="1"/>
  <c r="I361" i="1"/>
  <c r="L187" i="1"/>
  <c r="I362" i="1" l="1"/>
  <c r="M361" i="1"/>
  <c r="N187" i="1"/>
  <c r="K187" i="1"/>
  <c r="J187" i="1" s="1"/>
  <c r="M362" i="1" l="1"/>
  <c r="I363" i="1"/>
  <c r="L188" i="1"/>
  <c r="N188" i="1" l="1"/>
  <c r="K188" i="1"/>
  <c r="J188" i="1" s="1"/>
  <c r="I364" i="1"/>
  <c r="M363" i="1"/>
  <c r="L189" i="1" l="1"/>
  <c r="M364" i="1"/>
  <c r="I365" i="1"/>
  <c r="I366" i="1" l="1"/>
  <c r="M365" i="1"/>
  <c r="N189" i="1"/>
  <c r="K189" i="1"/>
  <c r="J189" i="1" s="1"/>
  <c r="M366" i="1" l="1"/>
  <c r="I367" i="1"/>
  <c r="L190" i="1"/>
  <c r="K190" i="1" l="1"/>
  <c r="N190" i="1"/>
  <c r="I368" i="1"/>
  <c r="M367" i="1"/>
  <c r="J190" i="1" l="1"/>
  <c r="E25" i="1" s="1"/>
  <c r="M368" i="1"/>
  <c r="I369" i="1"/>
  <c r="C25" i="1" l="1"/>
  <c r="B25" i="1"/>
  <c r="L191" i="1"/>
  <c r="N191" i="1" s="1"/>
  <c r="I370" i="1"/>
  <c r="B13" i="2" s="1"/>
  <c r="M369" i="1"/>
  <c r="B14" i="2" l="1"/>
  <c r="E13" i="2"/>
  <c r="D13" i="2"/>
  <c r="C13" i="2"/>
  <c r="D25" i="1"/>
  <c r="K191" i="1"/>
  <c r="J191" i="1" s="1"/>
  <c r="L192" i="1" s="1"/>
  <c r="M370" i="1"/>
  <c r="B15" i="2" l="1"/>
  <c r="E14" i="2"/>
  <c r="D14" i="2"/>
  <c r="C14" i="2"/>
  <c r="K192" i="1"/>
  <c r="N192" i="1"/>
  <c r="B16" i="2" l="1"/>
  <c r="E15" i="2"/>
  <c r="D15" i="2"/>
  <c r="C15" i="2"/>
  <c r="J192" i="1"/>
  <c r="L193" i="1" s="1"/>
  <c r="B17" i="2" l="1"/>
  <c r="E16" i="2"/>
  <c r="D16" i="2"/>
  <c r="C16" i="2"/>
  <c r="N193" i="1"/>
  <c r="K193" i="1"/>
  <c r="B18" i="2" l="1"/>
  <c r="E17" i="2"/>
  <c r="D17" i="2"/>
  <c r="C17" i="2"/>
  <c r="J193" i="1"/>
  <c r="L194" i="1" s="1"/>
  <c r="B19" i="2" l="1"/>
  <c r="E18" i="2"/>
  <c r="D18" i="2"/>
  <c r="N194" i="1"/>
  <c r="K194" i="1"/>
  <c r="B20" i="2" l="1"/>
  <c r="B21" i="2" s="1"/>
  <c r="B22" i="2" s="1"/>
  <c r="B23" i="2" s="1"/>
  <c r="B24" i="2" s="1"/>
  <c r="D19" i="2"/>
  <c r="J194" i="1"/>
  <c r="L195" i="1" s="1"/>
  <c r="N195" i="1" l="1"/>
  <c r="K195" i="1"/>
  <c r="J195" i="1" l="1"/>
  <c r="L196" i="1" s="1"/>
  <c r="N196" i="1" l="1"/>
  <c r="K196" i="1"/>
  <c r="J196" i="1" s="1"/>
  <c r="L197" i="1" l="1"/>
  <c r="N197" i="1" l="1"/>
  <c r="K197" i="1"/>
  <c r="J197" i="1" s="1"/>
  <c r="L198" i="1" l="1"/>
  <c r="N198" i="1" l="1"/>
  <c r="K198" i="1"/>
  <c r="J198" i="1" s="1"/>
  <c r="L199" i="1" l="1"/>
  <c r="N199" i="1" l="1"/>
  <c r="K199" i="1"/>
  <c r="J199" i="1" s="1"/>
  <c r="L200" i="1" l="1"/>
  <c r="K200" i="1" l="1"/>
  <c r="J200" i="1" s="1"/>
  <c r="N200" i="1"/>
  <c r="L201" i="1" l="1"/>
  <c r="N201" i="1" l="1"/>
  <c r="K201" i="1"/>
  <c r="J201" i="1" s="1"/>
  <c r="L202" i="1" l="1"/>
  <c r="N202" i="1" l="1"/>
  <c r="K202" i="1"/>
  <c r="J202" i="1" l="1"/>
  <c r="E26" i="1" s="1"/>
  <c r="C26" i="1" l="1"/>
  <c r="B26" i="1"/>
  <c r="L203" i="1"/>
  <c r="D26" i="1" l="1"/>
  <c r="K203" i="1"/>
  <c r="N203" i="1"/>
  <c r="J203" i="1" l="1"/>
  <c r="L204" i="1" s="1"/>
  <c r="N204" i="1" l="1"/>
  <c r="K204" i="1"/>
  <c r="J204" i="1" l="1"/>
  <c r="L205" i="1" s="1"/>
  <c r="N205" i="1" s="1"/>
  <c r="K205" i="1" l="1"/>
  <c r="J205" i="1" s="1"/>
  <c r="L206" i="1" s="1"/>
  <c r="N206" i="1" l="1"/>
  <c r="K206" i="1"/>
  <c r="J206" i="1" l="1"/>
  <c r="L207" i="1" s="1"/>
  <c r="N207" i="1" l="1"/>
  <c r="K207" i="1"/>
  <c r="J207" i="1" l="1"/>
  <c r="L208" i="1" s="1"/>
  <c r="N208" i="1" l="1"/>
  <c r="K208" i="1"/>
  <c r="J208" i="1" s="1"/>
  <c r="L209" i="1" l="1"/>
  <c r="N209" i="1" l="1"/>
  <c r="K209" i="1"/>
  <c r="J209" i="1" s="1"/>
  <c r="L210" i="1" l="1"/>
  <c r="N210" i="1" l="1"/>
  <c r="K210" i="1"/>
  <c r="J210" i="1" s="1"/>
  <c r="L211" i="1" l="1"/>
  <c r="N211" i="1" l="1"/>
  <c r="K211" i="1"/>
  <c r="J211" i="1" s="1"/>
  <c r="L212" i="1" l="1"/>
  <c r="N212" i="1" l="1"/>
  <c r="K212" i="1"/>
  <c r="J212" i="1" s="1"/>
  <c r="L213" i="1" l="1"/>
  <c r="N213" i="1" l="1"/>
  <c r="K213" i="1"/>
  <c r="J213" i="1" s="1"/>
  <c r="L214" i="1" l="1"/>
  <c r="K214" i="1" l="1"/>
  <c r="N214" i="1"/>
  <c r="J214" i="1" l="1"/>
  <c r="E27" i="1" s="1"/>
  <c r="C27" i="1" l="1"/>
  <c r="B27" i="1"/>
  <c r="L215" i="1"/>
  <c r="D27" i="1" l="1"/>
  <c r="N215" i="1"/>
  <c r="K215" i="1"/>
  <c r="J215" i="1" l="1"/>
  <c r="L216" i="1" s="1"/>
  <c r="N216" i="1" s="1"/>
  <c r="K216" i="1" l="1"/>
  <c r="J216" i="1" s="1"/>
  <c r="L217" i="1" s="1"/>
  <c r="N217" i="1" l="1"/>
  <c r="K217" i="1"/>
  <c r="J217" i="1" l="1"/>
  <c r="L218" i="1" s="1"/>
  <c r="K218" i="1" l="1"/>
  <c r="N218" i="1"/>
  <c r="J218" i="1" l="1"/>
  <c r="L219" i="1" s="1"/>
  <c r="N219" i="1" l="1"/>
  <c r="K219" i="1"/>
  <c r="J219" i="1" l="1"/>
  <c r="L220" i="1" s="1"/>
  <c r="N220" i="1" l="1"/>
  <c r="K220" i="1"/>
  <c r="J220" i="1" s="1"/>
  <c r="L221" i="1" l="1"/>
  <c r="K221" i="1" l="1"/>
  <c r="J221" i="1" s="1"/>
  <c r="N221" i="1"/>
  <c r="L222" i="1" l="1"/>
  <c r="N222" i="1" l="1"/>
  <c r="K222" i="1"/>
  <c r="J222" i="1" s="1"/>
  <c r="L223" i="1" l="1"/>
  <c r="N223" i="1" l="1"/>
  <c r="K223" i="1"/>
  <c r="J223" i="1" s="1"/>
  <c r="L224" i="1" l="1"/>
  <c r="N224" i="1" l="1"/>
  <c r="K224" i="1"/>
  <c r="J224" i="1" s="1"/>
  <c r="L225" i="1" l="1"/>
  <c r="N225" i="1" l="1"/>
  <c r="K225" i="1"/>
  <c r="J225" i="1" s="1"/>
  <c r="L226" i="1" l="1"/>
  <c r="N226" i="1" l="1"/>
  <c r="K226" i="1"/>
  <c r="J226" i="1" l="1"/>
  <c r="E28" i="1" s="1"/>
  <c r="C28" i="1" l="1"/>
  <c r="B28" i="1"/>
  <c r="L227" i="1"/>
  <c r="D28" i="1" l="1"/>
  <c r="K227" i="1"/>
  <c r="J227" i="1" s="1"/>
  <c r="L228" i="1" s="1"/>
  <c r="N227" i="1"/>
  <c r="N228" i="1" l="1"/>
  <c r="K228" i="1"/>
  <c r="J228" i="1" l="1"/>
  <c r="L229" i="1" s="1"/>
  <c r="N229" i="1" l="1"/>
  <c r="K229" i="1"/>
  <c r="J229" i="1" l="1"/>
  <c r="L230" i="1" s="1"/>
  <c r="N230" i="1" l="1"/>
  <c r="K230" i="1"/>
  <c r="J230" i="1" l="1"/>
  <c r="L231" i="1" s="1"/>
  <c r="N231" i="1" l="1"/>
  <c r="K231" i="1"/>
  <c r="J231" i="1" l="1"/>
  <c r="L232" i="1" s="1"/>
  <c r="N232" i="1" l="1"/>
  <c r="K232" i="1"/>
  <c r="J232" i="1" s="1"/>
  <c r="L233" i="1" l="1"/>
  <c r="N233" i="1" l="1"/>
  <c r="K233" i="1"/>
  <c r="J233" i="1" s="1"/>
  <c r="L234" i="1" l="1"/>
  <c r="N234" i="1" l="1"/>
  <c r="K234" i="1"/>
  <c r="J234" i="1" s="1"/>
  <c r="L235" i="1" l="1"/>
  <c r="K235" i="1" l="1"/>
  <c r="J235" i="1" s="1"/>
  <c r="N235" i="1"/>
  <c r="L236" i="1" l="1"/>
  <c r="N236" i="1" l="1"/>
  <c r="K236" i="1"/>
  <c r="J236" i="1" s="1"/>
  <c r="L237" i="1" l="1"/>
  <c r="N237" i="1" l="1"/>
  <c r="K237" i="1"/>
  <c r="J237" i="1" s="1"/>
  <c r="L238" i="1" l="1"/>
  <c r="K238" i="1" l="1"/>
  <c r="N238" i="1"/>
  <c r="J238" i="1" l="1"/>
  <c r="E29" i="1" s="1"/>
  <c r="C29" i="1" l="1"/>
  <c r="B29" i="1"/>
  <c r="L239" i="1"/>
  <c r="D29" i="1" l="1"/>
  <c r="N239" i="1"/>
  <c r="K239" i="1"/>
  <c r="J239" i="1" l="1"/>
  <c r="L240" i="1" s="1"/>
  <c r="N240" i="1" s="1"/>
  <c r="K240" i="1" l="1"/>
  <c r="J240" i="1" s="1"/>
  <c r="L241" i="1" s="1"/>
  <c r="N241" i="1" l="1"/>
  <c r="K241" i="1"/>
  <c r="J241" i="1" l="1"/>
  <c r="L242" i="1" s="1"/>
  <c r="N242" i="1" l="1"/>
  <c r="K242" i="1"/>
  <c r="J242" i="1" l="1"/>
  <c r="L243" i="1" s="1"/>
  <c r="N243" i="1" l="1"/>
  <c r="K243" i="1"/>
  <c r="J243" i="1" l="1"/>
  <c r="L244" i="1" s="1"/>
  <c r="N244" i="1" l="1"/>
  <c r="K244" i="1"/>
  <c r="J244" i="1" s="1"/>
  <c r="L245" i="1" l="1"/>
  <c r="N245" i="1" l="1"/>
  <c r="K245" i="1"/>
  <c r="J245" i="1" s="1"/>
  <c r="L246" i="1" l="1"/>
  <c r="N246" i="1" l="1"/>
  <c r="K246" i="1"/>
  <c r="J246" i="1" s="1"/>
  <c r="L247" i="1" l="1"/>
  <c r="N247" i="1" l="1"/>
  <c r="K247" i="1"/>
  <c r="J247" i="1" s="1"/>
  <c r="L248" i="1" l="1"/>
  <c r="N248" i="1" l="1"/>
  <c r="K248" i="1"/>
  <c r="J248" i="1" s="1"/>
  <c r="L249" i="1" l="1"/>
  <c r="N249" i="1" l="1"/>
  <c r="K249" i="1"/>
  <c r="J249" i="1" s="1"/>
  <c r="L250" i="1" l="1"/>
  <c r="N250" i="1" l="1"/>
  <c r="K250" i="1"/>
  <c r="J250" i="1" l="1"/>
  <c r="E30" i="1" s="1"/>
  <c r="C30" i="1" l="1"/>
  <c r="B30" i="1"/>
  <c r="L251" i="1"/>
  <c r="D30" i="1" l="1"/>
  <c r="K251" i="1"/>
  <c r="J251" i="1" s="1"/>
  <c r="L252" i="1" s="1"/>
  <c r="N251" i="1"/>
  <c r="N252" i="1" l="1"/>
  <c r="K252" i="1"/>
  <c r="J252" i="1" l="1"/>
  <c r="L253" i="1" s="1"/>
  <c r="N253" i="1" l="1"/>
  <c r="K253" i="1"/>
  <c r="J253" i="1" l="1"/>
  <c r="L254" i="1" s="1"/>
  <c r="N254" i="1" l="1"/>
  <c r="K254" i="1"/>
  <c r="J254" i="1" l="1"/>
  <c r="L255" i="1" s="1"/>
  <c r="N255" i="1" l="1"/>
  <c r="K255" i="1"/>
  <c r="J255" i="1" l="1"/>
  <c r="L256" i="1" s="1"/>
  <c r="N256" i="1" l="1"/>
  <c r="K256" i="1"/>
  <c r="J256" i="1" s="1"/>
  <c r="L257" i="1" l="1"/>
  <c r="N257" i="1" l="1"/>
  <c r="K257" i="1"/>
  <c r="J257" i="1" s="1"/>
  <c r="L258" i="1" l="1"/>
  <c r="N258" i="1" l="1"/>
  <c r="K258" i="1"/>
  <c r="J258" i="1" s="1"/>
  <c r="L259" i="1" l="1"/>
  <c r="N259" i="1" l="1"/>
  <c r="K259" i="1"/>
  <c r="J259" i="1" s="1"/>
  <c r="L260" i="1" l="1"/>
  <c r="N260" i="1" l="1"/>
  <c r="K260" i="1"/>
  <c r="J260" i="1" s="1"/>
  <c r="L261" i="1" l="1"/>
  <c r="N261" i="1" l="1"/>
  <c r="K261" i="1"/>
  <c r="J261" i="1" s="1"/>
  <c r="L262" i="1" l="1"/>
  <c r="N262" i="1" l="1"/>
  <c r="K262" i="1"/>
  <c r="J262" i="1" l="1"/>
  <c r="E31" i="1" s="1"/>
  <c r="C31" i="1" l="1"/>
  <c r="B31" i="1"/>
  <c r="L263" i="1"/>
  <c r="K263" i="1" s="1"/>
  <c r="D31" i="1" l="1"/>
  <c r="N263" i="1"/>
  <c r="J263" i="1"/>
  <c r="L264" i="1" s="1"/>
  <c r="N264" i="1" l="1"/>
  <c r="K264" i="1"/>
  <c r="J264" i="1" l="1"/>
  <c r="L265" i="1" s="1"/>
  <c r="N265" i="1" l="1"/>
  <c r="K265" i="1"/>
  <c r="J265" i="1" l="1"/>
  <c r="L266" i="1" s="1"/>
  <c r="K266" i="1" l="1"/>
  <c r="N266" i="1"/>
  <c r="J266" i="1" l="1"/>
  <c r="L267" i="1" s="1"/>
  <c r="K267" i="1" l="1"/>
  <c r="N267" i="1"/>
  <c r="J267" i="1" l="1"/>
  <c r="L268" i="1" s="1"/>
  <c r="N268" i="1" l="1"/>
  <c r="K268" i="1"/>
  <c r="J268" i="1" s="1"/>
  <c r="L269" i="1" l="1"/>
  <c r="N269" i="1" l="1"/>
  <c r="K269" i="1"/>
  <c r="J269" i="1" s="1"/>
  <c r="L270" i="1" l="1"/>
  <c r="K270" i="1" l="1"/>
  <c r="J270" i="1" s="1"/>
  <c r="N270" i="1"/>
  <c r="L271" i="1" l="1"/>
  <c r="N271" i="1" l="1"/>
  <c r="K271" i="1"/>
  <c r="J271" i="1" s="1"/>
  <c r="L272" i="1" l="1"/>
  <c r="N272" i="1" l="1"/>
  <c r="K272" i="1"/>
  <c r="J272" i="1" s="1"/>
  <c r="L273" i="1" l="1"/>
  <c r="N273" i="1" l="1"/>
  <c r="K273" i="1"/>
  <c r="J273" i="1" s="1"/>
  <c r="L274" i="1" l="1"/>
  <c r="N274" i="1" l="1"/>
  <c r="K274" i="1"/>
  <c r="J274" i="1" l="1"/>
  <c r="E32" i="1" s="1"/>
  <c r="B32" i="1" l="1"/>
  <c r="C32" i="1"/>
  <c r="L275" i="1"/>
  <c r="D32" i="1" l="1"/>
  <c r="N275" i="1"/>
  <c r="K275" i="1"/>
  <c r="J275" i="1" l="1"/>
  <c r="L276" i="1" s="1"/>
  <c r="N276" i="1" s="1"/>
  <c r="K276" i="1" l="1"/>
  <c r="J276" i="1" l="1"/>
  <c r="L277" i="1" s="1"/>
  <c r="N277" i="1" s="1"/>
  <c r="K277" i="1" l="1"/>
  <c r="J277" i="1" s="1"/>
  <c r="L278" i="1" s="1"/>
  <c r="N278" i="1" l="1"/>
  <c r="K278" i="1"/>
  <c r="J278" i="1" l="1"/>
  <c r="L279" i="1" s="1"/>
  <c r="N279" i="1" l="1"/>
  <c r="K279" i="1"/>
  <c r="J279" i="1" l="1"/>
  <c r="L280" i="1" s="1"/>
  <c r="N280" i="1" l="1"/>
  <c r="K280" i="1"/>
  <c r="J280" i="1" s="1"/>
  <c r="L281" i="1" l="1"/>
  <c r="N281" i="1" l="1"/>
  <c r="K281" i="1"/>
  <c r="J281" i="1" s="1"/>
  <c r="L282" i="1" l="1"/>
  <c r="N282" i="1" l="1"/>
  <c r="K282" i="1"/>
  <c r="J282" i="1" s="1"/>
  <c r="L283" i="1" l="1"/>
  <c r="N283" i="1" l="1"/>
  <c r="K283" i="1"/>
  <c r="J283" i="1" s="1"/>
  <c r="L284" i="1" l="1"/>
  <c r="N284" i="1" l="1"/>
  <c r="K284" i="1"/>
  <c r="J284" i="1" s="1"/>
  <c r="L285" i="1" l="1"/>
  <c r="N285" i="1" l="1"/>
  <c r="K285" i="1"/>
  <c r="J285" i="1" s="1"/>
  <c r="L286" i="1" l="1"/>
  <c r="K286" i="1" l="1"/>
  <c r="N286" i="1"/>
  <c r="J286" i="1" l="1"/>
  <c r="E33" i="1" s="1"/>
  <c r="C33" i="1" l="1"/>
  <c r="B33" i="1"/>
  <c r="L287" i="1"/>
  <c r="D33" i="1" l="1"/>
  <c r="N287" i="1"/>
  <c r="K287" i="1"/>
  <c r="J287" i="1" l="1"/>
  <c r="L288" i="1" s="1"/>
  <c r="K288" i="1" l="1"/>
  <c r="N288" i="1"/>
  <c r="J288" i="1" l="1"/>
  <c r="L289" i="1" s="1"/>
  <c r="N289" i="1" l="1"/>
  <c r="K289" i="1"/>
  <c r="J289" i="1" s="1"/>
  <c r="L290" i="1" s="1"/>
  <c r="N290" i="1" l="1"/>
  <c r="K290" i="1"/>
  <c r="J290" i="1" l="1"/>
  <c r="L291" i="1" s="1"/>
  <c r="K291" i="1" l="1"/>
  <c r="N291" i="1"/>
  <c r="J291" i="1" l="1"/>
  <c r="L292" i="1" s="1"/>
  <c r="N292" i="1" l="1"/>
  <c r="K292" i="1"/>
  <c r="J292" i="1" s="1"/>
  <c r="L293" i="1" l="1"/>
  <c r="N293" i="1" l="1"/>
  <c r="K293" i="1"/>
  <c r="J293" i="1" s="1"/>
  <c r="L294" i="1" l="1"/>
  <c r="K294" i="1" l="1"/>
  <c r="J294" i="1" s="1"/>
  <c r="N294" i="1"/>
  <c r="L295" i="1" l="1"/>
  <c r="N295" i="1" l="1"/>
  <c r="K295" i="1"/>
  <c r="J295" i="1" s="1"/>
  <c r="L296" i="1" l="1"/>
  <c r="N296" i="1" l="1"/>
  <c r="K296" i="1"/>
  <c r="J296" i="1" s="1"/>
  <c r="L297" i="1" l="1"/>
  <c r="N297" i="1" l="1"/>
  <c r="K297" i="1"/>
  <c r="J297" i="1" s="1"/>
  <c r="L298" i="1" l="1"/>
  <c r="N298" i="1" l="1"/>
  <c r="K298" i="1"/>
  <c r="J298" i="1" l="1"/>
  <c r="E34" i="1" s="1"/>
  <c r="C34" i="1" l="1"/>
  <c r="B34" i="1"/>
  <c r="L299" i="1"/>
  <c r="D34" i="1" l="1"/>
  <c r="N299" i="1"/>
  <c r="K299" i="1"/>
  <c r="J299" i="1" l="1"/>
  <c r="L300" i="1" s="1"/>
  <c r="N300" i="1" l="1"/>
  <c r="K300" i="1"/>
  <c r="J300" i="1" l="1"/>
  <c r="L301" i="1" s="1"/>
  <c r="N301" i="1" s="1"/>
  <c r="K301" i="1" l="1"/>
  <c r="J301" i="1" s="1"/>
  <c r="L302" i="1" s="1"/>
  <c r="N302" i="1" l="1"/>
  <c r="K302" i="1"/>
  <c r="J302" i="1" l="1"/>
  <c r="L303" i="1" s="1"/>
  <c r="N303" i="1" l="1"/>
  <c r="K303" i="1"/>
  <c r="J303" i="1" l="1"/>
  <c r="L304" i="1" s="1"/>
  <c r="N304" i="1" l="1"/>
  <c r="K304" i="1"/>
  <c r="J304" i="1" s="1"/>
  <c r="L305" i="1" l="1"/>
  <c r="N305" i="1" l="1"/>
  <c r="K305" i="1"/>
  <c r="J305" i="1" s="1"/>
  <c r="L306" i="1" l="1"/>
  <c r="N306" i="1" l="1"/>
  <c r="K306" i="1"/>
  <c r="J306" i="1" s="1"/>
  <c r="L307" i="1" l="1"/>
  <c r="N307" i="1" l="1"/>
  <c r="K307" i="1"/>
  <c r="J307" i="1" s="1"/>
  <c r="L308" i="1" l="1"/>
  <c r="N308" i="1" l="1"/>
  <c r="K308" i="1"/>
  <c r="J308" i="1" s="1"/>
  <c r="L309" i="1" l="1"/>
  <c r="N309" i="1" l="1"/>
  <c r="K309" i="1"/>
  <c r="J309" i="1" s="1"/>
  <c r="L310" i="1" l="1"/>
  <c r="N310" i="1" l="1"/>
  <c r="K310" i="1"/>
  <c r="J310" i="1" l="1"/>
  <c r="E35" i="1" s="1"/>
  <c r="C35" i="1" l="1"/>
  <c r="B35" i="1"/>
  <c r="L311" i="1"/>
  <c r="D35" i="1" l="1"/>
  <c r="N311" i="1"/>
  <c r="K311" i="1"/>
  <c r="J311" i="1" l="1"/>
  <c r="L312" i="1" s="1"/>
  <c r="N312" i="1" s="1"/>
  <c r="K312" i="1" l="1"/>
  <c r="J312" i="1" s="1"/>
  <c r="L313" i="1" s="1"/>
  <c r="N313" i="1" l="1"/>
  <c r="K313" i="1"/>
  <c r="J313" i="1" l="1"/>
  <c r="L314" i="1" s="1"/>
  <c r="N314" i="1" l="1"/>
  <c r="K314" i="1"/>
  <c r="J314" i="1" l="1"/>
  <c r="L315" i="1" s="1"/>
  <c r="N315" i="1" l="1"/>
  <c r="K315" i="1"/>
  <c r="J315" i="1" l="1"/>
  <c r="L316" i="1" s="1"/>
  <c r="N316" i="1" l="1"/>
  <c r="K316" i="1"/>
  <c r="J316" i="1" s="1"/>
  <c r="L317" i="1" l="1"/>
  <c r="N317" i="1" l="1"/>
  <c r="K317" i="1"/>
  <c r="J317" i="1" s="1"/>
  <c r="L318" i="1" l="1"/>
  <c r="N318" i="1" l="1"/>
  <c r="K318" i="1"/>
  <c r="J318" i="1" s="1"/>
  <c r="L319" i="1" l="1"/>
  <c r="N319" i="1" l="1"/>
  <c r="K319" i="1"/>
  <c r="J319" i="1" s="1"/>
  <c r="L320" i="1" l="1"/>
  <c r="N320" i="1" l="1"/>
  <c r="K320" i="1"/>
  <c r="J320" i="1" s="1"/>
  <c r="L321" i="1" l="1"/>
  <c r="N321" i="1" l="1"/>
  <c r="K321" i="1"/>
  <c r="J321" i="1" s="1"/>
  <c r="L322" i="1" l="1"/>
  <c r="N322" i="1" l="1"/>
  <c r="K322" i="1"/>
  <c r="J322" i="1" l="1"/>
  <c r="E36" i="1" s="1"/>
  <c r="B36" i="1" l="1"/>
  <c r="D36" i="1"/>
  <c r="C36" i="1"/>
  <c r="L323" i="1"/>
  <c r="N323" i="1" l="1"/>
  <c r="K323" i="1"/>
  <c r="J323" i="1" l="1"/>
  <c r="L324" i="1" s="1"/>
  <c r="N324" i="1" s="1"/>
  <c r="K324" i="1" l="1"/>
  <c r="J324" i="1" s="1"/>
  <c r="L325" i="1" s="1"/>
  <c r="N325" i="1" l="1"/>
  <c r="K325" i="1"/>
  <c r="J325" i="1" l="1"/>
  <c r="L326" i="1" s="1"/>
  <c r="K326" i="1" l="1"/>
  <c r="N326" i="1"/>
  <c r="J326" i="1" l="1"/>
  <c r="L327" i="1" s="1"/>
  <c r="N327" i="1" l="1"/>
  <c r="K327" i="1"/>
  <c r="J327" i="1" l="1"/>
  <c r="L328" i="1" s="1"/>
  <c r="N328" i="1" l="1"/>
  <c r="K328" i="1"/>
  <c r="J328" i="1" s="1"/>
  <c r="L329" i="1" l="1"/>
  <c r="K329" i="1" l="1"/>
  <c r="J329" i="1" s="1"/>
  <c r="N329" i="1"/>
  <c r="L330" i="1" l="1"/>
  <c r="N330" i="1" l="1"/>
  <c r="K330" i="1"/>
  <c r="J330" i="1" s="1"/>
  <c r="L331" i="1" l="1"/>
  <c r="N331" i="1" l="1"/>
  <c r="K331" i="1"/>
  <c r="J331" i="1" s="1"/>
  <c r="L332" i="1" l="1"/>
  <c r="N332" i="1" l="1"/>
  <c r="K332" i="1"/>
  <c r="J332" i="1" s="1"/>
  <c r="L333" i="1" l="1"/>
  <c r="K333" i="1" l="1"/>
  <c r="J333" i="1" s="1"/>
  <c r="N333" i="1"/>
  <c r="L334" i="1" l="1"/>
  <c r="N334" i="1" l="1"/>
  <c r="K334" i="1"/>
  <c r="J334" i="1" l="1"/>
  <c r="E37" i="1" s="1"/>
  <c r="B37" i="1" l="1"/>
  <c r="D37" i="1"/>
  <c r="C37" i="1"/>
  <c r="L335" i="1"/>
  <c r="N335" i="1" s="1"/>
  <c r="K335" i="1" l="1"/>
  <c r="J335" i="1" s="1"/>
  <c r="L336" i="1" s="1"/>
  <c r="N336" i="1" l="1"/>
  <c r="K336" i="1"/>
  <c r="J336" i="1" l="1"/>
  <c r="L337" i="1" s="1"/>
  <c r="N337" i="1" l="1"/>
  <c r="K337" i="1"/>
  <c r="J337" i="1" l="1"/>
  <c r="L338" i="1" s="1"/>
  <c r="N338" i="1" l="1"/>
  <c r="K338" i="1"/>
  <c r="J338" i="1" l="1"/>
  <c r="L339" i="1" s="1"/>
  <c r="N339" i="1" l="1"/>
  <c r="K339" i="1"/>
  <c r="J339" i="1" l="1"/>
  <c r="L340" i="1" s="1"/>
  <c r="N340" i="1" l="1"/>
  <c r="K340" i="1"/>
  <c r="J340" i="1" s="1"/>
  <c r="L341" i="1" l="1"/>
  <c r="N341" i="1" l="1"/>
  <c r="K341" i="1"/>
  <c r="J341" i="1" s="1"/>
  <c r="L342" i="1" l="1"/>
  <c r="N342" i="1" l="1"/>
  <c r="K342" i="1"/>
  <c r="J342" i="1" s="1"/>
  <c r="L343" i="1" l="1"/>
  <c r="N343" i="1" l="1"/>
  <c r="K343" i="1"/>
  <c r="J343" i="1" s="1"/>
  <c r="L344" i="1" l="1"/>
  <c r="N344" i="1" l="1"/>
  <c r="K344" i="1"/>
  <c r="J344" i="1" s="1"/>
  <c r="L345" i="1" l="1"/>
  <c r="N345" i="1" l="1"/>
  <c r="K345" i="1"/>
  <c r="J345" i="1" s="1"/>
  <c r="L346" i="1" l="1"/>
  <c r="N346" i="1" l="1"/>
  <c r="K346" i="1"/>
  <c r="J346" i="1" l="1"/>
  <c r="E38" i="1" s="1"/>
  <c r="B38" i="1" l="1"/>
  <c r="C38" i="1"/>
  <c r="D38" i="1"/>
  <c r="L347" i="1"/>
  <c r="N347" i="1" s="1"/>
  <c r="K347" i="1" l="1"/>
  <c r="J347" i="1" s="1"/>
  <c r="L348" i="1" s="1"/>
  <c r="N348" i="1" l="1"/>
  <c r="K348" i="1"/>
  <c r="J348" i="1" l="1"/>
  <c r="L349" i="1" s="1"/>
  <c r="N349" i="1" l="1"/>
  <c r="K349" i="1"/>
  <c r="J349" i="1" l="1"/>
  <c r="L350" i="1" s="1"/>
  <c r="N350" i="1" l="1"/>
  <c r="K350" i="1"/>
  <c r="J350" i="1" l="1"/>
  <c r="L351" i="1" s="1"/>
  <c r="N351" i="1" l="1"/>
  <c r="K351" i="1"/>
  <c r="J351" i="1" l="1"/>
  <c r="L352" i="1" s="1"/>
  <c r="N352" i="1" l="1"/>
  <c r="K352" i="1"/>
  <c r="J352" i="1" s="1"/>
  <c r="L353" i="1" l="1"/>
  <c r="N353" i="1" l="1"/>
  <c r="K353" i="1"/>
  <c r="J353" i="1" s="1"/>
  <c r="L354" i="1" l="1"/>
  <c r="N354" i="1" l="1"/>
  <c r="K354" i="1"/>
  <c r="J354" i="1" s="1"/>
  <c r="L355" i="1" l="1"/>
  <c r="N355" i="1" l="1"/>
  <c r="K355" i="1"/>
  <c r="J355" i="1" s="1"/>
  <c r="L356" i="1" l="1"/>
  <c r="N356" i="1" l="1"/>
  <c r="K356" i="1"/>
  <c r="J356" i="1" s="1"/>
  <c r="L357" i="1" l="1"/>
  <c r="N357" i="1" l="1"/>
  <c r="K357" i="1"/>
  <c r="J357" i="1" s="1"/>
  <c r="L358" i="1" l="1"/>
  <c r="N358" i="1" l="1"/>
  <c r="K358" i="1"/>
  <c r="J358" i="1" l="1"/>
  <c r="E39" i="1" s="1"/>
  <c r="B39" i="1" l="1"/>
  <c r="C39" i="1"/>
  <c r="D39" i="1"/>
  <c r="L359" i="1"/>
  <c r="N359" i="1" l="1"/>
  <c r="K359" i="1"/>
  <c r="J359" i="1" l="1"/>
  <c r="L360" i="1" s="1"/>
  <c r="N360" i="1" l="1"/>
  <c r="K360" i="1"/>
  <c r="J360" i="1" l="1"/>
  <c r="L361" i="1" s="1"/>
  <c r="K361" i="1" s="1"/>
  <c r="J361" i="1" s="1"/>
  <c r="N361" i="1" l="1"/>
  <c r="L362" i="1"/>
  <c r="N362" i="1" l="1"/>
  <c r="K362" i="1"/>
  <c r="J362" i="1" l="1"/>
  <c r="L363" i="1" s="1"/>
  <c r="N363" i="1" l="1"/>
  <c r="K363" i="1"/>
  <c r="J363" i="1" l="1"/>
  <c r="L364" i="1" s="1"/>
  <c r="N364" i="1" l="1"/>
  <c r="K364" i="1"/>
  <c r="J364" i="1" l="1"/>
  <c r="L365" i="1" s="1"/>
  <c r="K365" i="1" l="1"/>
  <c r="J365" i="1" s="1"/>
  <c r="N365" i="1"/>
  <c r="L366" i="1" l="1"/>
  <c r="N366" i="1" l="1"/>
  <c r="K366" i="1"/>
  <c r="J366" i="1" s="1"/>
  <c r="L367" i="1" l="1"/>
  <c r="N367" i="1" l="1"/>
  <c r="K367" i="1"/>
  <c r="J367" i="1" s="1"/>
  <c r="L368" i="1" l="1"/>
  <c r="N368" i="1" l="1"/>
  <c r="K368" i="1"/>
  <c r="J368" i="1" s="1"/>
  <c r="L369" i="1" l="1"/>
  <c r="K369" i="1" l="1"/>
  <c r="J369" i="1" s="1"/>
  <c r="N369" i="1"/>
  <c r="L370" i="1" l="1"/>
  <c r="N370" i="1" l="1"/>
  <c r="K370" i="1"/>
  <c r="E19" i="2" l="1"/>
  <c r="C22" i="2"/>
  <c r="C18" i="2"/>
  <c r="E20" i="2"/>
  <c r="D21" i="2"/>
  <c r="D23" i="2"/>
  <c r="D22" i="2"/>
  <c r="D24" i="2"/>
  <c r="E23" i="2"/>
  <c r="E21" i="2"/>
  <c r="C20" i="2"/>
  <c r="C24" i="2"/>
  <c r="D20" i="2"/>
  <c r="C21" i="2"/>
  <c r="C19" i="2"/>
  <c r="C23" i="2"/>
  <c r="E22" i="2"/>
  <c r="E24" i="2"/>
  <c r="J370" i="1"/>
  <c r="E40" i="1" s="1"/>
  <c r="B40" i="1" l="1"/>
  <c r="D40" i="1"/>
  <c r="C40" i="1"/>
</calcChain>
</file>

<file path=xl/sharedStrings.xml><?xml version="1.0" encoding="utf-8"?>
<sst xmlns="http://schemas.openxmlformats.org/spreadsheetml/2006/main" count="35" uniqueCount="34">
  <si>
    <t xml:space="preserve">Loan Amount </t>
  </si>
  <si>
    <t>%</t>
  </si>
  <si>
    <t>Month</t>
  </si>
  <si>
    <t>Balance</t>
  </si>
  <si>
    <t>Principal</t>
  </si>
  <si>
    <t>Interest</t>
  </si>
  <si>
    <t>Year</t>
  </si>
  <si>
    <t>Interest Paid</t>
  </si>
  <si>
    <t>Principal Paid</t>
  </si>
  <si>
    <t>Principal Balance</t>
  </si>
  <si>
    <t>Int</t>
  </si>
  <si>
    <t>Total Payment</t>
  </si>
  <si>
    <t>Payoff Date</t>
  </si>
  <si>
    <t>Payment Start Date</t>
  </si>
  <si>
    <t>Term</t>
  </si>
  <si>
    <t>% / Year</t>
  </si>
  <si>
    <t>Interest Rate</t>
  </si>
  <si>
    <t>Table</t>
  </si>
  <si>
    <t>Data</t>
  </si>
  <si>
    <t>Chart</t>
  </si>
  <si>
    <t>(Principal + Interest)</t>
  </si>
  <si>
    <t xml:space="preserve">Monthly Payment </t>
  </si>
  <si>
    <t>Summary</t>
  </si>
  <si>
    <t xml:space="preserve">Need help? Please see this page for information: </t>
  </si>
  <si>
    <t>https://exceltemplate.net/support/</t>
  </si>
  <si>
    <t>Interest amount</t>
  </si>
  <si>
    <t>EURO</t>
  </si>
  <si>
    <t>Y1</t>
  </si>
  <si>
    <t>Y2</t>
  </si>
  <si>
    <t>Y3</t>
  </si>
  <si>
    <t>Y4</t>
  </si>
  <si>
    <t>car depr. Value</t>
  </si>
  <si>
    <t>Loan OB</t>
  </si>
  <si>
    <t xml:space="preserve">Loan Amortization vs Car Value depreciation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</si>
</sst>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_);[Red]\(&quot;$&quot;#,##0.00\)"/>
    <numFmt numFmtId="165" formatCode="_(* #,##0.00_);_(* \(#,##0.00\);_(* &quot;-&quot;??_);_(@_)"/>
    <numFmt numFmtId="166" formatCode="_(* #,##0_);_(* \(#,##0\);_(* &quot;-&quot;??_);_(@_)"/>
    <numFmt numFmtId="167" formatCode="[$-409]mmmm\ d\,\ yy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49998474074526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theme="5" tint="-0.24994659260841701"/>
      </left>
      <right style="medium">
        <color theme="5" tint="-0.24994659260841701"/>
      </right>
      <top style="medium">
        <color theme="5" tint="-0.24994659260841701"/>
      </top>
      <bottom/>
      <diagonal/>
    </border>
    <border>
      <left style="medium">
        <color theme="5" tint="-0.24994659260841701"/>
      </left>
      <right/>
      <top/>
      <bottom style="medium">
        <color theme="5" tint="-0.24994659260841701"/>
      </bottom>
      <diagonal/>
    </border>
    <border>
      <left/>
      <right/>
      <top/>
      <bottom style="medium">
        <color theme="5" tint="-0.24994659260841701"/>
      </bottom>
      <diagonal/>
    </border>
    <border>
      <left/>
      <right style="medium">
        <color theme="5" tint="-0.24994659260841701"/>
      </right>
      <top/>
      <bottom style="medium">
        <color theme="5" tint="-0.2499465926084170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dashed">
        <color theme="5" tint="-0.24994659260841701"/>
      </bottom>
      <diagonal/>
    </border>
    <border>
      <left/>
      <right/>
      <top/>
      <bottom style="thick">
        <color theme="5" tint="-0.24994659260841701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0" fontId="13" fillId="0" borderId="0"/>
    <xf numFmtId="0" fontId="16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165" fontId="0" fillId="0" borderId="1" xfId="1" applyFont="1" applyBorder="1"/>
    <xf numFmtId="0" fontId="4" fillId="0" borderId="0" xfId="0" applyFont="1"/>
    <xf numFmtId="165" fontId="4" fillId="0" borderId="0" xfId="1" applyFont="1" applyBorder="1"/>
    <xf numFmtId="166" fontId="4" fillId="0" borderId="0" xfId="1" applyNumberFormat="1" applyFont="1" applyBorder="1"/>
    <xf numFmtId="164" fontId="4" fillId="0" borderId="0" xfId="0" applyNumberFormat="1" applyFont="1"/>
    <xf numFmtId="0" fontId="5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0" borderId="1" xfId="0" applyBorder="1"/>
    <xf numFmtId="0" fontId="0" fillId="0" borderId="0" xfId="0" applyAlignment="1">
      <alignment vertical="center" wrapText="1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6" fillId="3" borderId="7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4" fillId="0" borderId="0" xfId="1" applyFont="1" applyFill="1" applyBorder="1"/>
    <xf numFmtId="165" fontId="4" fillId="3" borderId="12" xfId="1" applyFont="1" applyFill="1" applyBorder="1"/>
    <xf numFmtId="167" fontId="4" fillId="3" borderId="12" xfId="0" applyNumberFormat="1" applyFont="1" applyFill="1" applyBorder="1"/>
    <xf numFmtId="166" fontId="4" fillId="3" borderId="12" xfId="1" applyNumberFormat="1" applyFont="1" applyFill="1" applyBorder="1"/>
    <xf numFmtId="0" fontId="0" fillId="0" borderId="13" xfId="0" applyBorder="1"/>
    <xf numFmtId="0" fontId="9" fillId="0" borderId="0" xfId="0" applyFont="1"/>
    <xf numFmtId="0" fontId="11" fillId="0" borderId="0" xfId="0" applyFont="1"/>
    <xf numFmtId="0" fontId="10" fillId="0" borderId="0" xfId="0" applyFont="1"/>
    <xf numFmtId="165" fontId="11" fillId="0" borderId="0" xfId="1" applyFont="1" applyBorder="1"/>
    <xf numFmtId="165" fontId="10" fillId="0" borderId="0" xfId="0" applyNumberFormat="1" applyFont="1"/>
    <xf numFmtId="0" fontId="12" fillId="0" borderId="0" xfId="0" applyFont="1" applyAlignment="1">
      <alignment horizontal="center"/>
    </xf>
    <xf numFmtId="165" fontId="10" fillId="0" borderId="0" xfId="1" applyFont="1" applyBorder="1"/>
    <xf numFmtId="0" fontId="14" fillId="0" borderId="0" xfId="2" applyFont="1"/>
    <xf numFmtId="0" fontId="15" fillId="0" borderId="0" xfId="2" applyFont="1"/>
    <xf numFmtId="0" fontId="17" fillId="0" borderId="0" xfId="3" applyFont="1"/>
    <xf numFmtId="0" fontId="18" fillId="0" borderId="0" xfId="3" applyFont="1" applyAlignment="1"/>
    <xf numFmtId="0" fontId="13" fillId="0" borderId="0" xfId="2"/>
    <xf numFmtId="9" fontId="0" fillId="0" borderId="0" xfId="0" applyNumberFormat="1"/>
    <xf numFmtId="10" fontId="0" fillId="0" borderId="0" xfId="0" applyNumberFormat="1"/>
    <xf numFmtId="0" fontId="0" fillId="0" borderId="0" xfId="0" applyAlignment="1">
      <alignment horizontal="left"/>
    </xf>
    <xf numFmtId="10" fontId="0" fillId="0" borderId="0" xfId="4" applyNumberFormat="1" applyFont="1"/>
    <xf numFmtId="165" fontId="0" fillId="0" borderId="0" xfId="0" applyNumberFormat="1"/>
    <xf numFmtId="0" fontId="0" fillId="0" borderId="0" xfId="0" applyAlignment="1">
      <alignment horizontal="center"/>
    </xf>
    <xf numFmtId="0" fontId="6" fillId="3" borderId="1" xfId="0" applyFont="1" applyFill="1" applyBorder="1" applyAlignment="1">
      <alignment horizontal="center"/>
    </xf>
    <xf numFmtId="39" fontId="8" fillId="0" borderId="1" xfId="1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40" fontId="7" fillId="0" borderId="1" xfId="0" applyNumberFormat="1" applyFont="1" applyBorder="1" applyAlignment="1">
      <alignment horizontal="center" vertical="center"/>
    </xf>
    <xf numFmtId="167" fontId="8" fillId="0" borderId="1" xfId="0" applyNumberFormat="1" applyFont="1" applyBorder="1" applyAlignment="1">
      <alignment horizontal="center" vertical="center"/>
    </xf>
    <xf numFmtId="0" fontId="14" fillId="0" borderId="0" xfId="2" applyFont="1" applyAlignment="1">
      <alignment horizontal="left"/>
    </xf>
    <xf numFmtId="0" fontId="18" fillId="0" borderId="0" xfId="3" applyFont="1" applyAlignment="1">
      <alignment horizontal="left"/>
    </xf>
  </cellXfs>
  <cellStyles count="5">
    <cellStyle name="Comma" xfId="1" builtinId="3"/>
    <cellStyle name="Hyperlink 2" xfId="3" xr:uid="{00000000-0005-0000-0000-000002000000}"/>
    <cellStyle name="Normal" xfId="0" builtinId="0"/>
    <cellStyle name="Normal 2 2" xfId="2" xr:uid="{00000000-0005-0000-0000-000004000000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Sheet1!$B$10</c:f>
              <c:strCache>
                <c:ptCount val="1"/>
                <c:pt idx="0">
                  <c:v>Principal Paid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[0]!Principal</c:f>
              <c:numCache>
                <c:formatCode>_(* #,##0.00_);_(* \(#,##0.00\);_(* "-"??_);_(@_)</c:formatCode>
                <c:ptCount val="4"/>
                <c:pt idx="0">
                  <c:v>5436.1229699245032</c:v>
                </c:pt>
                <c:pt idx="1">
                  <c:v>5946.0688010910926</c:v>
                </c:pt>
                <c:pt idx="2">
                  <c:v>6503.8510686596701</c:v>
                </c:pt>
                <c:pt idx="3">
                  <c:v>7113.9571603247414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94-49B9-B613-6B1824DD9B1D}"/>
            </c:ext>
          </c:extLst>
        </c:ser>
        <c:ser>
          <c:idx val="1"/>
          <c:order val="1"/>
          <c:tx>
            <c:strRef>
              <c:f>Sheet1!$C$10</c:f>
              <c:strCache>
                <c:ptCount val="1"/>
                <c:pt idx="0">
                  <c:v>Interest Paid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[0]!Interest</c:f>
              <c:numCache>
                <c:formatCode>_(* #,##0.00_);_(* \(#,##0.00\);_(* "-"??_);_(@_)</c:formatCode>
                <c:ptCount val="4"/>
                <c:pt idx="0">
                  <c:v>2029.3897422557598</c:v>
                </c:pt>
                <c:pt idx="1">
                  <c:v>1519.4439110891713</c:v>
                </c:pt>
                <c:pt idx="2">
                  <c:v>961.661643520594</c:v>
                </c:pt>
                <c:pt idx="3">
                  <c:v>351.55555185552259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94-49B9-B613-6B1824DD9B1D}"/>
            </c:ext>
          </c:extLst>
        </c:ser>
        <c:ser>
          <c:idx val="2"/>
          <c:order val="2"/>
          <c:tx>
            <c:strRef>
              <c:f>Sheet1!$D$10</c:f>
              <c:strCache>
                <c:ptCount val="1"/>
                <c:pt idx="0">
                  <c:v>Int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</c:spPr>
          <c:invertIfNegative val="0"/>
          <c:val>
            <c:numRef>
              <c:f>[0]!Inte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94-49B9-B613-6B1824DD9B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437417072"/>
        <c:axId val="437415896"/>
      </c:barChart>
      <c:lineChart>
        <c:grouping val="standard"/>
        <c:varyColors val="0"/>
        <c:ser>
          <c:idx val="3"/>
          <c:order val="3"/>
          <c:tx>
            <c:strRef>
              <c:f>Sheet1!$E$10</c:f>
              <c:strCache>
                <c:ptCount val="1"/>
                <c:pt idx="0">
                  <c:v>Principal Balance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picture"/>
            <c:spPr>
              <a:blipFill>
                <a:blip xmlns:r="http://schemas.openxmlformats.org/officeDocument/2006/relationships" r:embed="rId1"/>
                <a:stretch>
                  <a:fillRect/>
                </a:stretch>
              </a:blipFill>
              <a:ln w="9525">
                <a:noFill/>
              </a:ln>
            </c:spPr>
          </c:marker>
          <c:val>
            <c:numRef>
              <c:f>[0]!Balance</c:f>
              <c:numCache>
                <c:formatCode>_(* #,##0.00_);_(* \(#,##0.00\);_(* "-"??_);_(@_)</c:formatCode>
                <c:ptCount val="4"/>
                <c:pt idx="0">
                  <c:v>19563.877030075491</c:v>
                </c:pt>
                <c:pt idx="1">
                  <c:v>13617.808228984399</c:v>
                </c:pt>
                <c:pt idx="2">
                  <c:v>7113.9571603247305</c:v>
                </c:pt>
                <c:pt idx="3">
                  <c:v>-1.0459189070388675E-11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C94-49B9-B613-6B1824DD9B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7416680"/>
        <c:axId val="437416288"/>
      </c:lineChart>
      <c:catAx>
        <c:axId val="437417072"/>
        <c:scaling>
          <c:orientation val="minMax"/>
        </c:scaling>
        <c:delete val="0"/>
        <c:axPos val="b"/>
        <c:majorTickMark val="out"/>
        <c:minorTickMark val="none"/>
        <c:tickLblPos val="nextTo"/>
        <c:crossAx val="437415896"/>
        <c:crosses val="autoZero"/>
        <c:auto val="1"/>
        <c:lblAlgn val="ctr"/>
        <c:lblOffset val="100"/>
        <c:noMultiLvlLbl val="0"/>
      </c:catAx>
      <c:valAx>
        <c:axId val="437415896"/>
        <c:scaling>
          <c:orientation val="minMax"/>
        </c:scaling>
        <c:delete val="0"/>
        <c:axPos val="l"/>
        <c:majorGridlines/>
        <c:minorGridlines/>
        <c:numFmt formatCode="_(* #,##0.00_);_(* \(#,##0.00\);_(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chemeClr val="accent2">
                    <a:lumMod val="50000"/>
                  </a:schemeClr>
                </a:solidFill>
              </a:defRPr>
            </a:pPr>
            <a:endParaRPr lang="el-GR"/>
          </a:p>
        </c:txPr>
        <c:crossAx val="437417072"/>
        <c:crosses val="autoZero"/>
        <c:crossBetween val="between"/>
      </c:valAx>
      <c:valAx>
        <c:axId val="437416288"/>
        <c:scaling>
          <c:orientation val="minMax"/>
          <c:min val="0"/>
        </c:scaling>
        <c:delete val="0"/>
        <c:axPos val="r"/>
        <c:numFmt formatCode="_(* #,##0.00_);_(* \(#,##0.00\);_(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chemeClr val="accent1">
                    <a:lumMod val="50000"/>
                  </a:schemeClr>
                </a:solidFill>
              </a:defRPr>
            </a:pPr>
            <a:endParaRPr lang="el-GR"/>
          </a:p>
        </c:txPr>
        <c:crossAx val="437416680"/>
        <c:crosses val="max"/>
        <c:crossBetween val="between"/>
      </c:valAx>
      <c:catAx>
        <c:axId val="437416680"/>
        <c:scaling>
          <c:orientation val="minMax"/>
        </c:scaling>
        <c:delete val="1"/>
        <c:axPos val="b"/>
        <c:majorTickMark val="out"/>
        <c:minorTickMark val="none"/>
        <c:tickLblPos val="nextTo"/>
        <c:crossAx val="437416288"/>
        <c:crosses val="autoZero"/>
        <c:auto val="1"/>
        <c:lblAlgn val="ctr"/>
        <c:lblOffset val="100"/>
        <c:noMultiLvlLbl val="0"/>
      </c:catAx>
    </c:plotArea>
    <c:legend>
      <c:legendPos val="t"/>
      <c:legendEntry>
        <c:idx val="2"/>
        <c:delete val="1"/>
      </c:legendEntry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Scroll" dx="16" fmlaLink="$B$11" max="349" min="1" page="1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133349</xdr:colOff>
      <xdr:row>4</xdr:row>
      <xdr:rowOff>66675</xdr:rowOff>
    </xdr:from>
    <xdr:to>
      <xdr:col>18</xdr:col>
      <xdr:colOff>0</xdr:colOff>
      <xdr:row>25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68580</xdr:colOff>
          <xdr:row>12</xdr:row>
          <xdr:rowOff>38100</xdr:rowOff>
        </xdr:from>
        <xdr:to>
          <xdr:col>1</xdr:col>
          <xdr:colOff>228600</xdr:colOff>
          <xdr:row>23</xdr:row>
          <xdr:rowOff>144780</xdr:rowOff>
        </xdr:to>
        <xdr:sp macro="" textlink="">
          <xdr:nvSpPr>
            <xdr:cNvPr id="2050" name="Scroll Bar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gam%20Files/Excelo/Final%202/Bill%20Payment%20Organizer%20V1.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"/>
      <sheetName val="Weekly"/>
      <sheetName val="Bill Payment and Holidays"/>
      <sheetName val="More Payment Planner"/>
    </sheetNames>
    <sheetDataSet>
      <sheetData sheetId="0"/>
      <sheetData sheetId="1"/>
      <sheetData sheetId="2">
        <row r="3">
          <cell r="O3">
            <v>43101</v>
          </cell>
        </row>
        <row r="4">
          <cell r="O4">
            <v>43102</v>
          </cell>
        </row>
        <row r="5">
          <cell r="O5">
            <v>43103</v>
          </cell>
        </row>
        <row r="6">
          <cell r="O6">
            <v>43104</v>
          </cell>
        </row>
        <row r="7">
          <cell r="O7">
            <v>43105</v>
          </cell>
        </row>
        <row r="8">
          <cell r="K8">
            <v>43101</v>
          </cell>
          <cell r="O8">
            <v>43106</v>
          </cell>
        </row>
        <row r="9">
          <cell r="K9">
            <v>43115</v>
          </cell>
          <cell r="O9">
            <v>43107</v>
          </cell>
        </row>
        <row r="10">
          <cell r="K10">
            <v>43150</v>
          </cell>
          <cell r="O10">
            <v>43108</v>
          </cell>
        </row>
        <row r="11">
          <cell r="K11">
            <v>43248</v>
          </cell>
          <cell r="O11">
            <v>43109</v>
          </cell>
        </row>
        <row r="12">
          <cell r="K12">
            <v>43285</v>
          </cell>
          <cell r="O12">
            <v>43110</v>
          </cell>
        </row>
        <row r="13">
          <cell r="K13">
            <v>43346</v>
          </cell>
          <cell r="O13">
            <v>43111</v>
          </cell>
        </row>
        <row r="14">
          <cell r="K14">
            <v>43415</v>
          </cell>
          <cell r="O14">
            <v>43112</v>
          </cell>
        </row>
        <row r="15">
          <cell r="K15">
            <v>43381</v>
          </cell>
          <cell r="O15">
            <v>43113</v>
          </cell>
        </row>
        <row r="16">
          <cell r="K16">
            <v>43426</v>
          </cell>
          <cell r="O16">
            <v>43114</v>
          </cell>
        </row>
        <row r="17">
          <cell r="K17">
            <v>43459</v>
          </cell>
          <cell r="O17">
            <v>43115</v>
          </cell>
        </row>
        <row r="18">
          <cell r="O18">
            <v>43116</v>
          </cell>
        </row>
        <row r="19">
          <cell r="O19">
            <v>43117</v>
          </cell>
        </row>
        <row r="20">
          <cell r="O20">
            <v>43118</v>
          </cell>
        </row>
        <row r="21">
          <cell r="O21">
            <v>43119</v>
          </cell>
        </row>
        <row r="22">
          <cell r="O22">
            <v>43120</v>
          </cell>
        </row>
        <row r="23">
          <cell r="O23">
            <v>43121</v>
          </cell>
        </row>
        <row r="24">
          <cell r="O24">
            <v>43122</v>
          </cell>
        </row>
        <row r="25">
          <cell r="O25">
            <v>43123</v>
          </cell>
        </row>
        <row r="26">
          <cell r="O26">
            <v>43124</v>
          </cell>
        </row>
        <row r="27">
          <cell r="O27">
            <v>43125</v>
          </cell>
        </row>
        <row r="28">
          <cell r="O28">
            <v>43126</v>
          </cell>
        </row>
        <row r="29">
          <cell r="O29">
            <v>43127</v>
          </cell>
        </row>
        <row r="30">
          <cell r="O30">
            <v>43128</v>
          </cell>
        </row>
        <row r="31">
          <cell r="O31">
            <v>43129</v>
          </cell>
        </row>
        <row r="32">
          <cell r="O32">
            <v>43130</v>
          </cell>
        </row>
        <row r="33">
          <cell r="O33">
            <v>43131</v>
          </cell>
        </row>
        <row r="34">
          <cell r="O34">
            <v>43132</v>
          </cell>
        </row>
        <row r="35">
          <cell r="O35">
            <v>43133</v>
          </cell>
        </row>
        <row r="36">
          <cell r="O36">
            <v>43134</v>
          </cell>
        </row>
        <row r="37">
          <cell r="O37">
            <v>43135</v>
          </cell>
        </row>
        <row r="38">
          <cell r="O38">
            <v>43136</v>
          </cell>
        </row>
        <row r="39">
          <cell r="O39">
            <v>43137</v>
          </cell>
        </row>
        <row r="40">
          <cell r="O40">
            <v>43138</v>
          </cell>
        </row>
        <row r="41">
          <cell r="O41">
            <v>43139</v>
          </cell>
        </row>
        <row r="42">
          <cell r="O42">
            <v>43140</v>
          </cell>
        </row>
        <row r="43">
          <cell r="O43">
            <v>43141</v>
          </cell>
        </row>
        <row r="44">
          <cell r="O44">
            <v>43142</v>
          </cell>
        </row>
        <row r="45">
          <cell r="O45">
            <v>43143</v>
          </cell>
        </row>
        <row r="46">
          <cell r="O46">
            <v>43144</v>
          </cell>
        </row>
        <row r="47">
          <cell r="O47">
            <v>43145</v>
          </cell>
        </row>
        <row r="48">
          <cell r="O48">
            <v>43146</v>
          </cell>
        </row>
        <row r="49">
          <cell r="O49">
            <v>43147</v>
          </cell>
        </row>
        <row r="50">
          <cell r="O50">
            <v>43148</v>
          </cell>
        </row>
        <row r="51">
          <cell r="O51">
            <v>43149</v>
          </cell>
        </row>
        <row r="52">
          <cell r="O52">
            <v>43150</v>
          </cell>
        </row>
        <row r="53">
          <cell r="O53">
            <v>43151</v>
          </cell>
        </row>
        <row r="54">
          <cell r="O54">
            <v>43152</v>
          </cell>
        </row>
        <row r="55">
          <cell r="O55">
            <v>43153</v>
          </cell>
        </row>
        <row r="56">
          <cell r="O56">
            <v>43154</v>
          </cell>
        </row>
        <row r="57">
          <cell r="O57">
            <v>43155</v>
          </cell>
        </row>
        <row r="58">
          <cell r="O58">
            <v>43156</v>
          </cell>
        </row>
        <row r="59">
          <cell r="O59">
            <v>43157</v>
          </cell>
        </row>
        <row r="60">
          <cell r="O60">
            <v>43158</v>
          </cell>
        </row>
        <row r="61">
          <cell r="O61">
            <v>43159</v>
          </cell>
        </row>
        <row r="62">
          <cell r="O62">
            <v>43160</v>
          </cell>
        </row>
        <row r="63">
          <cell r="O63">
            <v>43161</v>
          </cell>
        </row>
        <row r="64">
          <cell r="O64">
            <v>43162</v>
          </cell>
        </row>
        <row r="65">
          <cell r="O65">
            <v>43163</v>
          </cell>
        </row>
        <row r="66">
          <cell r="O66">
            <v>43164</v>
          </cell>
        </row>
        <row r="67">
          <cell r="O67">
            <v>43165</v>
          </cell>
        </row>
        <row r="68">
          <cell r="O68">
            <v>43166</v>
          </cell>
        </row>
        <row r="69">
          <cell r="O69">
            <v>43167</v>
          </cell>
        </row>
        <row r="70">
          <cell r="O70">
            <v>43168</v>
          </cell>
        </row>
        <row r="71">
          <cell r="O71">
            <v>43169</v>
          </cell>
        </row>
        <row r="72">
          <cell r="O72">
            <v>43170</v>
          </cell>
        </row>
        <row r="73">
          <cell r="O73">
            <v>43171</v>
          </cell>
        </row>
        <row r="74">
          <cell r="O74">
            <v>43172</v>
          </cell>
        </row>
        <row r="75">
          <cell r="O75">
            <v>43173</v>
          </cell>
        </row>
        <row r="76">
          <cell r="O76">
            <v>43174</v>
          </cell>
        </row>
        <row r="77">
          <cell r="O77">
            <v>43175</v>
          </cell>
        </row>
        <row r="78">
          <cell r="O78">
            <v>43176</v>
          </cell>
        </row>
        <row r="79">
          <cell r="O79">
            <v>43177</v>
          </cell>
        </row>
        <row r="80">
          <cell r="O80">
            <v>43178</v>
          </cell>
        </row>
        <row r="81">
          <cell r="O81">
            <v>43179</v>
          </cell>
        </row>
        <row r="82">
          <cell r="O82">
            <v>43180</v>
          </cell>
        </row>
        <row r="83">
          <cell r="O83">
            <v>43181</v>
          </cell>
        </row>
        <row r="84">
          <cell r="O84">
            <v>43182</v>
          </cell>
        </row>
        <row r="85">
          <cell r="O85">
            <v>43183</v>
          </cell>
        </row>
        <row r="86">
          <cell r="O86">
            <v>43184</v>
          </cell>
        </row>
        <row r="87">
          <cell r="O87">
            <v>43185</v>
          </cell>
        </row>
        <row r="88">
          <cell r="O88">
            <v>43186</v>
          </cell>
        </row>
        <row r="89">
          <cell r="O89">
            <v>43187</v>
          </cell>
        </row>
        <row r="90">
          <cell r="O90">
            <v>43188</v>
          </cell>
        </row>
        <row r="91">
          <cell r="O91">
            <v>43189</v>
          </cell>
        </row>
        <row r="92">
          <cell r="O92">
            <v>43190</v>
          </cell>
        </row>
        <row r="93">
          <cell r="O93">
            <v>43191</v>
          </cell>
        </row>
        <row r="94">
          <cell r="O94">
            <v>43192</v>
          </cell>
        </row>
        <row r="95">
          <cell r="O95">
            <v>43193</v>
          </cell>
        </row>
        <row r="96">
          <cell r="O96">
            <v>43194</v>
          </cell>
        </row>
        <row r="97">
          <cell r="O97">
            <v>43195</v>
          </cell>
        </row>
        <row r="98">
          <cell r="O98">
            <v>43196</v>
          </cell>
        </row>
        <row r="99">
          <cell r="O99">
            <v>43197</v>
          </cell>
        </row>
        <row r="100">
          <cell r="O100">
            <v>43198</v>
          </cell>
        </row>
        <row r="101">
          <cell r="O101">
            <v>43199</v>
          </cell>
        </row>
        <row r="102">
          <cell r="O102">
            <v>43200</v>
          </cell>
        </row>
        <row r="103">
          <cell r="O103">
            <v>43201</v>
          </cell>
        </row>
        <row r="104">
          <cell r="O104">
            <v>43202</v>
          </cell>
        </row>
        <row r="105">
          <cell r="O105">
            <v>43203</v>
          </cell>
        </row>
        <row r="106">
          <cell r="O106">
            <v>43204</v>
          </cell>
        </row>
        <row r="107">
          <cell r="O107">
            <v>43205</v>
          </cell>
        </row>
        <row r="108">
          <cell r="O108">
            <v>43206</v>
          </cell>
        </row>
        <row r="109">
          <cell r="O109">
            <v>43207</v>
          </cell>
        </row>
        <row r="110">
          <cell r="O110">
            <v>43208</v>
          </cell>
        </row>
        <row r="111">
          <cell r="O111">
            <v>43209</v>
          </cell>
        </row>
        <row r="112">
          <cell r="O112">
            <v>43210</v>
          </cell>
        </row>
        <row r="113">
          <cell r="O113">
            <v>43211</v>
          </cell>
        </row>
        <row r="114">
          <cell r="O114">
            <v>43212</v>
          </cell>
        </row>
        <row r="115">
          <cell r="O115">
            <v>43213</v>
          </cell>
        </row>
        <row r="116">
          <cell r="O116">
            <v>43214</v>
          </cell>
        </row>
        <row r="117">
          <cell r="O117">
            <v>43215</v>
          </cell>
        </row>
        <row r="118">
          <cell r="O118">
            <v>43216</v>
          </cell>
        </row>
        <row r="119">
          <cell r="O119">
            <v>43217</v>
          </cell>
        </row>
        <row r="120">
          <cell r="O120">
            <v>43218</v>
          </cell>
        </row>
        <row r="121">
          <cell r="O121">
            <v>43219</v>
          </cell>
        </row>
        <row r="122">
          <cell r="O122">
            <v>43220</v>
          </cell>
        </row>
        <row r="123">
          <cell r="O123">
            <v>43221</v>
          </cell>
        </row>
        <row r="124">
          <cell r="O124">
            <v>43222</v>
          </cell>
        </row>
        <row r="125">
          <cell r="O125">
            <v>43223</v>
          </cell>
        </row>
        <row r="126">
          <cell r="O126">
            <v>43224</v>
          </cell>
        </row>
        <row r="127">
          <cell r="O127">
            <v>43225</v>
          </cell>
        </row>
        <row r="128">
          <cell r="O128">
            <v>43226</v>
          </cell>
        </row>
        <row r="129">
          <cell r="O129">
            <v>43227</v>
          </cell>
        </row>
        <row r="130">
          <cell r="O130">
            <v>43228</v>
          </cell>
        </row>
        <row r="131">
          <cell r="O131">
            <v>43229</v>
          </cell>
        </row>
        <row r="132">
          <cell r="O132">
            <v>43230</v>
          </cell>
        </row>
        <row r="133">
          <cell r="O133">
            <v>43231</v>
          </cell>
        </row>
        <row r="134">
          <cell r="O134">
            <v>43232</v>
          </cell>
        </row>
        <row r="135">
          <cell r="O135">
            <v>43233</v>
          </cell>
        </row>
        <row r="136">
          <cell r="O136">
            <v>43234</v>
          </cell>
        </row>
        <row r="137">
          <cell r="O137">
            <v>43235</v>
          </cell>
        </row>
        <row r="138">
          <cell r="O138">
            <v>43236</v>
          </cell>
        </row>
        <row r="139">
          <cell r="O139">
            <v>43237</v>
          </cell>
        </row>
        <row r="140">
          <cell r="O140">
            <v>43238</v>
          </cell>
        </row>
        <row r="141">
          <cell r="O141">
            <v>43239</v>
          </cell>
        </row>
        <row r="142">
          <cell r="O142">
            <v>43240</v>
          </cell>
        </row>
        <row r="143">
          <cell r="O143">
            <v>43241</v>
          </cell>
        </row>
        <row r="144">
          <cell r="O144">
            <v>43242</v>
          </cell>
        </row>
        <row r="145">
          <cell r="O145">
            <v>43243</v>
          </cell>
        </row>
        <row r="146">
          <cell r="O146">
            <v>43244</v>
          </cell>
        </row>
        <row r="147">
          <cell r="O147">
            <v>43245</v>
          </cell>
        </row>
        <row r="148">
          <cell r="O148">
            <v>43246</v>
          </cell>
        </row>
        <row r="149">
          <cell r="O149">
            <v>43247</v>
          </cell>
        </row>
        <row r="150">
          <cell r="O150">
            <v>43248</v>
          </cell>
        </row>
        <row r="151">
          <cell r="O151">
            <v>43249</v>
          </cell>
        </row>
        <row r="152">
          <cell r="O152">
            <v>43250</v>
          </cell>
        </row>
        <row r="153">
          <cell r="O153">
            <v>43251</v>
          </cell>
        </row>
        <row r="154">
          <cell r="O154">
            <v>43252</v>
          </cell>
        </row>
        <row r="155">
          <cell r="O155">
            <v>43253</v>
          </cell>
        </row>
        <row r="156">
          <cell r="O156">
            <v>43254</v>
          </cell>
        </row>
        <row r="157">
          <cell r="O157">
            <v>43255</v>
          </cell>
        </row>
        <row r="158">
          <cell r="O158">
            <v>43256</v>
          </cell>
        </row>
        <row r="159">
          <cell r="O159">
            <v>43257</v>
          </cell>
        </row>
        <row r="160">
          <cell r="O160">
            <v>43258</v>
          </cell>
        </row>
        <row r="161">
          <cell r="O161">
            <v>43259</v>
          </cell>
        </row>
        <row r="162">
          <cell r="O162">
            <v>43260</v>
          </cell>
        </row>
        <row r="163">
          <cell r="O163">
            <v>43261</v>
          </cell>
        </row>
        <row r="164">
          <cell r="O164">
            <v>43262</v>
          </cell>
        </row>
        <row r="165">
          <cell r="O165">
            <v>43263</v>
          </cell>
        </row>
        <row r="166">
          <cell r="O166">
            <v>43264</v>
          </cell>
        </row>
        <row r="167">
          <cell r="O167">
            <v>43265</v>
          </cell>
        </row>
        <row r="168">
          <cell r="O168">
            <v>43266</v>
          </cell>
        </row>
        <row r="169">
          <cell r="O169">
            <v>43267</v>
          </cell>
        </row>
        <row r="170">
          <cell r="O170">
            <v>43268</v>
          </cell>
        </row>
        <row r="171">
          <cell r="O171">
            <v>43269</v>
          </cell>
        </row>
        <row r="172">
          <cell r="O172">
            <v>43270</v>
          </cell>
        </row>
        <row r="173">
          <cell r="O173">
            <v>43271</v>
          </cell>
        </row>
        <row r="174">
          <cell r="O174">
            <v>43272</v>
          </cell>
        </row>
        <row r="175">
          <cell r="O175">
            <v>43273</v>
          </cell>
        </row>
        <row r="176">
          <cell r="O176">
            <v>43274</v>
          </cell>
        </row>
        <row r="177">
          <cell r="O177">
            <v>43275</v>
          </cell>
        </row>
        <row r="178">
          <cell r="O178">
            <v>43276</v>
          </cell>
        </row>
        <row r="179">
          <cell r="O179">
            <v>43277</v>
          </cell>
        </row>
        <row r="180">
          <cell r="O180">
            <v>43278</v>
          </cell>
        </row>
        <row r="181">
          <cell r="O181">
            <v>43279</v>
          </cell>
        </row>
        <row r="182">
          <cell r="O182">
            <v>43280</v>
          </cell>
        </row>
        <row r="183">
          <cell r="O183">
            <v>43281</v>
          </cell>
        </row>
        <row r="184">
          <cell r="O184">
            <v>43282</v>
          </cell>
        </row>
        <row r="185">
          <cell r="O185">
            <v>43283</v>
          </cell>
        </row>
        <row r="186">
          <cell r="O186">
            <v>43284</v>
          </cell>
        </row>
        <row r="187">
          <cell r="O187">
            <v>43285</v>
          </cell>
        </row>
        <row r="188">
          <cell r="O188">
            <v>43286</v>
          </cell>
        </row>
        <row r="189">
          <cell r="O189">
            <v>43287</v>
          </cell>
        </row>
        <row r="190">
          <cell r="O190">
            <v>43288</v>
          </cell>
        </row>
        <row r="191">
          <cell r="O191">
            <v>43289</v>
          </cell>
        </row>
        <row r="192">
          <cell r="O192">
            <v>43290</v>
          </cell>
        </row>
        <row r="193">
          <cell r="O193">
            <v>43291</v>
          </cell>
        </row>
        <row r="194">
          <cell r="O194">
            <v>43292</v>
          </cell>
        </row>
        <row r="195">
          <cell r="O195">
            <v>43293</v>
          </cell>
        </row>
        <row r="196">
          <cell r="O196">
            <v>43294</v>
          </cell>
        </row>
        <row r="197">
          <cell r="O197">
            <v>43295</v>
          </cell>
        </row>
        <row r="198">
          <cell r="O198">
            <v>43296</v>
          </cell>
        </row>
        <row r="199">
          <cell r="O199">
            <v>43297</v>
          </cell>
        </row>
        <row r="200">
          <cell r="O200">
            <v>43298</v>
          </cell>
        </row>
        <row r="201">
          <cell r="O201">
            <v>43299</v>
          </cell>
        </row>
        <row r="202">
          <cell r="O202">
            <v>43300</v>
          </cell>
        </row>
        <row r="203">
          <cell r="O203">
            <v>43301</v>
          </cell>
        </row>
        <row r="204">
          <cell r="O204">
            <v>43302</v>
          </cell>
        </row>
        <row r="205">
          <cell r="O205">
            <v>43303</v>
          </cell>
        </row>
        <row r="206">
          <cell r="O206">
            <v>43304</v>
          </cell>
        </row>
        <row r="207">
          <cell r="O207">
            <v>43305</v>
          </cell>
        </row>
        <row r="208">
          <cell r="O208">
            <v>43306</v>
          </cell>
        </row>
        <row r="209">
          <cell r="O209">
            <v>43307</v>
          </cell>
        </row>
        <row r="210">
          <cell r="O210">
            <v>43308</v>
          </cell>
        </row>
        <row r="211">
          <cell r="O211">
            <v>43309</v>
          </cell>
        </row>
        <row r="212">
          <cell r="O212">
            <v>43310</v>
          </cell>
        </row>
        <row r="213">
          <cell r="O213">
            <v>43311</v>
          </cell>
        </row>
        <row r="214">
          <cell r="O214">
            <v>43312</v>
          </cell>
        </row>
        <row r="215">
          <cell r="O215">
            <v>43313</v>
          </cell>
        </row>
        <row r="216">
          <cell r="O216">
            <v>43314</v>
          </cell>
        </row>
        <row r="217">
          <cell r="O217">
            <v>43315</v>
          </cell>
        </row>
        <row r="218">
          <cell r="O218">
            <v>43316</v>
          </cell>
        </row>
        <row r="219">
          <cell r="O219">
            <v>43317</v>
          </cell>
        </row>
        <row r="220">
          <cell r="O220">
            <v>43318</v>
          </cell>
        </row>
        <row r="221">
          <cell r="O221">
            <v>43319</v>
          </cell>
        </row>
        <row r="222">
          <cell r="O222">
            <v>43320</v>
          </cell>
        </row>
        <row r="223">
          <cell r="O223">
            <v>43321</v>
          </cell>
        </row>
        <row r="224">
          <cell r="O224">
            <v>43322</v>
          </cell>
        </row>
        <row r="225">
          <cell r="O225">
            <v>43323</v>
          </cell>
        </row>
        <row r="226">
          <cell r="O226">
            <v>43324</v>
          </cell>
        </row>
        <row r="227">
          <cell r="O227">
            <v>43325</v>
          </cell>
        </row>
        <row r="228">
          <cell r="O228">
            <v>43326</v>
          </cell>
        </row>
        <row r="229">
          <cell r="O229">
            <v>43327</v>
          </cell>
        </row>
        <row r="230">
          <cell r="O230">
            <v>43328</v>
          </cell>
        </row>
        <row r="231">
          <cell r="O231">
            <v>43329</v>
          </cell>
        </row>
        <row r="232">
          <cell r="O232">
            <v>43330</v>
          </cell>
        </row>
        <row r="233">
          <cell r="O233">
            <v>43331</v>
          </cell>
        </row>
        <row r="234">
          <cell r="O234">
            <v>43332</v>
          </cell>
        </row>
        <row r="235">
          <cell r="O235">
            <v>43333</v>
          </cell>
        </row>
        <row r="236">
          <cell r="O236">
            <v>43334</v>
          </cell>
        </row>
        <row r="237">
          <cell r="O237">
            <v>43335</v>
          </cell>
        </row>
        <row r="238">
          <cell r="O238">
            <v>43336</v>
          </cell>
        </row>
        <row r="239">
          <cell r="O239">
            <v>43337</v>
          </cell>
        </row>
        <row r="240">
          <cell r="O240">
            <v>43338</v>
          </cell>
        </row>
        <row r="241">
          <cell r="O241">
            <v>43339</v>
          </cell>
        </row>
        <row r="242">
          <cell r="O242">
            <v>43340</v>
          </cell>
        </row>
        <row r="243">
          <cell r="O243">
            <v>43341</v>
          </cell>
        </row>
        <row r="244">
          <cell r="O244">
            <v>43342</v>
          </cell>
        </row>
        <row r="245">
          <cell r="O245">
            <v>43343</v>
          </cell>
        </row>
        <row r="246">
          <cell r="O246">
            <v>43344</v>
          </cell>
        </row>
        <row r="247">
          <cell r="O247">
            <v>43345</v>
          </cell>
        </row>
        <row r="248">
          <cell r="O248">
            <v>43346</v>
          </cell>
        </row>
        <row r="249">
          <cell r="O249">
            <v>43347</v>
          </cell>
        </row>
        <row r="250">
          <cell r="O250">
            <v>43348</v>
          </cell>
        </row>
        <row r="251">
          <cell r="O251">
            <v>43349</v>
          </cell>
        </row>
        <row r="252">
          <cell r="O252">
            <v>43350</v>
          </cell>
        </row>
        <row r="253">
          <cell r="O253">
            <v>43351</v>
          </cell>
        </row>
        <row r="254">
          <cell r="O254">
            <v>43352</v>
          </cell>
        </row>
        <row r="255">
          <cell r="O255">
            <v>43353</v>
          </cell>
        </row>
        <row r="256">
          <cell r="O256">
            <v>43354</v>
          </cell>
        </row>
        <row r="257">
          <cell r="O257">
            <v>43355</v>
          </cell>
        </row>
        <row r="258">
          <cell r="O258">
            <v>43356</v>
          </cell>
        </row>
        <row r="259">
          <cell r="O259">
            <v>43357</v>
          </cell>
        </row>
        <row r="260">
          <cell r="O260">
            <v>43358</v>
          </cell>
        </row>
        <row r="261">
          <cell r="O261">
            <v>43359</v>
          </cell>
        </row>
        <row r="262">
          <cell r="O262">
            <v>43360</v>
          </cell>
        </row>
        <row r="263">
          <cell r="O263">
            <v>43361</v>
          </cell>
        </row>
        <row r="264">
          <cell r="O264">
            <v>43362</v>
          </cell>
        </row>
        <row r="265">
          <cell r="O265">
            <v>43363</v>
          </cell>
        </row>
        <row r="266">
          <cell r="O266">
            <v>43364</v>
          </cell>
        </row>
        <row r="267">
          <cell r="O267">
            <v>43365</v>
          </cell>
        </row>
        <row r="268">
          <cell r="O268">
            <v>43366</v>
          </cell>
        </row>
        <row r="269">
          <cell r="O269">
            <v>43367</v>
          </cell>
        </row>
        <row r="270">
          <cell r="O270">
            <v>43368</v>
          </cell>
        </row>
        <row r="271">
          <cell r="O271">
            <v>43369</v>
          </cell>
        </row>
        <row r="272">
          <cell r="O272">
            <v>43370</v>
          </cell>
        </row>
        <row r="273">
          <cell r="O273">
            <v>43371</v>
          </cell>
        </row>
        <row r="274">
          <cell r="O274">
            <v>43372</v>
          </cell>
        </row>
        <row r="275">
          <cell r="O275">
            <v>43373</v>
          </cell>
        </row>
        <row r="276">
          <cell r="O276">
            <v>43374</v>
          </cell>
        </row>
        <row r="277">
          <cell r="O277">
            <v>43375</v>
          </cell>
        </row>
        <row r="278">
          <cell r="O278">
            <v>43376</v>
          </cell>
        </row>
        <row r="279">
          <cell r="O279">
            <v>43377</v>
          </cell>
        </row>
        <row r="280">
          <cell r="O280">
            <v>43378</v>
          </cell>
        </row>
        <row r="281">
          <cell r="O281">
            <v>43379</v>
          </cell>
        </row>
        <row r="282">
          <cell r="O282">
            <v>43380</v>
          </cell>
        </row>
        <row r="283">
          <cell r="O283">
            <v>43381</v>
          </cell>
        </row>
        <row r="284">
          <cell r="O284">
            <v>43382</v>
          </cell>
        </row>
        <row r="285">
          <cell r="O285">
            <v>43383</v>
          </cell>
        </row>
        <row r="286">
          <cell r="O286">
            <v>43384</v>
          </cell>
        </row>
        <row r="287">
          <cell r="O287">
            <v>43385</v>
          </cell>
        </row>
        <row r="288">
          <cell r="O288">
            <v>43386</v>
          </cell>
        </row>
        <row r="289">
          <cell r="O289">
            <v>43387</v>
          </cell>
        </row>
        <row r="290">
          <cell r="O290">
            <v>43388</v>
          </cell>
        </row>
        <row r="291">
          <cell r="O291">
            <v>43389</v>
          </cell>
        </row>
        <row r="292">
          <cell r="O292">
            <v>43390</v>
          </cell>
        </row>
        <row r="293">
          <cell r="O293">
            <v>43391</v>
          </cell>
        </row>
        <row r="294">
          <cell r="O294">
            <v>43392</v>
          </cell>
        </row>
        <row r="295">
          <cell r="O295">
            <v>43393</v>
          </cell>
        </row>
        <row r="296">
          <cell r="O296">
            <v>43394</v>
          </cell>
        </row>
        <row r="297">
          <cell r="O297">
            <v>43395</v>
          </cell>
        </row>
        <row r="298">
          <cell r="O298">
            <v>43396</v>
          </cell>
        </row>
        <row r="299">
          <cell r="O299">
            <v>43397</v>
          </cell>
        </row>
        <row r="300">
          <cell r="O300">
            <v>43398</v>
          </cell>
        </row>
        <row r="301">
          <cell r="O301">
            <v>43399</v>
          </cell>
        </row>
        <row r="302">
          <cell r="O302">
            <v>43400</v>
          </cell>
        </row>
        <row r="303">
          <cell r="O303">
            <v>43401</v>
          </cell>
        </row>
        <row r="304">
          <cell r="O304">
            <v>43402</v>
          </cell>
        </row>
        <row r="305">
          <cell r="O305">
            <v>43403</v>
          </cell>
        </row>
        <row r="306">
          <cell r="O306">
            <v>43404</v>
          </cell>
        </row>
        <row r="307">
          <cell r="O307">
            <v>43405</v>
          </cell>
        </row>
        <row r="308">
          <cell r="O308">
            <v>43406</v>
          </cell>
        </row>
        <row r="309">
          <cell r="O309">
            <v>43407</v>
          </cell>
        </row>
        <row r="310">
          <cell r="O310">
            <v>43408</v>
          </cell>
        </row>
        <row r="311">
          <cell r="O311">
            <v>43409</v>
          </cell>
        </row>
        <row r="312">
          <cell r="O312">
            <v>43410</v>
          </cell>
        </row>
        <row r="313">
          <cell r="O313">
            <v>43411</v>
          </cell>
        </row>
        <row r="314">
          <cell r="O314">
            <v>43412</v>
          </cell>
        </row>
        <row r="315">
          <cell r="O315">
            <v>43413</v>
          </cell>
        </row>
        <row r="316">
          <cell r="O316">
            <v>43414</v>
          </cell>
        </row>
        <row r="317">
          <cell r="O317">
            <v>43415</v>
          </cell>
        </row>
        <row r="318">
          <cell r="O318">
            <v>43416</v>
          </cell>
        </row>
        <row r="319">
          <cell r="O319">
            <v>43417</v>
          </cell>
        </row>
        <row r="320">
          <cell r="O320">
            <v>43418</v>
          </cell>
        </row>
        <row r="321">
          <cell r="O321">
            <v>43419</v>
          </cell>
        </row>
        <row r="322">
          <cell r="O322">
            <v>43420</v>
          </cell>
        </row>
        <row r="323">
          <cell r="O323">
            <v>43421</v>
          </cell>
        </row>
        <row r="324">
          <cell r="O324">
            <v>43422</v>
          </cell>
        </row>
        <row r="325">
          <cell r="O325">
            <v>43423</v>
          </cell>
        </row>
        <row r="326">
          <cell r="O326">
            <v>43424</v>
          </cell>
        </row>
        <row r="327">
          <cell r="O327">
            <v>43425</v>
          </cell>
        </row>
        <row r="328">
          <cell r="O328">
            <v>43426</v>
          </cell>
        </row>
        <row r="329">
          <cell r="O329">
            <v>43427</v>
          </cell>
        </row>
        <row r="330">
          <cell r="O330">
            <v>43428</v>
          </cell>
        </row>
        <row r="331">
          <cell r="O331">
            <v>43429</v>
          </cell>
        </row>
        <row r="332">
          <cell r="O332">
            <v>43430</v>
          </cell>
        </row>
        <row r="333">
          <cell r="O333">
            <v>43431</v>
          </cell>
        </row>
        <row r="334">
          <cell r="O334">
            <v>43432</v>
          </cell>
        </row>
        <row r="335">
          <cell r="O335">
            <v>43433</v>
          </cell>
        </row>
        <row r="336">
          <cell r="O336">
            <v>43434</v>
          </cell>
        </row>
        <row r="337">
          <cell r="O337">
            <v>43435</v>
          </cell>
        </row>
        <row r="338">
          <cell r="O338">
            <v>43436</v>
          </cell>
        </row>
        <row r="339">
          <cell r="O339">
            <v>43437</v>
          </cell>
        </row>
        <row r="340">
          <cell r="O340">
            <v>43438</v>
          </cell>
        </row>
        <row r="341">
          <cell r="O341">
            <v>43439</v>
          </cell>
        </row>
        <row r="342">
          <cell r="O342">
            <v>43440</v>
          </cell>
        </row>
        <row r="343">
          <cell r="O343">
            <v>43441</v>
          </cell>
        </row>
        <row r="344">
          <cell r="O344">
            <v>43442</v>
          </cell>
        </row>
        <row r="345">
          <cell r="O345">
            <v>43443</v>
          </cell>
        </row>
        <row r="346">
          <cell r="O346">
            <v>43444</v>
          </cell>
        </row>
        <row r="347">
          <cell r="O347">
            <v>43445</v>
          </cell>
        </row>
        <row r="348">
          <cell r="O348">
            <v>43446</v>
          </cell>
        </row>
        <row r="349">
          <cell r="O349">
            <v>43447</v>
          </cell>
        </row>
        <row r="350">
          <cell r="O350">
            <v>43448</v>
          </cell>
        </row>
        <row r="351">
          <cell r="O351">
            <v>43449</v>
          </cell>
        </row>
        <row r="352">
          <cell r="O352">
            <v>43450</v>
          </cell>
        </row>
        <row r="353">
          <cell r="O353">
            <v>43451</v>
          </cell>
        </row>
        <row r="354">
          <cell r="O354">
            <v>43452</v>
          </cell>
        </row>
        <row r="355">
          <cell r="O355">
            <v>43453</v>
          </cell>
        </row>
        <row r="356">
          <cell r="O356">
            <v>43454</v>
          </cell>
        </row>
        <row r="357">
          <cell r="O357">
            <v>43455</v>
          </cell>
        </row>
        <row r="358">
          <cell r="O358">
            <v>43456</v>
          </cell>
        </row>
        <row r="359">
          <cell r="O359">
            <v>43457</v>
          </cell>
        </row>
        <row r="360">
          <cell r="O360">
            <v>43458</v>
          </cell>
        </row>
        <row r="361">
          <cell r="O361">
            <v>43459</v>
          </cell>
        </row>
        <row r="362">
          <cell r="O362">
            <v>43460</v>
          </cell>
        </row>
        <row r="363">
          <cell r="O363">
            <v>43461</v>
          </cell>
        </row>
        <row r="364">
          <cell r="O364">
            <v>43462</v>
          </cell>
        </row>
        <row r="365">
          <cell r="O365">
            <v>43463</v>
          </cell>
        </row>
        <row r="366">
          <cell r="O366">
            <v>43464</v>
          </cell>
        </row>
        <row r="367">
          <cell r="O367">
            <v>43465</v>
          </cell>
        </row>
        <row r="368">
          <cell r="O368" t="str">
            <v/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370"/>
  <sheetViews>
    <sheetView showGridLines="0" showRowColHeaders="0" topLeftCell="D1" workbookViewId="0">
      <selection activeCell="F9" sqref="F9"/>
    </sheetView>
  </sheetViews>
  <sheetFormatPr defaultColWidth="9.109375" defaultRowHeight="14.4" x14ac:dyDescent="0.3"/>
  <cols>
    <col min="1" max="1" width="9.33203125" style="24" bestFit="1" customWidth="1"/>
    <col min="2" max="2" width="11.5546875" style="24" bestFit="1" customWidth="1"/>
    <col min="3" max="3" width="11.5546875" style="24" customWidth="1"/>
    <col min="4" max="4" width="11.5546875" style="24" bestFit="1" customWidth="1"/>
    <col min="5" max="5" width="11.5546875" style="24" customWidth="1"/>
    <col min="6" max="6" width="11.5546875" style="24" bestFit="1" customWidth="1"/>
    <col min="7" max="8" width="11" style="24" bestFit="1" customWidth="1"/>
    <col min="9" max="9" width="9.109375" style="24"/>
    <col min="10" max="10" width="11" style="24" bestFit="1" customWidth="1"/>
    <col min="11" max="11" width="9.109375" style="24"/>
    <col min="12" max="12" width="10.5546875" style="24" bestFit="1" customWidth="1"/>
    <col min="13" max="13" width="9.109375" style="24"/>
    <col min="14" max="14" width="11.5546875" style="24" bestFit="1" customWidth="1"/>
    <col min="15" max="15" width="9.5546875" style="24" bestFit="1" customWidth="1"/>
    <col min="16" max="16384" width="9.109375" style="24"/>
  </cols>
  <sheetData>
    <row r="2" spans="1:19" x14ac:dyDescent="0.3">
      <c r="A2" s="23"/>
      <c r="B2" s="23"/>
      <c r="C2" s="23"/>
      <c r="D2" s="23"/>
      <c r="E2" s="23"/>
      <c r="F2" s="23"/>
      <c r="G2" s="23"/>
      <c r="H2" s="23"/>
    </row>
    <row r="3" spans="1:19" x14ac:dyDescent="0.3">
      <c r="A3" s="23"/>
      <c r="B3" s="23"/>
      <c r="C3" s="23"/>
      <c r="D3" s="23"/>
      <c r="E3" s="23"/>
      <c r="F3" s="23"/>
      <c r="G3" s="25">
        <f>'Amortization Chart'!E5</f>
        <v>25000</v>
      </c>
      <c r="H3" s="23"/>
    </row>
    <row r="4" spans="1:19" x14ac:dyDescent="0.3">
      <c r="A4" s="23"/>
      <c r="B4" s="23"/>
      <c r="C4" s="23"/>
      <c r="D4" s="23"/>
      <c r="E4" s="23"/>
      <c r="F4" s="23"/>
      <c r="G4" s="25">
        <f>'Amortization Chart'!E6</f>
        <v>9</v>
      </c>
      <c r="H4" s="23" t="s">
        <v>1</v>
      </c>
    </row>
    <row r="5" spans="1:19" x14ac:dyDescent="0.3">
      <c r="A5" s="23"/>
      <c r="B5" s="23"/>
      <c r="C5" s="23"/>
      <c r="D5" s="23"/>
      <c r="E5" s="23"/>
      <c r="F5" s="23"/>
      <c r="G5" s="25">
        <f>'Amortization Chart'!E7</f>
        <v>48</v>
      </c>
      <c r="H5" s="23"/>
    </row>
    <row r="6" spans="1:19" x14ac:dyDescent="0.3">
      <c r="A6" s="23"/>
      <c r="B6" s="23"/>
      <c r="C6" s="23"/>
      <c r="D6" s="23"/>
      <c r="E6" s="23"/>
      <c r="F6" s="23"/>
      <c r="G6" s="25">
        <f>'Amortization Chart'!E8</f>
        <v>45658</v>
      </c>
      <c r="H6" s="23"/>
    </row>
    <row r="7" spans="1:19" x14ac:dyDescent="0.3">
      <c r="A7" s="23"/>
      <c r="B7" s="23"/>
      <c r="C7" s="23"/>
      <c r="D7" s="23"/>
      <c r="E7" s="23"/>
      <c r="F7" s="23"/>
      <c r="G7" s="25">
        <f>'Amortization Chart'!U7</f>
        <v>622.12605934835528</v>
      </c>
      <c r="H7" s="23"/>
      <c r="L7" s="26"/>
    </row>
    <row r="8" spans="1:19" x14ac:dyDescent="0.3">
      <c r="A8" s="23"/>
      <c r="B8" s="23"/>
      <c r="C8" s="23"/>
      <c r="D8" s="23"/>
      <c r="E8" s="23"/>
      <c r="F8" s="23"/>
      <c r="G8" s="23"/>
      <c r="H8" s="23"/>
    </row>
    <row r="9" spans="1:19" x14ac:dyDescent="0.3">
      <c r="A9" s="23"/>
      <c r="B9" s="23"/>
      <c r="C9" s="23"/>
      <c r="D9" s="23"/>
      <c r="E9" s="23"/>
      <c r="F9" s="23"/>
      <c r="G9" s="23"/>
      <c r="H9" s="23"/>
    </row>
    <row r="10" spans="1:19" x14ac:dyDescent="0.3">
      <c r="A10" s="24" t="s">
        <v>6</v>
      </c>
      <c r="B10" s="27" t="s">
        <v>8</v>
      </c>
      <c r="C10" s="27" t="s">
        <v>7</v>
      </c>
      <c r="D10" s="27" t="s">
        <v>10</v>
      </c>
      <c r="E10" s="27" t="s">
        <v>9</v>
      </c>
      <c r="I10" s="27"/>
      <c r="J10" s="27"/>
      <c r="K10" s="27"/>
      <c r="L10" s="27"/>
      <c r="M10" s="27"/>
      <c r="N10" s="27"/>
      <c r="Q10" s="27"/>
      <c r="R10" s="27"/>
      <c r="S10" s="27"/>
    </row>
    <row r="11" spans="1:19" x14ac:dyDescent="0.3">
      <c r="A11" s="24">
        <v>1</v>
      </c>
      <c r="B11" s="28">
        <f>SUM(K11:K22)</f>
        <v>5436.1229699245032</v>
      </c>
      <c r="C11" s="28">
        <f>SUM(L11:L22)</f>
        <v>2029.3897422557598</v>
      </c>
      <c r="D11" s="28">
        <f>IF(E11="","",IF(B11&lt;C11,B11,0))</f>
        <v>0</v>
      </c>
      <c r="E11" s="28">
        <f>J22</f>
        <v>19563.877030075491</v>
      </c>
      <c r="G11" s="26"/>
      <c r="I11" s="23">
        <f>IF(G5&lt;&gt;"",1,"")</f>
        <v>1</v>
      </c>
      <c r="J11" s="25">
        <f>IF(I11&lt;&gt;"",G3-K11,"")</f>
        <v>24565.373940651643</v>
      </c>
      <c r="K11" s="25">
        <f>IF(I11&lt;&gt;"",M11-L11,"")</f>
        <v>434.62605934835528</v>
      </c>
      <c r="L11" s="25">
        <f>IF(I11&lt;&gt;"",G3*G4/12/100,"")</f>
        <v>187.5</v>
      </c>
      <c r="M11" s="25">
        <f>IF(I11&lt;&gt;"",G7,"")</f>
        <v>622.12605934835528</v>
      </c>
      <c r="N11" s="25">
        <f>IF(I11&lt;&gt;"",L11,"")</f>
        <v>187.5</v>
      </c>
      <c r="O11" s="26"/>
      <c r="P11" s="24">
        <v>1</v>
      </c>
      <c r="Q11" s="28"/>
      <c r="R11" s="28"/>
      <c r="S11" s="28"/>
    </row>
    <row r="12" spans="1:19" x14ac:dyDescent="0.3">
      <c r="A12" s="24">
        <v>2</v>
      </c>
      <c r="B12" s="28">
        <f t="shared" ref="B12:B35" ca="1" si="0">IF(E12="","",SUM(OFFSET($K$11:$K$22,ROW(A1)*12,0)))</f>
        <v>5946.0688010910926</v>
      </c>
      <c r="C12" s="28">
        <f t="shared" ref="C12:C39" ca="1" si="1">IF(E12="","",SUM(OFFSET($L$11:$L$22,ROW(A1)*12,0)))</f>
        <v>1519.4439110891713</v>
      </c>
      <c r="D12" s="28" t="e">
        <f t="shared" ref="D12:D40" ca="1" si="2">IF(E12="","",IF(B12&lt;C12,B12,NA()))</f>
        <v>#N/A</v>
      </c>
      <c r="E12" s="28">
        <f t="shared" ref="E12:E40" ca="1" si="3">OFFSET($J$10,ROW(A2)*12,0)</f>
        <v>13617.808228984399</v>
      </c>
      <c r="G12" s="26"/>
      <c r="I12" s="23">
        <f t="shared" ref="I12:I75" si="4">IF(OR(I11=$G$5,I11=""),"",I11+1)</f>
        <v>2</v>
      </c>
      <c r="J12" s="25">
        <f>IF(I12&lt;&gt;"",J11-K12,"")</f>
        <v>24127.488185858176</v>
      </c>
      <c r="K12" s="25">
        <f t="shared" ref="K12:K75" si="5">IF(I12&lt;&gt;"",M12-L12,"")</f>
        <v>437.88575479346798</v>
      </c>
      <c r="L12" s="25">
        <f t="shared" ref="L12:L75" si="6">IF(I12&lt;&gt;"",J11*$G$4/12/100,"")</f>
        <v>184.24030455488733</v>
      </c>
      <c r="M12" s="25">
        <f>IF(I12&lt;&gt;"",M11,"")</f>
        <v>622.12605934835528</v>
      </c>
      <c r="N12" s="25">
        <f>IF(I12&lt;&gt;"",L12+N11,"")</f>
        <v>371.7403045548873</v>
      </c>
      <c r="P12" s="24">
        <v>2</v>
      </c>
      <c r="Q12" s="28"/>
      <c r="R12" s="28"/>
      <c r="S12" s="28"/>
    </row>
    <row r="13" spans="1:19" x14ac:dyDescent="0.3">
      <c r="A13" s="24">
        <v>3</v>
      </c>
      <c r="B13" s="28">
        <f t="shared" ca="1" si="0"/>
        <v>6503.8510686596701</v>
      </c>
      <c r="C13" s="28">
        <f t="shared" ca="1" si="1"/>
        <v>961.661643520594</v>
      </c>
      <c r="D13" s="28" t="e">
        <f t="shared" ca="1" si="2"/>
        <v>#N/A</v>
      </c>
      <c r="E13" s="28">
        <f t="shared" ca="1" si="3"/>
        <v>7113.9571603247305</v>
      </c>
      <c r="I13" s="23">
        <f t="shared" si="4"/>
        <v>3</v>
      </c>
      <c r="J13" s="25">
        <f t="shared" ref="J13:J76" si="7">IF(I13&lt;&gt;"",J12-K13,"")</f>
        <v>23686.318287903756</v>
      </c>
      <c r="K13" s="25">
        <f t="shared" si="5"/>
        <v>441.16989795441896</v>
      </c>
      <c r="L13" s="25">
        <f t="shared" si="6"/>
        <v>180.9561613939363</v>
      </c>
      <c r="M13" s="25">
        <f t="shared" ref="M13:M76" si="8">IF(I13&lt;&gt;"",M12,"")</f>
        <v>622.12605934835528</v>
      </c>
      <c r="N13" s="25">
        <f t="shared" ref="N13:N76" si="9">IF(I13&lt;&gt;"",L13+N12,"")</f>
        <v>552.69646594882363</v>
      </c>
      <c r="P13" s="24">
        <v>3</v>
      </c>
      <c r="Q13" s="28"/>
      <c r="R13" s="28"/>
      <c r="S13" s="28"/>
    </row>
    <row r="14" spans="1:19" x14ac:dyDescent="0.3">
      <c r="A14" s="24">
        <v>4</v>
      </c>
      <c r="B14" s="28">
        <f t="shared" ca="1" si="0"/>
        <v>7113.9571603247414</v>
      </c>
      <c r="C14" s="28">
        <f t="shared" ca="1" si="1"/>
        <v>351.55555185552259</v>
      </c>
      <c r="D14" s="28" t="e">
        <f t="shared" ca="1" si="2"/>
        <v>#N/A</v>
      </c>
      <c r="E14" s="28">
        <f t="shared" ca="1" si="3"/>
        <v>-1.0459189070388675E-11</v>
      </c>
      <c r="I14" s="23">
        <f t="shared" si="4"/>
        <v>4</v>
      </c>
      <c r="J14" s="25">
        <f t="shared" si="7"/>
        <v>23241.839615714678</v>
      </c>
      <c r="K14" s="25">
        <f t="shared" si="5"/>
        <v>444.47867218907709</v>
      </c>
      <c r="L14" s="25">
        <f t="shared" si="6"/>
        <v>177.6473871592782</v>
      </c>
      <c r="M14" s="25">
        <f t="shared" si="8"/>
        <v>622.12605934835528</v>
      </c>
      <c r="N14" s="25">
        <f t="shared" si="9"/>
        <v>730.34385310810183</v>
      </c>
      <c r="P14" s="24">
        <v>4</v>
      </c>
      <c r="Q14" s="28"/>
      <c r="R14" s="28"/>
      <c r="S14" s="28"/>
    </row>
    <row r="15" spans="1:19" x14ac:dyDescent="0.3">
      <c r="A15" s="24">
        <v>5</v>
      </c>
      <c r="B15" s="28" t="str">
        <f t="shared" ca="1" si="0"/>
        <v/>
      </c>
      <c r="C15" s="28" t="str">
        <f t="shared" ca="1" si="1"/>
        <v/>
      </c>
      <c r="D15" s="28" t="str">
        <f t="shared" ca="1" si="2"/>
        <v/>
      </c>
      <c r="E15" s="28" t="str">
        <f t="shared" ca="1" si="3"/>
        <v/>
      </c>
      <c r="I15" s="23">
        <f t="shared" si="4"/>
        <v>5</v>
      </c>
      <c r="J15" s="25">
        <f t="shared" si="7"/>
        <v>22794.027353484184</v>
      </c>
      <c r="K15" s="25">
        <f t="shared" si="5"/>
        <v>447.81226223049521</v>
      </c>
      <c r="L15" s="25">
        <f t="shared" si="6"/>
        <v>174.31379711786008</v>
      </c>
      <c r="M15" s="25">
        <f t="shared" si="8"/>
        <v>622.12605934835528</v>
      </c>
      <c r="N15" s="25">
        <f t="shared" si="9"/>
        <v>904.6576502259619</v>
      </c>
      <c r="P15" s="24">
        <v>5</v>
      </c>
      <c r="Q15" s="28"/>
      <c r="R15" s="28"/>
      <c r="S15" s="28"/>
    </row>
    <row r="16" spans="1:19" x14ac:dyDescent="0.3">
      <c r="A16" s="24">
        <v>6</v>
      </c>
      <c r="B16" s="28" t="str">
        <f t="shared" ca="1" si="0"/>
        <v/>
      </c>
      <c r="C16" s="28" t="str">
        <f t="shared" ca="1" si="1"/>
        <v/>
      </c>
      <c r="D16" s="28" t="str">
        <f t="shared" ca="1" si="2"/>
        <v/>
      </c>
      <c r="E16" s="28" t="str">
        <f t="shared" ca="1" si="3"/>
        <v/>
      </c>
      <c r="I16" s="23">
        <f t="shared" si="4"/>
        <v>6</v>
      </c>
      <c r="J16" s="25">
        <f t="shared" si="7"/>
        <v>22342.856499286958</v>
      </c>
      <c r="K16" s="25">
        <f t="shared" si="5"/>
        <v>451.17085419722389</v>
      </c>
      <c r="L16" s="25">
        <f t="shared" si="6"/>
        <v>170.95520515113137</v>
      </c>
      <c r="M16" s="25">
        <f t="shared" si="8"/>
        <v>622.12605934835528</v>
      </c>
      <c r="N16" s="25">
        <f t="shared" si="9"/>
        <v>1075.6128553770932</v>
      </c>
      <c r="P16" s="24">
        <v>6</v>
      </c>
      <c r="Q16" s="28"/>
      <c r="R16" s="28"/>
      <c r="S16" s="28"/>
    </row>
    <row r="17" spans="1:19" x14ac:dyDescent="0.3">
      <c r="A17" s="24">
        <v>7</v>
      </c>
      <c r="B17" s="28" t="str">
        <f t="shared" ca="1" si="0"/>
        <v/>
      </c>
      <c r="C17" s="28" t="str">
        <f t="shared" ca="1" si="1"/>
        <v/>
      </c>
      <c r="D17" s="28" t="str">
        <f t="shared" ca="1" si="2"/>
        <v/>
      </c>
      <c r="E17" s="28" t="str">
        <f t="shared" ca="1" si="3"/>
        <v/>
      </c>
      <c r="I17" s="23">
        <f t="shared" si="4"/>
        <v>7</v>
      </c>
      <c r="J17" s="25">
        <f t="shared" si="7"/>
        <v>21888.301863683253</v>
      </c>
      <c r="K17" s="25">
        <f t="shared" si="5"/>
        <v>454.5546356037031</v>
      </c>
      <c r="L17" s="25">
        <f t="shared" si="6"/>
        <v>167.57142374465218</v>
      </c>
      <c r="M17" s="25">
        <f t="shared" si="8"/>
        <v>622.12605934835528</v>
      </c>
      <c r="N17" s="25">
        <f t="shared" si="9"/>
        <v>1243.1842791217455</v>
      </c>
      <c r="P17" s="24">
        <v>7</v>
      </c>
      <c r="Q17" s="28"/>
      <c r="R17" s="28"/>
      <c r="S17" s="28"/>
    </row>
    <row r="18" spans="1:19" x14ac:dyDescent="0.3">
      <c r="A18" s="24">
        <v>8</v>
      </c>
      <c r="B18" s="28" t="str">
        <f t="shared" ca="1" si="0"/>
        <v/>
      </c>
      <c r="C18" s="28" t="str">
        <f t="shared" ca="1" si="1"/>
        <v/>
      </c>
      <c r="D18" s="28" t="str">
        <f t="shared" ca="1" si="2"/>
        <v/>
      </c>
      <c r="E18" s="28" t="str">
        <f t="shared" ca="1" si="3"/>
        <v/>
      </c>
      <c r="I18" s="23">
        <f t="shared" si="4"/>
        <v>8</v>
      </c>
      <c r="J18" s="25">
        <f t="shared" si="7"/>
        <v>21430.338068312522</v>
      </c>
      <c r="K18" s="25">
        <f t="shared" si="5"/>
        <v>457.96379537073091</v>
      </c>
      <c r="L18" s="25">
        <f t="shared" si="6"/>
        <v>164.16226397762438</v>
      </c>
      <c r="M18" s="25">
        <f t="shared" si="8"/>
        <v>622.12605934835528</v>
      </c>
      <c r="N18" s="25">
        <f t="shared" si="9"/>
        <v>1407.3465430993699</v>
      </c>
      <c r="P18" s="24">
        <v>8</v>
      </c>
      <c r="Q18" s="28"/>
      <c r="R18" s="28"/>
      <c r="S18" s="28"/>
    </row>
    <row r="19" spans="1:19" x14ac:dyDescent="0.3">
      <c r="A19" s="24">
        <v>9</v>
      </c>
      <c r="B19" s="28" t="str">
        <f t="shared" ca="1" si="0"/>
        <v/>
      </c>
      <c r="C19" s="28" t="str">
        <f t="shared" ca="1" si="1"/>
        <v/>
      </c>
      <c r="D19" s="28" t="str">
        <f t="shared" ca="1" si="2"/>
        <v/>
      </c>
      <c r="E19" s="28" t="str">
        <f t="shared" ca="1" si="3"/>
        <v/>
      </c>
      <c r="I19" s="23">
        <f t="shared" si="4"/>
        <v>9</v>
      </c>
      <c r="J19" s="25">
        <f t="shared" si="7"/>
        <v>20968.93954447651</v>
      </c>
      <c r="K19" s="25">
        <f t="shared" si="5"/>
        <v>461.39852383601135</v>
      </c>
      <c r="L19" s="25">
        <f t="shared" si="6"/>
        <v>160.72753551234391</v>
      </c>
      <c r="M19" s="25">
        <f t="shared" si="8"/>
        <v>622.12605934835528</v>
      </c>
      <c r="N19" s="25">
        <f t="shared" si="9"/>
        <v>1568.0740786117137</v>
      </c>
      <c r="P19" s="24">
        <v>9</v>
      </c>
      <c r="Q19" s="28"/>
      <c r="R19" s="28"/>
      <c r="S19" s="28"/>
    </row>
    <row r="20" spans="1:19" x14ac:dyDescent="0.3">
      <c r="A20" s="24">
        <v>10</v>
      </c>
      <c r="B20" s="28" t="str">
        <f t="shared" ca="1" si="0"/>
        <v/>
      </c>
      <c r="C20" s="28" t="str">
        <f t="shared" ca="1" si="1"/>
        <v/>
      </c>
      <c r="D20" s="28" t="str">
        <f t="shared" ca="1" si="2"/>
        <v/>
      </c>
      <c r="E20" s="28" t="str">
        <f t="shared" ca="1" si="3"/>
        <v/>
      </c>
      <c r="I20" s="23">
        <f t="shared" si="4"/>
        <v>10</v>
      </c>
      <c r="J20" s="25">
        <f t="shared" si="7"/>
        <v>20504.08053171173</v>
      </c>
      <c r="K20" s="25">
        <f t="shared" si="5"/>
        <v>464.85901276478148</v>
      </c>
      <c r="L20" s="25">
        <f t="shared" si="6"/>
        <v>157.26704658357383</v>
      </c>
      <c r="M20" s="25">
        <f t="shared" si="8"/>
        <v>622.12605934835528</v>
      </c>
      <c r="N20" s="25">
        <f t="shared" si="9"/>
        <v>1725.3411251952875</v>
      </c>
      <c r="P20" s="24">
        <v>10</v>
      </c>
      <c r="Q20" s="28"/>
      <c r="R20" s="28"/>
      <c r="S20" s="28"/>
    </row>
    <row r="21" spans="1:19" x14ac:dyDescent="0.3">
      <c r="A21" s="24">
        <v>11</v>
      </c>
      <c r="B21" s="28" t="str">
        <f t="shared" ca="1" si="0"/>
        <v/>
      </c>
      <c r="C21" s="28" t="str">
        <f t="shared" ca="1" si="1"/>
        <v/>
      </c>
      <c r="D21" s="28" t="str">
        <f t="shared" ca="1" si="2"/>
        <v/>
      </c>
      <c r="E21" s="28" t="str">
        <f t="shared" ca="1" si="3"/>
        <v/>
      </c>
      <c r="I21" s="23">
        <f t="shared" si="4"/>
        <v>11</v>
      </c>
      <c r="J21" s="25">
        <f t="shared" si="7"/>
        <v>20035.735076351211</v>
      </c>
      <c r="K21" s="25">
        <f t="shared" si="5"/>
        <v>468.34545536051735</v>
      </c>
      <c r="L21" s="25">
        <f t="shared" si="6"/>
        <v>153.78060398783796</v>
      </c>
      <c r="M21" s="25">
        <f t="shared" si="8"/>
        <v>622.12605934835528</v>
      </c>
      <c r="N21" s="25">
        <f t="shared" si="9"/>
        <v>1879.1217291831256</v>
      </c>
      <c r="P21" s="24">
        <v>11</v>
      </c>
      <c r="Q21" s="28"/>
      <c r="R21" s="28"/>
      <c r="S21" s="28"/>
    </row>
    <row r="22" spans="1:19" x14ac:dyDescent="0.3">
      <c r="A22" s="24">
        <v>12</v>
      </c>
      <c r="B22" s="28" t="str">
        <f t="shared" ca="1" si="0"/>
        <v/>
      </c>
      <c r="C22" s="28" t="str">
        <f t="shared" ca="1" si="1"/>
        <v/>
      </c>
      <c r="D22" s="28" t="str">
        <f t="shared" ca="1" si="2"/>
        <v/>
      </c>
      <c r="E22" s="28" t="str">
        <f t="shared" ca="1" si="3"/>
        <v/>
      </c>
      <c r="I22" s="23">
        <f t="shared" si="4"/>
        <v>12</v>
      </c>
      <c r="J22" s="25">
        <f t="shared" si="7"/>
        <v>19563.877030075491</v>
      </c>
      <c r="K22" s="25">
        <f t="shared" si="5"/>
        <v>471.85804627572122</v>
      </c>
      <c r="L22" s="25">
        <f t="shared" si="6"/>
        <v>150.26801307263406</v>
      </c>
      <c r="M22" s="25">
        <f t="shared" si="8"/>
        <v>622.12605934835528</v>
      </c>
      <c r="N22" s="25">
        <f t="shared" si="9"/>
        <v>2029.3897422557598</v>
      </c>
      <c r="O22" s="26"/>
      <c r="P22" s="24">
        <v>12</v>
      </c>
      <c r="Q22" s="28"/>
      <c r="R22" s="28"/>
      <c r="S22" s="28"/>
    </row>
    <row r="23" spans="1:19" x14ac:dyDescent="0.3">
      <c r="A23" s="24">
        <v>13</v>
      </c>
      <c r="B23" s="28" t="str">
        <f t="shared" ca="1" si="0"/>
        <v/>
      </c>
      <c r="C23" s="28" t="str">
        <f t="shared" ca="1" si="1"/>
        <v/>
      </c>
      <c r="D23" s="28" t="str">
        <f t="shared" ca="1" si="2"/>
        <v/>
      </c>
      <c r="E23" s="28" t="str">
        <f t="shared" ca="1" si="3"/>
        <v/>
      </c>
      <c r="I23" s="23">
        <f t="shared" si="4"/>
        <v>13</v>
      </c>
      <c r="J23" s="25">
        <f t="shared" si="7"/>
        <v>19088.4800484527</v>
      </c>
      <c r="K23" s="25">
        <f t="shared" si="5"/>
        <v>475.3969816227891</v>
      </c>
      <c r="L23" s="25">
        <f t="shared" si="6"/>
        <v>146.72907772556619</v>
      </c>
      <c r="M23" s="25">
        <f t="shared" si="8"/>
        <v>622.12605934835528</v>
      </c>
      <c r="N23" s="25">
        <f t="shared" si="9"/>
        <v>2176.1188199813259</v>
      </c>
      <c r="O23" s="26"/>
      <c r="P23" s="24">
        <v>13</v>
      </c>
      <c r="Q23" s="28"/>
      <c r="R23" s="28"/>
      <c r="S23" s="28"/>
    </row>
    <row r="24" spans="1:19" x14ac:dyDescent="0.3">
      <c r="A24" s="24">
        <v>14</v>
      </c>
      <c r="B24" s="28" t="str">
        <f t="shared" ca="1" si="0"/>
        <v/>
      </c>
      <c r="C24" s="28" t="str">
        <f t="shared" ca="1" si="1"/>
        <v/>
      </c>
      <c r="D24" s="28" t="str">
        <f t="shared" ca="1" si="2"/>
        <v/>
      </c>
      <c r="E24" s="28" t="str">
        <f t="shared" ca="1" si="3"/>
        <v/>
      </c>
      <c r="I24" s="23">
        <f t="shared" si="4"/>
        <v>14</v>
      </c>
      <c r="J24" s="25">
        <f t="shared" si="7"/>
        <v>18609.517589467741</v>
      </c>
      <c r="K24" s="25">
        <f t="shared" si="5"/>
        <v>478.96245898495999</v>
      </c>
      <c r="L24" s="25">
        <f t="shared" si="6"/>
        <v>143.16360036339526</v>
      </c>
      <c r="M24" s="25">
        <f t="shared" si="8"/>
        <v>622.12605934835528</v>
      </c>
      <c r="N24" s="25">
        <f t="shared" si="9"/>
        <v>2319.2824203447212</v>
      </c>
      <c r="P24" s="24">
        <v>14</v>
      </c>
      <c r="Q24" s="28"/>
      <c r="R24" s="28"/>
      <c r="S24" s="28"/>
    </row>
    <row r="25" spans="1:19" x14ac:dyDescent="0.3">
      <c r="A25" s="24">
        <v>15</v>
      </c>
      <c r="B25" s="28" t="str">
        <f t="shared" ca="1" si="0"/>
        <v/>
      </c>
      <c r="C25" s="28" t="str">
        <f t="shared" ca="1" si="1"/>
        <v/>
      </c>
      <c r="D25" s="28" t="str">
        <f t="shared" ca="1" si="2"/>
        <v/>
      </c>
      <c r="E25" s="28" t="str">
        <f t="shared" ca="1" si="3"/>
        <v/>
      </c>
      <c r="I25" s="23">
        <f t="shared" si="4"/>
        <v>15</v>
      </c>
      <c r="J25" s="25">
        <f t="shared" si="7"/>
        <v>18126.962912040395</v>
      </c>
      <c r="K25" s="25">
        <f t="shared" si="5"/>
        <v>482.5546774273472</v>
      </c>
      <c r="L25" s="25">
        <f t="shared" si="6"/>
        <v>139.57138192100808</v>
      </c>
      <c r="M25" s="25">
        <f t="shared" si="8"/>
        <v>622.12605934835528</v>
      </c>
      <c r="N25" s="25">
        <f t="shared" si="9"/>
        <v>2458.8538022657294</v>
      </c>
      <c r="P25" s="24">
        <v>15</v>
      </c>
      <c r="Q25" s="28"/>
      <c r="R25" s="28"/>
      <c r="S25" s="28"/>
    </row>
    <row r="26" spans="1:19" x14ac:dyDescent="0.3">
      <c r="A26" s="24">
        <v>16</v>
      </c>
      <c r="B26" s="28" t="str">
        <f t="shared" ca="1" si="0"/>
        <v/>
      </c>
      <c r="C26" s="28" t="str">
        <f t="shared" ca="1" si="1"/>
        <v/>
      </c>
      <c r="D26" s="28" t="str">
        <f t="shared" ca="1" si="2"/>
        <v/>
      </c>
      <c r="E26" s="28" t="str">
        <f t="shared" ca="1" si="3"/>
        <v/>
      </c>
      <c r="I26" s="23">
        <f t="shared" si="4"/>
        <v>16</v>
      </c>
      <c r="J26" s="25">
        <f t="shared" si="7"/>
        <v>17640.789074532342</v>
      </c>
      <c r="K26" s="25">
        <f t="shared" si="5"/>
        <v>486.17383750805232</v>
      </c>
      <c r="L26" s="25">
        <f t="shared" si="6"/>
        <v>135.95222184030297</v>
      </c>
      <c r="M26" s="25">
        <f t="shared" si="8"/>
        <v>622.12605934835528</v>
      </c>
      <c r="N26" s="25">
        <f t="shared" si="9"/>
        <v>2594.8060241060325</v>
      </c>
      <c r="P26" s="24">
        <v>16</v>
      </c>
      <c r="Q26" s="28"/>
      <c r="R26" s="28"/>
      <c r="S26" s="28"/>
    </row>
    <row r="27" spans="1:19" x14ac:dyDescent="0.3">
      <c r="A27" s="24">
        <v>17</v>
      </c>
      <c r="B27" s="28" t="str">
        <f t="shared" ca="1" si="0"/>
        <v/>
      </c>
      <c r="C27" s="28" t="str">
        <f t="shared" ca="1" si="1"/>
        <v/>
      </c>
      <c r="D27" s="28" t="str">
        <f t="shared" ca="1" si="2"/>
        <v/>
      </c>
      <c r="E27" s="28" t="str">
        <f t="shared" ca="1" si="3"/>
        <v/>
      </c>
      <c r="I27" s="23">
        <f t="shared" si="4"/>
        <v>17</v>
      </c>
      <c r="J27" s="25">
        <f t="shared" si="7"/>
        <v>17150.968933242981</v>
      </c>
      <c r="K27" s="25">
        <f t="shared" si="5"/>
        <v>489.82014128936271</v>
      </c>
      <c r="L27" s="25">
        <f t="shared" si="6"/>
        <v>132.30591805899255</v>
      </c>
      <c r="M27" s="25">
        <f t="shared" si="8"/>
        <v>622.12605934835528</v>
      </c>
      <c r="N27" s="25">
        <f t="shared" si="9"/>
        <v>2727.1119421650251</v>
      </c>
      <c r="P27" s="24">
        <v>17</v>
      </c>
      <c r="Q27" s="28"/>
      <c r="R27" s="28"/>
      <c r="S27" s="28"/>
    </row>
    <row r="28" spans="1:19" x14ac:dyDescent="0.3">
      <c r="A28" s="24">
        <v>18</v>
      </c>
      <c r="B28" s="28" t="str">
        <f t="shared" ca="1" si="0"/>
        <v/>
      </c>
      <c r="C28" s="28" t="str">
        <f t="shared" ca="1" si="1"/>
        <v/>
      </c>
      <c r="D28" s="28" t="str">
        <f t="shared" ca="1" si="2"/>
        <v/>
      </c>
      <c r="E28" s="28" t="str">
        <f t="shared" ca="1" si="3"/>
        <v/>
      </c>
      <c r="I28" s="23">
        <f t="shared" si="4"/>
        <v>18</v>
      </c>
      <c r="J28" s="25">
        <f t="shared" si="7"/>
        <v>16657.475140893948</v>
      </c>
      <c r="K28" s="25">
        <f t="shared" si="5"/>
        <v>493.4937923490329</v>
      </c>
      <c r="L28" s="25">
        <f t="shared" si="6"/>
        <v>128.63226699932235</v>
      </c>
      <c r="M28" s="25">
        <f t="shared" si="8"/>
        <v>622.12605934835528</v>
      </c>
      <c r="N28" s="25">
        <f t="shared" si="9"/>
        <v>2855.7442091643475</v>
      </c>
      <c r="P28" s="24">
        <v>18</v>
      </c>
      <c r="Q28" s="28"/>
      <c r="R28" s="28"/>
      <c r="S28" s="28"/>
    </row>
    <row r="29" spans="1:19" x14ac:dyDescent="0.3">
      <c r="A29" s="24">
        <v>19</v>
      </c>
      <c r="B29" s="28" t="str">
        <f t="shared" ca="1" si="0"/>
        <v/>
      </c>
      <c r="C29" s="28" t="str">
        <f t="shared" ca="1" si="1"/>
        <v/>
      </c>
      <c r="D29" s="28" t="str">
        <f t="shared" ca="1" si="2"/>
        <v/>
      </c>
      <c r="E29" s="28" t="str">
        <f t="shared" ca="1" si="3"/>
        <v/>
      </c>
      <c r="I29" s="23">
        <f t="shared" si="4"/>
        <v>19</v>
      </c>
      <c r="J29" s="25">
        <f t="shared" si="7"/>
        <v>16160.280145102297</v>
      </c>
      <c r="K29" s="25">
        <f t="shared" si="5"/>
        <v>497.19499579165068</v>
      </c>
      <c r="L29" s="25">
        <f t="shared" si="6"/>
        <v>124.93106355670461</v>
      </c>
      <c r="M29" s="25">
        <f t="shared" si="8"/>
        <v>622.12605934835528</v>
      </c>
      <c r="N29" s="25">
        <f t="shared" si="9"/>
        <v>2980.6752727210519</v>
      </c>
      <c r="P29" s="24">
        <v>19</v>
      </c>
      <c r="Q29" s="28"/>
      <c r="R29" s="28"/>
      <c r="S29" s="28"/>
    </row>
    <row r="30" spans="1:19" x14ac:dyDescent="0.3">
      <c r="A30" s="24">
        <v>20</v>
      </c>
      <c r="B30" s="28" t="str">
        <f t="shared" ca="1" si="0"/>
        <v/>
      </c>
      <c r="C30" s="28" t="str">
        <f t="shared" ca="1" si="1"/>
        <v/>
      </c>
      <c r="D30" s="28" t="str">
        <f t="shared" ca="1" si="2"/>
        <v/>
      </c>
      <c r="E30" s="28" t="str">
        <f t="shared" ca="1" si="3"/>
        <v/>
      </c>
      <c r="I30" s="23">
        <f t="shared" si="4"/>
        <v>20</v>
      </c>
      <c r="J30" s="25">
        <f t="shared" si="7"/>
        <v>15659.356186842209</v>
      </c>
      <c r="K30" s="25">
        <f t="shared" si="5"/>
        <v>500.92395826008806</v>
      </c>
      <c r="L30" s="25">
        <f t="shared" si="6"/>
        <v>121.20210108826723</v>
      </c>
      <c r="M30" s="25">
        <f t="shared" si="8"/>
        <v>622.12605934835528</v>
      </c>
      <c r="N30" s="25">
        <f t="shared" si="9"/>
        <v>3101.8773738093191</v>
      </c>
      <c r="P30" s="24">
        <v>20</v>
      </c>
      <c r="Q30" s="28"/>
      <c r="R30" s="28"/>
      <c r="S30" s="28"/>
    </row>
    <row r="31" spans="1:19" x14ac:dyDescent="0.3">
      <c r="A31" s="24">
        <v>21</v>
      </c>
      <c r="B31" s="28" t="str">
        <f t="shared" ca="1" si="0"/>
        <v/>
      </c>
      <c r="C31" s="28" t="str">
        <f t="shared" ca="1" si="1"/>
        <v/>
      </c>
      <c r="D31" s="28" t="str">
        <f t="shared" ca="1" si="2"/>
        <v/>
      </c>
      <c r="E31" s="28" t="str">
        <f t="shared" ca="1" si="3"/>
        <v/>
      </c>
      <c r="I31" s="23">
        <f t="shared" si="4"/>
        <v>21</v>
      </c>
      <c r="J31" s="25">
        <f t="shared" si="7"/>
        <v>15154.67529889517</v>
      </c>
      <c r="K31" s="25">
        <f t="shared" si="5"/>
        <v>504.68088794703874</v>
      </c>
      <c r="L31" s="25">
        <f t="shared" si="6"/>
        <v>117.44517140131657</v>
      </c>
      <c r="M31" s="25">
        <f t="shared" si="8"/>
        <v>622.12605934835528</v>
      </c>
      <c r="N31" s="25">
        <f t="shared" si="9"/>
        <v>3219.3225452106358</v>
      </c>
      <c r="P31" s="24">
        <v>21</v>
      </c>
      <c r="Q31" s="28"/>
      <c r="R31" s="28"/>
      <c r="S31" s="28"/>
    </row>
    <row r="32" spans="1:19" x14ac:dyDescent="0.3">
      <c r="A32" s="24">
        <v>22</v>
      </c>
      <c r="B32" s="28" t="str">
        <f t="shared" ca="1" si="0"/>
        <v/>
      </c>
      <c r="C32" s="28" t="str">
        <f t="shared" ca="1" si="1"/>
        <v/>
      </c>
      <c r="D32" s="28" t="str">
        <f t="shared" ca="1" si="2"/>
        <v/>
      </c>
      <c r="E32" s="28" t="str">
        <f t="shared" ca="1" si="3"/>
        <v/>
      </c>
      <c r="I32" s="23">
        <f t="shared" si="4"/>
        <v>22</v>
      </c>
      <c r="J32" s="25">
        <f t="shared" si="7"/>
        <v>14646.209304288528</v>
      </c>
      <c r="K32" s="25">
        <f t="shared" si="5"/>
        <v>508.46599460664152</v>
      </c>
      <c r="L32" s="25">
        <f t="shared" si="6"/>
        <v>113.66006474171378</v>
      </c>
      <c r="M32" s="25">
        <f t="shared" si="8"/>
        <v>622.12605934835528</v>
      </c>
      <c r="N32" s="25">
        <f t="shared" si="9"/>
        <v>3332.9826099523498</v>
      </c>
      <c r="P32" s="24">
        <v>22</v>
      </c>
      <c r="Q32" s="28"/>
      <c r="R32" s="28"/>
      <c r="S32" s="28"/>
    </row>
    <row r="33" spans="1:19" x14ac:dyDescent="0.3">
      <c r="A33" s="24">
        <v>23</v>
      </c>
      <c r="B33" s="28" t="str">
        <f t="shared" ca="1" si="0"/>
        <v/>
      </c>
      <c r="C33" s="28" t="str">
        <f t="shared" ca="1" si="1"/>
        <v/>
      </c>
      <c r="D33" s="28" t="str">
        <f t="shared" ca="1" si="2"/>
        <v/>
      </c>
      <c r="E33" s="28" t="str">
        <f t="shared" ca="1" si="3"/>
        <v/>
      </c>
      <c r="I33" s="23">
        <f t="shared" si="4"/>
        <v>23</v>
      </c>
      <c r="J33" s="25">
        <f t="shared" si="7"/>
        <v>14133.929814722336</v>
      </c>
      <c r="K33" s="25">
        <f t="shared" si="5"/>
        <v>512.27948956619139</v>
      </c>
      <c r="L33" s="25">
        <f t="shared" si="6"/>
        <v>109.84656978216395</v>
      </c>
      <c r="M33" s="25">
        <f t="shared" si="8"/>
        <v>622.12605934835528</v>
      </c>
      <c r="N33" s="25">
        <f t="shared" si="9"/>
        <v>3442.8291797345137</v>
      </c>
      <c r="P33" s="24">
        <v>23</v>
      </c>
      <c r="Q33" s="28"/>
      <c r="R33" s="28"/>
      <c r="S33" s="28"/>
    </row>
    <row r="34" spans="1:19" x14ac:dyDescent="0.3">
      <c r="A34" s="24">
        <v>24</v>
      </c>
      <c r="B34" s="28" t="str">
        <f t="shared" ca="1" si="0"/>
        <v/>
      </c>
      <c r="C34" s="28" t="str">
        <f t="shared" ca="1" si="1"/>
        <v/>
      </c>
      <c r="D34" s="28" t="str">
        <f t="shared" ca="1" si="2"/>
        <v/>
      </c>
      <c r="E34" s="28" t="str">
        <f t="shared" ca="1" si="3"/>
        <v/>
      </c>
      <c r="I34" s="23">
        <f t="shared" si="4"/>
        <v>24</v>
      </c>
      <c r="J34" s="25">
        <f t="shared" si="7"/>
        <v>13617.808228984399</v>
      </c>
      <c r="K34" s="25">
        <f t="shared" si="5"/>
        <v>516.12158573793772</v>
      </c>
      <c r="L34" s="25">
        <f t="shared" si="6"/>
        <v>106.00447361041752</v>
      </c>
      <c r="M34" s="25">
        <f t="shared" si="8"/>
        <v>622.12605934835528</v>
      </c>
      <c r="N34" s="25">
        <f t="shared" si="9"/>
        <v>3548.833653344931</v>
      </c>
      <c r="P34" s="24">
        <v>24</v>
      </c>
      <c r="Q34" s="28"/>
      <c r="R34" s="28"/>
      <c r="S34" s="28"/>
    </row>
    <row r="35" spans="1:19" x14ac:dyDescent="0.3">
      <c r="A35" s="24">
        <v>25</v>
      </c>
      <c r="B35" s="28" t="str">
        <f t="shared" ca="1" si="0"/>
        <v/>
      </c>
      <c r="C35" s="28" t="str">
        <f t="shared" ca="1" si="1"/>
        <v/>
      </c>
      <c r="D35" s="28" t="str">
        <f t="shared" ca="1" si="2"/>
        <v/>
      </c>
      <c r="E35" s="28" t="str">
        <f t="shared" ca="1" si="3"/>
        <v/>
      </c>
      <c r="I35" s="23">
        <f t="shared" si="4"/>
        <v>25</v>
      </c>
      <c r="J35" s="25">
        <f t="shared" si="7"/>
        <v>13097.815731353427</v>
      </c>
      <c r="K35" s="25">
        <f t="shared" si="5"/>
        <v>519.99249763097225</v>
      </c>
      <c r="L35" s="25">
        <f t="shared" si="6"/>
        <v>102.133561717383</v>
      </c>
      <c r="M35" s="25">
        <f t="shared" si="8"/>
        <v>622.12605934835528</v>
      </c>
      <c r="N35" s="25">
        <f t="shared" si="9"/>
        <v>3650.9672150623142</v>
      </c>
      <c r="O35" s="26"/>
      <c r="P35" s="24">
        <v>25</v>
      </c>
      <c r="Q35" s="28"/>
      <c r="R35" s="28"/>
      <c r="S35" s="28"/>
    </row>
    <row r="36" spans="1:19" x14ac:dyDescent="0.3">
      <c r="A36" s="24">
        <v>26</v>
      </c>
      <c r="B36" s="28" t="str">
        <f ca="1">IF(E36="","",SUM(OFFSET($K$11:$K$22,ROW(A25)*12,0)))</f>
        <v/>
      </c>
      <c r="C36" s="28" t="str">
        <f t="shared" ca="1" si="1"/>
        <v/>
      </c>
      <c r="D36" s="28" t="str">
        <f t="shared" ca="1" si="2"/>
        <v/>
      </c>
      <c r="E36" s="28" t="str">
        <f t="shared" ca="1" si="3"/>
        <v/>
      </c>
      <c r="I36" s="23">
        <f t="shared" si="4"/>
        <v>26</v>
      </c>
      <c r="J36" s="25">
        <f t="shared" si="7"/>
        <v>12573.923289990222</v>
      </c>
      <c r="K36" s="25">
        <f t="shared" si="5"/>
        <v>523.89244136320463</v>
      </c>
      <c r="L36" s="25">
        <f t="shared" si="6"/>
        <v>98.233617985150701</v>
      </c>
      <c r="M36" s="25">
        <f t="shared" si="8"/>
        <v>622.12605934835528</v>
      </c>
      <c r="N36" s="25">
        <f t="shared" si="9"/>
        <v>3749.200833047465</v>
      </c>
      <c r="P36" s="24">
        <v>26</v>
      </c>
      <c r="Q36" s="28"/>
      <c r="R36" s="28"/>
      <c r="S36" s="28"/>
    </row>
    <row r="37" spans="1:19" x14ac:dyDescent="0.3">
      <c r="A37" s="24">
        <v>27</v>
      </c>
      <c r="B37" s="28" t="str">
        <f t="shared" ref="B37:B40" ca="1" si="10">IF(E37="","",SUM(OFFSET($K$11:$K$22,ROW(A26)*12,0)))</f>
        <v/>
      </c>
      <c r="C37" s="28" t="str">
        <f t="shared" ca="1" si="1"/>
        <v/>
      </c>
      <c r="D37" s="28" t="str">
        <f t="shared" ca="1" si="2"/>
        <v/>
      </c>
      <c r="E37" s="28" t="str">
        <f t="shared" ca="1" si="3"/>
        <v/>
      </c>
      <c r="I37" s="23">
        <f t="shared" si="4"/>
        <v>27</v>
      </c>
      <c r="J37" s="25">
        <f t="shared" si="7"/>
        <v>12046.101655316794</v>
      </c>
      <c r="K37" s="25">
        <f t="shared" si="5"/>
        <v>527.82163467342866</v>
      </c>
      <c r="L37" s="25">
        <f t="shared" si="6"/>
        <v>94.304424674926665</v>
      </c>
      <c r="M37" s="25">
        <f t="shared" si="8"/>
        <v>622.12605934835528</v>
      </c>
      <c r="N37" s="25">
        <f t="shared" si="9"/>
        <v>3843.5052577223919</v>
      </c>
      <c r="P37" s="24">
        <v>27</v>
      </c>
      <c r="Q37" s="28"/>
      <c r="R37" s="28"/>
      <c r="S37" s="28"/>
    </row>
    <row r="38" spans="1:19" x14ac:dyDescent="0.3">
      <c r="A38" s="24">
        <v>28</v>
      </c>
      <c r="B38" s="28" t="str">
        <f t="shared" ca="1" si="10"/>
        <v/>
      </c>
      <c r="C38" s="28" t="str">
        <f t="shared" ca="1" si="1"/>
        <v/>
      </c>
      <c r="D38" s="28" t="str">
        <f t="shared" ca="1" si="2"/>
        <v/>
      </c>
      <c r="E38" s="28" t="str">
        <f t="shared" ca="1" si="3"/>
        <v/>
      </c>
      <c r="I38" s="23">
        <f t="shared" si="4"/>
        <v>28</v>
      </c>
      <c r="J38" s="25">
        <f t="shared" si="7"/>
        <v>11514.321358383315</v>
      </c>
      <c r="K38" s="25">
        <f t="shared" si="5"/>
        <v>531.78029693347935</v>
      </c>
      <c r="L38" s="25">
        <f t="shared" si="6"/>
        <v>90.345762414875949</v>
      </c>
      <c r="M38" s="25">
        <f t="shared" si="8"/>
        <v>622.12605934835528</v>
      </c>
      <c r="N38" s="25">
        <f t="shared" si="9"/>
        <v>3933.8510201372678</v>
      </c>
      <c r="P38" s="24">
        <v>28</v>
      </c>
      <c r="Q38" s="28"/>
      <c r="R38" s="28"/>
      <c r="S38" s="28"/>
    </row>
    <row r="39" spans="1:19" x14ac:dyDescent="0.3">
      <c r="A39" s="24">
        <v>29</v>
      </c>
      <c r="B39" s="28" t="str">
        <f t="shared" ca="1" si="10"/>
        <v/>
      </c>
      <c r="C39" s="28" t="str">
        <f t="shared" ca="1" si="1"/>
        <v/>
      </c>
      <c r="D39" s="28" t="str">
        <f t="shared" ca="1" si="2"/>
        <v/>
      </c>
      <c r="E39" s="28" t="str">
        <f t="shared" ca="1" si="3"/>
        <v/>
      </c>
      <c r="I39" s="23">
        <f t="shared" si="4"/>
        <v>29</v>
      </c>
      <c r="J39" s="25">
        <f t="shared" si="7"/>
        <v>10978.552709222835</v>
      </c>
      <c r="K39" s="25">
        <f t="shared" si="5"/>
        <v>535.76864916048044</v>
      </c>
      <c r="L39" s="25">
        <f t="shared" si="6"/>
        <v>86.357410187874862</v>
      </c>
      <c r="M39" s="25">
        <f t="shared" si="8"/>
        <v>622.12605934835528</v>
      </c>
      <c r="N39" s="25">
        <f t="shared" si="9"/>
        <v>4020.2084303251427</v>
      </c>
      <c r="P39" s="24">
        <v>29</v>
      </c>
      <c r="Q39" s="28"/>
      <c r="R39" s="28"/>
      <c r="S39" s="28"/>
    </row>
    <row r="40" spans="1:19" x14ac:dyDescent="0.3">
      <c r="A40" s="24">
        <v>30</v>
      </c>
      <c r="B40" s="28" t="str">
        <f t="shared" ca="1" si="10"/>
        <v/>
      </c>
      <c r="C40" s="28" t="str">
        <f ca="1">IF(E40="","",SUM(OFFSET($L$11:$L$22,ROW(A29)*12,0)))</f>
        <v/>
      </c>
      <c r="D40" s="28" t="str">
        <f t="shared" ca="1" si="2"/>
        <v/>
      </c>
      <c r="E40" s="28" t="str">
        <f t="shared" ca="1" si="3"/>
        <v/>
      </c>
      <c r="I40" s="23">
        <f t="shared" si="4"/>
        <v>30</v>
      </c>
      <c r="J40" s="25">
        <f t="shared" si="7"/>
        <v>10438.765795193651</v>
      </c>
      <c r="K40" s="25">
        <f t="shared" si="5"/>
        <v>539.786914029184</v>
      </c>
      <c r="L40" s="25">
        <f t="shared" si="6"/>
        <v>82.339145319171251</v>
      </c>
      <c r="M40" s="25">
        <f t="shared" si="8"/>
        <v>622.12605934835528</v>
      </c>
      <c r="N40" s="25">
        <f t="shared" si="9"/>
        <v>4102.5475756443138</v>
      </c>
      <c r="P40" s="24">
        <v>30</v>
      </c>
      <c r="Q40" s="28"/>
      <c r="R40" s="28"/>
      <c r="S40" s="28"/>
    </row>
    <row r="41" spans="1:19" x14ac:dyDescent="0.3">
      <c r="I41" s="23">
        <f t="shared" si="4"/>
        <v>31</v>
      </c>
      <c r="J41" s="25">
        <f>IF(I41&lt;&gt;"",J40-K41,"")</f>
        <v>9894.9304793092488</v>
      </c>
      <c r="K41" s="25">
        <f t="shared" si="5"/>
        <v>543.83531588440292</v>
      </c>
      <c r="L41" s="25">
        <f t="shared" si="6"/>
        <v>78.290743463952381</v>
      </c>
      <c r="M41" s="25">
        <f>IF(I41&lt;&gt;"",M40,"")</f>
        <v>622.12605934835528</v>
      </c>
      <c r="N41" s="25">
        <f>IF(I41&lt;&gt;"",L41+N40,"")</f>
        <v>4180.8383191082667</v>
      </c>
    </row>
    <row r="42" spans="1:19" x14ac:dyDescent="0.3">
      <c r="I42" s="23">
        <f t="shared" si="4"/>
        <v>32</v>
      </c>
      <c r="J42" s="25">
        <f t="shared" si="7"/>
        <v>9347.0163985557119</v>
      </c>
      <c r="K42" s="25">
        <f t="shared" si="5"/>
        <v>547.91408075353593</v>
      </c>
      <c r="L42" s="25">
        <f t="shared" si="6"/>
        <v>74.211978594819371</v>
      </c>
      <c r="M42" s="25">
        <f t="shared" si="8"/>
        <v>622.12605934835528</v>
      </c>
      <c r="N42" s="25">
        <f t="shared" si="9"/>
        <v>4255.0502977030865</v>
      </c>
    </row>
    <row r="43" spans="1:19" x14ac:dyDescent="0.3">
      <c r="I43" s="23">
        <f t="shared" si="4"/>
        <v>33</v>
      </c>
      <c r="J43" s="25">
        <f t="shared" si="7"/>
        <v>8794.9929621965239</v>
      </c>
      <c r="K43" s="25">
        <f t="shared" si="5"/>
        <v>552.02343635918749</v>
      </c>
      <c r="L43" s="25">
        <f t="shared" si="6"/>
        <v>70.102622989167841</v>
      </c>
      <c r="M43" s="25">
        <f t="shared" si="8"/>
        <v>622.12605934835528</v>
      </c>
      <c r="N43" s="25">
        <f t="shared" si="9"/>
        <v>4325.1529206922542</v>
      </c>
    </row>
    <row r="44" spans="1:19" x14ac:dyDescent="0.3">
      <c r="I44" s="23">
        <f t="shared" si="4"/>
        <v>34</v>
      </c>
      <c r="J44" s="25">
        <f t="shared" si="7"/>
        <v>8238.8293500646432</v>
      </c>
      <c r="K44" s="25">
        <f t="shared" si="5"/>
        <v>556.16361213188134</v>
      </c>
      <c r="L44" s="25">
        <f t="shared" si="6"/>
        <v>65.962447216473933</v>
      </c>
      <c r="M44" s="25">
        <f t="shared" si="8"/>
        <v>622.12605934835528</v>
      </c>
      <c r="N44" s="25">
        <f t="shared" si="9"/>
        <v>4391.1153679087283</v>
      </c>
    </row>
    <row r="45" spans="1:19" x14ac:dyDescent="0.3">
      <c r="I45" s="23">
        <f t="shared" si="4"/>
        <v>35</v>
      </c>
      <c r="J45" s="25">
        <f t="shared" si="7"/>
        <v>7678.4945108417724</v>
      </c>
      <c r="K45" s="25">
        <f t="shared" si="5"/>
        <v>560.33483922287041</v>
      </c>
      <c r="L45" s="25">
        <f t="shared" si="6"/>
        <v>61.791220125484827</v>
      </c>
      <c r="M45" s="25">
        <f t="shared" si="8"/>
        <v>622.12605934835528</v>
      </c>
      <c r="N45" s="25">
        <f t="shared" si="9"/>
        <v>4452.9065880342132</v>
      </c>
    </row>
    <row r="46" spans="1:19" x14ac:dyDescent="0.3">
      <c r="I46" s="23">
        <f t="shared" si="4"/>
        <v>36</v>
      </c>
      <c r="J46" s="25">
        <f t="shared" si="7"/>
        <v>7113.9571603247305</v>
      </c>
      <c r="K46" s="25">
        <f t="shared" si="5"/>
        <v>564.537350517042</v>
      </c>
      <c r="L46" s="25">
        <f t="shared" si="6"/>
        <v>57.588708831313298</v>
      </c>
      <c r="M46" s="25">
        <f t="shared" si="8"/>
        <v>622.12605934835528</v>
      </c>
      <c r="N46" s="25">
        <f t="shared" si="9"/>
        <v>4510.4952968655261</v>
      </c>
    </row>
    <row r="47" spans="1:19" x14ac:dyDescent="0.3">
      <c r="I47" s="23">
        <f t="shared" si="4"/>
        <v>37</v>
      </c>
      <c r="J47" s="25">
        <f t="shared" si="7"/>
        <v>6545.1857796788108</v>
      </c>
      <c r="K47" s="25">
        <f t="shared" si="5"/>
        <v>568.77138064591986</v>
      </c>
      <c r="L47" s="25">
        <f t="shared" si="6"/>
        <v>53.354678702435478</v>
      </c>
      <c r="M47" s="25">
        <f t="shared" si="8"/>
        <v>622.12605934835528</v>
      </c>
      <c r="N47" s="25">
        <f t="shared" si="9"/>
        <v>4563.8499755679613</v>
      </c>
    </row>
    <row r="48" spans="1:19" x14ac:dyDescent="0.3">
      <c r="I48" s="23">
        <f t="shared" si="4"/>
        <v>38</v>
      </c>
      <c r="J48" s="25">
        <f t="shared" si="7"/>
        <v>5972.1486136780468</v>
      </c>
      <c r="K48" s="25">
        <f t="shared" si="5"/>
        <v>573.03716600076416</v>
      </c>
      <c r="L48" s="25">
        <f t="shared" si="6"/>
        <v>49.088893347591082</v>
      </c>
      <c r="M48" s="25">
        <f t="shared" si="8"/>
        <v>622.12605934835528</v>
      </c>
      <c r="N48" s="25">
        <f t="shared" si="9"/>
        <v>4612.9388689155521</v>
      </c>
    </row>
    <row r="49" spans="9:14" x14ac:dyDescent="0.3">
      <c r="I49" s="23">
        <f t="shared" si="4"/>
        <v>39</v>
      </c>
      <c r="J49" s="25">
        <f t="shared" si="7"/>
        <v>5394.8136689322764</v>
      </c>
      <c r="K49" s="25">
        <f t="shared" si="5"/>
        <v>577.33494474576992</v>
      </c>
      <c r="L49" s="25">
        <f t="shared" si="6"/>
        <v>44.791114602585345</v>
      </c>
      <c r="M49" s="25">
        <f t="shared" si="8"/>
        <v>622.12605934835528</v>
      </c>
      <c r="N49" s="25">
        <f t="shared" si="9"/>
        <v>4657.7299835181375</v>
      </c>
    </row>
    <row r="50" spans="9:14" x14ac:dyDescent="0.3">
      <c r="I50" s="23">
        <f t="shared" si="4"/>
        <v>40</v>
      </c>
      <c r="J50" s="25">
        <f t="shared" si="7"/>
        <v>4813.1487121009131</v>
      </c>
      <c r="K50" s="25">
        <f t="shared" si="5"/>
        <v>581.66495683136327</v>
      </c>
      <c r="L50" s="25">
        <f t="shared" si="6"/>
        <v>40.461102516992071</v>
      </c>
      <c r="M50" s="25">
        <f t="shared" si="8"/>
        <v>622.12605934835528</v>
      </c>
      <c r="N50" s="25">
        <f t="shared" si="9"/>
        <v>4698.19108603513</v>
      </c>
    </row>
    <row r="51" spans="9:14" x14ac:dyDescent="0.3">
      <c r="I51" s="23">
        <f t="shared" si="4"/>
        <v>41</v>
      </c>
      <c r="J51" s="25">
        <f t="shared" si="7"/>
        <v>4227.1212680933149</v>
      </c>
      <c r="K51" s="25">
        <f t="shared" si="5"/>
        <v>586.02744400759843</v>
      </c>
      <c r="L51" s="25">
        <f t="shared" si="6"/>
        <v>36.098615340756844</v>
      </c>
      <c r="M51" s="25">
        <f t="shared" si="8"/>
        <v>622.12605934835528</v>
      </c>
      <c r="N51" s="25">
        <f t="shared" si="9"/>
        <v>4734.2897013758866</v>
      </c>
    </row>
    <row r="52" spans="9:14" x14ac:dyDescent="0.3">
      <c r="I52" s="23">
        <f t="shared" si="4"/>
        <v>42</v>
      </c>
      <c r="J52" s="25">
        <f t="shared" si="7"/>
        <v>3636.6986182556593</v>
      </c>
      <c r="K52" s="25">
        <f t="shared" si="5"/>
        <v>590.4226498376554</v>
      </c>
      <c r="L52" s="25">
        <f t="shared" si="6"/>
        <v>31.703409510699863</v>
      </c>
      <c r="M52" s="25">
        <f t="shared" si="8"/>
        <v>622.12605934835528</v>
      </c>
      <c r="N52" s="25">
        <f t="shared" si="9"/>
        <v>4765.9931108865867</v>
      </c>
    </row>
    <row r="53" spans="9:14" x14ac:dyDescent="0.3">
      <c r="I53" s="23">
        <f t="shared" si="4"/>
        <v>43</v>
      </c>
      <c r="J53" s="25">
        <f t="shared" si="7"/>
        <v>3041.8477985442214</v>
      </c>
      <c r="K53" s="25">
        <f t="shared" si="5"/>
        <v>594.85081971143779</v>
      </c>
      <c r="L53" s="25">
        <f t="shared" si="6"/>
        <v>27.275239636917444</v>
      </c>
      <c r="M53" s="25">
        <f t="shared" si="8"/>
        <v>622.12605934835528</v>
      </c>
      <c r="N53" s="25">
        <f t="shared" si="9"/>
        <v>4793.2683505235045</v>
      </c>
    </row>
    <row r="54" spans="9:14" x14ac:dyDescent="0.3">
      <c r="I54" s="23">
        <f t="shared" si="4"/>
        <v>44</v>
      </c>
      <c r="J54" s="25">
        <f t="shared" si="7"/>
        <v>2442.5355976849478</v>
      </c>
      <c r="K54" s="25">
        <f t="shared" si="5"/>
        <v>599.31220085927362</v>
      </c>
      <c r="L54" s="25">
        <f t="shared" si="6"/>
        <v>22.813858489081664</v>
      </c>
      <c r="M54" s="25">
        <f t="shared" si="8"/>
        <v>622.12605934835528</v>
      </c>
      <c r="N54" s="25">
        <f t="shared" si="9"/>
        <v>4816.0822090125857</v>
      </c>
    </row>
    <row r="55" spans="9:14" x14ac:dyDescent="0.3">
      <c r="I55" s="23">
        <f t="shared" si="4"/>
        <v>45</v>
      </c>
      <c r="J55" s="25">
        <f t="shared" si="7"/>
        <v>1838.7285553192296</v>
      </c>
      <c r="K55" s="25">
        <f t="shared" si="5"/>
        <v>603.80704236571819</v>
      </c>
      <c r="L55" s="25">
        <f t="shared" si="6"/>
        <v>18.319016982637105</v>
      </c>
      <c r="M55" s="25">
        <f t="shared" si="8"/>
        <v>622.12605934835528</v>
      </c>
      <c r="N55" s="25">
        <f t="shared" si="9"/>
        <v>4834.4012259952233</v>
      </c>
    </row>
    <row r="56" spans="9:14" x14ac:dyDescent="0.3">
      <c r="I56" s="23">
        <f t="shared" si="4"/>
        <v>46</v>
      </c>
      <c r="J56" s="25">
        <f t="shared" si="7"/>
        <v>1230.3929601357686</v>
      </c>
      <c r="K56" s="25">
        <f t="shared" si="5"/>
        <v>608.33559518346101</v>
      </c>
      <c r="L56" s="25">
        <f t="shared" si="6"/>
        <v>13.790464164894223</v>
      </c>
      <c r="M56" s="25">
        <f t="shared" si="8"/>
        <v>622.12605934835528</v>
      </c>
      <c r="N56" s="25">
        <f t="shared" si="9"/>
        <v>4848.1916901601171</v>
      </c>
    </row>
    <row r="57" spans="9:14" x14ac:dyDescent="0.3">
      <c r="I57" s="23">
        <f t="shared" si="4"/>
        <v>47</v>
      </c>
      <c r="J57" s="25">
        <f t="shared" si="7"/>
        <v>617.49484798843162</v>
      </c>
      <c r="K57" s="25">
        <f t="shared" si="5"/>
        <v>612.89811214733697</v>
      </c>
      <c r="L57" s="25">
        <f t="shared" si="6"/>
        <v>9.2279472010182637</v>
      </c>
      <c r="M57" s="25">
        <f t="shared" si="8"/>
        <v>622.12605934835528</v>
      </c>
      <c r="N57" s="25">
        <f t="shared" si="9"/>
        <v>4857.4196373611358</v>
      </c>
    </row>
    <row r="58" spans="9:14" x14ac:dyDescent="0.3">
      <c r="I58" s="23">
        <f t="shared" si="4"/>
        <v>48</v>
      </c>
      <c r="J58" s="25">
        <f t="shared" si="7"/>
        <v>-1.0459189070388675E-11</v>
      </c>
      <c r="K58" s="25">
        <f t="shared" si="5"/>
        <v>617.49484798844207</v>
      </c>
      <c r="L58" s="25">
        <f t="shared" si="6"/>
        <v>4.6312113599132365</v>
      </c>
      <c r="M58" s="25">
        <f t="shared" si="8"/>
        <v>622.12605934835528</v>
      </c>
      <c r="N58" s="25">
        <f t="shared" si="9"/>
        <v>4862.0508487210491</v>
      </c>
    </row>
    <row r="59" spans="9:14" x14ac:dyDescent="0.3">
      <c r="I59" s="23" t="str">
        <f t="shared" si="4"/>
        <v/>
      </c>
      <c r="J59" s="25" t="str">
        <f t="shared" si="7"/>
        <v/>
      </c>
      <c r="K59" s="25" t="str">
        <f t="shared" si="5"/>
        <v/>
      </c>
      <c r="L59" s="25" t="str">
        <f t="shared" si="6"/>
        <v/>
      </c>
      <c r="M59" s="25" t="str">
        <f t="shared" si="8"/>
        <v/>
      </c>
      <c r="N59" s="25" t="str">
        <f t="shared" si="9"/>
        <v/>
      </c>
    </row>
    <row r="60" spans="9:14" x14ac:dyDescent="0.3">
      <c r="I60" s="23" t="str">
        <f t="shared" si="4"/>
        <v/>
      </c>
      <c r="J60" s="25" t="str">
        <f t="shared" si="7"/>
        <v/>
      </c>
      <c r="K60" s="25" t="str">
        <f t="shared" si="5"/>
        <v/>
      </c>
      <c r="L60" s="25" t="str">
        <f t="shared" si="6"/>
        <v/>
      </c>
      <c r="M60" s="25" t="str">
        <f t="shared" si="8"/>
        <v/>
      </c>
      <c r="N60" s="25" t="str">
        <f t="shared" si="9"/>
        <v/>
      </c>
    </row>
    <row r="61" spans="9:14" x14ac:dyDescent="0.3">
      <c r="I61" s="23" t="str">
        <f t="shared" si="4"/>
        <v/>
      </c>
      <c r="J61" s="25" t="str">
        <f t="shared" si="7"/>
        <v/>
      </c>
      <c r="K61" s="25" t="str">
        <f t="shared" si="5"/>
        <v/>
      </c>
      <c r="L61" s="25" t="str">
        <f t="shared" si="6"/>
        <v/>
      </c>
      <c r="M61" s="25" t="str">
        <f t="shared" si="8"/>
        <v/>
      </c>
      <c r="N61" s="25" t="str">
        <f t="shared" si="9"/>
        <v/>
      </c>
    </row>
    <row r="62" spans="9:14" x14ac:dyDescent="0.3">
      <c r="I62" s="23" t="str">
        <f t="shared" si="4"/>
        <v/>
      </c>
      <c r="J62" s="25" t="str">
        <f t="shared" si="7"/>
        <v/>
      </c>
      <c r="K62" s="25" t="str">
        <f t="shared" si="5"/>
        <v/>
      </c>
      <c r="L62" s="25" t="str">
        <f t="shared" si="6"/>
        <v/>
      </c>
      <c r="M62" s="25" t="str">
        <f t="shared" si="8"/>
        <v/>
      </c>
      <c r="N62" s="25" t="str">
        <f t="shared" si="9"/>
        <v/>
      </c>
    </row>
    <row r="63" spans="9:14" x14ac:dyDescent="0.3">
      <c r="I63" s="23" t="str">
        <f t="shared" si="4"/>
        <v/>
      </c>
      <c r="J63" s="25" t="str">
        <f t="shared" si="7"/>
        <v/>
      </c>
      <c r="K63" s="25" t="str">
        <f t="shared" si="5"/>
        <v/>
      </c>
      <c r="L63" s="25" t="str">
        <f t="shared" si="6"/>
        <v/>
      </c>
      <c r="M63" s="25" t="str">
        <f t="shared" si="8"/>
        <v/>
      </c>
      <c r="N63" s="25" t="str">
        <f t="shared" si="9"/>
        <v/>
      </c>
    </row>
    <row r="64" spans="9:14" x14ac:dyDescent="0.3">
      <c r="I64" s="23" t="str">
        <f t="shared" si="4"/>
        <v/>
      </c>
      <c r="J64" s="25" t="str">
        <f t="shared" si="7"/>
        <v/>
      </c>
      <c r="K64" s="25" t="str">
        <f t="shared" si="5"/>
        <v/>
      </c>
      <c r="L64" s="25" t="str">
        <f t="shared" si="6"/>
        <v/>
      </c>
      <c r="M64" s="25" t="str">
        <f t="shared" si="8"/>
        <v/>
      </c>
      <c r="N64" s="25" t="str">
        <f t="shared" si="9"/>
        <v/>
      </c>
    </row>
    <row r="65" spans="9:14" x14ac:dyDescent="0.3">
      <c r="I65" s="23" t="str">
        <f t="shared" si="4"/>
        <v/>
      </c>
      <c r="J65" s="25" t="str">
        <f t="shared" si="7"/>
        <v/>
      </c>
      <c r="K65" s="25" t="str">
        <f t="shared" si="5"/>
        <v/>
      </c>
      <c r="L65" s="25" t="str">
        <f t="shared" si="6"/>
        <v/>
      </c>
      <c r="M65" s="25" t="str">
        <f t="shared" si="8"/>
        <v/>
      </c>
      <c r="N65" s="25" t="str">
        <f t="shared" si="9"/>
        <v/>
      </c>
    </row>
    <row r="66" spans="9:14" x14ac:dyDescent="0.3">
      <c r="I66" s="23" t="str">
        <f t="shared" si="4"/>
        <v/>
      </c>
      <c r="J66" s="25" t="str">
        <f t="shared" si="7"/>
        <v/>
      </c>
      <c r="K66" s="25" t="str">
        <f t="shared" si="5"/>
        <v/>
      </c>
      <c r="L66" s="25" t="str">
        <f t="shared" si="6"/>
        <v/>
      </c>
      <c r="M66" s="25" t="str">
        <f t="shared" si="8"/>
        <v/>
      </c>
      <c r="N66" s="25" t="str">
        <f t="shared" si="9"/>
        <v/>
      </c>
    </row>
    <row r="67" spans="9:14" x14ac:dyDescent="0.3">
      <c r="I67" s="23" t="str">
        <f t="shared" si="4"/>
        <v/>
      </c>
      <c r="J67" s="25" t="str">
        <f t="shared" si="7"/>
        <v/>
      </c>
      <c r="K67" s="25" t="str">
        <f t="shared" si="5"/>
        <v/>
      </c>
      <c r="L67" s="25" t="str">
        <f t="shared" si="6"/>
        <v/>
      </c>
      <c r="M67" s="25" t="str">
        <f t="shared" si="8"/>
        <v/>
      </c>
      <c r="N67" s="25" t="str">
        <f t="shared" si="9"/>
        <v/>
      </c>
    </row>
    <row r="68" spans="9:14" x14ac:dyDescent="0.3">
      <c r="I68" s="23" t="str">
        <f t="shared" si="4"/>
        <v/>
      </c>
      <c r="J68" s="25" t="str">
        <f t="shared" si="7"/>
        <v/>
      </c>
      <c r="K68" s="25" t="str">
        <f t="shared" si="5"/>
        <v/>
      </c>
      <c r="L68" s="25" t="str">
        <f t="shared" si="6"/>
        <v/>
      </c>
      <c r="M68" s="25" t="str">
        <f t="shared" si="8"/>
        <v/>
      </c>
      <c r="N68" s="25" t="str">
        <f t="shared" si="9"/>
        <v/>
      </c>
    </row>
    <row r="69" spans="9:14" x14ac:dyDescent="0.3">
      <c r="I69" s="23" t="str">
        <f t="shared" si="4"/>
        <v/>
      </c>
      <c r="J69" s="25" t="str">
        <f t="shared" si="7"/>
        <v/>
      </c>
      <c r="K69" s="25" t="str">
        <f t="shared" si="5"/>
        <v/>
      </c>
      <c r="L69" s="25" t="str">
        <f t="shared" si="6"/>
        <v/>
      </c>
      <c r="M69" s="25" t="str">
        <f t="shared" si="8"/>
        <v/>
      </c>
      <c r="N69" s="25" t="str">
        <f t="shared" si="9"/>
        <v/>
      </c>
    </row>
    <row r="70" spans="9:14" x14ac:dyDescent="0.3">
      <c r="I70" s="23" t="str">
        <f t="shared" si="4"/>
        <v/>
      </c>
      <c r="J70" s="25" t="str">
        <f t="shared" si="7"/>
        <v/>
      </c>
      <c r="K70" s="25" t="str">
        <f t="shared" si="5"/>
        <v/>
      </c>
      <c r="L70" s="25" t="str">
        <f t="shared" si="6"/>
        <v/>
      </c>
      <c r="M70" s="25" t="str">
        <f t="shared" si="8"/>
        <v/>
      </c>
      <c r="N70" s="25" t="str">
        <f t="shared" si="9"/>
        <v/>
      </c>
    </row>
    <row r="71" spans="9:14" x14ac:dyDescent="0.3">
      <c r="I71" s="23" t="str">
        <f t="shared" si="4"/>
        <v/>
      </c>
      <c r="J71" s="25" t="str">
        <f t="shared" si="7"/>
        <v/>
      </c>
      <c r="K71" s="25" t="str">
        <f t="shared" si="5"/>
        <v/>
      </c>
      <c r="L71" s="25" t="str">
        <f t="shared" si="6"/>
        <v/>
      </c>
      <c r="M71" s="25" t="str">
        <f t="shared" si="8"/>
        <v/>
      </c>
      <c r="N71" s="25" t="str">
        <f t="shared" si="9"/>
        <v/>
      </c>
    </row>
    <row r="72" spans="9:14" x14ac:dyDescent="0.3">
      <c r="I72" s="23" t="str">
        <f t="shared" si="4"/>
        <v/>
      </c>
      <c r="J72" s="25" t="str">
        <f t="shared" si="7"/>
        <v/>
      </c>
      <c r="K72" s="25" t="str">
        <f t="shared" si="5"/>
        <v/>
      </c>
      <c r="L72" s="25" t="str">
        <f t="shared" si="6"/>
        <v/>
      </c>
      <c r="M72" s="25" t="str">
        <f t="shared" si="8"/>
        <v/>
      </c>
      <c r="N72" s="25" t="str">
        <f t="shared" si="9"/>
        <v/>
      </c>
    </row>
    <row r="73" spans="9:14" x14ac:dyDescent="0.3">
      <c r="I73" s="23" t="str">
        <f t="shared" si="4"/>
        <v/>
      </c>
      <c r="J73" s="25" t="str">
        <f t="shared" si="7"/>
        <v/>
      </c>
      <c r="K73" s="25" t="str">
        <f t="shared" si="5"/>
        <v/>
      </c>
      <c r="L73" s="25" t="str">
        <f t="shared" si="6"/>
        <v/>
      </c>
      <c r="M73" s="25" t="str">
        <f t="shared" si="8"/>
        <v/>
      </c>
      <c r="N73" s="25" t="str">
        <f t="shared" si="9"/>
        <v/>
      </c>
    </row>
    <row r="74" spans="9:14" x14ac:dyDescent="0.3">
      <c r="I74" s="23" t="str">
        <f t="shared" si="4"/>
        <v/>
      </c>
      <c r="J74" s="25" t="str">
        <f t="shared" si="7"/>
        <v/>
      </c>
      <c r="K74" s="25" t="str">
        <f t="shared" si="5"/>
        <v/>
      </c>
      <c r="L74" s="25" t="str">
        <f t="shared" si="6"/>
        <v/>
      </c>
      <c r="M74" s="25" t="str">
        <f t="shared" si="8"/>
        <v/>
      </c>
      <c r="N74" s="25" t="str">
        <f t="shared" si="9"/>
        <v/>
      </c>
    </row>
    <row r="75" spans="9:14" x14ac:dyDescent="0.3">
      <c r="I75" s="23" t="str">
        <f t="shared" si="4"/>
        <v/>
      </c>
      <c r="J75" s="25" t="str">
        <f t="shared" si="7"/>
        <v/>
      </c>
      <c r="K75" s="25" t="str">
        <f t="shared" si="5"/>
        <v/>
      </c>
      <c r="L75" s="25" t="str">
        <f t="shared" si="6"/>
        <v/>
      </c>
      <c r="M75" s="25" t="str">
        <f t="shared" si="8"/>
        <v/>
      </c>
      <c r="N75" s="25" t="str">
        <f t="shared" si="9"/>
        <v/>
      </c>
    </row>
    <row r="76" spans="9:14" x14ac:dyDescent="0.3">
      <c r="I76" s="23" t="str">
        <f t="shared" ref="I76:I139" si="11">IF(OR(I75=$G$5,I75=""),"",I75+1)</f>
        <v/>
      </c>
      <c r="J76" s="25" t="str">
        <f t="shared" si="7"/>
        <v/>
      </c>
      <c r="K76" s="25" t="str">
        <f t="shared" ref="K76:K139" si="12">IF(I76&lt;&gt;"",M76-L76,"")</f>
        <v/>
      </c>
      <c r="L76" s="25" t="str">
        <f t="shared" ref="L76:L139" si="13">IF(I76&lt;&gt;"",J75*$G$4/12/100,"")</f>
        <v/>
      </c>
      <c r="M76" s="25" t="str">
        <f t="shared" si="8"/>
        <v/>
      </c>
      <c r="N76" s="25" t="str">
        <f t="shared" si="9"/>
        <v/>
      </c>
    </row>
    <row r="77" spans="9:14" x14ac:dyDescent="0.3">
      <c r="I77" s="23" t="str">
        <f t="shared" si="11"/>
        <v/>
      </c>
      <c r="J77" s="25" t="str">
        <f t="shared" ref="J77:J140" si="14">IF(I77&lt;&gt;"",J76-K77,"")</f>
        <v/>
      </c>
      <c r="K77" s="25" t="str">
        <f t="shared" si="12"/>
        <v/>
      </c>
      <c r="L77" s="25" t="str">
        <f t="shared" si="13"/>
        <v/>
      </c>
      <c r="M77" s="25" t="str">
        <f t="shared" ref="M77:M140" si="15">IF(I77&lt;&gt;"",M76,"")</f>
        <v/>
      </c>
      <c r="N77" s="25" t="str">
        <f t="shared" ref="N77:N140" si="16">IF(I77&lt;&gt;"",L77+N76,"")</f>
        <v/>
      </c>
    </row>
    <row r="78" spans="9:14" x14ac:dyDescent="0.3">
      <c r="I78" s="23" t="str">
        <f t="shared" si="11"/>
        <v/>
      </c>
      <c r="J78" s="25" t="str">
        <f t="shared" si="14"/>
        <v/>
      </c>
      <c r="K78" s="25" t="str">
        <f t="shared" si="12"/>
        <v/>
      </c>
      <c r="L78" s="25" t="str">
        <f t="shared" si="13"/>
        <v/>
      </c>
      <c r="M78" s="25" t="str">
        <f t="shared" si="15"/>
        <v/>
      </c>
      <c r="N78" s="25" t="str">
        <f t="shared" si="16"/>
        <v/>
      </c>
    </row>
    <row r="79" spans="9:14" x14ac:dyDescent="0.3">
      <c r="I79" s="23" t="str">
        <f t="shared" si="11"/>
        <v/>
      </c>
      <c r="J79" s="25" t="str">
        <f t="shared" si="14"/>
        <v/>
      </c>
      <c r="K79" s="25" t="str">
        <f t="shared" si="12"/>
        <v/>
      </c>
      <c r="L79" s="25" t="str">
        <f t="shared" si="13"/>
        <v/>
      </c>
      <c r="M79" s="25" t="str">
        <f t="shared" si="15"/>
        <v/>
      </c>
      <c r="N79" s="25" t="str">
        <f t="shared" si="16"/>
        <v/>
      </c>
    </row>
    <row r="80" spans="9:14" x14ac:dyDescent="0.3">
      <c r="I80" s="23" t="str">
        <f t="shared" si="11"/>
        <v/>
      </c>
      <c r="J80" s="25" t="str">
        <f t="shared" si="14"/>
        <v/>
      </c>
      <c r="K80" s="25" t="str">
        <f t="shared" si="12"/>
        <v/>
      </c>
      <c r="L80" s="25" t="str">
        <f t="shared" si="13"/>
        <v/>
      </c>
      <c r="M80" s="25" t="str">
        <f t="shared" si="15"/>
        <v/>
      </c>
      <c r="N80" s="25" t="str">
        <f t="shared" si="16"/>
        <v/>
      </c>
    </row>
    <row r="81" spans="9:14" x14ac:dyDescent="0.3">
      <c r="I81" s="23" t="str">
        <f t="shared" si="11"/>
        <v/>
      </c>
      <c r="J81" s="25" t="str">
        <f t="shared" si="14"/>
        <v/>
      </c>
      <c r="K81" s="25" t="str">
        <f t="shared" si="12"/>
        <v/>
      </c>
      <c r="L81" s="25" t="str">
        <f t="shared" si="13"/>
        <v/>
      </c>
      <c r="M81" s="25" t="str">
        <f t="shared" si="15"/>
        <v/>
      </c>
      <c r="N81" s="25" t="str">
        <f t="shared" si="16"/>
        <v/>
      </c>
    </row>
    <row r="82" spans="9:14" x14ac:dyDescent="0.3">
      <c r="I82" s="23" t="str">
        <f t="shared" si="11"/>
        <v/>
      </c>
      <c r="J82" s="25" t="str">
        <f t="shared" si="14"/>
        <v/>
      </c>
      <c r="K82" s="25" t="str">
        <f t="shared" si="12"/>
        <v/>
      </c>
      <c r="L82" s="25" t="str">
        <f t="shared" si="13"/>
        <v/>
      </c>
      <c r="M82" s="25" t="str">
        <f t="shared" si="15"/>
        <v/>
      </c>
      <c r="N82" s="25" t="str">
        <f t="shared" si="16"/>
        <v/>
      </c>
    </row>
    <row r="83" spans="9:14" x14ac:dyDescent="0.3">
      <c r="I83" s="23" t="str">
        <f t="shared" si="11"/>
        <v/>
      </c>
      <c r="J83" s="25" t="str">
        <f t="shared" si="14"/>
        <v/>
      </c>
      <c r="K83" s="25" t="str">
        <f t="shared" si="12"/>
        <v/>
      </c>
      <c r="L83" s="25" t="str">
        <f t="shared" si="13"/>
        <v/>
      </c>
      <c r="M83" s="25" t="str">
        <f t="shared" si="15"/>
        <v/>
      </c>
      <c r="N83" s="25" t="str">
        <f t="shared" si="16"/>
        <v/>
      </c>
    </row>
    <row r="84" spans="9:14" x14ac:dyDescent="0.3">
      <c r="I84" s="23" t="str">
        <f t="shared" si="11"/>
        <v/>
      </c>
      <c r="J84" s="25" t="str">
        <f t="shared" si="14"/>
        <v/>
      </c>
      <c r="K84" s="25" t="str">
        <f t="shared" si="12"/>
        <v/>
      </c>
      <c r="L84" s="25" t="str">
        <f t="shared" si="13"/>
        <v/>
      </c>
      <c r="M84" s="25" t="str">
        <f t="shared" si="15"/>
        <v/>
      </c>
      <c r="N84" s="25" t="str">
        <f t="shared" si="16"/>
        <v/>
      </c>
    </row>
    <row r="85" spans="9:14" x14ac:dyDescent="0.3">
      <c r="I85" s="23" t="str">
        <f t="shared" si="11"/>
        <v/>
      </c>
      <c r="J85" s="25" t="str">
        <f t="shared" si="14"/>
        <v/>
      </c>
      <c r="K85" s="25" t="str">
        <f t="shared" si="12"/>
        <v/>
      </c>
      <c r="L85" s="25" t="str">
        <f t="shared" si="13"/>
        <v/>
      </c>
      <c r="M85" s="25" t="str">
        <f t="shared" si="15"/>
        <v/>
      </c>
      <c r="N85" s="25" t="str">
        <f t="shared" si="16"/>
        <v/>
      </c>
    </row>
    <row r="86" spans="9:14" x14ac:dyDescent="0.3">
      <c r="I86" s="23" t="str">
        <f t="shared" si="11"/>
        <v/>
      </c>
      <c r="J86" s="25" t="str">
        <f t="shared" si="14"/>
        <v/>
      </c>
      <c r="K86" s="25" t="str">
        <f t="shared" si="12"/>
        <v/>
      </c>
      <c r="L86" s="25" t="str">
        <f t="shared" si="13"/>
        <v/>
      </c>
      <c r="M86" s="25" t="str">
        <f t="shared" si="15"/>
        <v/>
      </c>
      <c r="N86" s="25" t="str">
        <f t="shared" si="16"/>
        <v/>
      </c>
    </row>
    <row r="87" spans="9:14" x14ac:dyDescent="0.3">
      <c r="I87" s="23" t="str">
        <f t="shared" si="11"/>
        <v/>
      </c>
      <c r="J87" s="25" t="str">
        <f t="shared" si="14"/>
        <v/>
      </c>
      <c r="K87" s="25" t="str">
        <f t="shared" si="12"/>
        <v/>
      </c>
      <c r="L87" s="25" t="str">
        <f t="shared" si="13"/>
        <v/>
      </c>
      <c r="M87" s="25" t="str">
        <f t="shared" si="15"/>
        <v/>
      </c>
      <c r="N87" s="25" t="str">
        <f t="shared" si="16"/>
        <v/>
      </c>
    </row>
    <row r="88" spans="9:14" x14ac:dyDescent="0.3">
      <c r="I88" s="23" t="str">
        <f t="shared" si="11"/>
        <v/>
      </c>
      <c r="J88" s="25" t="str">
        <f t="shared" si="14"/>
        <v/>
      </c>
      <c r="K88" s="25" t="str">
        <f t="shared" si="12"/>
        <v/>
      </c>
      <c r="L88" s="25" t="str">
        <f t="shared" si="13"/>
        <v/>
      </c>
      <c r="M88" s="25" t="str">
        <f t="shared" si="15"/>
        <v/>
      </c>
      <c r="N88" s="25" t="str">
        <f t="shared" si="16"/>
        <v/>
      </c>
    </row>
    <row r="89" spans="9:14" x14ac:dyDescent="0.3">
      <c r="I89" s="23" t="str">
        <f t="shared" si="11"/>
        <v/>
      </c>
      <c r="J89" s="25" t="str">
        <f t="shared" si="14"/>
        <v/>
      </c>
      <c r="K89" s="25" t="str">
        <f t="shared" si="12"/>
        <v/>
      </c>
      <c r="L89" s="25" t="str">
        <f t="shared" si="13"/>
        <v/>
      </c>
      <c r="M89" s="25" t="str">
        <f t="shared" si="15"/>
        <v/>
      </c>
      <c r="N89" s="25" t="str">
        <f t="shared" si="16"/>
        <v/>
      </c>
    </row>
    <row r="90" spans="9:14" x14ac:dyDescent="0.3">
      <c r="I90" s="23" t="str">
        <f t="shared" si="11"/>
        <v/>
      </c>
      <c r="J90" s="25" t="str">
        <f t="shared" si="14"/>
        <v/>
      </c>
      <c r="K90" s="25" t="str">
        <f t="shared" si="12"/>
        <v/>
      </c>
      <c r="L90" s="25" t="str">
        <f t="shared" si="13"/>
        <v/>
      </c>
      <c r="M90" s="25" t="str">
        <f t="shared" si="15"/>
        <v/>
      </c>
      <c r="N90" s="25" t="str">
        <f t="shared" si="16"/>
        <v/>
      </c>
    </row>
    <row r="91" spans="9:14" x14ac:dyDescent="0.3">
      <c r="I91" s="23" t="str">
        <f t="shared" si="11"/>
        <v/>
      </c>
      <c r="J91" s="25" t="str">
        <f t="shared" si="14"/>
        <v/>
      </c>
      <c r="K91" s="25" t="str">
        <f t="shared" si="12"/>
        <v/>
      </c>
      <c r="L91" s="25" t="str">
        <f t="shared" si="13"/>
        <v/>
      </c>
      <c r="M91" s="25" t="str">
        <f t="shared" si="15"/>
        <v/>
      </c>
      <c r="N91" s="25" t="str">
        <f t="shared" si="16"/>
        <v/>
      </c>
    </row>
    <row r="92" spans="9:14" x14ac:dyDescent="0.3">
      <c r="I92" s="23" t="str">
        <f t="shared" si="11"/>
        <v/>
      </c>
      <c r="J92" s="25" t="str">
        <f t="shared" si="14"/>
        <v/>
      </c>
      <c r="K92" s="25" t="str">
        <f t="shared" si="12"/>
        <v/>
      </c>
      <c r="L92" s="25" t="str">
        <f t="shared" si="13"/>
        <v/>
      </c>
      <c r="M92" s="25" t="str">
        <f t="shared" si="15"/>
        <v/>
      </c>
      <c r="N92" s="25" t="str">
        <f t="shared" si="16"/>
        <v/>
      </c>
    </row>
    <row r="93" spans="9:14" x14ac:dyDescent="0.3">
      <c r="I93" s="23" t="str">
        <f t="shared" si="11"/>
        <v/>
      </c>
      <c r="J93" s="25" t="str">
        <f t="shared" si="14"/>
        <v/>
      </c>
      <c r="K93" s="25" t="str">
        <f t="shared" si="12"/>
        <v/>
      </c>
      <c r="L93" s="25" t="str">
        <f t="shared" si="13"/>
        <v/>
      </c>
      <c r="M93" s="25" t="str">
        <f t="shared" si="15"/>
        <v/>
      </c>
      <c r="N93" s="25" t="str">
        <f t="shared" si="16"/>
        <v/>
      </c>
    </row>
    <row r="94" spans="9:14" x14ac:dyDescent="0.3">
      <c r="I94" s="23" t="str">
        <f t="shared" si="11"/>
        <v/>
      </c>
      <c r="J94" s="25" t="str">
        <f t="shared" si="14"/>
        <v/>
      </c>
      <c r="K94" s="25" t="str">
        <f t="shared" si="12"/>
        <v/>
      </c>
      <c r="L94" s="25" t="str">
        <f t="shared" si="13"/>
        <v/>
      </c>
      <c r="M94" s="25" t="str">
        <f t="shared" si="15"/>
        <v/>
      </c>
      <c r="N94" s="25" t="str">
        <f t="shared" si="16"/>
        <v/>
      </c>
    </row>
    <row r="95" spans="9:14" x14ac:dyDescent="0.3">
      <c r="I95" s="23" t="str">
        <f t="shared" si="11"/>
        <v/>
      </c>
      <c r="J95" s="25" t="str">
        <f t="shared" si="14"/>
        <v/>
      </c>
      <c r="K95" s="25" t="str">
        <f t="shared" si="12"/>
        <v/>
      </c>
      <c r="L95" s="25" t="str">
        <f t="shared" si="13"/>
        <v/>
      </c>
      <c r="M95" s="25" t="str">
        <f t="shared" si="15"/>
        <v/>
      </c>
      <c r="N95" s="25" t="str">
        <f t="shared" si="16"/>
        <v/>
      </c>
    </row>
    <row r="96" spans="9:14" x14ac:dyDescent="0.3">
      <c r="I96" s="23" t="str">
        <f t="shared" si="11"/>
        <v/>
      </c>
      <c r="J96" s="25" t="str">
        <f t="shared" si="14"/>
        <v/>
      </c>
      <c r="K96" s="25" t="str">
        <f t="shared" si="12"/>
        <v/>
      </c>
      <c r="L96" s="25" t="str">
        <f t="shared" si="13"/>
        <v/>
      </c>
      <c r="M96" s="25" t="str">
        <f t="shared" si="15"/>
        <v/>
      </c>
      <c r="N96" s="25" t="str">
        <f t="shared" si="16"/>
        <v/>
      </c>
    </row>
    <row r="97" spans="9:14" x14ac:dyDescent="0.3">
      <c r="I97" s="23" t="str">
        <f t="shared" si="11"/>
        <v/>
      </c>
      <c r="J97" s="25" t="str">
        <f t="shared" si="14"/>
        <v/>
      </c>
      <c r="K97" s="25" t="str">
        <f t="shared" si="12"/>
        <v/>
      </c>
      <c r="L97" s="25" t="str">
        <f t="shared" si="13"/>
        <v/>
      </c>
      <c r="M97" s="25" t="str">
        <f t="shared" si="15"/>
        <v/>
      </c>
      <c r="N97" s="25" t="str">
        <f t="shared" si="16"/>
        <v/>
      </c>
    </row>
    <row r="98" spans="9:14" x14ac:dyDescent="0.3">
      <c r="I98" s="23" t="str">
        <f t="shared" si="11"/>
        <v/>
      </c>
      <c r="J98" s="25" t="str">
        <f t="shared" si="14"/>
        <v/>
      </c>
      <c r="K98" s="25" t="str">
        <f t="shared" si="12"/>
        <v/>
      </c>
      <c r="L98" s="25" t="str">
        <f t="shared" si="13"/>
        <v/>
      </c>
      <c r="M98" s="25" t="str">
        <f t="shared" si="15"/>
        <v/>
      </c>
      <c r="N98" s="25" t="str">
        <f t="shared" si="16"/>
        <v/>
      </c>
    </row>
    <row r="99" spans="9:14" x14ac:dyDescent="0.3">
      <c r="I99" s="23" t="str">
        <f t="shared" si="11"/>
        <v/>
      </c>
      <c r="J99" s="25" t="str">
        <f t="shared" si="14"/>
        <v/>
      </c>
      <c r="K99" s="25" t="str">
        <f t="shared" si="12"/>
        <v/>
      </c>
      <c r="L99" s="25" t="str">
        <f t="shared" si="13"/>
        <v/>
      </c>
      <c r="M99" s="25" t="str">
        <f t="shared" si="15"/>
        <v/>
      </c>
      <c r="N99" s="25" t="str">
        <f t="shared" si="16"/>
        <v/>
      </c>
    </row>
    <row r="100" spans="9:14" x14ac:dyDescent="0.3">
      <c r="I100" s="23" t="str">
        <f t="shared" si="11"/>
        <v/>
      </c>
      <c r="J100" s="25" t="str">
        <f t="shared" si="14"/>
        <v/>
      </c>
      <c r="K100" s="25" t="str">
        <f t="shared" si="12"/>
        <v/>
      </c>
      <c r="L100" s="25" t="str">
        <f t="shared" si="13"/>
        <v/>
      </c>
      <c r="M100" s="25" t="str">
        <f t="shared" si="15"/>
        <v/>
      </c>
      <c r="N100" s="25" t="str">
        <f t="shared" si="16"/>
        <v/>
      </c>
    </row>
    <row r="101" spans="9:14" x14ac:dyDescent="0.3">
      <c r="I101" s="23" t="str">
        <f t="shared" si="11"/>
        <v/>
      </c>
      <c r="J101" s="25" t="str">
        <f t="shared" si="14"/>
        <v/>
      </c>
      <c r="K101" s="25" t="str">
        <f t="shared" si="12"/>
        <v/>
      </c>
      <c r="L101" s="25" t="str">
        <f t="shared" si="13"/>
        <v/>
      </c>
      <c r="M101" s="25" t="str">
        <f t="shared" si="15"/>
        <v/>
      </c>
      <c r="N101" s="25" t="str">
        <f t="shared" si="16"/>
        <v/>
      </c>
    </row>
    <row r="102" spans="9:14" x14ac:dyDescent="0.3">
      <c r="I102" s="23" t="str">
        <f t="shared" si="11"/>
        <v/>
      </c>
      <c r="J102" s="25" t="str">
        <f t="shared" si="14"/>
        <v/>
      </c>
      <c r="K102" s="25" t="str">
        <f t="shared" si="12"/>
        <v/>
      </c>
      <c r="L102" s="25" t="str">
        <f t="shared" si="13"/>
        <v/>
      </c>
      <c r="M102" s="25" t="str">
        <f t="shared" si="15"/>
        <v/>
      </c>
      <c r="N102" s="25" t="str">
        <f t="shared" si="16"/>
        <v/>
      </c>
    </row>
    <row r="103" spans="9:14" x14ac:dyDescent="0.3">
      <c r="I103" s="23" t="str">
        <f t="shared" si="11"/>
        <v/>
      </c>
      <c r="J103" s="25" t="str">
        <f t="shared" si="14"/>
        <v/>
      </c>
      <c r="K103" s="25" t="str">
        <f t="shared" si="12"/>
        <v/>
      </c>
      <c r="L103" s="25" t="str">
        <f t="shared" si="13"/>
        <v/>
      </c>
      <c r="M103" s="25" t="str">
        <f t="shared" si="15"/>
        <v/>
      </c>
      <c r="N103" s="25" t="str">
        <f t="shared" si="16"/>
        <v/>
      </c>
    </row>
    <row r="104" spans="9:14" x14ac:dyDescent="0.3">
      <c r="I104" s="23" t="str">
        <f t="shared" si="11"/>
        <v/>
      </c>
      <c r="J104" s="25" t="str">
        <f t="shared" si="14"/>
        <v/>
      </c>
      <c r="K104" s="25" t="str">
        <f t="shared" si="12"/>
        <v/>
      </c>
      <c r="L104" s="25" t="str">
        <f t="shared" si="13"/>
        <v/>
      </c>
      <c r="M104" s="25" t="str">
        <f t="shared" si="15"/>
        <v/>
      </c>
      <c r="N104" s="25" t="str">
        <f t="shared" si="16"/>
        <v/>
      </c>
    </row>
    <row r="105" spans="9:14" x14ac:dyDescent="0.3">
      <c r="I105" s="23" t="str">
        <f t="shared" si="11"/>
        <v/>
      </c>
      <c r="J105" s="25" t="str">
        <f t="shared" si="14"/>
        <v/>
      </c>
      <c r="K105" s="25" t="str">
        <f t="shared" si="12"/>
        <v/>
      </c>
      <c r="L105" s="25" t="str">
        <f t="shared" si="13"/>
        <v/>
      </c>
      <c r="M105" s="25" t="str">
        <f t="shared" si="15"/>
        <v/>
      </c>
      <c r="N105" s="25" t="str">
        <f t="shared" si="16"/>
        <v/>
      </c>
    </row>
    <row r="106" spans="9:14" x14ac:dyDescent="0.3">
      <c r="I106" s="23" t="str">
        <f t="shared" si="11"/>
        <v/>
      </c>
      <c r="J106" s="25" t="str">
        <f t="shared" si="14"/>
        <v/>
      </c>
      <c r="K106" s="25" t="str">
        <f t="shared" si="12"/>
        <v/>
      </c>
      <c r="L106" s="25" t="str">
        <f t="shared" si="13"/>
        <v/>
      </c>
      <c r="M106" s="25" t="str">
        <f t="shared" si="15"/>
        <v/>
      </c>
      <c r="N106" s="25" t="str">
        <f t="shared" si="16"/>
        <v/>
      </c>
    </row>
    <row r="107" spans="9:14" x14ac:dyDescent="0.3">
      <c r="I107" s="23" t="str">
        <f t="shared" si="11"/>
        <v/>
      </c>
      <c r="J107" s="25" t="str">
        <f t="shared" si="14"/>
        <v/>
      </c>
      <c r="K107" s="25" t="str">
        <f t="shared" si="12"/>
        <v/>
      </c>
      <c r="L107" s="25" t="str">
        <f t="shared" si="13"/>
        <v/>
      </c>
      <c r="M107" s="25" t="str">
        <f t="shared" si="15"/>
        <v/>
      </c>
      <c r="N107" s="25" t="str">
        <f t="shared" si="16"/>
        <v/>
      </c>
    </row>
    <row r="108" spans="9:14" x14ac:dyDescent="0.3">
      <c r="I108" s="23" t="str">
        <f t="shared" si="11"/>
        <v/>
      </c>
      <c r="J108" s="25" t="str">
        <f t="shared" si="14"/>
        <v/>
      </c>
      <c r="K108" s="25" t="str">
        <f t="shared" si="12"/>
        <v/>
      </c>
      <c r="L108" s="25" t="str">
        <f t="shared" si="13"/>
        <v/>
      </c>
      <c r="M108" s="25" t="str">
        <f t="shared" si="15"/>
        <v/>
      </c>
      <c r="N108" s="25" t="str">
        <f t="shared" si="16"/>
        <v/>
      </c>
    </row>
    <row r="109" spans="9:14" x14ac:dyDescent="0.3">
      <c r="I109" s="23" t="str">
        <f t="shared" si="11"/>
        <v/>
      </c>
      <c r="J109" s="25" t="str">
        <f t="shared" si="14"/>
        <v/>
      </c>
      <c r="K109" s="25" t="str">
        <f t="shared" si="12"/>
        <v/>
      </c>
      <c r="L109" s="25" t="str">
        <f t="shared" si="13"/>
        <v/>
      </c>
      <c r="M109" s="25" t="str">
        <f t="shared" si="15"/>
        <v/>
      </c>
      <c r="N109" s="25" t="str">
        <f t="shared" si="16"/>
        <v/>
      </c>
    </row>
    <row r="110" spans="9:14" x14ac:dyDescent="0.3">
      <c r="I110" s="23" t="str">
        <f t="shared" si="11"/>
        <v/>
      </c>
      <c r="J110" s="25" t="str">
        <f t="shared" si="14"/>
        <v/>
      </c>
      <c r="K110" s="25" t="str">
        <f t="shared" si="12"/>
        <v/>
      </c>
      <c r="L110" s="25" t="str">
        <f t="shared" si="13"/>
        <v/>
      </c>
      <c r="M110" s="25" t="str">
        <f t="shared" si="15"/>
        <v/>
      </c>
      <c r="N110" s="25" t="str">
        <f t="shared" si="16"/>
        <v/>
      </c>
    </row>
    <row r="111" spans="9:14" x14ac:dyDescent="0.3">
      <c r="I111" s="23" t="str">
        <f t="shared" si="11"/>
        <v/>
      </c>
      <c r="J111" s="25" t="str">
        <f t="shared" si="14"/>
        <v/>
      </c>
      <c r="K111" s="25" t="str">
        <f t="shared" si="12"/>
        <v/>
      </c>
      <c r="L111" s="25" t="str">
        <f t="shared" si="13"/>
        <v/>
      </c>
      <c r="M111" s="25" t="str">
        <f t="shared" si="15"/>
        <v/>
      </c>
      <c r="N111" s="25" t="str">
        <f t="shared" si="16"/>
        <v/>
      </c>
    </row>
    <row r="112" spans="9:14" x14ac:dyDescent="0.3">
      <c r="I112" s="23" t="str">
        <f t="shared" si="11"/>
        <v/>
      </c>
      <c r="J112" s="25" t="str">
        <f t="shared" si="14"/>
        <v/>
      </c>
      <c r="K112" s="25" t="str">
        <f t="shared" si="12"/>
        <v/>
      </c>
      <c r="L112" s="25" t="str">
        <f t="shared" si="13"/>
        <v/>
      </c>
      <c r="M112" s="25" t="str">
        <f t="shared" si="15"/>
        <v/>
      </c>
      <c r="N112" s="25" t="str">
        <f t="shared" si="16"/>
        <v/>
      </c>
    </row>
    <row r="113" spans="9:14" x14ac:dyDescent="0.3">
      <c r="I113" s="23" t="str">
        <f t="shared" si="11"/>
        <v/>
      </c>
      <c r="J113" s="25" t="str">
        <f t="shared" si="14"/>
        <v/>
      </c>
      <c r="K113" s="25" t="str">
        <f t="shared" si="12"/>
        <v/>
      </c>
      <c r="L113" s="25" t="str">
        <f t="shared" si="13"/>
        <v/>
      </c>
      <c r="M113" s="25" t="str">
        <f t="shared" si="15"/>
        <v/>
      </c>
      <c r="N113" s="25" t="str">
        <f t="shared" si="16"/>
        <v/>
      </c>
    </row>
    <row r="114" spans="9:14" x14ac:dyDescent="0.3">
      <c r="I114" s="23" t="str">
        <f t="shared" si="11"/>
        <v/>
      </c>
      <c r="J114" s="25" t="str">
        <f t="shared" si="14"/>
        <v/>
      </c>
      <c r="K114" s="25" t="str">
        <f t="shared" si="12"/>
        <v/>
      </c>
      <c r="L114" s="25" t="str">
        <f t="shared" si="13"/>
        <v/>
      </c>
      <c r="M114" s="25" t="str">
        <f t="shared" si="15"/>
        <v/>
      </c>
      <c r="N114" s="25" t="str">
        <f t="shared" si="16"/>
        <v/>
      </c>
    </row>
    <row r="115" spans="9:14" x14ac:dyDescent="0.3">
      <c r="I115" s="23" t="str">
        <f t="shared" si="11"/>
        <v/>
      </c>
      <c r="J115" s="25" t="str">
        <f t="shared" si="14"/>
        <v/>
      </c>
      <c r="K115" s="25" t="str">
        <f t="shared" si="12"/>
        <v/>
      </c>
      <c r="L115" s="25" t="str">
        <f t="shared" si="13"/>
        <v/>
      </c>
      <c r="M115" s="25" t="str">
        <f t="shared" si="15"/>
        <v/>
      </c>
      <c r="N115" s="25" t="str">
        <f t="shared" si="16"/>
        <v/>
      </c>
    </row>
    <row r="116" spans="9:14" x14ac:dyDescent="0.3">
      <c r="I116" s="23" t="str">
        <f t="shared" si="11"/>
        <v/>
      </c>
      <c r="J116" s="25" t="str">
        <f t="shared" si="14"/>
        <v/>
      </c>
      <c r="K116" s="25" t="str">
        <f t="shared" si="12"/>
        <v/>
      </c>
      <c r="L116" s="25" t="str">
        <f t="shared" si="13"/>
        <v/>
      </c>
      <c r="M116" s="25" t="str">
        <f t="shared" si="15"/>
        <v/>
      </c>
      <c r="N116" s="25" t="str">
        <f t="shared" si="16"/>
        <v/>
      </c>
    </row>
    <row r="117" spans="9:14" x14ac:dyDescent="0.3">
      <c r="I117" s="23" t="str">
        <f t="shared" si="11"/>
        <v/>
      </c>
      <c r="J117" s="25" t="str">
        <f t="shared" si="14"/>
        <v/>
      </c>
      <c r="K117" s="25" t="str">
        <f t="shared" si="12"/>
        <v/>
      </c>
      <c r="L117" s="25" t="str">
        <f t="shared" si="13"/>
        <v/>
      </c>
      <c r="M117" s="25" t="str">
        <f t="shared" si="15"/>
        <v/>
      </c>
      <c r="N117" s="25" t="str">
        <f t="shared" si="16"/>
        <v/>
      </c>
    </row>
    <row r="118" spans="9:14" x14ac:dyDescent="0.3">
      <c r="I118" s="23" t="str">
        <f t="shared" si="11"/>
        <v/>
      </c>
      <c r="J118" s="25" t="str">
        <f t="shared" si="14"/>
        <v/>
      </c>
      <c r="K118" s="25" t="str">
        <f t="shared" si="12"/>
        <v/>
      </c>
      <c r="L118" s="25" t="str">
        <f t="shared" si="13"/>
        <v/>
      </c>
      <c r="M118" s="25" t="str">
        <f t="shared" si="15"/>
        <v/>
      </c>
      <c r="N118" s="25" t="str">
        <f t="shared" si="16"/>
        <v/>
      </c>
    </row>
    <row r="119" spans="9:14" x14ac:dyDescent="0.3">
      <c r="I119" s="23" t="str">
        <f t="shared" si="11"/>
        <v/>
      </c>
      <c r="J119" s="25" t="str">
        <f t="shared" si="14"/>
        <v/>
      </c>
      <c r="K119" s="25" t="str">
        <f t="shared" si="12"/>
        <v/>
      </c>
      <c r="L119" s="25" t="str">
        <f t="shared" si="13"/>
        <v/>
      </c>
      <c r="M119" s="25" t="str">
        <f t="shared" si="15"/>
        <v/>
      </c>
      <c r="N119" s="25" t="str">
        <f t="shared" si="16"/>
        <v/>
      </c>
    </row>
    <row r="120" spans="9:14" x14ac:dyDescent="0.3">
      <c r="I120" s="23" t="str">
        <f t="shared" si="11"/>
        <v/>
      </c>
      <c r="J120" s="25" t="str">
        <f t="shared" si="14"/>
        <v/>
      </c>
      <c r="K120" s="25" t="str">
        <f t="shared" si="12"/>
        <v/>
      </c>
      <c r="L120" s="25" t="str">
        <f t="shared" si="13"/>
        <v/>
      </c>
      <c r="M120" s="25" t="str">
        <f t="shared" si="15"/>
        <v/>
      </c>
      <c r="N120" s="25" t="str">
        <f t="shared" si="16"/>
        <v/>
      </c>
    </row>
    <row r="121" spans="9:14" x14ac:dyDescent="0.3">
      <c r="I121" s="23" t="str">
        <f t="shared" si="11"/>
        <v/>
      </c>
      <c r="J121" s="25" t="str">
        <f t="shared" si="14"/>
        <v/>
      </c>
      <c r="K121" s="25" t="str">
        <f t="shared" si="12"/>
        <v/>
      </c>
      <c r="L121" s="25" t="str">
        <f t="shared" si="13"/>
        <v/>
      </c>
      <c r="M121" s="25" t="str">
        <f t="shared" si="15"/>
        <v/>
      </c>
      <c r="N121" s="25" t="str">
        <f t="shared" si="16"/>
        <v/>
      </c>
    </row>
    <row r="122" spans="9:14" x14ac:dyDescent="0.3">
      <c r="I122" s="23" t="str">
        <f t="shared" si="11"/>
        <v/>
      </c>
      <c r="J122" s="25" t="str">
        <f t="shared" si="14"/>
        <v/>
      </c>
      <c r="K122" s="25" t="str">
        <f t="shared" si="12"/>
        <v/>
      </c>
      <c r="L122" s="25" t="str">
        <f t="shared" si="13"/>
        <v/>
      </c>
      <c r="M122" s="25" t="str">
        <f t="shared" si="15"/>
        <v/>
      </c>
      <c r="N122" s="25" t="str">
        <f t="shared" si="16"/>
        <v/>
      </c>
    </row>
    <row r="123" spans="9:14" x14ac:dyDescent="0.3">
      <c r="I123" s="23" t="str">
        <f t="shared" si="11"/>
        <v/>
      </c>
      <c r="J123" s="25" t="str">
        <f t="shared" si="14"/>
        <v/>
      </c>
      <c r="K123" s="25" t="str">
        <f t="shared" si="12"/>
        <v/>
      </c>
      <c r="L123" s="25" t="str">
        <f t="shared" si="13"/>
        <v/>
      </c>
      <c r="M123" s="25" t="str">
        <f t="shared" si="15"/>
        <v/>
      </c>
      <c r="N123" s="25" t="str">
        <f t="shared" si="16"/>
        <v/>
      </c>
    </row>
    <row r="124" spans="9:14" x14ac:dyDescent="0.3">
      <c r="I124" s="23" t="str">
        <f t="shared" si="11"/>
        <v/>
      </c>
      <c r="J124" s="25" t="str">
        <f t="shared" si="14"/>
        <v/>
      </c>
      <c r="K124" s="25" t="str">
        <f t="shared" si="12"/>
        <v/>
      </c>
      <c r="L124" s="25" t="str">
        <f t="shared" si="13"/>
        <v/>
      </c>
      <c r="M124" s="25" t="str">
        <f t="shared" si="15"/>
        <v/>
      </c>
      <c r="N124" s="25" t="str">
        <f t="shared" si="16"/>
        <v/>
      </c>
    </row>
    <row r="125" spans="9:14" x14ac:dyDescent="0.3">
      <c r="I125" s="23" t="str">
        <f t="shared" si="11"/>
        <v/>
      </c>
      <c r="J125" s="25" t="str">
        <f t="shared" si="14"/>
        <v/>
      </c>
      <c r="K125" s="25" t="str">
        <f t="shared" si="12"/>
        <v/>
      </c>
      <c r="L125" s="25" t="str">
        <f t="shared" si="13"/>
        <v/>
      </c>
      <c r="M125" s="25" t="str">
        <f t="shared" si="15"/>
        <v/>
      </c>
      <c r="N125" s="25" t="str">
        <f t="shared" si="16"/>
        <v/>
      </c>
    </row>
    <row r="126" spans="9:14" x14ac:dyDescent="0.3">
      <c r="I126" s="23" t="str">
        <f t="shared" si="11"/>
        <v/>
      </c>
      <c r="J126" s="25" t="str">
        <f t="shared" si="14"/>
        <v/>
      </c>
      <c r="K126" s="25" t="str">
        <f t="shared" si="12"/>
        <v/>
      </c>
      <c r="L126" s="25" t="str">
        <f t="shared" si="13"/>
        <v/>
      </c>
      <c r="M126" s="25" t="str">
        <f t="shared" si="15"/>
        <v/>
      </c>
      <c r="N126" s="25" t="str">
        <f t="shared" si="16"/>
        <v/>
      </c>
    </row>
    <row r="127" spans="9:14" x14ac:dyDescent="0.3">
      <c r="I127" s="23" t="str">
        <f t="shared" si="11"/>
        <v/>
      </c>
      <c r="J127" s="25" t="str">
        <f t="shared" si="14"/>
        <v/>
      </c>
      <c r="K127" s="25" t="str">
        <f t="shared" si="12"/>
        <v/>
      </c>
      <c r="L127" s="25" t="str">
        <f t="shared" si="13"/>
        <v/>
      </c>
      <c r="M127" s="25" t="str">
        <f t="shared" si="15"/>
        <v/>
      </c>
      <c r="N127" s="25" t="str">
        <f t="shared" si="16"/>
        <v/>
      </c>
    </row>
    <row r="128" spans="9:14" x14ac:dyDescent="0.3">
      <c r="I128" s="23" t="str">
        <f t="shared" si="11"/>
        <v/>
      </c>
      <c r="J128" s="25" t="str">
        <f t="shared" si="14"/>
        <v/>
      </c>
      <c r="K128" s="25" t="str">
        <f t="shared" si="12"/>
        <v/>
      </c>
      <c r="L128" s="25" t="str">
        <f t="shared" si="13"/>
        <v/>
      </c>
      <c r="M128" s="25" t="str">
        <f t="shared" si="15"/>
        <v/>
      </c>
      <c r="N128" s="25" t="str">
        <f t="shared" si="16"/>
        <v/>
      </c>
    </row>
    <row r="129" spans="9:14" x14ac:dyDescent="0.3">
      <c r="I129" s="23" t="str">
        <f t="shared" si="11"/>
        <v/>
      </c>
      <c r="J129" s="25" t="str">
        <f t="shared" si="14"/>
        <v/>
      </c>
      <c r="K129" s="25" t="str">
        <f t="shared" si="12"/>
        <v/>
      </c>
      <c r="L129" s="25" t="str">
        <f t="shared" si="13"/>
        <v/>
      </c>
      <c r="M129" s="25" t="str">
        <f t="shared" si="15"/>
        <v/>
      </c>
      <c r="N129" s="25" t="str">
        <f t="shared" si="16"/>
        <v/>
      </c>
    </row>
    <row r="130" spans="9:14" x14ac:dyDescent="0.3">
      <c r="I130" s="23" t="str">
        <f t="shared" si="11"/>
        <v/>
      </c>
      <c r="J130" s="25" t="str">
        <f t="shared" si="14"/>
        <v/>
      </c>
      <c r="K130" s="25" t="str">
        <f t="shared" si="12"/>
        <v/>
      </c>
      <c r="L130" s="25" t="str">
        <f t="shared" si="13"/>
        <v/>
      </c>
      <c r="M130" s="25" t="str">
        <f t="shared" si="15"/>
        <v/>
      </c>
      <c r="N130" s="25" t="str">
        <f t="shared" si="16"/>
        <v/>
      </c>
    </row>
    <row r="131" spans="9:14" x14ac:dyDescent="0.3">
      <c r="I131" s="23" t="str">
        <f t="shared" si="11"/>
        <v/>
      </c>
      <c r="J131" s="25" t="str">
        <f t="shared" si="14"/>
        <v/>
      </c>
      <c r="K131" s="25" t="str">
        <f t="shared" si="12"/>
        <v/>
      </c>
      <c r="L131" s="25" t="str">
        <f t="shared" si="13"/>
        <v/>
      </c>
      <c r="M131" s="25" t="str">
        <f t="shared" si="15"/>
        <v/>
      </c>
      <c r="N131" s="25" t="str">
        <f t="shared" si="16"/>
        <v/>
      </c>
    </row>
    <row r="132" spans="9:14" x14ac:dyDescent="0.3">
      <c r="I132" s="23" t="str">
        <f t="shared" si="11"/>
        <v/>
      </c>
      <c r="J132" s="25" t="str">
        <f t="shared" si="14"/>
        <v/>
      </c>
      <c r="K132" s="25" t="str">
        <f t="shared" si="12"/>
        <v/>
      </c>
      <c r="L132" s="25" t="str">
        <f t="shared" si="13"/>
        <v/>
      </c>
      <c r="M132" s="25" t="str">
        <f t="shared" si="15"/>
        <v/>
      </c>
      <c r="N132" s="25" t="str">
        <f t="shared" si="16"/>
        <v/>
      </c>
    </row>
    <row r="133" spans="9:14" x14ac:dyDescent="0.3">
      <c r="I133" s="23" t="str">
        <f t="shared" si="11"/>
        <v/>
      </c>
      <c r="J133" s="25" t="str">
        <f t="shared" si="14"/>
        <v/>
      </c>
      <c r="K133" s="25" t="str">
        <f t="shared" si="12"/>
        <v/>
      </c>
      <c r="L133" s="25" t="str">
        <f t="shared" si="13"/>
        <v/>
      </c>
      <c r="M133" s="25" t="str">
        <f t="shared" si="15"/>
        <v/>
      </c>
      <c r="N133" s="25" t="str">
        <f t="shared" si="16"/>
        <v/>
      </c>
    </row>
    <row r="134" spans="9:14" x14ac:dyDescent="0.3">
      <c r="I134" s="23" t="str">
        <f t="shared" si="11"/>
        <v/>
      </c>
      <c r="J134" s="25" t="str">
        <f t="shared" si="14"/>
        <v/>
      </c>
      <c r="K134" s="25" t="str">
        <f t="shared" si="12"/>
        <v/>
      </c>
      <c r="L134" s="25" t="str">
        <f t="shared" si="13"/>
        <v/>
      </c>
      <c r="M134" s="25" t="str">
        <f t="shared" si="15"/>
        <v/>
      </c>
      <c r="N134" s="25" t="str">
        <f t="shared" si="16"/>
        <v/>
      </c>
    </row>
    <row r="135" spans="9:14" x14ac:dyDescent="0.3">
      <c r="I135" s="23" t="str">
        <f t="shared" si="11"/>
        <v/>
      </c>
      <c r="J135" s="25" t="str">
        <f t="shared" si="14"/>
        <v/>
      </c>
      <c r="K135" s="25" t="str">
        <f t="shared" si="12"/>
        <v/>
      </c>
      <c r="L135" s="25" t="str">
        <f t="shared" si="13"/>
        <v/>
      </c>
      <c r="M135" s="25" t="str">
        <f t="shared" si="15"/>
        <v/>
      </c>
      <c r="N135" s="25" t="str">
        <f t="shared" si="16"/>
        <v/>
      </c>
    </row>
    <row r="136" spans="9:14" x14ac:dyDescent="0.3">
      <c r="I136" s="23" t="str">
        <f t="shared" si="11"/>
        <v/>
      </c>
      <c r="J136" s="25" t="str">
        <f t="shared" si="14"/>
        <v/>
      </c>
      <c r="K136" s="25" t="str">
        <f t="shared" si="12"/>
        <v/>
      </c>
      <c r="L136" s="25" t="str">
        <f t="shared" si="13"/>
        <v/>
      </c>
      <c r="M136" s="25" t="str">
        <f t="shared" si="15"/>
        <v/>
      </c>
      <c r="N136" s="25" t="str">
        <f t="shared" si="16"/>
        <v/>
      </c>
    </row>
    <row r="137" spans="9:14" x14ac:dyDescent="0.3">
      <c r="I137" s="23" t="str">
        <f t="shared" si="11"/>
        <v/>
      </c>
      <c r="J137" s="25" t="str">
        <f t="shared" si="14"/>
        <v/>
      </c>
      <c r="K137" s="25" t="str">
        <f t="shared" si="12"/>
        <v/>
      </c>
      <c r="L137" s="25" t="str">
        <f t="shared" si="13"/>
        <v/>
      </c>
      <c r="M137" s="25" t="str">
        <f t="shared" si="15"/>
        <v/>
      </c>
      <c r="N137" s="25" t="str">
        <f t="shared" si="16"/>
        <v/>
      </c>
    </row>
    <row r="138" spans="9:14" x14ac:dyDescent="0.3">
      <c r="I138" s="23" t="str">
        <f t="shared" si="11"/>
        <v/>
      </c>
      <c r="J138" s="25" t="str">
        <f t="shared" si="14"/>
        <v/>
      </c>
      <c r="K138" s="25" t="str">
        <f t="shared" si="12"/>
        <v/>
      </c>
      <c r="L138" s="25" t="str">
        <f t="shared" si="13"/>
        <v/>
      </c>
      <c r="M138" s="25" t="str">
        <f t="shared" si="15"/>
        <v/>
      </c>
      <c r="N138" s="25" t="str">
        <f t="shared" si="16"/>
        <v/>
      </c>
    </row>
    <row r="139" spans="9:14" x14ac:dyDescent="0.3">
      <c r="I139" s="23" t="str">
        <f t="shared" si="11"/>
        <v/>
      </c>
      <c r="J139" s="25" t="str">
        <f t="shared" si="14"/>
        <v/>
      </c>
      <c r="K139" s="25" t="str">
        <f t="shared" si="12"/>
        <v/>
      </c>
      <c r="L139" s="25" t="str">
        <f t="shared" si="13"/>
        <v/>
      </c>
      <c r="M139" s="25" t="str">
        <f t="shared" si="15"/>
        <v/>
      </c>
      <c r="N139" s="25" t="str">
        <f t="shared" si="16"/>
        <v/>
      </c>
    </row>
    <row r="140" spans="9:14" x14ac:dyDescent="0.3">
      <c r="I140" s="23" t="str">
        <f t="shared" ref="I140:I203" si="17">IF(OR(I139=$G$5,I139=""),"",I139+1)</f>
        <v/>
      </c>
      <c r="J140" s="25" t="str">
        <f t="shared" si="14"/>
        <v/>
      </c>
      <c r="K140" s="25" t="str">
        <f t="shared" ref="K140:K203" si="18">IF(I140&lt;&gt;"",M140-L140,"")</f>
        <v/>
      </c>
      <c r="L140" s="25" t="str">
        <f t="shared" ref="L140:L203" si="19">IF(I140&lt;&gt;"",J139*$G$4/12/100,"")</f>
        <v/>
      </c>
      <c r="M140" s="25" t="str">
        <f t="shared" si="15"/>
        <v/>
      </c>
      <c r="N140" s="25" t="str">
        <f t="shared" si="16"/>
        <v/>
      </c>
    </row>
    <row r="141" spans="9:14" x14ac:dyDescent="0.3">
      <c r="I141" s="23" t="str">
        <f t="shared" si="17"/>
        <v/>
      </c>
      <c r="J141" s="25" t="str">
        <f t="shared" ref="J141:J204" si="20">IF(I141&lt;&gt;"",J140-K141,"")</f>
        <v/>
      </c>
      <c r="K141" s="25" t="str">
        <f t="shared" si="18"/>
        <v/>
      </c>
      <c r="L141" s="25" t="str">
        <f t="shared" si="19"/>
        <v/>
      </c>
      <c r="M141" s="25" t="str">
        <f t="shared" ref="M141:M204" si="21">IF(I141&lt;&gt;"",M140,"")</f>
        <v/>
      </c>
      <c r="N141" s="25" t="str">
        <f t="shared" ref="N141:N204" si="22">IF(I141&lt;&gt;"",L141+N140,"")</f>
        <v/>
      </c>
    </row>
    <row r="142" spans="9:14" x14ac:dyDescent="0.3">
      <c r="I142" s="23" t="str">
        <f t="shared" si="17"/>
        <v/>
      </c>
      <c r="J142" s="25" t="str">
        <f t="shared" si="20"/>
        <v/>
      </c>
      <c r="K142" s="25" t="str">
        <f t="shared" si="18"/>
        <v/>
      </c>
      <c r="L142" s="25" t="str">
        <f t="shared" si="19"/>
        <v/>
      </c>
      <c r="M142" s="25" t="str">
        <f t="shared" si="21"/>
        <v/>
      </c>
      <c r="N142" s="25" t="str">
        <f t="shared" si="22"/>
        <v/>
      </c>
    </row>
    <row r="143" spans="9:14" x14ac:dyDescent="0.3">
      <c r="I143" s="23" t="str">
        <f t="shared" si="17"/>
        <v/>
      </c>
      <c r="J143" s="25" t="str">
        <f t="shared" si="20"/>
        <v/>
      </c>
      <c r="K143" s="25" t="str">
        <f t="shared" si="18"/>
        <v/>
      </c>
      <c r="L143" s="25" t="str">
        <f t="shared" si="19"/>
        <v/>
      </c>
      <c r="M143" s="25" t="str">
        <f t="shared" si="21"/>
        <v/>
      </c>
      <c r="N143" s="25" t="str">
        <f t="shared" si="22"/>
        <v/>
      </c>
    </row>
    <row r="144" spans="9:14" x14ac:dyDescent="0.3">
      <c r="I144" s="23" t="str">
        <f t="shared" si="17"/>
        <v/>
      </c>
      <c r="J144" s="25" t="str">
        <f t="shared" si="20"/>
        <v/>
      </c>
      <c r="K144" s="25" t="str">
        <f t="shared" si="18"/>
        <v/>
      </c>
      <c r="L144" s="25" t="str">
        <f t="shared" si="19"/>
        <v/>
      </c>
      <c r="M144" s="25" t="str">
        <f t="shared" si="21"/>
        <v/>
      </c>
      <c r="N144" s="25" t="str">
        <f t="shared" si="22"/>
        <v/>
      </c>
    </row>
    <row r="145" spans="9:14" x14ac:dyDescent="0.3">
      <c r="I145" s="23" t="str">
        <f t="shared" si="17"/>
        <v/>
      </c>
      <c r="J145" s="25" t="str">
        <f t="shared" si="20"/>
        <v/>
      </c>
      <c r="K145" s="25" t="str">
        <f t="shared" si="18"/>
        <v/>
      </c>
      <c r="L145" s="25" t="str">
        <f t="shared" si="19"/>
        <v/>
      </c>
      <c r="M145" s="25" t="str">
        <f t="shared" si="21"/>
        <v/>
      </c>
      <c r="N145" s="25" t="str">
        <f t="shared" si="22"/>
        <v/>
      </c>
    </row>
    <row r="146" spans="9:14" x14ac:dyDescent="0.3">
      <c r="I146" s="23" t="str">
        <f t="shared" si="17"/>
        <v/>
      </c>
      <c r="J146" s="25" t="str">
        <f t="shared" si="20"/>
        <v/>
      </c>
      <c r="K146" s="25" t="str">
        <f t="shared" si="18"/>
        <v/>
      </c>
      <c r="L146" s="25" t="str">
        <f t="shared" si="19"/>
        <v/>
      </c>
      <c r="M146" s="25" t="str">
        <f t="shared" si="21"/>
        <v/>
      </c>
      <c r="N146" s="25" t="str">
        <f t="shared" si="22"/>
        <v/>
      </c>
    </row>
    <row r="147" spans="9:14" x14ac:dyDescent="0.3">
      <c r="I147" s="23" t="str">
        <f t="shared" si="17"/>
        <v/>
      </c>
      <c r="J147" s="25" t="str">
        <f t="shared" si="20"/>
        <v/>
      </c>
      <c r="K147" s="25" t="str">
        <f t="shared" si="18"/>
        <v/>
      </c>
      <c r="L147" s="25" t="str">
        <f t="shared" si="19"/>
        <v/>
      </c>
      <c r="M147" s="25" t="str">
        <f t="shared" si="21"/>
        <v/>
      </c>
      <c r="N147" s="25" t="str">
        <f t="shared" si="22"/>
        <v/>
      </c>
    </row>
    <row r="148" spans="9:14" x14ac:dyDescent="0.3">
      <c r="I148" s="23" t="str">
        <f t="shared" si="17"/>
        <v/>
      </c>
      <c r="J148" s="25" t="str">
        <f t="shared" si="20"/>
        <v/>
      </c>
      <c r="K148" s="25" t="str">
        <f t="shared" si="18"/>
        <v/>
      </c>
      <c r="L148" s="25" t="str">
        <f t="shared" si="19"/>
        <v/>
      </c>
      <c r="M148" s="25" t="str">
        <f t="shared" si="21"/>
        <v/>
      </c>
      <c r="N148" s="25" t="str">
        <f t="shared" si="22"/>
        <v/>
      </c>
    </row>
    <row r="149" spans="9:14" x14ac:dyDescent="0.3">
      <c r="I149" s="23" t="str">
        <f t="shared" si="17"/>
        <v/>
      </c>
      <c r="J149" s="25" t="str">
        <f t="shared" si="20"/>
        <v/>
      </c>
      <c r="K149" s="25" t="str">
        <f t="shared" si="18"/>
        <v/>
      </c>
      <c r="L149" s="25" t="str">
        <f t="shared" si="19"/>
        <v/>
      </c>
      <c r="M149" s="25" t="str">
        <f t="shared" si="21"/>
        <v/>
      </c>
      <c r="N149" s="25" t="str">
        <f t="shared" si="22"/>
        <v/>
      </c>
    </row>
    <row r="150" spans="9:14" x14ac:dyDescent="0.3">
      <c r="I150" s="23" t="str">
        <f t="shared" si="17"/>
        <v/>
      </c>
      <c r="J150" s="25" t="str">
        <f t="shared" si="20"/>
        <v/>
      </c>
      <c r="K150" s="25" t="str">
        <f t="shared" si="18"/>
        <v/>
      </c>
      <c r="L150" s="25" t="str">
        <f t="shared" si="19"/>
        <v/>
      </c>
      <c r="M150" s="25" t="str">
        <f t="shared" si="21"/>
        <v/>
      </c>
      <c r="N150" s="25" t="str">
        <f t="shared" si="22"/>
        <v/>
      </c>
    </row>
    <row r="151" spans="9:14" x14ac:dyDescent="0.3">
      <c r="I151" s="23" t="str">
        <f t="shared" si="17"/>
        <v/>
      </c>
      <c r="J151" s="25" t="str">
        <f t="shared" si="20"/>
        <v/>
      </c>
      <c r="K151" s="25" t="str">
        <f t="shared" si="18"/>
        <v/>
      </c>
      <c r="L151" s="25" t="str">
        <f t="shared" si="19"/>
        <v/>
      </c>
      <c r="M151" s="25" t="str">
        <f t="shared" si="21"/>
        <v/>
      </c>
      <c r="N151" s="25" t="str">
        <f t="shared" si="22"/>
        <v/>
      </c>
    </row>
    <row r="152" spans="9:14" x14ac:dyDescent="0.3">
      <c r="I152" s="23" t="str">
        <f t="shared" si="17"/>
        <v/>
      </c>
      <c r="J152" s="25" t="str">
        <f t="shared" si="20"/>
        <v/>
      </c>
      <c r="K152" s="25" t="str">
        <f t="shared" si="18"/>
        <v/>
      </c>
      <c r="L152" s="25" t="str">
        <f t="shared" si="19"/>
        <v/>
      </c>
      <c r="M152" s="25" t="str">
        <f t="shared" si="21"/>
        <v/>
      </c>
      <c r="N152" s="25" t="str">
        <f t="shared" si="22"/>
        <v/>
      </c>
    </row>
    <row r="153" spans="9:14" x14ac:dyDescent="0.3">
      <c r="I153" s="23" t="str">
        <f t="shared" si="17"/>
        <v/>
      </c>
      <c r="J153" s="25" t="str">
        <f t="shared" si="20"/>
        <v/>
      </c>
      <c r="K153" s="25" t="str">
        <f t="shared" si="18"/>
        <v/>
      </c>
      <c r="L153" s="25" t="str">
        <f t="shared" si="19"/>
        <v/>
      </c>
      <c r="M153" s="25" t="str">
        <f t="shared" si="21"/>
        <v/>
      </c>
      <c r="N153" s="25" t="str">
        <f t="shared" si="22"/>
        <v/>
      </c>
    </row>
    <row r="154" spans="9:14" x14ac:dyDescent="0.3">
      <c r="I154" s="23" t="str">
        <f t="shared" si="17"/>
        <v/>
      </c>
      <c r="J154" s="25" t="str">
        <f t="shared" si="20"/>
        <v/>
      </c>
      <c r="K154" s="25" t="str">
        <f t="shared" si="18"/>
        <v/>
      </c>
      <c r="L154" s="25" t="str">
        <f t="shared" si="19"/>
        <v/>
      </c>
      <c r="M154" s="25" t="str">
        <f t="shared" si="21"/>
        <v/>
      </c>
      <c r="N154" s="25" t="str">
        <f t="shared" si="22"/>
        <v/>
      </c>
    </row>
    <row r="155" spans="9:14" x14ac:dyDescent="0.3">
      <c r="I155" s="23" t="str">
        <f t="shared" si="17"/>
        <v/>
      </c>
      <c r="J155" s="25" t="str">
        <f t="shared" si="20"/>
        <v/>
      </c>
      <c r="K155" s="25" t="str">
        <f t="shared" si="18"/>
        <v/>
      </c>
      <c r="L155" s="25" t="str">
        <f t="shared" si="19"/>
        <v/>
      </c>
      <c r="M155" s="25" t="str">
        <f t="shared" si="21"/>
        <v/>
      </c>
      <c r="N155" s="25" t="str">
        <f t="shared" si="22"/>
        <v/>
      </c>
    </row>
    <row r="156" spans="9:14" x14ac:dyDescent="0.3">
      <c r="I156" s="23" t="str">
        <f t="shared" si="17"/>
        <v/>
      </c>
      <c r="J156" s="25" t="str">
        <f t="shared" si="20"/>
        <v/>
      </c>
      <c r="K156" s="25" t="str">
        <f t="shared" si="18"/>
        <v/>
      </c>
      <c r="L156" s="25" t="str">
        <f t="shared" si="19"/>
        <v/>
      </c>
      <c r="M156" s="25" t="str">
        <f t="shared" si="21"/>
        <v/>
      </c>
      <c r="N156" s="25" t="str">
        <f t="shared" si="22"/>
        <v/>
      </c>
    </row>
    <row r="157" spans="9:14" x14ac:dyDescent="0.3">
      <c r="I157" s="23" t="str">
        <f t="shared" si="17"/>
        <v/>
      </c>
      <c r="J157" s="25" t="str">
        <f t="shared" si="20"/>
        <v/>
      </c>
      <c r="K157" s="25" t="str">
        <f t="shared" si="18"/>
        <v/>
      </c>
      <c r="L157" s="25" t="str">
        <f t="shared" si="19"/>
        <v/>
      </c>
      <c r="M157" s="25" t="str">
        <f t="shared" si="21"/>
        <v/>
      </c>
      <c r="N157" s="25" t="str">
        <f t="shared" si="22"/>
        <v/>
      </c>
    </row>
    <row r="158" spans="9:14" x14ac:dyDescent="0.3">
      <c r="I158" s="23" t="str">
        <f t="shared" si="17"/>
        <v/>
      </c>
      <c r="J158" s="25" t="str">
        <f t="shared" si="20"/>
        <v/>
      </c>
      <c r="K158" s="25" t="str">
        <f t="shared" si="18"/>
        <v/>
      </c>
      <c r="L158" s="25" t="str">
        <f t="shared" si="19"/>
        <v/>
      </c>
      <c r="M158" s="25" t="str">
        <f t="shared" si="21"/>
        <v/>
      </c>
      <c r="N158" s="25" t="str">
        <f t="shared" si="22"/>
        <v/>
      </c>
    </row>
    <row r="159" spans="9:14" x14ac:dyDescent="0.3">
      <c r="I159" s="23" t="str">
        <f t="shared" si="17"/>
        <v/>
      </c>
      <c r="J159" s="25" t="str">
        <f t="shared" si="20"/>
        <v/>
      </c>
      <c r="K159" s="25" t="str">
        <f t="shared" si="18"/>
        <v/>
      </c>
      <c r="L159" s="25" t="str">
        <f t="shared" si="19"/>
        <v/>
      </c>
      <c r="M159" s="25" t="str">
        <f t="shared" si="21"/>
        <v/>
      </c>
      <c r="N159" s="25" t="str">
        <f t="shared" si="22"/>
        <v/>
      </c>
    </row>
    <row r="160" spans="9:14" x14ac:dyDescent="0.3">
      <c r="I160" s="23" t="str">
        <f t="shared" si="17"/>
        <v/>
      </c>
      <c r="J160" s="25" t="str">
        <f t="shared" si="20"/>
        <v/>
      </c>
      <c r="K160" s="25" t="str">
        <f t="shared" si="18"/>
        <v/>
      </c>
      <c r="L160" s="25" t="str">
        <f t="shared" si="19"/>
        <v/>
      </c>
      <c r="M160" s="25" t="str">
        <f t="shared" si="21"/>
        <v/>
      </c>
      <c r="N160" s="25" t="str">
        <f t="shared" si="22"/>
        <v/>
      </c>
    </row>
    <row r="161" spans="9:14" x14ac:dyDescent="0.3">
      <c r="I161" s="23" t="str">
        <f t="shared" si="17"/>
        <v/>
      </c>
      <c r="J161" s="25" t="str">
        <f t="shared" si="20"/>
        <v/>
      </c>
      <c r="K161" s="25" t="str">
        <f t="shared" si="18"/>
        <v/>
      </c>
      <c r="L161" s="25" t="str">
        <f t="shared" si="19"/>
        <v/>
      </c>
      <c r="M161" s="25" t="str">
        <f t="shared" si="21"/>
        <v/>
      </c>
      <c r="N161" s="25" t="str">
        <f t="shared" si="22"/>
        <v/>
      </c>
    </row>
    <row r="162" spans="9:14" x14ac:dyDescent="0.3">
      <c r="I162" s="23" t="str">
        <f t="shared" si="17"/>
        <v/>
      </c>
      <c r="J162" s="25" t="str">
        <f t="shared" si="20"/>
        <v/>
      </c>
      <c r="K162" s="25" t="str">
        <f t="shared" si="18"/>
        <v/>
      </c>
      <c r="L162" s="25" t="str">
        <f t="shared" si="19"/>
        <v/>
      </c>
      <c r="M162" s="25" t="str">
        <f t="shared" si="21"/>
        <v/>
      </c>
      <c r="N162" s="25" t="str">
        <f t="shared" si="22"/>
        <v/>
      </c>
    </row>
    <row r="163" spans="9:14" x14ac:dyDescent="0.3">
      <c r="I163" s="23" t="str">
        <f t="shared" si="17"/>
        <v/>
      </c>
      <c r="J163" s="25" t="str">
        <f t="shared" si="20"/>
        <v/>
      </c>
      <c r="K163" s="25" t="str">
        <f t="shared" si="18"/>
        <v/>
      </c>
      <c r="L163" s="25" t="str">
        <f t="shared" si="19"/>
        <v/>
      </c>
      <c r="M163" s="25" t="str">
        <f t="shared" si="21"/>
        <v/>
      </c>
      <c r="N163" s="25" t="str">
        <f t="shared" si="22"/>
        <v/>
      </c>
    </row>
    <row r="164" spans="9:14" x14ac:dyDescent="0.3">
      <c r="I164" s="23" t="str">
        <f t="shared" si="17"/>
        <v/>
      </c>
      <c r="J164" s="25" t="str">
        <f t="shared" si="20"/>
        <v/>
      </c>
      <c r="K164" s="25" t="str">
        <f t="shared" si="18"/>
        <v/>
      </c>
      <c r="L164" s="25" t="str">
        <f t="shared" si="19"/>
        <v/>
      </c>
      <c r="M164" s="25" t="str">
        <f t="shared" si="21"/>
        <v/>
      </c>
      <c r="N164" s="25" t="str">
        <f t="shared" si="22"/>
        <v/>
      </c>
    </row>
    <row r="165" spans="9:14" x14ac:dyDescent="0.3">
      <c r="I165" s="23" t="str">
        <f t="shared" si="17"/>
        <v/>
      </c>
      <c r="J165" s="25" t="str">
        <f t="shared" si="20"/>
        <v/>
      </c>
      <c r="K165" s="25" t="str">
        <f t="shared" si="18"/>
        <v/>
      </c>
      <c r="L165" s="25" t="str">
        <f t="shared" si="19"/>
        <v/>
      </c>
      <c r="M165" s="25" t="str">
        <f t="shared" si="21"/>
        <v/>
      </c>
      <c r="N165" s="25" t="str">
        <f t="shared" si="22"/>
        <v/>
      </c>
    </row>
    <row r="166" spans="9:14" x14ac:dyDescent="0.3">
      <c r="I166" s="23" t="str">
        <f t="shared" si="17"/>
        <v/>
      </c>
      <c r="J166" s="25" t="str">
        <f t="shared" si="20"/>
        <v/>
      </c>
      <c r="K166" s="25" t="str">
        <f t="shared" si="18"/>
        <v/>
      </c>
      <c r="L166" s="25" t="str">
        <f t="shared" si="19"/>
        <v/>
      </c>
      <c r="M166" s="25" t="str">
        <f t="shared" si="21"/>
        <v/>
      </c>
      <c r="N166" s="25" t="str">
        <f t="shared" si="22"/>
        <v/>
      </c>
    </row>
    <row r="167" spans="9:14" x14ac:dyDescent="0.3">
      <c r="I167" s="23" t="str">
        <f t="shared" si="17"/>
        <v/>
      </c>
      <c r="J167" s="25" t="str">
        <f t="shared" si="20"/>
        <v/>
      </c>
      <c r="K167" s="25" t="str">
        <f t="shared" si="18"/>
        <v/>
      </c>
      <c r="L167" s="25" t="str">
        <f t="shared" si="19"/>
        <v/>
      </c>
      <c r="M167" s="25" t="str">
        <f t="shared" si="21"/>
        <v/>
      </c>
      <c r="N167" s="25" t="str">
        <f t="shared" si="22"/>
        <v/>
      </c>
    </row>
    <row r="168" spans="9:14" x14ac:dyDescent="0.3">
      <c r="I168" s="23" t="str">
        <f t="shared" si="17"/>
        <v/>
      </c>
      <c r="J168" s="25" t="str">
        <f t="shared" si="20"/>
        <v/>
      </c>
      <c r="K168" s="25" t="str">
        <f t="shared" si="18"/>
        <v/>
      </c>
      <c r="L168" s="25" t="str">
        <f t="shared" si="19"/>
        <v/>
      </c>
      <c r="M168" s="25" t="str">
        <f t="shared" si="21"/>
        <v/>
      </c>
      <c r="N168" s="25" t="str">
        <f t="shared" si="22"/>
        <v/>
      </c>
    </row>
    <row r="169" spans="9:14" x14ac:dyDescent="0.3">
      <c r="I169" s="23" t="str">
        <f t="shared" si="17"/>
        <v/>
      </c>
      <c r="J169" s="25" t="str">
        <f t="shared" si="20"/>
        <v/>
      </c>
      <c r="K169" s="25" t="str">
        <f t="shared" si="18"/>
        <v/>
      </c>
      <c r="L169" s="25" t="str">
        <f t="shared" si="19"/>
        <v/>
      </c>
      <c r="M169" s="25" t="str">
        <f t="shared" si="21"/>
        <v/>
      </c>
      <c r="N169" s="25" t="str">
        <f t="shared" si="22"/>
        <v/>
      </c>
    </row>
    <row r="170" spans="9:14" x14ac:dyDescent="0.3">
      <c r="I170" s="23" t="str">
        <f t="shared" si="17"/>
        <v/>
      </c>
      <c r="J170" s="25" t="str">
        <f t="shared" si="20"/>
        <v/>
      </c>
      <c r="K170" s="25" t="str">
        <f t="shared" si="18"/>
        <v/>
      </c>
      <c r="L170" s="25" t="str">
        <f t="shared" si="19"/>
        <v/>
      </c>
      <c r="M170" s="25" t="str">
        <f t="shared" si="21"/>
        <v/>
      </c>
      <c r="N170" s="25" t="str">
        <f t="shared" si="22"/>
        <v/>
      </c>
    </row>
    <row r="171" spans="9:14" x14ac:dyDescent="0.3">
      <c r="I171" s="23" t="str">
        <f t="shared" si="17"/>
        <v/>
      </c>
      <c r="J171" s="25" t="str">
        <f t="shared" si="20"/>
        <v/>
      </c>
      <c r="K171" s="25" t="str">
        <f t="shared" si="18"/>
        <v/>
      </c>
      <c r="L171" s="25" t="str">
        <f t="shared" si="19"/>
        <v/>
      </c>
      <c r="M171" s="25" t="str">
        <f t="shared" si="21"/>
        <v/>
      </c>
      <c r="N171" s="25" t="str">
        <f t="shared" si="22"/>
        <v/>
      </c>
    </row>
    <row r="172" spans="9:14" x14ac:dyDescent="0.3">
      <c r="I172" s="23" t="str">
        <f t="shared" si="17"/>
        <v/>
      </c>
      <c r="J172" s="25" t="str">
        <f t="shared" si="20"/>
        <v/>
      </c>
      <c r="K172" s="25" t="str">
        <f t="shared" si="18"/>
        <v/>
      </c>
      <c r="L172" s="25" t="str">
        <f t="shared" si="19"/>
        <v/>
      </c>
      <c r="M172" s="25" t="str">
        <f t="shared" si="21"/>
        <v/>
      </c>
      <c r="N172" s="25" t="str">
        <f t="shared" si="22"/>
        <v/>
      </c>
    </row>
    <row r="173" spans="9:14" x14ac:dyDescent="0.3">
      <c r="I173" s="23" t="str">
        <f t="shared" si="17"/>
        <v/>
      </c>
      <c r="J173" s="25" t="str">
        <f t="shared" si="20"/>
        <v/>
      </c>
      <c r="K173" s="25" t="str">
        <f t="shared" si="18"/>
        <v/>
      </c>
      <c r="L173" s="25" t="str">
        <f t="shared" si="19"/>
        <v/>
      </c>
      <c r="M173" s="25" t="str">
        <f t="shared" si="21"/>
        <v/>
      </c>
      <c r="N173" s="25" t="str">
        <f t="shared" si="22"/>
        <v/>
      </c>
    </row>
    <row r="174" spans="9:14" x14ac:dyDescent="0.3">
      <c r="I174" s="23" t="str">
        <f t="shared" si="17"/>
        <v/>
      </c>
      <c r="J174" s="25" t="str">
        <f t="shared" si="20"/>
        <v/>
      </c>
      <c r="K174" s="25" t="str">
        <f t="shared" si="18"/>
        <v/>
      </c>
      <c r="L174" s="25" t="str">
        <f t="shared" si="19"/>
        <v/>
      </c>
      <c r="M174" s="25" t="str">
        <f t="shared" si="21"/>
        <v/>
      </c>
      <c r="N174" s="25" t="str">
        <f t="shared" si="22"/>
        <v/>
      </c>
    </row>
    <row r="175" spans="9:14" x14ac:dyDescent="0.3">
      <c r="I175" s="23" t="str">
        <f t="shared" si="17"/>
        <v/>
      </c>
      <c r="J175" s="25" t="str">
        <f t="shared" si="20"/>
        <v/>
      </c>
      <c r="K175" s="25" t="str">
        <f t="shared" si="18"/>
        <v/>
      </c>
      <c r="L175" s="25" t="str">
        <f t="shared" si="19"/>
        <v/>
      </c>
      <c r="M175" s="25" t="str">
        <f t="shared" si="21"/>
        <v/>
      </c>
      <c r="N175" s="25" t="str">
        <f t="shared" si="22"/>
        <v/>
      </c>
    </row>
    <row r="176" spans="9:14" x14ac:dyDescent="0.3">
      <c r="I176" s="23" t="str">
        <f t="shared" si="17"/>
        <v/>
      </c>
      <c r="J176" s="25" t="str">
        <f t="shared" si="20"/>
        <v/>
      </c>
      <c r="K176" s="25" t="str">
        <f t="shared" si="18"/>
        <v/>
      </c>
      <c r="L176" s="25" t="str">
        <f t="shared" si="19"/>
        <v/>
      </c>
      <c r="M176" s="25" t="str">
        <f t="shared" si="21"/>
        <v/>
      </c>
      <c r="N176" s="25" t="str">
        <f t="shared" si="22"/>
        <v/>
      </c>
    </row>
    <row r="177" spans="9:14" x14ac:dyDescent="0.3">
      <c r="I177" s="23" t="str">
        <f t="shared" si="17"/>
        <v/>
      </c>
      <c r="J177" s="25" t="str">
        <f t="shared" si="20"/>
        <v/>
      </c>
      <c r="K177" s="25" t="str">
        <f t="shared" si="18"/>
        <v/>
      </c>
      <c r="L177" s="25" t="str">
        <f t="shared" si="19"/>
        <v/>
      </c>
      <c r="M177" s="25" t="str">
        <f t="shared" si="21"/>
        <v/>
      </c>
      <c r="N177" s="25" t="str">
        <f t="shared" si="22"/>
        <v/>
      </c>
    </row>
    <row r="178" spans="9:14" x14ac:dyDescent="0.3">
      <c r="I178" s="23" t="str">
        <f t="shared" si="17"/>
        <v/>
      </c>
      <c r="J178" s="25" t="str">
        <f t="shared" si="20"/>
        <v/>
      </c>
      <c r="K178" s="25" t="str">
        <f t="shared" si="18"/>
        <v/>
      </c>
      <c r="L178" s="25" t="str">
        <f t="shared" si="19"/>
        <v/>
      </c>
      <c r="M178" s="25" t="str">
        <f t="shared" si="21"/>
        <v/>
      </c>
      <c r="N178" s="25" t="str">
        <f t="shared" si="22"/>
        <v/>
      </c>
    </row>
    <row r="179" spans="9:14" x14ac:dyDescent="0.3">
      <c r="I179" s="23" t="str">
        <f t="shared" si="17"/>
        <v/>
      </c>
      <c r="J179" s="25" t="str">
        <f t="shared" si="20"/>
        <v/>
      </c>
      <c r="K179" s="25" t="str">
        <f t="shared" si="18"/>
        <v/>
      </c>
      <c r="L179" s="25" t="str">
        <f t="shared" si="19"/>
        <v/>
      </c>
      <c r="M179" s="25" t="str">
        <f t="shared" si="21"/>
        <v/>
      </c>
      <c r="N179" s="25" t="str">
        <f t="shared" si="22"/>
        <v/>
      </c>
    </row>
    <row r="180" spans="9:14" x14ac:dyDescent="0.3">
      <c r="I180" s="23" t="str">
        <f t="shared" si="17"/>
        <v/>
      </c>
      <c r="J180" s="25" t="str">
        <f t="shared" si="20"/>
        <v/>
      </c>
      <c r="K180" s="25" t="str">
        <f t="shared" si="18"/>
        <v/>
      </c>
      <c r="L180" s="25" t="str">
        <f t="shared" si="19"/>
        <v/>
      </c>
      <c r="M180" s="25" t="str">
        <f t="shared" si="21"/>
        <v/>
      </c>
      <c r="N180" s="25" t="str">
        <f t="shared" si="22"/>
        <v/>
      </c>
    </row>
    <row r="181" spans="9:14" x14ac:dyDescent="0.3">
      <c r="I181" s="23" t="str">
        <f t="shared" si="17"/>
        <v/>
      </c>
      <c r="J181" s="25" t="str">
        <f t="shared" si="20"/>
        <v/>
      </c>
      <c r="K181" s="25" t="str">
        <f t="shared" si="18"/>
        <v/>
      </c>
      <c r="L181" s="25" t="str">
        <f t="shared" si="19"/>
        <v/>
      </c>
      <c r="M181" s="25" t="str">
        <f t="shared" si="21"/>
        <v/>
      </c>
      <c r="N181" s="25" t="str">
        <f t="shared" si="22"/>
        <v/>
      </c>
    </row>
    <row r="182" spans="9:14" x14ac:dyDescent="0.3">
      <c r="I182" s="23" t="str">
        <f t="shared" si="17"/>
        <v/>
      </c>
      <c r="J182" s="25" t="str">
        <f t="shared" si="20"/>
        <v/>
      </c>
      <c r="K182" s="25" t="str">
        <f t="shared" si="18"/>
        <v/>
      </c>
      <c r="L182" s="25" t="str">
        <f t="shared" si="19"/>
        <v/>
      </c>
      <c r="M182" s="25" t="str">
        <f t="shared" si="21"/>
        <v/>
      </c>
      <c r="N182" s="25" t="str">
        <f t="shared" si="22"/>
        <v/>
      </c>
    </row>
    <row r="183" spans="9:14" x14ac:dyDescent="0.3">
      <c r="I183" s="23" t="str">
        <f t="shared" si="17"/>
        <v/>
      </c>
      <c r="J183" s="25" t="str">
        <f t="shared" si="20"/>
        <v/>
      </c>
      <c r="K183" s="25" t="str">
        <f t="shared" si="18"/>
        <v/>
      </c>
      <c r="L183" s="25" t="str">
        <f t="shared" si="19"/>
        <v/>
      </c>
      <c r="M183" s="25" t="str">
        <f t="shared" si="21"/>
        <v/>
      </c>
      <c r="N183" s="25" t="str">
        <f t="shared" si="22"/>
        <v/>
      </c>
    </row>
    <row r="184" spans="9:14" x14ac:dyDescent="0.3">
      <c r="I184" s="23" t="str">
        <f t="shared" si="17"/>
        <v/>
      </c>
      <c r="J184" s="25" t="str">
        <f t="shared" si="20"/>
        <v/>
      </c>
      <c r="K184" s="25" t="str">
        <f t="shared" si="18"/>
        <v/>
      </c>
      <c r="L184" s="25" t="str">
        <f t="shared" si="19"/>
        <v/>
      </c>
      <c r="M184" s="25" t="str">
        <f t="shared" si="21"/>
        <v/>
      </c>
      <c r="N184" s="25" t="str">
        <f t="shared" si="22"/>
        <v/>
      </c>
    </row>
    <row r="185" spans="9:14" x14ac:dyDescent="0.3">
      <c r="I185" s="23" t="str">
        <f t="shared" si="17"/>
        <v/>
      </c>
      <c r="J185" s="25" t="str">
        <f t="shared" si="20"/>
        <v/>
      </c>
      <c r="K185" s="25" t="str">
        <f t="shared" si="18"/>
        <v/>
      </c>
      <c r="L185" s="25" t="str">
        <f t="shared" si="19"/>
        <v/>
      </c>
      <c r="M185" s="25" t="str">
        <f t="shared" si="21"/>
        <v/>
      </c>
      <c r="N185" s="25" t="str">
        <f t="shared" si="22"/>
        <v/>
      </c>
    </row>
    <row r="186" spans="9:14" x14ac:dyDescent="0.3">
      <c r="I186" s="23" t="str">
        <f t="shared" si="17"/>
        <v/>
      </c>
      <c r="J186" s="25" t="str">
        <f t="shared" si="20"/>
        <v/>
      </c>
      <c r="K186" s="25" t="str">
        <f t="shared" si="18"/>
        <v/>
      </c>
      <c r="L186" s="25" t="str">
        <f t="shared" si="19"/>
        <v/>
      </c>
      <c r="M186" s="25" t="str">
        <f t="shared" si="21"/>
        <v/>
      </c>
      <c r="N186" s="25" t="str">
        <f t="shared" si="22"/>
        <v/>
      </c>
    </row>
    <row r="187" spans="9:14" x14ac:dyDescent="0.3">
      <c r="I187" s="23" t="str">
        <f t="shared" si="17"/>
        <v/>
      </c>
      <c r="J187" s="25" t="str">
        <f t="shared" si="20"/>
        <v/>
      </c>
      <c r="K187" s="25" t="str">
        <f t="shared" si="18"/>
        <v/>
      </c>
      <c r="L187" s="25" t="str">
        <f t="shared" si="19"/>
        <v/>
      </c>
      <c r="M187" s="25" t="str">
        <f t="shared" si="21"/>
        <v/>
      </c>
      <c r="N187" s="25" t="str">
        <f t="shared" si="22"/>
        <v/>
      </c>
    </row>
    <row r="188" spans="9:14" x14ac:dyDescent="0.3">
      <c r="I188" s="23" t="str">
        <f t="shared" si="17"/>
        <v/>
      </c>
      <c r="J188" s="25" t="str">
        <f t="shared" si="20"/>
        <v/>
      </c>
      <c r="K188" s="25" t="str">
        <f t="shared" si="18"/>
        <v/>
      </c>
      <c r="L188" s="25" t="str">
        <f t="shared" si="19"/>
        <v/>
      </c>
      <c r="M188" s="25" t="str">
        <f t="shared" si="21"/>
        <v/>
      </c>
      <c r="N188" s="25" t="str">
        <f t="shared" si="22"/>
        <v/>
      </c>
    </row>
    <row r="189" spans="9:14" x14ac:dyDescent="0.3">
      <c r="I189" s="23" t="str">
        <f t="shared" si="17"/>
        <v/>
      </c>
      <c r="J189" s="25" t="str">
        <f t="shared" si="20"/>
        <v/>
      </c>
      <c r="K189" s="25" t="str">
        <f t="shared" si="18"/>
        <v/>
      </c>
      <c r="L189" s="25" t="str">
        <f t="shared" si="19"/>
        <v/>
      </c>
      <c r="M189" s="25" t="str">
        <f t="shared" si="21"/>
        <v/>
      </c>
      <c r="N189" s="25" t="str">
        <f t="shared" si="22"/>
        <v/>
      </c>
    </row>
    <row r="190" spans="9:14" x14ac:dyDescent="0.3">
      <c r="I190" s="23" t="str">
        <f t="shared" si="17"/>
        <v/>
      </c>
      <c r="J190" s="25" t="str">
        <f t="shared" si="20"/>
        <v/>
      </c>
      <c r="K190" s="25" t="str">
        <f t="shared" si="18"/>
        <v/>
      </c>
      <c r="L190" s="25" t="str">
        <f t="shared" si="19"/>
        <v/>
      </c>
      <c r="M190" s="25" t="str">
        <f t="shared" si="21"/>
        <v/>
      </c>
      <c r="N190" s="25" t="str">
        <f t="shared" si="22"/>
        <v/>
      </c>
    </row>
    <row r="191" spans="9:14" x14ac:dyDescent="0.3">
      <c r="I191" s="23" t="str">
        <f t="shared" si="17"/>
        <v/>
      </c>
      <c r="J191" s="25" t="str">
        <f t="shared" si="20"/>
        <v/>
      </c>
      <c r="K191" s="25" t="str">
        <f t="shared" si="18"/>
        <v/>
      </c>
      <c r="L191" s="25" t="str">
        <f t="shared" si="19"/>
        <v/>
      </c>
      <c r="M191" s="25" t="str">
        <f t="shared" si="21"/>
        <v/>
      </c>
      <c r="N191" s="25" t="str">
        <f t="shared" si="22"/>
        <v/>
      </c>
    </row>
    <row r="192" spans="9:14" x14ac:dyDescent="0.3">
      <c r="I192" s="23" t="str">
        <f t="shared" si="17"/>
        <v/>
      </c>
      <c r="J192" s="25" t="str">
        <f t="shared" si="20"/>
        <v/>
      </c>
      <c r="K192" s="25" t="str">
        <f t="shared" si="18"/>
        <v/>
      </c>
      <c r="L192" s="25" t="str">
        <f t="shared" si="19"/>
        <v/>
      </c>
      <c r="M192" s="25" t="str">
        <f t="shared" si="21"/>
        <v/>
      </c>
      <c r="N192" s="25" t="str">
        <f t="shared" si="22"/>
        <v/>
      </c>
    </row>
    <row r="193" spans="9:14" x14ac:dyDescent="0.3">
      <c r="I193" s="23" t="str">
        <f t="shared" si="17"/>
        <v/>
      </c>
      <c r="J193" s="25" t="str">
        <f t="shared" si="20"/>
        <v/>
      </c>
      <c r="K193" s="25" t="str">
        <f t="shared" si="18"/>
        <v/>
      </c>
      <c r="L193" s="25" t="str">
        <f t="shared" si="19"/>
        <v/>
      </c>
      <c r="M193" s="25" t="str">
        <f t="shared" si="21"/>
        <v/>
      </c>
      <c r="N193" s="25" t="str">
        <f t="shared" si="22"/>
        <v/>
      </c>
    </row>
    <row r="194" spans="9:14" x14ac:dyDescent="0.3">
      <c r="I194" s="23" t="str">
        <f t="shared" si="17"/>
        <v/>
      </c>
      <c r="J194" s="25" t="str">
        <f t="shared" si="20"/>
        <v/>
      </c>
      <c r="K194" s="25" t="str">
        <f t="shared" si="18"/>
        <v/>
      </c>
      <c r="L194" s="25" t="str">
        <f t="shared" si="19"/>
        <v/>
      </c>
      <c r="M194" s="25" t="str">
        <f t="shared" si="21"/>
        <v/>
      </c>
      <c r="N194" s="25" t="str">
        <f t="shared" si="22"/>
        <v/>
      </c>
    </row>
    <row r="195" spans="9:14" x14ac:dyDescent="0.3">
      <c r="I195" s="23" t="str">
        <f t="shared" si="17"/>
        <v/>
      </c>
      <c r="J195" s="25" t="str">
        <f t="shared" si="20"/>
        <v/>
      </c>
      <c r="K195" s="25" t="str">
        <f t="shared" si="18"/>
        <v/>
      </c>
      <c r="L195" s="25" t="str">
        <f t="shared" si="19"/>
        <v/>
      </c>
      <c r="M195" s="25" t="str">
        <f t="shared" si="21"/>
        <v/>
      </c>
      <c r="N195" s="25" t="str">
        <f t="shared" si="22"/>
        <v/>
      </c>
    </row>
    <row r="196" spans="9:14" x14ac:dyDescent="0.3">
      <c r="I196" s="23" t="str">
        <f t="shared" si="17"/>
        <v/>
      </c>
      <c r="J196" s="25" t="str">
        <f t="shared" si="20"/>
        <v/>
      </c>
      <c r="K196" s="25" t="str">
        <f t="shared" si="18"/>
        <v/>
      </c>
      <c r="L196" s="25" t="str">
        <f t="shared" si="19"/>
        <v/>
      </c>
      <c r="M196" s="25" t="str">
        <f t="shared" si="21"/>
        <v/>
      </c>
      <c r="N196" s="25" t="str">
        <f t="shared" si="22"/>
        <v/>
      </c>
    </row>
    <row r="197" spans="9:14" x14ac:dyDescent="0.3">
      <c r="I197" s="23" t="str">
        <f t="shared" si="17"/>
        <v/>
      </c>
      <c r="J197" s="25" t="str">
        <f t="shared" si="20"/>
        <v/>
      </c>
      <c r="K197" s="25" t="str">
        <f t="shared" si="18"/>
        <v/>
      </c>
      <c r="L197" s="25" t="str">
        <f t="shared" si="19"/>
        <v/>
      </c>
      <c r="M197" s="25" t="str">
        <f t="shared" si="21"/>
        <v/>
      </c>
      <c r="N197" s="25" t="str">
        <f t="shared" si="22"/>
        <v/>
      </c>
    </row>
    <row r="198" spans="9:14" x14ac:dyDescent="0.3">
      <c r="I198" s="23" t="str">
        <f t="shared" si="17"/>
        <v/>
      </c>
      <c r="J198" s="25" t="str">
        <f t="shared" si="20"/>
        <v/>
      </c>
      <c r="K198" s="25" t="str">
        <f t="shared" si="18"/>
        <v/>
      </c>
      <c r="L198" s="25" t="str">
        <f t="shared" si="19"/>
        <v/>
      </c>
      <c r="M198" s="25" t="str">
        <f t="shared" si="21"/>
        <v/>
      </c>
      <c r="N198" s="25" t="str">
        <f t="shared" si="22"/>
        <v/>
      </c>
    </row>
    <row r="199" spans="9:14" x14ac:dyDescent="0.3">
      <c r="I199" s="23" t="str">
        <f t="shared" si="17"/>
        <v/>
      </c>
      <c r="J199" s="25" t="str">
        <f t="shared" si="20"/>
        <v/>
      </c>
      <c r="K199" s="25" t="str">
        <f t="shared" si="18"/>
        <v/>
      </c>
      <c r="L199" s="25" t="str">
        <f t="shared" si="19"/>
        <v/>
      </c>
      <c r="M199" s="25" t="str">
        <f t="shared" si="21"/>
        <v/>
      </c>
      <c r="N199" s="25" t="str">
        <f t="shared" si="22"/>
        <v/>
      </c>
    </row>
    <row r="200" spans="9:14" x14ac:dyDescent="0.3">
      <c r="I200" s="23" t="str">
        <f t="shared" si="17"/>
        <v/>
      </c>
      <c r="J200" s="25" t="str">
        <f t="shared" si="20"/>
        <v/>
      </c>
      <c r="K200" s="25" t="str">
        <f t="shared" si="18"/>
        <v/>
      </c>
      <c r="L200" s="25" t="str">
        <f t="shared" si="19"/>
        <v/>
      </c>
      <c r="M200" s="25" t="str">
        <f t="shared" si="21"/>
        <v/>
      </c>
      <c r="N200" s="25" t="str">
        <f t="shared" si="22"/>
        <v/>
      </c>
    </row>
    <row r="201" spans="9:14" x14ac:dyDescent="0.3">
      <c r="I201" s="23" t="str">
        <f t="shared" si="17"/>
        <v/>
      </c>
      <c r="J201" s="25" t="str">
        <f t="shared" si="20"/>
        <v/>
      </c>
      <c r="K201" s="25" t="str">
        <f t="shared" si="18"/>
        <v/>
      </c>
      <c r="L201" s="25" t="str">
        <f t="shared" si="19"/>
        <v/>
      </c>
      <c r="M201" s="25" t="str">
        <f t="shared" si="21"/>
        <v/>
      </c>
      <c r="N201" s="25" t="str">
        <f t="shared" si="22"/>
        <v/>
      </c>
    </row>
    <row r="202" spans="9:14" x14ac:dyDescent="0.3">
      <c r="I202" s="23" t="str">
        <f t="shared" si="17"/>
        <v/>
      </c>
      <c r="J202" s="25" t="str">
        <f t="shared" si="20"/>
        <v/>
      </c>
      <c r="K202" s="25" t="str">
        <f t="shared" si="18"/>
        <v/>
      </c>
      <c r="L202" s="25" t="str">
        <f t="shared" si="19"/>
        <v/>
      </c>
      <c r="M202" s="25" t="str">
        <f t="shared" si="21"/>
        <v/>
      </c>
      <c r="N202" s="25" t="str">
        <f t="shared" si="22"/>
        <v/>
      </c>
    </row>
    <row r="203" spans="9:14" x14ac:dyDescent="0.3">
      <c r="I203" s="23" t="str">
        <f t="shared" si="17"/>
        <v/>
      </c>
      <c r="J203" s="25" t="str">
        <f t="shared" si="20"/>
        <v/>
      </c>
      <c r="K203" s="25" t="str">
        <f t="shared" si="18"/>
        <v/>
      </c>
      <c r="L203" s="25" t="str">
        <f t="shared" si="19"/>
        <v/>
      </c>
      <c r="M203" s="25" t="str">
        <f t="shared" si="21"/>
        <v/>
      </c>
      <c r="N203" s="25" t="str">
        <f t="shared" si="22"/>
        <v/>
      </c>
    </row>
    <row r="204" spans="9:14" x14ac:dyDescent="0.3">
      <c r="I204" s="23" t="str">
        <f t="shared" ref="I204:I267" si="23">IF(OR(I203=$G$5,I203=""),"",I203+1)</f>
        <v/>
      </c>
      <c r="J204" s="25" t="str">
        <f t="shared" si="20"/>
        <v/>
      </c>
      <c r="K204" s="25" t="str">
        <f t="shared" ref="K204:K267" si="24">IF(I204&lt;&gt;"",M204-L204,"")</f>
        <v/>
      </c>
      <c r="L204" s="25" t="str">
        <f t="shared" ref="L204:L267" si="25">IF(I204&lt;&gt;"",J203*$G$4/12/100,"")</f>
        <v/>
      </c>
      <c r="M204" s="25" t="str">
        <f t="shared" si="21"/>
        <v/>
      </c>
      <c r="N204" s="25" t="str">
        <f t="shared" si="22"/>
        <v/>
      </c>
    </row>
    <row r="205" spans="9:14" x14ac:dyDescent="0.3">
      <c r="I205" s="23" t="str">
        <f t="shared" si="23"/>
        <v/>
      </c>
      <c r="J205" s="25" t="str">
        <f t="shared" ref="J205:J268" si="26">IF(I205&lt;&gt;"",J204-K205,"")</f>
        <v/>
      </c>
      <c r="K205" s="25" t="str">
        <f t="shared" si="24"/>
        <v/>
      </c>
      <c r="L205" s="25" t="str">
        <f t="shared" si="25"/>
        <v/>
      </c>
      <c r="M205" s="25" t="str">
        <f t="shared" ref="M205:M268" si="27">IF(I205&lt;&gt;"",M204,"")</f>
        <v/>
      </c>
      <c r="N205" s="25" t="str">
        <f t="shared" ref="N205:N268" si="28">IF(I205&lt;&gt;"",L205+N204,"")</f>
        <v/>
      </c>
    </row>
    <row r="206" spans="9:14" x14ac:dyDescent="0.3">
      <c r="I206" s="23" t="str">
        <f t="shared" si="23"/>
        <v/>
      </c>
      <c r="J206" s="25" t="str">
        <f t="shared" si="26"/>
        <v/>
      </c>
      <c r="K206" s="25" t="str">
        <f t="shared" si="24"/>
        <v/>
      </c>
      <c r="L206" s="25" t="str">
        <f t="shared" si="25"/>
        <v/>
      </c>
      <c r="M206" s="25" t="str">
        <f t="shared" si="27"/>
        <v/>
      </c>
      <c r="N206" s="25" t="str">
        <f t="shared" si="28"/>
        <v/>
      </c>
    </row>
    <row r="207" spans="9:14" x14ac:dyDescent="0.3">
      <c r="I207" s="23" t="str">
        <f t="shared" si="23"/>
        <v/>
      </c>
      <c r="J207" s="25" t="str">
        <f t="shared" si="26"/>
        <v/>
      </c>
      <c r="K207" s="25" t="str">
        <f t="shared" si="24"/>
        <v/>
      </c>
      <c r="L207" s="25" t="str">
        <f t="shared" si="25"/>
        <v/>
      </c>
      <c r="M207" s="25" t="str">
        <f t="shared" si="27"/>
        <v/>
      </c>
      <c r="N207" s="25" t="str">
        <f t="shared" si="28"/>
        <v/>
      </c>
    </row>
    <row r="208" spans="9:14" x14ac:dyDescent="0.3">
      <c r="I208" s="23" t="str">
        <f t="shared" si="23"/>
        <v/>
      </c>
      <c r="J208" s="25" t="str">
        <f t="shared" si="26"/>
        <v/>
      </c>
      <c r="K208" s="25" t="str">
        <f t="shared" si="24"/>
        <v/>
      </c>
      <c r="L208" s="25" t="str">
        <f t="shared" si="25"/>
        <v/>
      </c>
      <c r="M208" s="25" t="str">
        <f t="shared" si="27"/>
        <v/>
      </c>
      <c r="N208" s="25" t="str">
        <f t="shared" si="28"/>
        <v/>
      </c>
    </row>
    <row r="209" spans="9:14" x14ac:dyDescent="0.3">
      <c r="I209" s="23" t="str">
        <f t="shared" si="23"/>
        <v/>
      </c>
      <c r="J209" s="25" t="str">
        <f t="shared" si="26"/>
        <v/>
      </c>
      <c r="K209" s="25" t="str">
        <f t="shared" si="24"/>
        <v/>
      </c>
      <c r="L209" s="25" t="str">
        <f t="shared" si="25"/>
        <v/>
      </c>
      <c r="M209" s="25" t="str">
        <f t="shared" si="27"/>
        <v/>
      </c>
      <c r="N209" s="25" t="str">
        <f t="shared" si="28"/>
        <v/>
      </c>
    </row>
    <row r="210" spans="9:14" x14ac:dyDescent="0.3">
      <c r="I210" s="23" t="str">
        <f t="shared" si="23"/>
        <v/>
      </c>
      <c r="J210" s="25" t="str">
        <f t="shared" si="26"/>
        <v/>
      </c>
      <c r="K210" s="25" t="str">
        <f t="shared" si="24"/>
        <v/>
      </c>
      <c r="L210" s="25" t="str">
        <f t="shared" si="25"/>
        <v/>
      </c>
      <c r="M210" s="25" t="str">
        <f t="shared" si="27"/>
        <v/>
      </c>
      <c r="N210" s="25" t="str">
        <f t="shared" si="28"/>
        <v/>
      </c>
    </row>
    <row r="211" spans="9:14" x14ac:dyDescent="0.3">
      <c r="I211" s="23" t="str">
        <f t="shared" si="23"/>
        <v/>
      </c>
      <c r="J211" s="25" t="str">
        <f t="shared" si="26"/>
        <v/>
      </c>
      <c r="K211" s="25" t="str">
        <f t="shared" si="24"/>
        <v/>
      </c>
      <c r="L211" s="25" t="str">
        <f t="shared" si="25"/>
        <v/>
      </c>
      <c r="M211" s="25" t="str">
        <f t="shared" si="27"/>
        <v/>
      </c>
      <c r="N211" s="25" t="str">
        <f t="shared" si="28"/>
        <v/>
      </c>
    </row>
    <row r="212" spans="9:14" x14ac:dyDescent="0.3">
      <c r="I212" s="23" t="str">
        <f t="shared" si="23"/>
        <v/>
      </c>
      <c r="J212" s="25" t="str">
        <f t="shared" si="26"/>
        <v/>
      </c>
      <c r="K212" s="25" t="str">
        <f t="shared" si="24"/>
        <v/>
      </c>
      <c r="L212" s="25" t="str">
        <f t="shared" si="25"/>
        <v/>
      </c>
      <c r="M212" s="25" t="str">
        <f t="shared" si="27"/>
        <v/>
      </c>
      <c r="N212" s="25" t="str">
        <f t="shared" si="28"/>
        <v/>
      </c>
    </row>
    <row r="213" spans="9:14" x14ac:dyDescent="0.3">
      <c r="I213" s="23" t="str">
        <f t="shared" si="23"/>
        <v/>
      </c>
      <c r="J213" s="25" t="str">
        <f t="shared" si="26"/>
        <v/>
      </c>
      <c r="K213" s="25" t="str">
        <f t="shared" si="24"/>
        <v/>
      </c>
      <c r="L213" s="25" t="str">
        <f t="shared" si="25"/>
        <v/>
      </c>
      <c r="M213" s="25" t="str">
        <f t="shared" si="27"/>
        <v/>
      </c>
      <c r="N213" s="25" t="str">
        <f t="shared" si="28"/>
        <v/>
      </c>
    </row>
    <row r="214" spans="9:14" x14ac:dyDescent="0.3">
      <c r="I214" s="23" t="str">
        <f t="shared" si="23"/>
        <v/>
      </c>
      <c r="J214" s="25" t="str">
        <f t="shared" si="26"/>
        <v/>
      </c>
      <c r="K214" s="25" t="str">
        <f t="shared" si="24"/>
        <v/>
      </c>
      <c r="L214" s="25" t="str">
        <f t="shared" si="25"/>
        <v/>
      </c>
      <c r="M214" s="25" t="str">
        <f t="shared" si="27"/>
        <v/>
      </c>
      <c r="N214" s="25" t="str">
        <f t="shared" si="28"/>
        <v/>
      </c>
    </row>
    <row r="215" spans="9:14" x14ac:dyDescent="0.3">
      <c r="I215" s="23" t="str">
        <f t="shared" si="23"/>
        <v/>
      </c>
      <c r="J215" s="25" t="str">
        <f t="shared" si="26"/>
        <v/>
      </c>
      <c r="K215" s="25" t="str">
        <f t="shared" si="24"/>
        <v/>
      </c>
      <c r="L215" s="25" t="str">
        <f t="shared" si="25"/>
        <v/>
      </c>
      <c r="M215" s="25" t="str">
        <f t="shared" si="27"/>
        <v/>
      </c>
      <c r="N215" s="25" t="str">
        <f t="shared" si="28"/>
        <v/>
      </c>
    </row>
    <row r="216" spans="9:14" x14ac:dyDescent="0.3">
      <c r="I216" s="23" t="str">
        <f t="shared" si="23"/>
        <v/>
      </c>
      <c r="J216" s="25" t="str">
        <f t="shared" si="26"/>
        <v/>
      </c>
      <c r="K216" s="25" t="str">
        <f t="shared" si="24"/>
        <v/>
      </c>
      <c r="L216" s="25" t="str">
        <f t="shared" si="25"/>
        <v/>
      </c>
      <c r="M216" s="25" t="str">
        <f t="shared" si="27"/>
        <v/>
      </c>
      <c r="N216" s="25" t="str">
        <f t="shared" si="28"/>
        <v/>
      </c>
    </row>
    <row r="217" spans="9:14" x14ac:dyDescent="0.3">
      <c r="I217" s="23" t="str">
        <f t="shared" si="23"/>
        <v/>
      </c>
      <c r="J217" s="25" t="str">
        <f t="shared" si="26"/>
        <v/>
      </c>
      <c r="K217" s="25" t="str">
        <f t="shared" si="24"/>
        <v/>
      </c>
      <c r="L217" s="25" t="str">
        <f t="shared" si="25"/>
        <v/>
      </c>
      <c r="M217" s="25" t="str">
        <f t="shared" si="27"/>
        <v/>
      </c>
      <c r="N217" s="25" t="str">
        <f t="shared" si="28"/>
        <v/>
      </c>
    </row>
    <row r="218" spans="9:14" x14ac:dyDescent="0.3">
      <c r="I218" s="23" t="str">
        <f t="shared" si="23"/>
        <v/>
      </c>
      <c r="J218" s="25" t="str">
        <f t="shared" si="26"/>
        <v/>
      </c>
      <c r="K218" s="25" t="str">
        <f t="shared" si="24"/>
        <v/>
      </c>
      <c r="L218" s="25" t="str">
        <f t="shared" si="25"/>
        <v/>
      </c>
      <c r="M218" s="25" t="str">
        <f t="shared" si="27"/>
        <v/>
      </c>
      <c r="N218" s="25" t="str">
        <f t="shared" si="28"/>
        <v/>
      </c>
    </row>
    <row r="219" spans="9:14" x14ac:dyDescent="0.3">
      <c r="I219" s="23" t="str">
        <f t="shared" si="23"/>
        <v/>
      </c>
      <c r="J219" s="25" t="str">
        <f t="shared" si="26"/>
        <v/>
      </c>
      <c r="K219" s="25" t="str">
        <f t="shared" si="24"/>
        <v/>
      </c>
      <c r="L219" s="25" t="str">
        <f t="shared" si="25"/>
        <v/>
      </c>
      <c r="M219" s="25" t="str">
        <f t="shared" si="27"/>
        <v/>
      </c>
      <c r="N219" s="25" t="str">
        <f t="shared" si="28"/>
        <v/>
      </c>
    </row>
    <row r="220" spans="9:14" x14ac:dyDescent="0.3">
      <c r="I220" s="23" t="str">
        <f t="shared" si="23"/>
        <v/>
      </c>
      <c r="J220" s="25" t="str">
        <f t="shared" si="26"/>
        <v/>
      </c>
      <c r="K220" s="25" t="str">
        <f t="shared" si="24"/>
        <v/>
      </c>
      <c r="L220" s="25" t="str">
        <f t="shared" si="25"/>
        <v/>
      </c>
      <c r="M220" s="25" t="str">
        <f t="shared" si="27"/>
        <v/>
      </c>
      <c r="N220" s="25" t="str">
        <f t="shared" si="28"/>
        <v/>
      </c>
    </row>
    <row r="221" spans="9:14" x14ac:dyDescent="0.3">
      <c r="I221" s="23" t="str">
        <f t="shared" si="23"/>
        <v/>
      </c>
      <c r="J221" s="25" t="str">
        <f t="shared" si="26"/>
        <v/>
      </c>
      <c r="K221" s="25" t="str">
        <f t="shared" si="24"/>
        <v/>
      </c>
      <c r="L221" s="25" t="str">
        <f t="shared" si="25"/>
        <v/>
      </c>
      <c r="M221" s="25" t="str">
        <f t="shared" si="27"/>
        <v/>
      </c>
      <c r="N221" s="25" t="str">
        <f t="shared" si="28"/>
        <v/>
      </c>
    </row>
    <row r="222" spans="9:14" x14ac:dyDescent="0.3">
      <c r="I222" s="23" t="str">
        <f t="shared" si="23"/>
        <v/>
      </c>
      <c r="J222" s="25" t="str">
        <f t="shared" si="26"/>
        <v/>
      </c>
      <c r="K222" s="25" t="str">
        <f t="shared" si="24"/>
        <v/>
      </c>
      <c r="L222" s="25" t="str">
        <f t="shared" si="25"/>
        <v/>
      </c>
      <c r="M222" s="25" t="str">
        <f t="shared" si="27"/>
        <v/>
      </c>
      <c r="N222" s="25" t="str">
        <f t="shared" si="28"/>
        <v/>
      </c>
    </row>
    <row r="223" spans="9:14" x14ac:dyDescent="0.3">
      <c r="I223" s="23" t="str">
        <f t="shared" si="23"/>
        <v/>
      </c>
      <c r="J223" s="25" t="str">
        <f t="shared" si="26"/>
        <v/>
      </c>
      <c r="K223" s="25" t="str">
        <f t="shared" si="24"/>
        <v/>
      </c>
      <c r="L223" s="25" t="str">
        <f t="shared" si="25"/>
        <v/>
      </c>
      <c r="M223" s="25" t="str">
        <f t="shared" si="27"/>
        <v/>
      </c>
      <c r="N223" s="25" t="str">
        <f t="shared" si="28"/>
        <v/>
      </c>
    </row>
    <row r="224" spans="9:14" x14ac:dyDescent="0.3">
      <c r="I224" s="23" t="str">
        <f t="shared" si="23"/>
        <v/>
      </c>
      <c r="J224" s="25" t="str">
        <f t="shared" si="26"/>
        <v/>
      </c>
      <c r="K224" s="25" t="str">
        <f t="shared" si="24"/>
        <v/>
      </c>
      <c r="L224" s="25" t="str">
        <f t="shared" si="25"/>
        <v/>
      </c>
      <c r="M224" s="25" t="str">
        <f t="shared" si="27"/>
        <v/>
      </c>
      <c r="N224" s="25" t="str">
        <f t="shared" si="28"/>
        <v/>
      </c>
    </row>
    <row r="225" spans="9:14" x14ac:dyDescent="0.3">
      <c r="I225" s="23" t="str">
        <f t="shared" si="23"/>
        <v/>
      </c>
      <c r="J225" s="25" t="str">
        <f t="shared" si="26"/>
        <v/>
      </c>
      <c r="K225" s="25" t="str">
        <f t="shared" si="24"/>
        <v/>
      </c>
      <c r="L225" s="25" t="str">
        <f t="shared" si="25"/>
        <v/>
      </c>
      <c r="M225" s="25" t="str">
        <f t="shared" si="27"/>
        <v/>
      </c>
      <c r="N225" s="25" t="str">
        <f t="shared" si="28"/>
        <v/>
      </c>
    </row>
    <row r="226" spans="9:14" x14ac:dyDescent="0.3">
      <c r="I226" s="23" t="str">
        <f t="shared" si="23"/>
        <v/>
      </c>
      <c r="J226" s="25" t="str">
        <f t="shared" si="26"/>
        <v/>
      </c>
      <c r="K226" s="25" t="str">
        <f t="shared" si="24"/>
        <v/>
      </c>
      <c r="L226" s="25" t="str">
        <f t="shared" si="25"/>
        <v/>
      </c>
      <c r="M226" s="25" t="str">
        <f t="shared" si="27"/>
        <v/>
      </c>
      <c r="N226" s="25" t="str">
        <f t="shared" si="28"/>
        <v/>
      </c>
    </row>
    <row r="227" spans="9:14" x14ac:dyDescent="0.3">
      <c r="I227" s="23" t="str">
        <f t="shared" si="23"/>
        <v/>
      </c>
      <c r="J227" s="25" t="str">
        <f t="shared" si="26"/>
        <v/>
      </c>
      <c r="K227" s="25" t="str">
        <f t="shared" si="24"/>
        <v/>
      </c>
      <c r="L227" s="25" t="str">
        <f t="shared" si="25"/>
        <v/>
      </c>
      <c r="M227" s="25" t="str">
        <f t="shared" si="27"/>
        <v/>
      </c>
      <c r="N227" s="25" t="str">
        <f t="shared" si="28"/>
        <v/>
      </c>
    </row>
    <row r="228" spans="9:14" x14ac:dyDescent="0.3">
      <c r="I228" s="23" t="str">
        <f t="shared" si="23"/>
        <v/>
      </c>
      <c r="J228" s="25" t="str">
        <f t="shared" si="26"/>
        <v/>
      </c>
      <c r="K228" s="25" t="str">
        <f t="shared" si="24"/>
        <v/>
      </c>
      <c r="L228" s="25" t="str">
        <f t="shared" si="25"/>
        <v/>
      </c>
      <c r="M228" s="25" t="str">
        <f t="shared" si="27"/>
        <v/>
      </c>
      <c r="N228" s="25" t="str">
        <f t="shared" si="28"/>
        <v/>
      </c>
    </row>
    <row r="229" spans="9:14" x14ac:dyDescent="0.3">
      <c r="I229" s="23" t="str">
        <f t="shared" si="23"/>
        <v/>
      </c>
      <c r="J229" s="25" t="str">
        <f t="shared" si="26"/>
        <v/>
      </c>
      <c r="K229" s="25" t="str">
        <f t="shared" si="24"/>
        <v/>
      </c>
      <c r="L229" s="25" t="str">
        <f t="shared" si="25"/>
        <v/>
      </c>
      <c r="M229" s="25" t="str">
        <f t="shared" si="27"/>
        <v/>
      </c>
      <c r="N229" s="25" t="str">
        <f t="shared" si="28"/>
        <v/>
      </c>
    </row>
    <row r="230" spans="9:14" x14ac:dyDescent="0.3">
      <c r="I230" s="23" t="str">
        <f t="shared" si="23"/>
        <v/>
      </c>
      <c r="J230" s="25" t="str">
        <f t="shared" si="26"/>
        <v/>
      </c>
      <c r="K230" s="25" t="str">
        <f t="shared" si="24"/>
        <v/>
      </c>
      <c r="L230" s="25" t="str">
        <f t="shared" si="25"/>
        <v/>
      </c>
      <c r="M230" s="25" t="str">
        <f t="shared" si="27"/>
        <v/>
      </c>
      <c r="N230" s="25" t="str">
        <f t="shared" si="28"/>
        <v/>
      </c>
    </row>
    <row r="231" spans="9:14" x14ac:dyDescent="0.3">
      <c r="I231" s="23" t="str">
        <f t="shared" si="23"/>
        <v/>
      </c>
      <c r="J231" s="25" t="str">
        <f t="shared" si="26"/>
        <v/>
      </c>
      <c r="K231" s="25" t="str">
        <f t="shared" si="24"/>
        <v/>
      </c>
      <c r="L231" s="25" t="str">
        <f t="shared" si="25"/>
        <v/>
      </c>
      <c r="M231" s="25" t="str">
        <f t="shared" si="27"/>
        <v/>
      </c>
      <c r="N231" s="25" t="str">
        <f t="shared" si="28"/>
        <v/>
      </c>
    </row>
    <row r="232" spans="9:14" x14ac:dyDescent="0.3">
      <c r="I232" s="23" t="str">
        <f t="shared" si="23"/>
        <v/>
      </c>
      <c r="J232" s="25" t="str">
        <f t="shared" si="26"/>
        <v/>
      </c>
      <c r="K232" s="25" t="str">
        <f t="shared" si="24"/>
        <v/>
      </c>
      <c r="L232" s="25" t="str">
        <f t="shared" si="25"/>
        <v/>
      </c>
      <c r="M232" s="25" t="str">
        <f t="shared" si="27"/>
        <v/>
      </c>
      <c r="N232" s="25" t="str">
        <f t="shared" si="28"/>
        <v/>
      </c>
    </row>
    <row r="233" spans="9:14" x14ac:dyDescent="0.3">
      <c r="I233" s="23" t="str">
        <f t="shared" si="23"/>
        <v/>
      </c>
      <c r="J233" s="25" t="str">
        <f t="shared" si="26"/>
        <v/>
      </c>
      <c r="K233" s="25" t="str">
        <f t="shared" si="24"/>
        <v/>
      </c>
      <c r="L233" s="25" t="str">
        <f t="shared" si="25"/>
        <v/>
      </c>
      <c r="M233" s="25" t="str">
        <f t="shared" si="27"/>
        <v/>
      </c>
      <c r="N233" s="25" t="str">
        <f t="shared" si="28"/>
        <v/>
      </c>
    </row>
    <row r="234" spans="9:14" x14ac:dyDescent="0.3">
      <c r="I234" s="23" t="str">
        <f t="shared" si="23"/>
        <v/>
      </c>
      <c r="J234" s="25" t="str">
        <f t="shared" si="26"/>
        <v/>
      </c>
      <c r="K234" s="25" t="str">
        <f t="shared" si="24"/>
        <v/>
      </c>
      <c r="L234" s="25" t="str">
        <f t="shared" si="25"/>
        <v/>
      </c>
      <c r="M234" s="25" t="str">
        <f t="shared" si="27"/>
        <v/>
      </c>
      <c r="N234" s="25" t="str">
        <f t="shared" si="28"/>
        <v/>
      </c>
    </row>
    <row r="235" spans="9:14" x14ac:dyDescent="0.3">
      <c r="I235" s="23" t="str">
        <f t="shared" si="23"/>
        <v/>
      </c>
      <c r="J235" s="25" t="str">
        <f t="shared" si="26"/>
        <v/>
      </c>
      <c r="K235" s="25" t="str">
        <f t="shared" si="24"/>
        <v/>
      </c>
      <c r="L235" s="25" t="str">
        <f t="shared" si="25"/>
        <v/>
      </c>
      <c r="M235" s="25" t="str">
        <f t="shared" si="27"/>
        <v/>
      </c>
      <c r="N235" s="25" t="str">
        <f t="shared" si="28"/>
        <v/>
      </c>
    </row>
    <row r="236" spans="9:14" x14ac:dyDescent="0.3">
      <c r="I236" s="23" t="str">
        <f t="shared" si="23"/>
        <v/>
      </c>
      <c r="J236" s="25" t="str">
        <f t="shared" si="26"/>
        <v/>
      </c>
      <c r="K236" s="25" t="str">
        <f t="shared" si="24"/>
        <v/>
      </c>
      <c r="L236" s="25" t="str">
        <f t="shared" si="25"/>
        <v/>
      </c>
      <c r="M236" s="25" t="str">
        <f t="shared" si="27"/>
        <v/>
      </c>
      <c r="N236" s="25" t="str">
        <f t="shared" si="28"/>
        <v/>
      </c>
    </row>
    <row r="237" spans="9:14" x14ac:dyDescent="0.3">
      <c r="I237" s="23" t="str">
        <f t="shared" si="23"/>
        <v/>
      </c>
      <c r="J237" s="25" t="str">
        <f t="shared" si="26"/>
        <v/>
      </c>
      <c r="K237" s="25" t="str">
        <f t="shared" si="24"/>
        <v/>
      </c>
      <c r="L237" s="25" t="str">
        <f t="shared" si="25"/>
        <v/>
      </c>
      <c r="M237" s="25" t="str">
        <f t="shared" si="27"/>
        <v/>
      </c>
      <c r="N237" s="25" t="str">
        <f t="shared" si="28"/>
        <v/>
      </c>
    </row>
    <row r="238" spans="9:14" x14ac:dyDescent="0.3">
      <c r="I238" s="23" t="str">
        <f t="shared" si="23"/>
        <v/>
      </c>
      <c r="J238" s="25" t="str">
        <f t="shared" si="26"/>
        <v/>
      </c>
      <c r="K238" s="25" t="str">
        <f t="shared" si="24"/>
        <v/>
      </c>
      <c r="L238" s="25" t="str">
        <f t="shared" si="25"/>
        <v/>
      </c>
      <c r="M238" s="25" t="str">
        <f t="shared" si="27"/>
        <v/>
      </c>
      <c r="N238" s="25" t="str">
        <f t="shared" si="28"/>
        <v/>
      </c>
    </row>
    <row r="239" spans="9:14" x14ac:dyDescent="0.3">
      <c r="I239" s="23" t="str">
        <f t="shared" si="23"/>
        <v/>
      </c>
      <c r="J239" s="25" t="str">
        <f t="shared" si="26"/>
        <v/>
      </c>
      <c r="K239" s="25" t="str">
        <f t="shared" si="24"/>
        <v/>
      </c>
      <c r="L239" s="25" t="str">
        <f t="shared" si="25"/>
        <v/>
      </c>
      <c r="M239" s="25" t="str">
        <f t="shared" si="27"/>
        <v/>
      </c>
      <c r="N239" s="25" t="str">
        <f t="shared" si="28"/>
        <v/>
      </c>
    </row>
    <row r="240" spans="9:14" x14ac:dyDescent="0.3">
      <c r="I240" s="23" t="str">
        <f t="shared" si="23"/>
        <v/>
      </c>
      <c r="J240" s="25" t="str">
        <f t="shared" si="26"/>
        <v/>
      </c>
      <c r="K240" s="25" t="str">
        <f t="shared" si="24"/>
        <v/>
      </c>
      <c r="L240" s="25" t="str">
        <f t="shared" si="25"/>
        <v/>
      </c>
      <c r="M240" s="25" t="str">
        <f t="shared" si="27"/>
        <v/>
      </c>
      <c r="N240" s="25" t="str">
        <f t="shared" si="28"/>
        <v/>
      </c>
    </row>
    <row r="241" spans="9:14" x14ac:dyDescent="0.3">
      <c r="I241" s="23" t="str">
        <f t="shared" si="23"/>
        <v/>
      </c>
      <c r="J241" s="25" t="str">
        <f t="shared" si="26"/>
        <v/>
      </c>
      <c r="K241" s="25" t="str">
        <f t="shared" si="24"/>
        <v/>
      </c>
      <c r="L241" s="25" t="str">
        <f t="shared" si="25"/>
        <v/>
      </c>
      <c r="M241" s="25" t="str">
        <f t="shared" si="27"/>
        <v/>
      </c>
      <c r="N241" s="25" t="str">
        <f t="shared" si="28"/>
        <v/>
      </c>
    </row>
    <row r="242" spans="9:14" x14ac:dyDescent="0.3">
      <c r="I242" s="23" t="str">
        <f t="shared" si="23"/>
        <v/>
      </c>
      <c r="J242" s="25" t="str">
        <f t="shared" si="26"/>
        <v/>
      </c>
      <c r="K242" s="25" t="str">
        <f t="shared" si="24"/>
        <v/>
      </c>
      <c r="L242" s="25" t="str">
        <f t="shared" si="25"/>
        <v/>
      </c>
      <c r="M242" s="25" t="str">
        <f t="shared" si="27"/>
        <v/>
      </c>
      <c r="N242" s="25" t="str">
        <f t="shared" si="28"/>
        <v/>
      </c>
    </row>
    <row r="243" spans="9:14" x14ac:dyDescent="0.3">
      <c r="I243" s="23" t="str">
        <f t="shared" si="23"/>
        <v/>
      </c>
      <c r="J243" s="25" t="str">
        <f t="shared" si="26"/>
        <v/>
      </c>
      <c r="K243" s="25" t="str">
        <f t="shared" si="24"/>
        <v/>
      </c>
      <c r="L243" s="25" t="str">
        <f t="shared" si="25"/>
        <v/>
      </c>
      <c r="M243" s="25" t="str">
        <f t="shared" si="27"/>
        <v/>
      </c>
      <c r="N243" s="25" t="str">
        <f t="shared" si="28"/>
        <v/>
      </c>
    </row>
    <row r="244" spans="9:14" x14ac:dyDescent="0.3">
      <c r="I244" s="23" t="str">
        <f t="shared" si="23"/>
        <v/>
      </c>
      <c r="J244" s="25" t="str">
        <f t="shared" si="26"/>
        <v/>
      </c>
      <c r="K244" s="25" t="str">
        <f t="shared" si="24"/>
        <v/>
      </c>
      <c r="L244" s="25" t="str">
        <f t="shared" si="25"/>
        <v/>
      </c>
      <c r="M244" s="25" t="str">
        <f t="shared" si="27"/>
        <v/>
      </c>
      <c r="N244" s="25" t="str">
        <f t="shared" si="28"/>
        <v/>
      </c>
    </row>
    <row r="245" spans="9:14" x14ac:dyDescent="0.3">
      <c r="I245" s="23" t="str">
        <f t="shared" si="23"/>
        <v/>
      </c>
      <c r="J245" s="25" t="str">
        <f t="shared" si="26"/>
        <v/>
      </c>
      <c r="K245" s="25" t="str">
        <f t="shared" si="24"/>
        <v/>
      </c>
      <c r="L245" s="25" t="str">
        <f t="shared" si="25"/>
        <v/>
      </c>
      <c r="M245" s="25" t="str">
        <f t="shared" si="27"/>
        <v/>
      </c>
      <c r="N245" s="25" t="str">
        <f t="shared" si="28"/>
        <v/>
      </c>
    </row>
    <row r="246" spans="9:14" x14ac:dyDescent="0.3">
      <c r="I246" s="23" t="str">
        <f t="shared" si="23"/>
        <v/>
      </c>
      <c r="J246" s="25" t="str">
        <f t="shared" si="26"/>
        <v/>
      </c>
      <c r="K246" s="25" t="str">
        <f t="shared" si="24"/>
        <v/>
      </c>
      <c r="L246" s="25" t="str">
        <f t="shared" si="25"/>
        <v/>
      </c>
      <c r="M246" s="25" t="str">
        <f t="shared" si="27"/>
        <v/>
      </c>
      <c r="N246" s="25" t="str">
        <f t="shared" si="28"/>
        <v/>
      </c>
    </row>
    <row r="247" spans="9:14" x14ac:dyDescent="0.3">
      <c r="I247" s="23" t="str">
        <f t="shared" si="23"/>
        <v/>
      </c>
      <c r="J247" s="25" t="str">
        <f t="shared" si="26"/>
        <v/>
      </c>
      <c r="K247" s="25" t="str">
        <f t="shared" si="24"/>
        <v/>
      </c>
      <c r="L247" s="25" t="str">
        <f t="shared" si="25"/>
        <v/>
      </c>
      <c r="M247" s="25" t="str">
        <f t="shared" si="27"/>
        <v/>
      </c>
      <c r="N247" s="25" t="str">
        <f t="shared" si="28"/>
        <v/>
      </c>
    </row>
    <row r="248" spans="9:14" x14ac:dyDescent="0.3">
      <c r="I248" s="23" t="str">
        <f t="shared" si="23"/>
        <v/>
      </c>
      <c r="J248" s="25" t="str">
        <f t="shared" si="26"/>
        <v/>
      </c>
      <c r="K248" s="25" t="str">
        <f t="shared" si="24"/>
        <v/>
      </c>
      <c r="L248" s="25" t="str">
        <f t="shared" si="25"/>
        <v/>
      </c>
      <c r="M248" s="25" t="str">
        <f t="shared" si="27"/>
        <v/>
      </c>
      <c r="N248" s="25" t="str">
        <f t="shared" si="28"/>
        <v/>
      </c>
    </row>
    <row r="249" spans="9:14" x14ac:dyDescent="0.3">
      <c r="I249" s="23" t="str">
        <f t="shared" si="23"/>
        <v/>
      </c>
      <c r="J249" s="25" t="str">
        <f t="shared" si="26"/>
        <v/>
      </c>
      <c r="K249" s="25" t="str">
        <f t="shared" si="24"/>
        <v/>
      </c>
      <c r="L249" s="25" t="str">
        <f t="shared" si="25"/>
        <v/>
      </c>
      <c r="M249" s="25" t="str">
        <f t="shared" si="27"/>
        <v/>
      </c>
      <c r="N249" s="25" t="str">
        <f t="shared" si="28"/>
        <v/>
      </c>
    </row>
    <row r="250" spans="9:14" x14ac:dyDescent="0.3">
      <c r="I250" s="23" t="str">
        <f t="shared" si="23"/>
        <v/>
      </c>
      <c r="J250" s="25" t="str">
        <f t="shared" si="26"/>
        <v/>
      </c>
      <c r="K250" s="25" t="str">
        <f t="shared" si="24"/>
        <v/>
      </c>
      <c r="L250" s="25" t="str">
        <f t="shared" si="25"/>
        <v/>
      </c>
      <c r="M250" s="25" t="str">
        <f t="shared" si="27"/>
        <v/>
      </c>
      <c r="N250" s="25" t="str">
        <f t="shared" si="28"/>
        <v/>
      </c>
    </row>
    <row r="251" spans="9:14" x14ac:dyDescent="0.3">
      <c r="I251" s="23" t="str">
        <f t="shared" si="23"/>
        <v/>
      </c>
      <c r="J251" s="25" t="str">
        <f t="shared" si="26"/>
        <v/>
      </c>
      <c r="K251" s="25" t="str">
        <f t="shared" si="24"/>
        <v/>
      </c>
      <c r="L251" s="25" t="str">
        <f t="shared" si="25"/>
        <v/>
      </c>
      <c r="M251" s="25" t="str">
        <f t="shared" si="27"/>
        <v/>
      </c>
      <c r="N251" s="25" t="str">
        <f t="shared" si="28"/>
        <v/>
      </c>
    </row>
    <row r="252" spans="9:14" x14ac:dyDescent="0.3">
      <c r="I252" s="23" t="str">
        <f t="shared" si="23"/>
        <v/>
      </c>
      <c r="J252" s="25" t="str">
        <f t="shared" si="26"/>
        <v/>
      </c>
      <c r="K252" s="25" t="str">
        <f t="shared" si="24"/>
        <v/>
      </c>
      <c r="L252" s="25" t="str">
        <f t="shared" si="25"/>
        <v/>
      </c>
      <c r="M252" s="25" t="str">
        <f t="shared" si="27"/>
        <v/>
      </c>
      <c r="N252" s="25" t="str">
        <f t="shared" si="28"/>
        <v/>
      </c>
    </row>
    <row r="253" spans="9:14" x14ac:dyDescent="0.3">
      <c r="I253" s="23" t="str">
        <f t="shared" si="23"/>
        <v/>
      </c>
      <c r="J253" s="25" t="str">
        <f t="shared" si="26"/>
        <v/>
      </c>
      <c r="K253" s="25" t="str">
        <f t="shared" si="24"/>
        <v/>
      </c>
      <c r="L253" s="25" t="str">
        <f t="shared" si="25"/>
        <v/>
      </c>
      <c r="M253" s="25" t="str">
        <f t="shared" si="27"/>
        <v/>
      </c>
      <c r="N253" s="25" t="str">
        <f t="shared" si="28"/>
        <v/>
      </c>
    </row>
    <row r="254" spans="9:14" x14ac:dyDescent="0.3">
      <c r="I254" s="23" t="str">
        <f t="shared" si="23"/>
        <v/>
      </c>
      <c r="J254" s="25" t="str">
        <f t="shared" si="26"/>
        <v/>
      </c>
      <c r="K254" s="25" t="str">
        <f t="shared" si="24"/>
        <v/>
      </c>
      <c r="L254" s="25" t="str">
        <f t="shared" si="25"/>
        <v/>
      </c>
      <c r="M254" s="25" t="str">
        <f t="shared" si="27"/>
        <v/>
      </c>
      <c r="N254" s="25" t="str">
        <f t="shared" si="28"/>
        <v/>
      </c>
    </row>
    <row r="255" spans="9:14" x14ac:dyDescent="0.3">
      <c r="I255" s="23" t="str">
        <f t="shared" si="23"/>
        <v/>
      </c>
      <c r="J255" s="25" t="str">
        <f t="shared" si="26"/>
        <v/>
      </c>
      <c r="K255" s="25" t="str">
        <f t="shared" si="24"/>
        <v/>
      </c>
      <c r="L255" s="25" t="str">
        <f t="shared" si="25"/>
        <v/>
      </c>
      <c r="M255" s="25" t="str">
        <f t="shared" si="27"/>
        <v/>
      </c>
      <c r="N255" s="25" t="str">
        <f t="shared" si="28"/>
        <v/>
      </c>
    </row>
    <row r="256" spans="9:14" x14ac:dyDescent="0.3">
      <c r="I256" s="23" t="str">
        <f t="shared" si="23"/>
        <v/>
      </c>
      <c r="J256" s="25" t="str">
        <f t="shared" si="26"/>
        <v/>
      </c>
      <c r="K256" s="25" t="str">
        <f t="shared" si="24"/>
        <v/>
      </c>
      <c r="L256" s="25" t="str">
        <f t="shared" si="25"/>
        <v/>
      </c>
      <c r="M256" s="25" t="str">
        <f t="shared" si="27"/>
        <v/>
      </c>
      <c r="N256" s="25" t="str">
        <f t="shared" si="28"/>
        <v/>
      </c>
    </row>
    <row r="257" spans="9:14" x14ac:dyDescent="0.3">
      <c r="I257" s="23" t="str">
        <f t="shared" si="23"/>
        <v/>
      </c>
      <c r="J257" s="25" t="str">
        <f t="shared" si="26"/>
        <v/>
      </c>
      <c r="K257" s="25" t="str">
        <f t="shared" si="24"/>
        <v/>
      </c>
      <c r="L257" s="25" t="str">
        <f t="shared" si="25"/>
        <v/>
      </c>
      <c r="M257" s="25" t="str">
        <f t="shared" si="27"/>
        <v/>
      </c>
      <c r="N257" s="25" t="str">
        <f t="shared" si="28"/>
        <v/>
      </c>
    </row>
    <row r="258" spans="9:14" x14ac:dyDescent="0.3">
      <c r="I258" s="23" t="str">
        <f t="shared" si="23"/>
        <v/>
      </c>
      <c r="J258" s="25" t="str">
        <f t="shared" si="26"/>
        <v/>
      </c>
      <c r="K258" s="25" t="str">
        <f t="shared" si="24"/>
        <v/>
      </c>
      <c r="L258" s="25" t="str">
        <f t="shared" si="25"/>
        <v/>
      </c>
      <c r="M258" s="25" t="str">
        <f t="shared" si="27"/>
        <v/>
      </c>
      <c r="N258" s="25" t="str">
        <f t="shared" si="28"/>
        <v/>
      </c>
    </row>
    <row r="259" spans="9:14" x14ac:dyDescent="0.3">
      <c r="I259" s="23" t="str">
        <f t="shared" si="23"/>
        <v/>
      </c>
      <c r="J259" s="25" t="str">
        <f t="shared" si="26"/>
        <v/>
      </c>
      <c r="K259" s="25" t="str">
        <f t="shared" si="24"/>
        <v/>
      </c>
      <c r="L259" s="25" t="str">
        <f t="shared" si="25"/>
        <v/>
      </c>
      <c r="M259" s="25" t="str">
        <f t="shared" si="27"/>
        <v/>
      </c>
      <c r="N259" s="25" t="str">
        <f t="shared" si="28"/>
        <v/>
      </c>
    </row>
    <row r="260" spans="9:14" x14ac:dyDescent="0.3">
      <c r="I260" s="23" t="str">
        <f t="shared" si="23"/>
        <v/>
      </c>
      <c r="J260" s="25" t="str">
        <f t="shared" si="26"/>
        <v/>
      </c>
      <c r="K260" s="25" t="str">
        <f t="shared" si="24"/>
        <v/>
      </c>
      <c r="L260" s="25" t="str">
        <f t="shared" si="25"/>
        <v/>
      </c>
      <c r="M260" s="25" t="str">
        <f t="shared" si="27"/>
        <v/>
      </c>
      <c r="N260" s="25" t="str">
        <f t="shared" si="28"/>
        <v/>
      </c>
    </row>
    <row r="261" spans="9:14" x14ac:dyDescent="0.3">
      <c r="I261" s="23" t="str">
        <f t="shared" si="23"/>
        <v/>
      </c>
      <c r="J261" s="25" t="str">
        <f t="shared" si="26"/>
        <v/>
      </c>
      <c r="K261" s="25" t="str">
        <f t="shared" si="24"/>
        <v/>
      </c>
      <c r="L261" s="25" t="str">
        <f t="shared" si="25"/>
        <v/>
      </c>
      <c r="M261" s="25" t="str">
        <f t="shared" si="27"/>
        <v/>
      </c>
      <c r="N261" s="25" t="str">
        <f t="shared" si="28"/>
        <v/>
      </c>
    </row>
    <row r="262" spans="9:14" x14ac:dyDescent="0.3">
      <c r="I262" s="23" t="str">
        <f t="shared" si="23"/>
        <v/>
      </c>
      <c r="J262" s="25" t="str">
        <f t="shared" si="26"/>
        <v/>
      </c>
      <c r="K262" s="25" t="str">
        <f t="shared" si="24"/>
        <v/>
      </c>
      <c r="L262" s="25" t="str">
        <f t="shared" si="25"/>
        <v/>
      </c>
      <c r="M262" s="25" t="str">
        <f t="shared" si="27"/>
        <v/>
      </c>
      <c r="N262" s="25" t="str">
        <f t="shared" si="28"/>
        <v/>
      </c>
    </row>
    <row r="263" spans="9:14" x14ac:dyDescent="0.3">
      <c r="I263" s="23" t="str">
        <f t="shared" si="23"/>
        <v/>
      </c>
      <c r="J263" s="25" t="str">
        <f t="shared" si="26"/>
        <v/>
      </c>
      <c r="K263" s="25" t="str">
        <f t="shared" si="24"/>
        <v/>
      </c>
      <c r="L263" s="25" t="str">
        <f t="shared" si="25"/>
        <v/>
      </c>
      <c r="M263" s="25" t="str">
        <f t="shared" si="27"/>
        <v/>
      </c>
      <c r="N263" s="25" t="str">
        <f t="shared" si="28"/>
        <v/>
      </c>
    </row>
    <row r="264" spans="9:14" x14ac:dyDescent="0.3">
      <c r="I264" s="23" t="str">
        <f t="shared" si="23"/>
        <v/>
      </c>
      <c r="J264" s="25" t="str">
        <f t="shared" si="26"/>
        <v/>
      </c>
      <c r="K264" s="25" t="str">
        <f t="shared" si="24"/>
        <v/>
      </c>
      <c r="L264" s="25" t="str">
        <f t="shared" si="25"/>
        <v/>
      </c>
      <c r="M264" s="25" t="str">
        <f t="shared" si="27"/>
        <v/>
      </c>
      <c r="N264" s="25" t="str">
        <f t="shared" si="28"/>
        <v/>
      </c>
    </row>
    <row r="265" spans="9:14" x14ac:dyDescent="0.3">
      <c r="I265" s="23" t="str">
        <f t="shared" si="23"/>
        <v/>
      </c>
      <c r="J265" s="25" t="str">
        <f t="shared" si="26"/>
        <v/>
      </c>
      <c r="K265" s="25" t="str">
        <f t="shared" si="24"/>
        <v/>
      </c>
      <c r="L265" s="25" t="str">
        <f t="shared" si="25"/>
        <v/>
      </c>
      <c r="M265" s="25" t="str">
        <f t="shared" si="27"/>
        <v/>
      </c>
      <c r="N265" s="25" t="str">
        <f t="shared" si="28"/>
        <v/>
      </c>
    </row>
    <row r="266" spans="9:14" x14ac:dyDescent="0.3">
      <c r="I266" s="23" t="str">
        <f t="shared" si="23"/>
        <v/>
      </c>
      <c r="J266" s="25" t="str">
        <f t="shared" si="26"/>
        <v/>
      </c>
      <c r="K266" s="25" t="str">
        <f t="shared" si="24"/>
        <v/>
      </c>
      <c r="L266" s="25" t="str">
        <f t="shared" si="25"/>
        <v/>
      </c>
      <c r="M266" s="25" t="str">
        <f t="shared" si="27"/>
        <v/>
      </c>
      <c r="N266" s="25" t="str">
        <f t="shared" si="28"/>
        <v/>
      </c>
    </row>
    <row r="267" spans="9:14" x14ac:dyDescent="0.3">
      <c r="I267" s="23" t="str">
        <f t="shared" si="23"/>
        <v/>
      </c>
      <c r="J267" s="25" t="str">
        <f t="shared" si="26"/>
        <v/>
      </c>
      <c r="K267" s="25" t="str">
        <f t="shared" si="24"/>
        <v/>
      </c>
      <c r="L267" s="25" t="str">
        <f t="shared" si="25"/>
        <v/>
      </c>
      <c r="M267" s="25" t="str">
        <f t="shared" si="27"/>
        <v/>
      </c>
      <c r="N267" s="25" t="str">
        <f t="shared" si="28"/>
        <v/>
      </c>
    </row>
    <row r="268" spans="9:14" x14ac:dyDescent="0.3">
      <c r="I268" s="23" t="str">
        <f t="shared" ref="I268:I331" si="29">IF(OR(I267=$G$5,I267=""),"",I267+1)</f>
        <v/>
      </c>
      <c r="J268" s="25" t="str">
        <f t="shared" si="26"/>
        <v/>
      </c>
      <c r="K268" s="25" t="str">
        <f t="shared" ref="K268:K331" si="30">IF(I268&lt;&gt;"",M268-L268,"")</f>
        <v/>
      </c>
      <c r="L268" s="25" t="str">
        <f t="shared" ref="L268:L331" si="31">IF(I268&lt;&gt;"",J267*$G$4/12/100,"")</f>
        <v/>
      </c>
      <c r="M268" s="25" t="str">
        <f t="shared" si="27"/>
        <v/>
      </c>
      <c r="N268" s="25" t="str">
        <f t="shared" si="28"/>
        <v/>
      </c>
    </row>
    <row r="269" spans="9:14" x14ac:dyDescent="0.3">
      <c r="I269" s="23" t="str">
        <f t="shared" si="29"/>
        <v/>
      </c>
      <c r="J269" s="25" t="str">
        <f t="shared" ref="J269:J332" si="32">IF(I269&lt;&gt;"",J268-K269,"")</f>
        <v/>
      </c>
      <c r="K269" s="25" t="str">
        <f t="shared" si="30"/>
        <v/>
      </c>
      <c r="L269" s="25" t="str">
        <f t="shared" si="31"/>
        <v/>
      </c>
      <c r="M269" s="25" t="str">
        <f t="shared" ref="M269:M332" si="33">IF(I269&lt;&gt;"",M268,"")</f>
        <v/>
      </c>
      <c r="N269" s="25" t="str">
        <f t="shared" ref="N269:N332" si="34">IF(I269&lt;&gt;"",L269+N268,"")</f>
        <v/>
      </c>
    </row>
    <row r="270" spans="9:14" x14ac:dyDescent="0.3">
      <c r="I270" s="23" t="str">
        <f t="shared" si="29"/>
        <v/>
      </c>
      <c r="J270" s="25" t="str">
        <f t="shared" si="32"/>
        <v/>
      </c>
      <c r="K270" s="25" t="str">
        <f t="shared" si="30"/>
        <v/>
      </c>
      <c r="L270" s="25" t="str">
        <f t="shared" si="31"/>
        <v/>
      </c>
      <c r="M270" s="25" t="str">
        <f t="shared" si="33"/>
        <v/>
      </c>
      <c r="N270" s="25" t="str">
        <f t="shared" si="34"/>
        <v/>
      </c>
    </row>
    <row r="271" spans="9:14" x14ac:dyDescent="0.3">
      <c r="I271" s="23" t="str">
        <f t="shared" si="29"/>
        <v/>
      </c>
      <c r="J271" s="25" t="str">
        <f t="shared" si="32"/>
        <v/>
      </c>
      <c r="K271" s="25" t="str">
        <f t="shared" si="30"/>
        <v/>
      </c>
      <c r="L271" s="25" t="str">
        <f t="shared" si="31"/>
        <v/>
      </c>
      <c r="M271" s="25" t="str">
        <f t="shared" si="33"/>
        <v/>
      </c>
      <c r="N271" s="25" t="str">
        <f t="shared" si="34"/>
        <v/>
      </c>
    </row>
    <row r="272" spans="9:14" x14ac:dyDescent="0.3">
      <c r="I272" s="23" t="str">
        <f t="shared" si="29"/>
        <v/>
      </c>
      <c r="J272" s="25" t="str">
        <f t="shared" si="32"/>
        <v/>
      </c>
      <c r="K272" s="25" t="str">
        <f t="shared" si="30"/>
        <v/>
      </c>
      <c r="L272" s="25" t="str">
        <f t="shared" si="31"/>
        <v/>
      </c>
      <c r="M272" s="25" t="str">
        <f t="shared" si="33"/>
        <v/>
      </c>
      <c r="N272" s="25" t="str">
        <f t="shared" si="34"/>
        <v/>
      </c>
    </row>
    <row r="273" spans="9:14" x14ac:dyDescent="0.3">
      <c r="I273" s="23" t="str">
        <f t="shared" si="29"/>
        <v/>
      </c>
      <c r="J273" s="25" t="str">
        <f t="shared" si="32"/>
        <v/>
      </c>
      <c r="K273" s="25" t="str">
        <f t="shared" si="30"/>
        <v/>
      </c>
      <c r="L273" s="25" t="str">
        <f t="shared" si="31"/>
        <v/>
      </c>
      <c r="M273" s="25" t="str">
        <f t="shared" si="33"/>
        <v/>
      </c>
      <c r="N273" s="25" t="str">
        <f t="shared" si="34"/>
        <v/>
      </c>
    </row>
    <row r="274" spans="9:14" x14ac:dyDescent="0.3">
      <c r="I274" s="23" t="str">
        <f t="shared" si="29"/>
        <v/>
      </c>
      <c r="J274" s="25" t="str">
        <f t="shared" si="32"/>
        <v/>
      </c>
      <c r="K274" s="25" t="str">
        <f t="shared" si="30"/>
        <v/>
      </c>
      <c r="L274" s="25" t="str">
        <f t="shared" si="31"/>
        <v/>
      </c>
      <c r="M274" s="25" t="str">
        <f t="shared" si="33"/>
        <v/>
      </c>
      <c r="N274" s="25" t="str">
        <f t="shared" si="34"/>
        <v/>
      </c>
    </row>
    <row r="275" spans="9:14" x14ac:dyDescent="0.3">
      <c r="I275" s="23" t="str">
        <f t="shared" si="29"/>
        <v/>
      </c>
      <c r="J275" s="25" t="str">
        <f t="shared" si="32"/>
        <v/>
      </c>
      <c r="K275" s="25" t="str">
        <f t="shared" si="30"/>
        <v/>
      </c>
      <c r="L275" s="25" t="str">
        <f t="shared" si="31"/>
        <v/>
      </c>
      <c r="M275" s="25" t="str">
        <f t="shared" si="33"/>
        <v/>
      </c>
      <c r="N275" s="25" t="str">
        <f t="shared" si="34"/>
        <v/>
      </c>
    </row>
    <row r="276" spans="9:14" x14ac:dyDescent="0.3">
      <c r="I276" s="23" t="str">
        <f t="shared" si="29"/>
        <v/>
      </c>
      <c r="J276" s="25" t="str">
        <f t="shared" si="32"/>
        <v/>
      </c>
      <c r="K276" s="25" t="str">
        <f t="shared" si="30"/>
        <v/>
      </c>
      <c r="L276" s="25" t="str">
        <f t="shared" si="31"/>
        <v/>
      </c>
      <c r="M276" s="25" t="str">
        <f t="shared" si="33"/>
        <v/>
      </c>
      <c r="N276" s="25" t="str">
        <f t="shared" si="34"/>
        <v/>
      </c>
    </row>
    <row r="277" spans="9:14" x14ac:dyDescent="0.3">
      <c r="I277" s="23" t="str">
        <f t="shared" si="29"/>
        <v/>
      </c>
      <c r="J277" s="25" t="str">
        <f t="shared" si="32"/>
        <v/>
      </c>
      <c r="K277" s="25" t="str">
        <f t="shared" si="30"/>
        <v/>
      </c>
      <c r="L277" s="25" t="str">
        <f t="shared" si="31"/>
        <v/>
      </c>
      <c r="M277" s="25" t="str">
        <f t="shared" si="33"/>
        <v/>
      </c>
      <c r="N277" s="25" t="str">
        <f t="shared" si="34"/>
        <v/>
      </c>
    </row>
    <row r="278" spans="9:14" x14ac:dyDescent="0.3">
      <c r="I278" s="23" t="str">
        <f t="shared" si="29"/>
        <v/>
      </c>
      <c r="J278" s="25" t="str">
        <f t="shared" si="32"/>
        <v/>
      </c>
      <c r="K278" s="25" t="str">
        <f t="shared" si="30"/>
        <v/>
      </c>
      <c r="L278" s="25" t="str">
        <f t="shared" si="31"/>
        <v/>
      </c>
      <c r="M278" s="25" t="str">
        <f t="shared" si="33"/>
        <v/>
      </c>
      <c r="N278" s="25" t="str">
        <f t="shared" si="34"/>
        <v/>
      </c>
    </row>
    <row r="279" spans="9:14" x14ac:dyDescent="0.3">
      <c r="I279" s="23" t="str">
        <f t="shared" si="29"/>
        <v/>
      </c>
      <c r="J279" s="25" t="str">
        <f t="shared" si="32"/>
        <v/>
      </c>
      <c r="K279" s="25" t="str">
        <f t="shared" si="30"/>
        <v/>
      </c>
      <c r="L279" s="25" t="str">
        <f t="shared" si="31"/>
        <v/>
      </c>
      <c r="M279" s="25" t="str">
        <f t="shared" si="33"/>
        <v/>
      </c>
      <c r="N279" s="25" t="str">
        <f t="shared" si="34"/>
        <v/>
      </c>
    </row>
    <row r="280" spans="9:14" x14ac:dyDescent="0.3">
      <c r="I280" s="23" t="str">
        <f t="shared" si="29"/>
        <v/>
      </c>
      <c r="J280" s="25" t="str">
        <f t="shared" si="32"/>
        <v/>
      </c>
      <c r="K280" s="25" t="str">
        <f t="shared" si="30"/>
        <v/>
      </c>
      <c r="L280" s="25" t="str">
        <f t="shared" si="31"/>
        <v/>
      </c>
      <c r="M280" s="25" t="str">
        <f t="shared" si="33"/>
        <v/>
      </c>
      <c r="N280" s="25" t="str">
        <f t="shared" si="34"/>
        <v/>
      </c>
    </row>
    <row r="281" spans="9:14" x14ac:dyDescent="0.3">
      <c r="I281" s="23" t="str">
        <f t="shared" si="29"/>
        <v/>
      </c>
      <c r="J281" s="25" t="str">
        <f t="shared" si="32"/>
        <v/>
      </c>
      <c r="K281" s="25" t="str">
        <f t="shared" si="30"/>
        <v/>
      </c>
      <c r="L281" s="25" t="str">
        <f t="shared" si="31"/>
        <v/>
      </c>
      <c r="M281" s="25" t="str">
        <f t="shared" si="33"/>
        <v/>
      </c>
      <c r="N281" s="25" t="str">
        <f t="shared" si="34"/>
        <v/>
      </c>
    </row>
    <row r="282" spans="9:14" x14ac:dyDescent="0.3">
      <c r="I282" s="23" t="str">
        <f t="shared" si="29"/>
        <v/>
      </c>
      <c r="J282" s="25" t="str">
        <f t="shared" si="32"/>
        <v/>
      </c>
      <c r="K282" s="25" t="str">
        <f t="shared" si="30"/>
        <v/>
      </c>
      <c r="L282" s="25" t="str">
        <f t="shared" si="31"/>
        <v/>
      </c>
      <c r="M282" s="25" t="str">
        <f t="shared" si="33"/>
        <v/>
      </c>
      <c r="N282" s="25" t="str">
        <f t="shared" si="34"/>
        <v/>
      </c>
    </row>
    <row r="283" spans="9:14" x14ac:dyDescent="0.3">
      <c r="I283" s="23" t="str">
        <f t="shared" si="29"/>
        <v/>
      </c>
      <c r="J283" s="25" t="str">
        <f t="shared" si="32"/>
        <v/>
      </c>
      <c r="K283" s="25" t="str">
        <f t="shared" si="30"/>
        <v/>
      </c>
      <c r="L283" s="25" t="str">
        <f t="shared" si="31"/>
        <v/>
      </c>
      <c r="M283" s="25" t="str">
        <f t="shared" si="33"/>
        <v/>
      </c>
      <c r="N283" s="25" t="str">
        <f t="shared" si="34"/>
        <v/>
      </c>
    </row>
    <row r="284" spans="9:14" x14ac:dyDescent="0.3">
      <c r="I284" s="23" t="str">
        <f t="shared" si="29"/>
        <v/>
      </c>
      <c r="J284" s="25" t="str">
        <f t="shared" si="32"/>
        <v/>
      </c>
      <c r="K284" s="25" t="str">
        <f t="shared" si="30"/>
        <v/>
      </c>
      <c r="L284" s="25" t="str">
        <f t="shared" si="31"/>
        <v/>
      </c>
      <c r="M284" s="25" t="str">
        <f t="shared" si="33"/>
        <v/>
      </c>
      <c r="N284" s="25" t="str">
        <f t="shared" si="34"/>
        <v/>
      </c>
    </row>
    <row r="285" spans="9:14" x14ac:dyDescent="0.3">
      <c r="I285" s="23" t="str">
        <f t="shared" si="29"/>
        <v/>
      </c>
      <c r="J285" s="25" t="str">
        <f t="shared" si="32"/>
        <v/>
      </c>
      <c r="K285" s="25" t="str">
        <f t="shared" si="30"/>
        <v/>
      </c>
      <c r="L285" s="25" t="str">
        <f t="shared" si="31"/>
        <v/>
      </c>
      <c r="M285" s="25" t="str">
        <f t="shared" si="33"/>
        <v/>
      </c>
      <c r="N285" s="25" t="str">
        <f t="shared" si="34"/>
        <v/>
      </c>
    </row>
    <row r="286" spans="9:14" x14ac:dyDescent="0.3">
      <c r="I286" s="23" t="str">
        <f t="shared" si="29"/>
        <v/>
      </c>
      <c r="J286" s="25" t="str">
        <f t="shared" si="32"/>
        <v/>
      </c>
      <c r="K286" s="25" t="str">
        <f t="shared" si="30"/>
        <v/>
      </c>
      <c r="L286" s="25" t="str">
        <f t="shared" si="31"/>
        <v/>
      </c>
      <c r="M286" s="25" t="str">
        <f t="shared" si="33"/>
        <v/>
      </c>
      <c r="N286" s="25" t="str">
        <f t="shared" si="34"/>
        <v/>
      </c>
    </row>
    <row r="287" spans="9:14" x14ac:dyDescent="0.3">
      <c r="I287" s="23" t="str">
        <f t="shared" si="29"/>
        <v/>
      </c>
      <c r="J287" s="25" t="str">
        <f t="shared" si="32"/>
        <v/>
      </c>
      <c r="K287" s="25" t="str">
        <f t="shared" si="30"/>
        <v/>
      </c>
      <c r="L287" s="25" t="str">
        <f t="shared" si="31"/>
        <v/>
      </c>
      <c r="M287" s="25" t="str">
        <f t="shared" si="33"/>
        <v/>
      </c>
      <c r="N287" s="25" t="str">
        <f t="shared" si="34"/>
        <v/>
      </c>
    </row>
    <row r="288" spans="9:14" x14ac:dyDescent="0.3">
      <c r="I288" s="23" t="str">
        <f t="shared" si="29"/>
        <v/>
      </c>
      <c r="J288" s="25" t="str">
        <f t="shared" si="32"/>
        <v/>
      </c>
      <c r="K288" s="25" t="str">
        <f t="shared" si="30"/>
        <v/>
      </c>
      <c r="L288" s="25" t="str">
        <f t="shared" si="31"/>
        <v/>
      </c>
      <c r="M288" s="25" t="str">
        <f t="shared" si="33"/>
        <v/>
      </c>
      <c r="N288" s="25" t="str">
        <f t="shared" si="34"/>
        <v/>
      </c>
    </row>
    <row r="289" spans="9:14" x14ac:dyDescent="0.3">
      <c r="I289" s="23" t="str">
        <f t="shared" si="29"/>
        <v/>
      </c>
      <c r="J289" s="25" t="str">
        <f t="shared" si="32"/>
        <v/>
      </c>
      <c r="K289" s="25" t="str">
        <f t="shared" si="30"/>
        <v/>
      </c>
      <c r="L289" s="25" t="str">
        <f t="shared" si="31"/>
        <v/>
      </c>
      <c r="M289" s="25" t="str">
        <f t="shared" si="33"/>
        <v/>
      </c>
      <c r="N289" s="25" t="str">
        <f t="shared" si="34"/>
        <v/>
      </c>
    </row>
    <row r="290" spans="9:14" x14ac:dyDescent="0.3">
      <c r="I290" s="23" t="str">
        <f t="shared" si="29"/>
        <v/>
      </c>
      <c r="J290" s="25" t="str">
        <f t="shared" si="32"/>
        <v/>
      </c>
      <c r="K290" s="25" t="str">
        <f t="shared" si="30"/>
        <v/>
      </c>
      <c r="L290" s="25" t="str">
        <f t="shared" si="31"/>
        <v/>
      </c>
      <c r="M290" s="25" t="str">
        <f t="shared" si="33"/>
        <v/>
      </c>
      <c r="N290" s="25" t="str">
        <f t="shared" si="34"/>
        <v/>
      </c>
    </row>
    <row r="291" spans="9:14" x14ac:dyDescent="0.3">
      <c r="I291" s="23" t="str">
        <f t="shared" si="29"/>
        <v/>
      </c>
      <c r="J291" s="25" t="str">
        <f t="shared" si="32"/>
        <v/>
      </c>
      <c r="K291" s="25" t="str">
        <f t="shared" si="30"/>
        <v/>
      </c>
      <c r="L291" s="25" t="str">
        <f t="shared" si="31"/>
        <v/>
      </c>
      <c r="M291" s="25" t="str">
        <f t="shared" si="33"/>
        <v/>
      </c>
      <c r="N291" s="25" t="str">
        <f t="shared" si="34"/>
        <v/>
      </c>
    </row>
    <row r="292" spans="9:14" x14ac:dyDescent="0.3">
      <c r="I292" s="23" t="str">
        <f t="shared" si="29"/>
        <v/>
      </c>
      <c r="J292" s="25" t="str">
        <f t="shared" si="32"/>
        <v/>
      </c>
      <c r="K292" s="25" t="str">
        <f t="shared" si="30"/>
        <v/>
      </c>
      <c r="L292" s="25" t="str">
        <f t="shared" si="31"/>
        <v/>
      </c>
      <c r="M292" s="25" t="str">
        <f t="shared" si="33"/>
        <v/>
      </c>
      <c r="N292" s="25" t="str">
        <f t="shared" si="34"/>
        <v/>
      </c>
    </row>
    <row r="293" spans="9:14" x14ac:dyDescent="0.3">
      <c r="I293" s="23" t="str">
        <f t="shared" si="29"/>
        <v/>
      </c>
      <c r="J293" s="25" t="str">
        <f t="shared" si="32"/>
        <v/>
      </c>
      <c r="K293" s="25" t="str">
        <f t="shared" si="30"/>
        <v/>
      </c>
      <c r="L293" s="25" t="str">
        <f t="shared" si="31"/>
        <v/>
      </c>
      <c r="M293" s="25" t="str">
        <f t="shared" si="33"/>
        <v/>
      </c>
      <c r="N293" s="25" t="str">
        <f t="shared" si="34"/>
        <v/>
      </c>
    </row>
    <row r="294" spans="9:14" x14ac:dyDescent="0.3">
      <c r="I294" s="23" t="str">
        <f t="shared" si="29"/>
        <v/>
      </c>
      <c r="J294" s="25" t="str">
        <f t="shared" si="32"/>
        <v/>
      </c>
      <c r="K294" s="25" t="str">
        <f t="shared" si="30"/>
        <v/>
      </c>
      <c r="L294" s="25" t="str">
        <f t="shared" si="31"/>
        <v/>
      </c>
      <c r="M294" s="25" t="str">
        <f t="shared" si="33"/>
        <v/>
      </c>
      <c r="N294" s="25" t="str">
        <f t="shared" si="34"/>
        <v/>
      </c>
    </row>
    <row r="295" spans="9:14" x14ac:dyDescent="0.3">
      <c r="I295" s="23" t="str">
        <f t="shared" si="29"/>
        <v/>
      </c>
      <c r="J295" s="25" t="str">
        <f t="shared" si="32"/>
        <v/>
      </c>
      <c r="K295" s="25" t="str">
        <f t="shared" si="30"/>
        <v/>
      </c>
      <c r="L295" s="25" t="str">
        <f t="shared" si="31"/>
        <v/>
      </c>
      <c r="M295" s="25" t="str">
        <f t="shared" si="33"/>
        <v/>
      </c>
      <c r="N295" s="25" t="str">
        <f t="shared" si="34"/>
        <v/>
      </c>
    </row>
    <row r="296" spans="9:14" x14ac:dyDescent="0.3">
      <c r="I296" s="23" t="str">
        <f t="shared" si="29"/>
        <v/>
      </c>
      <c r="J296" s="25" t="str">
        <f t="shared" si="32"/>
        <v/>
      </c>
      <c r="K296" s="25" t="str">
        <f t="shared" si="30"/>
        <v/>
      </c>
      <c r="L296" s="25" t="str">
        <f t="shared" si="31"/>
        <v/>
      </c>
      <c r="M296" s="25" t="str">
        <f t="shared" si="33"/>
        <v/>
      </c>
      <c r="N296" s="25" t="str">
        <f t="shared" si="34"/>
        <v/>
      </c>
    </row>
    <row r="297" spans="9:14" x14ac:dyDescent="0.3">
      <c r="I297" s="23" t="str">
        <f t="shared" si="29"/>
        <v/>
      </c>
      <c r="J297" s="25" t="str">
        <f t="shared" si="32"/>
        <v/>
      </c>
      <c r="K297" s="25" t="str">
        <f t="shared" si="30"/>
        <v/>
      </c>
      <c r="L297" s="25" t="str">
        <f t="shared" si="31"/>
        <v/>
      </c>
      <c r="M297" s="25" t="str">
        <f t="shared" si="33"/>
        <v/>
      </c>
      <c r="N297" s="25" t="str">
        <f t="shared" si="34"/>
        <v/>
      </c>
    </row>
    <row r="298" spans="9:14" x14ac:dyDescent="0.3">
      <c r="I298" s="23" t="str">
        <f t="shared" si="29"/>
        <v/>
      </c>
      <c r="J298" s="25" t="str">
        <f t="shared" si="32"/>
        <v/>
      </c>
      <c r="K298" s="25" t="str">
        <f t="shared" si="30"/>
        <v/>
      </c>
      <c r="L298" s="25" t="str">
        <f t="shared" si="31"/>
        <v/>
      </c>
      <c r="M298" s="25" t="str">
        <f t="shared" si="33"/>
        <v/>
      </c>
      <c r="N298" s="25" t="str">
        <f t="shared" si="34"/>
        <v/>
      </c>
    </row>
    <row r="299" spans="9:14" x14ac:dyDescent="0.3">
      <c r="I299" s="23" t="str">
        <f t="shared" si="29"/>
        <v/>
      </c>
      <c r="J299" s="25" t="str">
        <f t="shared" si="32"/>
        <v/>
      </c>
      <c r="K299" s="25" t="str">
        <f t="shared" si="30"/>
        <v/>
      </c>
      <c r="L299" s="25" t="str">
        <f t="shared" si="31"/>
        <v/>
      </c>
      <c r="M299" s="25" t="str">
        <f t="shared" si="33"/>
        <v/>
      </c>
      <c r="N299" s="25" t="str">
        <f t="shared" si="34"/>
        <v/>
      </c>
    </row>
    <row r="300" spans="9:14" x14ac:dyDescent="0.3">
      <c r="I300" s="23" t="str">
        <f t="shared" si="29"/>
        <v/>
      </c>
      <c r="J300" s="25" t="str">
        <f t="shared" si="32"/>
        <v/>
      </c>
      <c r="K300" s="25" t="str">
        <f t="shared" si="30"/>
        <v/>
      </c>
      <c r="L300" s="25" t="str">
        <f t="shared" si="31"/>
        <v/>
      </c>
      <c r="M300" s="25" t="str">
        <f t="shared" si="33"/>
        <v/>
      </c>
      <c r="N300" s="25" t="str">
        <f t="shared" si="34"/>
        <v/>
      </c>
    </row>
    <row r="301" spans="9:14" x14ac:dyDescent="0.3">
      <c r="I301" s="23" t="str">
        <f t="shared" si="29"/>
        <v/>
      </c>
      <c r="J301" s="25" t="str">
        <f t="shared" si="32"/>
        <v/>
      </c>
      <c r="K301" s="25" t="str">
        <f t="shared" si="30"/>
        <v/>
      </c>
      <c r="L301" s="25" t="str">
        <f t="shared" si="31"/>
        <v/>
      </c>
      <c r="M301" s="25" t="str">
        <f t="shared" si="33"/>
        <v/>
      </c>
      <c r="N301" s="25" t="str">
        <f t="shared" si="34"/>
        <v/>
      </c>
    </row>
    <row r="302" spans="9:14" x14ac:dyDescent="0.3">
      <c r="I302" s="23" t="str">
        <f t="shared" si="29"/>
        <v/>
      </c>
      <c r="J302" s="25" t="str">
        <f t="shared" si="32"/>
        <v/>
      </c>
      <c r="K302" s="25" t="str">
        <f t="shared" si="30"/>
        <v/>
      </c>
      <c r="L302" s="25" t="str">
        <f t="shared" si="31"/>
        <v/>
      </c>
      <c r="M302" s="25" t="str">
        <f t="shared" si="33"/>
        <v/>
      </c>
      <c r="N302" s="25" t="str">
        <f t="shared" si="34"/>
        <v/>
      </c>
    </row>
    <row r="303" spans="9:14" x14ac:dyDescent="0.3">
      <c r="I303" s="23" t="str">
        <f t="shared" si="29"/>
        <v/>
      </c>
      <c r="J303" s="25" t="str">
        <f t="shared" si="32"/>
        <v/>
      </c>
      <c r="K303" s="25" t="str">
        <f t="shared" si="30"/>
        <v/>
      </c>
      <c r="L303" s="25" t="str">
        <f t="shared" si="31"/>
        <v/>
      </c>
      <c r="M303" s="25" t="str">
        <f t="shared" si="33"/>
        <v/>
      </c>
      <c r="N303" s="25" t="str">
        <f t="shared" si="34"/>
        <v/>
      </c>
    </row>
    <row r="304" spans="9:14" x14ac:dyDescent="0.3">
      <c r="I304" s="23" t="str">
        <f t="shared" si="29"/>
        <v/>
      </c>
      <c r="J304" s="25" t="str">
        <f t="shared" si="32"/>
        <v/>
      </c>
      <c r="K304" s="25" t="str">
        <f t="shared" si="30"/>
        <v/>
      </c>
      <c r="L304" s="25" t="str">
        <f t="shared" si="31"/>
        <v/>
      </c>
      <c r="M304" s="25" t="str">
        <f t="shared" si="33"/>
        <v/>
      </c>
      <c r="N304" s="25" t="str">
        <f t="shared" si="34"/>
        <v/>
      </c>
    </row>
    <row r="305" spans="9:14" x14ac:dyDescent="0.3">
      <c r="I305" s="23" t="str">
        <f t="shared" si="29"/>
        <v/>
      </c>
      <c r="J305" s="25" t="str">
        <f t="shared" si="32"/>
        <v/>
      </c>
      <c r="K305" s="25" t="str">
        <f t="shared" si="30"/>
        <v/>
      </c>
      <c r="L305" s="25" t="str">
        <f t="shared" si="31"/>
        <v/>
      </c>
      <c r="M305" s="25" t="str">
        <f t="shared" si="33"/>
        <v/>
      </c>
      <c r="N305" s="25" t="str">
        <f t="shared" si="34"/>
        <v/>
      </c>
    </row>
    <row r="306" spans="9:14" x14ac:dyDescent="0.3">
      <c r="I306" s="23" t="str">
        <f t="shared" si="29"/>
        <v/>
      </c>
      <c r="J306" s="25" t="str">
        <f t="shared" si="32"/>
        <v/>
      </c>
      <c r="K306" s="25" t="str">
        <f t="shared" si="30"/>
        <v/>
      </c>
      <c r="L306" s="25" t="str">
        <f t="shared" si="31"/>
        <v/>
      </c>
      <c r="M306" s="25" t="str">
        <f t="shared" si="33"/>
        <v/>
      </c>
      <c r="N306" s="25" t="str">
        <f t="shared" si="34"/>
        <v/>
      </c>
    </row>
    <row r="307" spans="9:14" x14ac:dyDescent="0.3">
      <c r="I307" s="23" t="str">
        <f t="shared" si="29"/>
        <v/>
      </c>
      <c r="J307" s="25" t="str">
        <f t="shared" si="32"/>
        <v/>
      </c>
      <c r="K307" s="25" t="str">
        <f t="shared" si="30"/>
        <v/>
      </c>
      <c r="L307" s="25" t="str">
        <f t="shared" si="31"/>
        <v/>
      </c>
      <c r="M307" s="25" t="str">
        <f t="shared" si="33"/>
        <v/>
      </c>
      <c r="N307" s="25" t="str">
        <f t="shared" si="34"/>
        <v/>
      </c>
    </row>
    <row r="308" spans="9:14" x14ac:dyDescent="0.3">
      <c r="I308" s="23" t="str">
        <f t="shared" si="29"/>
        <v/>
      </c>
      <c r="J308" s="25" t="str">
        <f t="shared" si="32"/>
        <v/>
      </c>
      <c r="K308" s="25" t="str">
        <f t="shared" si="30"/>
        <v/>
      </c>
      <c r="L308" s="25" t="str">
        <f t="shared" si="31"/>
        <v/>
      </c>
      <c r="M308" s="25" t="str">
        <f t="shared" si="33"/>
        <v/>
      </c>
      <c r="N308" s="25" t="str">
        <f t="shared" si="34"/>
        <v/>
      </c>
    </row>
    <row r="309" spans="9:14" x14ac:dyDescent="0.3">
      <c r="I309" s="23" t="str">
        <f t="shared" si="29"/>
        <v/>
      </c>
      <c r="J309" s="25" t="str">
        <f t="shared" si="32"/>
        <v/>
      </c>
      <c r="K309" s="25" t="str">
        <f t="shared" si="30"/>
        <v/>
      </c>
      <c r="L309" s="25" t="str">
        <f t="shared" si="31"/>
        <v/>
      </c>
      <c r="M309" s="25" t="str">
        <f t="shared" si="33"/>
        <v/>
      </c>
      <c r="N309" s="25" t="str">
        <f t="shared" si="34"/>
        <v/>
      </c>
    </row>
    <row r="310" spans="9:14" x14ac:dyDescent="0.3">
      <c r="I310" s="23" t="str">
        <f t="shared" si="29"/>
        <v/>
      </c>
      <c r="J310" s="25" t="str">
        <f t="shared" si="32"/>
        <v/>
      </c>
      <c r="K310" s="25" t="str">
        <f t="shared" si="30"/>
        <v/>
      </c>
      <c r="L310" s="25" t="str">
        <f t="shared" si="31"/>
        <v/>
      </c>
      <c r="M310" s="25" t="str">
        <f t="shared" si="33"/>
        <v/>
      </c>
      <c r="N310" s="25" t="str">
        <f t="shared" si="34"/>
        <v/>
      </c>
    </row>
    <row r="311" spans="9:14" x14ac:dyDescent="0.3">
      <c r="I311" s="23" t="str">
        <f t="shared" si="29"/>
        <v/>
      </c>
      <c r="J311" s="25" t="str">
        <f t="shared" si="32"/>
        <v/>
      </c>
      <c r="K311" s="25" t="str">
        <f t="shared" si="30"/>
        <v/>
      </c>
      <c r="L311" s="25" t="str">
        <f t="shared" si="31"/>
        <v/>
      </c>
      <c r="M311" s="25" t="str">
        <f t="shared" si="33"/>
        <v/>
      </c>
      <c r="N311" s="25" t="str">
        <f t="shared" si="34"/>
        <v/>
      </c>
    </row>
    <row r="312" spans="9:14" x14ac:dyDescent="0.3">
      <c r="I312" s="23" t="str">
        <f t="shared" si="29"/>
        <v/>
      </c>
      <c r="J312" s="25" t="str">
        <f t="shared" si="32"/>
        <v/>
      </c>
      <c r="K312" s="25" t="str">
        <f t="shared" si="30"/>
        <v/>
      </c>
      <c r="L312" s="25" t="str">
        <f t="shared" si="31"/>
        <v/>
      </c>
      <c r="M312" s="25" t="str">
        <f t="shared" si="33"/>
        <v/>
      </c>
      <c r="N312" s="25" t="str">
        <f t="shared" si="34"/>
        <v/>
      </c>
    </row>
    <row r="313" spans="9:14" x14ac:dyDescent="0.3">
      <c r="I313" s="23" t="str">
        <f t="shared" si="29"/>
        <v/>
      </c>
      <c r="J313" s="25" t="str">
        <f t="shared" si="32"/>
        <v/>
      </c>
      <c r="K313" s="25" t="str">
        <f t="shared" si="30"/>
        <v/>
      </c>
      <c r="L313" s="25" t="str">
        <f t="shared" si="31"/>
        <v/>
      </c>
      <c r="M313" s="25" t="str">
        <f t="shared" si="33"/>
        <v/>
      </c>
      <c r="N313" s="25" t="str">
        <f t="shared" si="34"/>
        <v/>
      </c>
    </row>
    <row r="314" spans="9:14" x14ac:dyDescent="0.3">
      <c r="I314" s="23" t="str">
        <f t="shared" si="29"/>
        <v/>
      </c>
      <c r="J314" s="25" t="str">
        <f t="shared" si="32"/>
        <v/>
      </c>
      <c r="K314" s="25" t="str">
        <f t="shared" si="30"/>
        <v/>
      </c>
      <c r="L314" s="25" t="str">
        <f t="shared" si="31"/>
        <v/>
      </c>
      <c r="M314" s="25" t="str">
        <f t="shared" si="33"/>
        <v/>
      </c>
      <c r="N314" s="25" t="str">
        <f t="shared" si="34"/>
        <v/>
      </c>
    </row>
    <row r="315" spans="9:14" x14ac:dyDescent="0.3">
      <c r="I315" s="23" t="str">
        <f t="shared" si="29"/>
        <v/>
      </c>
      <c r="J315" s="25" t="str">
        <f t="shared" si="32"/>
        <v/>
      </c>
      <c r="K315" s="25" t="str">
        <f t="shared" si="30"/>
        <v/>
      </c>
      <c r="L315" s="25" t="str">
        <f t="shared" si="31"/>
        <v/>
      </c>
      <c r="M315" s="25" t="str">
        <f t="shared" si="33"/>
        <v/>
      </c>
      <c r="N315" s="25" t="str">
        <f t="shared" si="34"/>
        <v/>
      </c>
    </row>
    <row r="316" spans="9:14" x14ac:dyDescent="0.3">
      <c r="I316" s="23" t="str">
        <f t="shared" si="29"/>
        <v/>
      </c>
      <c r="J316" s="25" t="str">
        <f t="shared" si="32"/>
        <v/>
      </c>
      <c r="K316" s="25" t="str">
        <f t="shared" si="30"/>
        <v/>
      </c>
      <c r="L316" s="25" t="str">
        <f t="shared" si="31"/>
        <v/>
      </c>
      <c r="M316" s="25" t="str">
        <f t="shared" si="33"/>
        <v/>
      </c>
      <c r="N316" s="25" t="str">
        <f t="shared" si="34"/>
        <v/>
      </c>
    </row>
    <row r="317" spans="9:14" x14ac:dyDescent="0.3">
      <c r="I317" s="23" t="str">
        <f t="shared" si="29"/>
        <v/>
      </c>
      <c r="J317" s="25" t="str">
        <f t="shared" si="32"/>
        <v/>
      </c>
      <c r="K317" s="25" t="str">
        <f t="shared" si="30"/>
        <v/>
      </c>
      <c r="L317" s="25" t="str">
        <f t="shared" si="31"/>
        <v/>
      </c>
      <c r="M317" s="25" t="str">
        <f t="shared" si="33"/>
        <v/>
      </c>
      <c r="N317" s="25" t="str">
        <f t="shared" si="34"/>
        <v/>
      </c>
    </row>
    <row r="318" spans="9:14" x14ac:dyDescent="0.3">
      <c r="I318" s="23" t="str">
        <f t="shared" si="29"/>
        <v/>
      </c>
      <c r="J318" s="25" t="str">
        <f t="shared" si="32"/>
        <v/>
      </c>
      <c r="K318" s="25" t="str">
        <f t="shared" si="30"/>
        <v/>
      </c>
      <c r="L318" s="25" t="str">
        <f t="shared" si="31"/>
        <v/>
      </c>
      <c r="M318" s="25" t="str">
        <f t="shared" si="33"/>
        <v/>
      </c>
      <c r="N318" s="25" t="str">
        <f t="shared" si="34"/>
        <v/>
      </c>
    </row>
    <row r="319" spans="9:14" x14ac:dyDescent="0.3">
      <c r="I319" s="23" t="str">
        <f t="shared" si="29"/>
        <v/>
      </c>
      <c r="J319" s="25" t="str">
        <f t="shared" si="32"/>
        <v/>
      </c>
      <c r="K319" s="25" t="str">
        <f t="shared" si="30"/>
        <v/>
      </c>
      <c r="L319" s="25" t="str">
        <f t="shared" si="31"/>
        <v/>
      </c>
      <c r="M319" s="25" t="str">
        <f t="shared" si="33"/>
        <v/>
      </c>
      <c r="N319" s="25" t="str">
        <f t="shared" si="34"/>
        <v/>
      </c>
    </row>
    <row r="320" spans="9:14" x14ac:dyDescent="0.3">
      <c r="I320" s="23" t="str">
        <f t="shared" si="29"/>
        <v/>
      </c>
      <c r="J320" s="25" t="str">
        <f t="shared" si="32"/>
        <v/>
      </c>
      <c r="K320" s="25" t="str">
        <f t="shared" si="30"/>
        <v/>
      </c>
      <c r="L320" s="25" t="str">
        <f t="shared" si="31"/>
        <v/>
      </c>
      <c r="M320" s="25" t="str">
        <f t="shared" si="33"/>
        <v/>
      </c>
      <c r="N320" s="25" t="str">
        <f t="shared" si="34"/>
        <v/>
      </c>
    </row>
    <row r="321" spans="9:14" x14ac:dyDescent="0.3">
      <c r="I321" s="23" t="str">
        <f t="shared" si="29"/>
        <v/>
      </c>
      <c r="J321" s="25" t="str">
        <f t="shared" si="32"/>
        <v/>
      </c>
      <c r="K321" s="25" t="str">
        <f t="shared" si="30"/>
        <v/>
      </c>
      <c r="L321" s="25" t="str">
        <f t="shared" si="31"/>
        <v/>
      </c>
      <c r="M321" s="25" t="str">
        <f t="shared" si="33"/>
        <v/>
      </c>
      <c r="N321" s="25" t="str">
        <f t="shared" si="34"/>
        <v/>
      </c>
    </row>
    <row r="322" spans="9:14" x14ac:dyDescent="0.3">
      <c r="I322" s="23" t="str">
        <f t="shared" si="29"/>
        <v/>
      </c>
      <c r="J322" s="25" t="str">
        <f t="shared" si="32"/>
        <v/>
      </c>
      <c r="K322" s="25" t="str">
        <f t="shared" si="30"/>
        <v/>
      </c>
      <c r="L322" s="25" t="str">
        <f t="shared" si="31"/>
        <v/>
      </c>
      <c r="M322" s="25" t="str">
        <f t="shared" si="33"/>
        <v/>
      </c>
      <c r="N322" s="25" t="str">
        <f t="shared" si="34"/>
        <v/>
      </c>
    </row>
    <row r="323" spans="9:14" x14ac:dyDescent="0.3">
      <c r="I323" s="23" t="str">
        <f t="shared" si="29"/>
        <v/>
      </c>
      <c r="J323" s="25" t="str">
        <f t="shared" si="32"/>
        <v/>
      </c>
      <c r="K323" s="25" t="str">
        <f t="shared" si="30"/>
        <v/>
      </c>
      <c r="L323" s="25" t="str">
        <f t="shared" si="31"/>
        <v/>
      </c>
      <c r="M323" s="25" t="str">
        <f t="shared" si="33"/>
        <v/>
      </c>
      <c r="N323" s="25" t="str">
        <f t="shared" si="34"/>
        <v/>
      </c>
    </row>
    <row r="324" spans="9:14" x14ac:dyDescent="0.3">
      <c r="I324" s="23" t="str">
        <f t="shared" si="29"/>
        <v/>
      </c>
      <c r="J324" s="25" t="str">
        <f t="shared" si="32"/>
        <v/>
      </c>
      <c r="K324" s="25" t="str">
        <f t="shared" si="30"/>
        <v/>
      </c>
      <c r="L324" s="25" t="str">
        <f t="shared" si="31"/>
        <v/>
      </c>
      <c r="M324" s="25" t="str">
        <f t="shared" si="33"/>
        <v/>
      </c>
      <c r="N324" s="25" t="str">
        <f t="shared" si="34"/>
        <v/>
      </c>
    </row>
    <row r="325" spans="9:14" x14ac:dyDescent="0.3">
      <c r="I325" s="23" t="str">
        <f t="shared" si="29"/>
        <v/>
      </c>
      <c r="J325" s="25" t="str">
        <f t="shared" si="32"/>
        <v/>
      </c>
      <c r="K325" s="25" t="str">
        <f t="shared" si="30"/>
        <v/>
      </c>
      <c r="L325" s="25" t="str">
        <f t="shared" si="31"/>
        <v/>
      </c>
      <c r="M325" s="25" t="str">
        <f t="shared" si="33"/>
        <v/>
      </c>
      <c r="N325" s="25" t="str">
        <f t="shared" si="34"/>
        <v/>
      </c>
    </row>
    <row r="326" spans="9:14" x14ac:dyDescent="0.3">
      <c r="I326" s="23" t="str">
        <f t="shared" si="29"/>
        <v/>
      </c>
      <c r="J326" s="25" t="str">
        <f t="shared" si="32"/>
        <v/>
      </c>
      <c r="K326" s="25" t="str">
        <f t="shared" si="30"/>
        <v/>
      </c>
      <c r="L326" s="25" t="str">
        <f t="shared" si="31"/>
        <v/>
      </c>
      <c r="M326" s="25" t="str">
        <f t="shared" si="33"/>
        <v/>
      </c>
      <c r="N326" s="25" t="str">
        <f t="shared" si="34"/>
        <v/>
      </c>
    </row>
    <row r="327" spans="9:14" x14ac:dyDescent="0.3">
      <c r="I327" s="23" t="str">
        <f t="shared" si="29"/>
        <v/>
      </c>
      <c r="J327" s="25" t="str">
        <f t="shared" si="32"/>
        <v/>
      </c>
      <c r="K327" s="25" t="str">
        <f t="shared" si="30"/>
        <v/>
      </c>
      <c r="L327" s="25" t="str">
        <f t="shared" si="31"/>
        <v/>
      </c>
      <c r="M327" s="25" t="str">
        <f t="shared" si="33"/>
        <v/>
      </c>
      <c r="N327" s="25" t="str">
        <f t="shared" si="34"/>
        <v/>
      </c>
    </row>
    <row r="328" spans="9:14" x14ac:dyDescent="0.3">
      <c r="I328" s="23" t="str">
        <f t="shared" si="29"/>
        <v/>
      </c>
      <c r="J328" s="25" t="str">
        <f t="shared" si="32"/>
        <v/>
      </c>
      <c r="K328" s="25" t="str">
        <f t="shared" si="30"/>
        <v/>
      </c>
      <c r="L328" s="25" t="str">
        <f t="shared" si="31"/>
        <v/>
      </c>
      <c r="M328" s="25" t="str">
        <f t="shared" si="33"/>
        <v/>
      </c>
      <c r="N328" s="25" t="str">
        <f t="shared" si="34"/>
        <v/>
      </c>
    </row>
    <row r="329" spans="9:14" x14ac:dyDescent="0.3">
      <c r="I329" s="23" t="str">
        <f t="shared" si="29"/>
        <v/>
      </c>
      <c r="J329" s="25" t="str">
        <f t="shared" si="32"/>
        <v/>
      </c>
      <c r="K329" s="25" t="str">
        <f t="shared" si="30"/>
        <v/>
      </c>
      <c r="L329" s="25" t="str">
        <f t="shared" si="31"/>
        <v/>
      </c>
      <c r="M329" s="25" t="str">
        <f t="shared" si="33"/>
        <v/>
      </c>
      <c r="N329" s="25" t="str">
        <f t="shared" si="34"/>
        <v/>
      </c>
    </row>
    <row r="330" spans="9:14" x14ac:dyDescent="0.3">
      <c r="I330" s="23" t="str">
        <f t="shared" si="29"/>
        <v/>
      </c>
      <c r="J330" s="25" t="str">
        <f t="shared" si="32"/>
        <v/>
      </c>
      <c r="K330" s="25" t="str">
        <f t="shared" si="30"/>
        <v/>
      </c>
      <c r="L330" s="25" t="str">
        <f t="shared" si="31"/>
        <v/>
      </c>
      <c r="M330" s="25" t="str">
        <f t="shared" si="33"/>
        <v/>
      </c>
      <c r="N330" s="25" t="str">
        <f t="shared" si="34"/>
        <v/>
      </c>
    </row>
    <row r="331" spans="9:14" x14ac:dyDescent="0.3">
      <c r="I331" s="23" t="str">
        <f t="shared" si="29"/>
        <v/>
      </c>
      <c r="J331" s="25" t="str">
        <f t="shared" si="32"/>
        <v/>
      </c>
      <c r="K331" s="25" t="str">
        <f t="shared" si="30"/>
        <v/>
      </c>
      <c r="L331" s="25" t="str">
        <f t="shared" si="31"/>
        <v/>
      </c>
      <c r="M331" s="25" t="str">
        <f t="shared" si="33"/>
        <v/>
      </c>
      <c r="N331" s="25" t="str">
        <f t="shared" si="34"/>
        <v/>
      </c>
    </row>
    <row r="332" spans="9:14" x14ac:dyDescent="0.3">
      <c r="I332" s="23" t="str">
        <f t="shared" ref="I332:I370" si="35">IF(OR(I331=$G$5,I331=""),"",I331+1)</f>
        <v/>
      </c>
      <c r="J332" s="25" t="str">
        <f t="shared" si="32"/>
        <v/>
      </c>
      <c r="K332" s="25" t="str">
        <f t="shared" ref="K332:K370" si="36">IF(I332&lt;&gt;"",M332-L332,"")</f>
        <v/>
      </c>
      <c r="L332" s="25" t="str">
        <f t="shared" ref="L332:L370" si="37">IF(I332&lt;&gt;"",J331*$G$4/12/100,"")</f>
        <v/>
      </c>
      <c r="M332" s="25" t="str">
        <f t="shared" si="33"/>
        <v/>
      </c>
      <c r="N332" s="25" t="str">
        <f t="shared" si="34"/>
        <v/>
      </c>
    </row>
    <row r="333" spans="9:14" x14ac:dyDescent="0.3">
      <c r="I333" s="23" t="str">
        <f t="shared" si="35"/>
        <v/>
      </c>
      <c r="J333" s="25" t="str">
        <f t="shared" ref="J333:J370" si="38">IF(I333&lt;&gt;"",J332-K333,"")</f>
        <v/>
      </c>
      <c r="K333" s="25" t="str">
        <f t="shared" si="36"/>
        <v/>
      </c>
      <c r="L333" s="25" t="str">
        <f t="shared" si="37"/>
        <v/>
      </c>
      <c r="M333" s="25" t="str">
        <f t="shared" ref="M333:M370" si="39">IF(I333&lt;&gt;"",M332,"")</f>
        <v/>
      </c>
      <c r="N333" s="25" t="str">
        <f t="shared" ref="N333:N370" si="40">IF(I333&lt;&gt;"",L333+N332,"")</f>
        <v/>
      </c>
    </row>
    <row r="334" spans="9:14" x14ac:dyDescent="0.3">
      <c r="I334" s="23" t="str">
        <f t="shared" si="35"/>
        <v/>
      </c>
      <c r="J334" s="25" t="str">
        <f t="shared" si="38"/>
        <v/>
      </c>
      <c r="K334" s="25" t="str">
        <f t="shared" si="36"/>
        <v/>
      </c>
      <c r="L334" s="25" t="str">
        <f t="shared" si="37"/>
        <v/>
      </c>
      <c r="M334" s="25" t="str">
        <f t="shared" si="39"/>
        <v/>
      </c>
      <c r="N334" s="25" t="str">
        <f t="shared" si="40"/>
        <v/>
      </c>
    </row>
    <row r="335" spans="9:14" x14ac:dyDescent="0.3">
      <c r="I335" s="23" t="str">
        <f t="shared" si="35"/>
        <v/>
      </c>
      <c r="J335" s="25" t="str">
        <f t="shared" si="38"/>
        <v/>
      </c>
      <c r="K335" s="25" t="str">
        <f t="shared" si="36"/>
        <v/>
      </c>
      <c r="L335" s="25" t="str">
        <f t="shared" si="37"/>
        <v/>
      </c>
      <c r="M335" s="25" t="str">
        <f t="shared" si="39"/>
        <v/>
      </c>
      <c r="N335" s="25" t="str">
        <f t="shared" si="40"/>
        <v/>
      </c>
    </row>
    <row r="336" spans="9:14" x14ac:dyDescent="0.3">
      <c r="I336" s="23" t="str">
        <f t="shared" si="35"/>
        <v/>
      </c>
      <c r="J336" s="25" t="str">
        <f t="shared" si="38"/>
        <v/>
      </c>
      <c r="K336" s="25" t="str">
        <f t="shared" si="36"/>
        <v/>
      </c>
      <c r="L336" s="25" t="str">
        <f t="shared" si="37"/>
        <v/>
      </c>
      <c r="M336" s="25" t="str">
        <f t="shared" si="39"/>
        <v/>
      </c>
      <c r="N336" s="25" t="str">
        <f t="shared" si="40"/>
        <v/>
      </c>
    </row>
    <row r="337" spans="9:14" x14ac:dyDescent="0.3">
      <c r="I337" s="23" t="str">
        <f t="shared" si="35"/>
        <v/>
      </c>
      <c r="J337" s="25" t="str">
        <f t="shared" si="38"/>
        <v/>
      </c>
      <c r="K337" s="25" t="str">
        <f t="shared" si="36"/>
        <v/>
      </c>
      <c r="L337" s="25" t="str">
        <f t="shared" si="37"/>
        <v/>
      </c>
      <c r="M337" s="25" t="str">
        <f t="shared" si="39"/>
        <v/>
      </c>
      <c r="N337" s="25" t="str">
        <f t="shared" si="40"/>
        <v/>
      </c>
    </row>
    <row r="338" spans="9:14" x14ac:dyDescent="0.3">
      <c r="I338" s="23" t="str">
        <f t="shared" si="35"/>
        <v/>
      </c>
      <c r="J338" s="25" t="str">
        <f t="shared" si="38"/>
        <v/>
      </c>
      <c r="K338" s="25" t="str">
        <f t="shared" si="36"/>
        <v/>
      </c>
      <c r="L338" s="25" t="str">
        <f t="shared" si="37"/>
        <v/>
      </c>
      <c r="M338" s="25" t="str">
        <f t="shared" si="39"/>
        <v/>
      </c>
      <c r="N338" s="25" t="str">
        <f t="shared" si="40"/>
        <v/>
      </c>
    </row>
    <row r="339" spans="9:14" x14ac:dyDescent="0.3">
      <c r="I339" s="23" t="str">
        <f t="shared" si="35"/>
        <v/>
      </c>
      <c r="J339" s="25" t="str">
        <f t="shared" si="38"/>
        <v/>
      </c>
      <c r="K339" s="25" t="str">
        <f t="shared" si="36"/>
        <v/>
      </c>
      <c r="L339" s="25" t="str">
        <f t="shared" si="37"/>
        <v/>
      </c>
      <c r="M339" s="25" t="str">
        <f t="shared" si="39"/>
        <v/>
      </c>
      <c r="N339" s="25" t="str">
        <f t="shared" si="40"/>
        <v/>
      </c>
    </row>
    <row r="340" spans="9:14" x14ac:dyDescent="0.3">
      <c r="I340" s="23" t="str">
        <f t="shared" si="35"/>
        <v/>
      </c>
      <c r="J340" s="25" t="str">
        <f t="shared" si="38"/>
        <v/>
      </c>
      <c r="K340" s="25" t="str">
        <f t="shared" si="36"/>
        <v/>
      </c>
      <c r="L340" s="25" t="str">
        <f t="shared" si="37"/>
        <v/>
      </c>
      <c r="M340" s="25" t="str">
        <f t="shared" si="39"/>
        <v/>
      </c>
      <c r="N340" s="25" t="str">
        <f t="shared" si="40"/>
        <v/>
      </c>
    </row>
    <row r="341" spans="9:14" x14ac:dyDescent="0.3">
      <c r="I341" s="23" t="str">
        <f t="shared" si="35"/>
        <v/>
      </c>
      <c r="J341" s="25" t="str">
        <f t="shared" si="38"/>
        <v/>
      </c>
      <c r="K341" s="25" t="str">
        <f t="shared" si="36"/>
        <v/>
      </c>
      <c r="L341" s="25" t="str">
        <f t="shared" si="37"/>
        <v/>
      </c>
      <c r="M341" s="25" t="str">
        <f t="shared" si="39"/>
        <v/>
      </c>
      <c r="N341" s="25" t="str">
        <f t="shared" si="40"/>
        <v/>
      </c>
    </row>
    <row r="342" spans="9:14" x14ac:dyDescent="0.3">
      <c r="I342" s="23" t="str">
        <f t="shared" si="35"/>
        <v/>
      </c>
      <c r="J342" s="25" t="str">
        <f t="shared" si="38"/>
        <v/>
      </c>
      <c r="K342" s="25" t="str">
        <f t="shared" si="36"/>
        <v/>
      </c>
      <c r="L342" s="25" t="str">
        <f t="shared" si="37"/>
        <v/>
      </c>
      <c r="M342" s="25" t="str">
        <f t="shared" si="39"/>
        <v/>
      </c>
      <c r="N342" s="25" t="str">
        <f t="shared" si="40"/>
        <v/>
      </c>
    </row>
    <row r="343" spans="9:14" x14ac:dyDescent="0.3">
      <c r="I343" s="23" t="str">
        <f t="shared" si="35"/>
        <v/>
      </c>
      <c r="J343" s="25" t="str">
        <f t="shared" si="38"/>
        <v/>
      </c>
      <c r="K343" s="25" t="str">
        <f t="shared" si="36"/>
        <v/>
      </c>
      <c r="L343" s="25" t="str">
        <f t="shared" si="37"/>
        <v/>
      </c>
      <c r="M343" s="25" t="str">
        <f t="shared" si="39"/>
        <v/>
      </c>
      <c r="N343" s="25" t="str">
        <f t="shared" si="40"/>
        <v/>
      </c>
    </row>
    <row r="344" spans="9:14" x14ac:dyDescent="0.3">
      <c r="I344" s="23" t="str">
        <f t="shared" si="35"/>
        <v/>
      </c>
      <c r="J344" s="25" t="str">
        <f t="shared" si="38"/>
        <v/>
      </c>
      <c r="K344" s="25" t="str">
        <f t="shared" si="36"/>
        <v/>
      </c>
      <c r="L344" s="25" t="str">
        <f t="shared" si="37"/>
        <v/>
      </c>
      <c r="M344" s="25" t="str">
        <f t="shared" si="39"/>
        <v/>
      </c>
      <c r="N344" s="25" t="str">
        <f t="shared" si="40"/>
        <v/>
      </c>
    </row>
    <row r="345" spans="9:14" x14ac:dyDescent="0.3">
      <c r="I345" s="23" t="str">
        <f t="shared" si="35"/>
        <v/>
      </c>
      <c r="J345" s="25" t="str">
        <f t="shared" si="38"/>
        <v/>
      </c>
      <c r="K345" s="25" t="str">
        <f t="shared" si="36"/>
        <v/>
      </c>
      <c r="L345" s="25" t="str">
        <f t="shared" si="37"/>
        <v/>
      </c>
      <c r="M345" s="25" t="str">
        <f t="shared" si="39"/>
        <v/>
      </c>
      <c r="N345" s="25" t="str">
        <f t="shared" si="40"/>
        <v/>
      </c>
    </row>
    <row r="346" spans="9:14" x14ac:dyDescent="0.3">
      <c r="I346" s="23" t="str">
        <f t="shared" si="35"/>
        <v/>
      </c>
      <c r="J346" s="25" t="str">
        <f t="shared" si="38"/>
        <v/>
      </c>
      <c r="K346" s="25" t="str">
        <f t="shared" si="36"/>
        <v/>
      </c>
      <c r="L346" s="25" t="str">
        <f t="shared" si="37"/>
        <v/>
      </c>
      <c r="M346" s="25" t="str">
        <f t="shared" si="39"/>
        <v/>
      </c>
      <c r="N346" s="25" t="str">
        <f t="shared" si="40"/>
        <v/>
      </c>
    </row>
    <row r="347" spans="9:14" x14ac:dyDescent="0.3">
      <c r="I347" s="23" t="str">
        <f t="shared" si="35"/>
        <v/>
      </c>
      <c r="J347" s="25" t="str">
        <f t="shared" si="38"/>
        <v/>
      </c>
      <c r="K347" s="25" t="str">
        <f t="shared" si="36"/>
        <v/>
      </c>
      <c r="L347" s="25" t="str">
        <f t="shared" si="37"/>
        <v/>
      </c>
      <c r="M347" s="25" t="str">
        <f t="shared" si="39"/>
        <v/>
      </c>
      <c r="N347" s="25" t="str">
        <f t="shared" si="40"/>
        <v/>
      </c>
    </row>
    <row r="348" spans="9:14" x14ac:dyDescent="0.3">
      <c r="I348" s="23" t="str">
        <f t="shared" si="35"/>
        <v/>
      </c>
      <c r="J348" s="25" t="str">
        <f t="shared" si="38"/>
        <v/>
      </c>
      <c r="K348" s="25" t="str">
        <f t="shared" si="36"/>
        <v/>
      </c>
      <c r="L348" s="25" t="str">
        <f t="shared" si="37"/>
        <v/>
      </c>
      <c r="M348" s="25" t="str">
        <f t="shared" si="39"/>
        <v/>
      </c>
      <c r="N348" s="25" t="str">
        <f t="shared" si="40"/>
        <v/>
      </c>
    </row>
    <row r="349" spans="9:14" x14ac:dyDescent="0.3">
      <c r="I349" s="23" t="str">
        <f t="shared" si="35"/>
        <v/>
      </c>
      <c r="J349" s="25" t="str">
        <f t="shared" si="38"/>
        <v/>
      </c>
      <c r="K349" s="25" t="str">
        <f t="shared" si="36"/>
        <v/>
      </c>
      <c r="L349" s="25" t="str">
        <f t="shared" si="37"/>
        <v/>
      </c>
      <c r="M349" s="25" t="str">
        <f t="shared" si="39"/>
        <v/>
      </c>
      <c r="N349" s="25" t="str">
        <f t="shared" si="40"/>
        <v/>
      </c>
    </row>
    <row r="350" spans="9:14" x14ac:dyDescent="0.3">
      <c r="I350" s="23" t="str">
        <f t="shared" si="35"/>
        <v/>
      </c>
      <c r="J350" s="25" t="str">
        <f t="shared" si="38"/>
        <v/>
      </c>
      <c r="K350" s="25" t="str">
        <f t="shared" si="36"/>
        <v/>
      </c>
      <c r="L350" s="25" t="str">
        <f t="shared" si="37"/>
        <v/>
      </c>
      <c r="M350" s="25" t="str">
        <f t="shared" si="39"/>
        <v/>
      </c>
      <c r="N350" s="25" t="str">
        <f t="shared" si="40"/>
        <v/>
      </c>
    </row>
    <row r="351" spans="9:14" x14ac:dyDescent="0.3">
      <c r="I351" s="23" t="str">
        <f t="shared" si="35"/>
        <v/>
      </c>
      <c r="J351" s="25" t="str">
        <f t="shared" si="38"/>
        <v/>
      </c>
      <c r="K351" s="25" t="str">
        <f t="shared" si="36"/>
        <v/>
      </c>
      <c r="L351" s="25" t="str">
        <f t="shared" si="37"/>
        <v/>
      </c>
      <c r="M351" s="25" t="str">
        <f t="shared" si="39"/>
        <v/>
      </c>
      <c r="N351" s="25" t="str">
        <f t="shared" si="40"/>
        <v/>
      </c>
    </row>
    <row r="352" spans="9:14" x14ac:dyDescent="0.3">
      <c r="I352" s="23" t="str">
        <f t="shared" si="35"/>
        <v/>
      </c>
      <c r="J352" s="25" t="str">
        <f t="shared" si="38"/>
        <v/>
      </c>
      <c r="K352" s="25" t="str">
        <f t="shared" si="36"/>
        <v/>
      </c>
      <c r="L352" s="25" t="str">
        <f t="shared" si="37"/>
        <v/>
      </c>
      <c r="M352" s="25" t="str">
        <f t="shared" si="39"/>
        <v/>
      </c>
      <c r="N352" s="25" t="str">
        <f t="shared" si="40"/>
        <v/>
      </c>
    </row>
    <row r="353" spans="9:14" x14ac:dyDescent="0.3">
      <c r="I353" s="23" t="str">
        <f t="shared" si="35"/>
        <v/>
      </c>
      <c r="J353" s="25" t="str">
        <f t="shared" si="38"/>
        <v/>
      </c>
      <c r="K353" s="25" t="str">
        <f t="shared" si="36"/>
        <v/>
      </c>
      <c r="L353" s="25" t="str">
        <f t="shared" si="37"/>
        <v/>
      </c>
      <c r="M353" s="25" t="str">
        <f t="shared" si="39"/>
        <v/>
      </c>
      <c r="N353" s="25" t="str">
        <f t="shared" si="40"/>
        <v/>
      </c>
    </row>
    <row r="354" spans="9:14" x14ac:dyDescent="0.3">
      <c r="I354" s="23" t="str">
        <f t="shared" si="35"/>
        <v/>
      </c>
      <c r="J354" s="25" t="str">
        <f t="shared" si="38"/>
        <v/>
      </c>
      <c r="K354" s="25" t="str">
        <f t="shared" si="36"/>
        <v/>
      </c>
      <c r="L354" s="25" t="str">
        <f t="shared" si="37"/>
        <v/>
      </c>
      <c r="M354" s="25" t="str">
        <f t="shared" si="39"/>
        <v/>
      </c>
      <c r="N354" s="25" t="str">
        <f t="shared" si="40"/>
        <v/>
      </c>
    </row>
    <row r="355" spans="9:14" x14ac:dyDescent="0.3">
      <c r="I355" s="23" t="str">
        <f t="shared" si="35"/>
        <v/>
      </c>
      <c r="J355" s="25" t="str">
        <f t="shared" si="38"/>
        <v/>
      </c>
      <c r="K355" s="25" t="str">
        <f t="shared" si="36"/>
        <v/>
      </c>
      <c r="L355" s="25" t="str">
        <f t="shared" si="37"/>
        <v/>
      </c>
      <c r="M355" s="25" t="str">
        <f t="shared" si="39"/>
        <v/>
      </c>
      <c r="N355" s="25" t="str">
        <f t="shared" si="40"/>
        <v/>
      </c>
    </row>
    <row r="356" spans="9:14" x14ac:dyDescent="0.3">
      <c r="I356" s="23" t="str">
        <f t="shared" si="35"/>
        <v/>
      </c>
      <c r="J356" s="25" t="str">
        <f t="shared" si="38"/>
        <v/>
      </c>
      <c r="K356" s="25" t="str">
        <f t="shared" si="36"/>
        <v/>
      </c>
      <c r="L356" s="25" t="str">
        <f t="shared" si="37"/>
        <v/>
      </c>
      <c r="M356" s="25" t="str">
        <f t="shared" si="39"/>
        <v/>
      </c>
      <c r="N356" s="25" t="str">
        <f t="shared" si="40"/>
        <v/>
      </c>
    </row>
    <row r="357" spans="9:14" x14ac:dyDescent="0.3">
      <c r="I357" s="23" t="str">
        <f t="shared" si="35"/>
        <v/>
      </c>
      <c r="J357" s="25" t="str">
        <f t="shared" si="38"/>
        <v/>
      </c>
      <c r="K357" s="25" t="str">
        <f t="shared" si="36"/>
        <v/>
      </c>
      <c r="L357" s="25" t="str">
        <f t="shared" si="37"/>
        <v/>
      </c>
      <c r="M357" s="25" t="str">
        <f t="shared" si="39"/>
        <v/>
      </c>
      <c r="N357" s="25" t="str">
        <f t="shared" si="40"/>
        <v/>
      </c>
    </row>
    <row r="358" spans="9:14" x14ac:dyDescent="0.3">
      <c r="I358" s="23" t="str">
        <f t="shared" si="35"/>
        <v/>
      </c>
      <c r="J358" s="25" t="str">
        <f t="shared" si="38"/>
        <v/>
      </c>
      <c r="K358" s="25" t="str">
        <f t="shared" si="36"/>
        <v/>
      </c>
      <c r="L358" s="25" t="str">
        <f t="shared" si="37"/>
        <v/>
      </c>
      <c r="M358" s="25" t="str">
        <f t="shared" si="39"/>
        <v/>
      </c>
      <c r="N358" s="25" t="str">
        <f t="shared" si="40"/>
        <v/>
      </c>
    </row>
    <row r="359" spans="9:14" x14ac:dyDescent="0.3">
      <c r="I359" s="23" t="str">
        <f t="shared" si="35"/>
        <v/>
      </c>
      <c r="J359" s="25" t="str">
        <f t="shared" si="38"/>
        <v/>
      </c>
      <c r="K359" s="25" t="str">
        <f t="shared" si="36"/>
        <v/>
      </c>
      <c r="L359" s="25" t="str">
        <f t="shared" si="37"/>
        <v/>
      </c>
      <c r="M359" s="25" t="str">
        <f t="shared" si="39"/>
        <v/>
      </c>
      <c r="N359" s="25" t="str">
        <f t="shared" si="40"/>
        <v/>
      </c>
    </row>
    <row r="360" spans="9:14" x14ac:dyDescent="0.3">
      <c r="I360" s="23" t="str">
        <f t="shared" si="35"/>
        <v/>
      </c>
      <c r="J360" s="25" t="str">
        <f t="shared" si="38"/>
        <v/>
      </c>
      <c r="K360" s="25" t="str">
        <f t="shared" si="36"/>
        <v/>
      </c>
      <c r="L360" s="25" t="str">
        <f t="shared" si="37"/>
        <v/>
      </c>
      <c r="M360" s="25" t="str">
        <f t="shared" si="39"/>
        <v/>
      </c>
      <c r="N360" s="25" t="str">
        <f t="shared" si="40"/>
        <v/>
      </c>
    </row>
    <row r="361" spans="9:14" x14ac:dyDescent="0.3">
      <c r="I361" s="23" t="str">
        <f t="shared" si="35"/>
        <v/>
      </c>
      <c r="J361" s="25" t="str">
        <f t="shared" si="38"/>
        <v/>
      </c>
      <c r="K361" s="25" t="str">
        <f t="shared" si="36"/>
        <v/>
      </c>
      <c r="L361" s="25" t="str">
        <f t="shared" si="37"/>
        <v/>
      </c>
      <c r="M361" s="25" t="str">
        <f t="shared" si="39"/>
        <v/>
      </c>
      <c r="N361" s="25" t="str">
        <f t="shared" si="40"/>
        <v/>
      </c>
    </row>
    <row r="362" spans="9:14" x14ac:dyDescent="0.3">
      <c r="I362" s="23" t="str">
        <f t="shared" si="35"/>
        <v/>
      </c>
      <c r="J362" s="25" t="str">
        <f t="shared" si="38"/>
        <v/>
      </c>
      <c r="K362" s="25" t="str">
        <f t="shared" si="36"/>
        <v/>
      </c>
      <c r="L362" s="25" t="str">
        <f t="shared" si="37"/>
        <v/>
      </c>
      <c r="M362" s="25" t="str">
        <f t="shared" si="39"/>
        <v/>
      </c>
      <c r="N362" s="25" t="str">
        <f t="shared" si="40"/>
        <v/>
      </c>
    </row>
    <row r="363" spans="9:14" x14ac:dyDescent="0.3">
      <c r="I363" s="23" t="str">
        <f t="shared" si="35"/>
        <v/>
      </c>
      <c r="J363" s="25" t="str">
        <f t="shared" si="38"/>
        <v/>
      </c>
      <c r="K363" s="25" t="str">
        <f t="shared" si="36"/>
        <v/>
      </c>
      <c r="L363" s="25" t="str">
        <f t="shared" si="37"/>
        <v/>
      </c>
      <c r="M363" s="25" t="str">
        <f t="shared" si="39"/>
        <v/>
      </c>
      <c r="N363" s="25" t="str">
        <f t="shared" si="40"/>
        <v/>
      </c>
    </row>
    <row r="364" spans="9:14" x14ac:dyDescent="0.3">
      <c r="I364" s="23" t="str">
        <f t="shared" si="35"/>
        <v/>
      </c>
      <c r="J364" s="25" t="str">
        <f t="shared" si="38"/>
        <v/>
      </c>
      <c r="K364" s="25" t="str">
        <f t="shared" si="36"/>
        <v/>
      </c>
      <c r="L364" s="25" t="str">
        <f t="shared" si="37"/>
        <v/>
      </c>
      <c r="M364" s="25" t="str">
        <f t="shared" si="39"/>
        <v/>
      </c>
      <c r="N364" s="25" t="str">
        <f t="shared" si="40"/>
        <v/>
      </c>
    </row>
    <row r="365" spans="9:14" x14ac:dyDescent="0.3">
      <c r="I365" s="23" t="str">
        <f t="shared" si="35"/>
        <v/>
      </c>
      <c r="J365" s="25" t="str">
        <f t="shared" si="38"/>
        <v/>
      </c>
      <c r="K365" s="25" t="str">
        <f t="shared" si="36"/>
        <v/>
      </c>
      <c r="L365" s="25" t="str">
        <f t="shared" si="37"/>
        <v/>
      </c>
      <c r="M365" s="25" t="str">
        <f t="shared" si="39"/>
        <v/>
      </c>
      <c r="N365" s="25" t="str">
        <f t="shared" si="40"/>
        <v/>
      </c>
    </row>
    <row r="366" spans="9:14" x14ac:dyDescent="0.3">
      <c r="I366" s="23" t="str">
        <f t="shared" si="35"/>
        <v/>
      </c>
      <c r="J366" s="25" t="str">
        <f t="shared" si="38"/>
        <v/>
      </c>
      <c r="K366" s="25" t="str">
        <f t="shared" si="36"/>
        <v/>
      </c>
      <c r="L366" s="25" t="str">
        <f t="shared" si="37"/>
        <v/>
      </c>
      <c r="M366" s="25" t="str">
        <f t="shared" si="39"/>
        <v/>
      </c>
      <c r="N366" s="25" t="str">
        <f t="shared" si="40"/>
        <v/>
      </c>
    </row>
    <row r="367" spans="9:14" x14ac:dyDescent="0.3">
      <c r="I367" s="23" t="str">
        <f t="shared" si="35"/>
        <v/>
      </c>
      <c r="J367" s="25" t="str">
        <f t="shared" si="38"/>
        <v/>
      </c>
      <c r="K367" s="25" t="str">
        <f t="shared" si="36"/>
        <v/>
      </c>
      <c r="L367" s="25" t="str">
        <f t="shared" si="37"/>
        <v/>
      </c>
      <c r="M367" s="25" t="str">
        <f t="shared" si="39"/>
        <v/>
      </c>
      <c r="N367" s="25" t="str">
        <f t="shared" si="40"/>
        <v/>
      </c>
    </row>
    <row r="368" spans="9:14" x14ac:dyDescent="0.3">
      <c r="I368" s="23" t="str">
        <f t="shared" si="35"/>
        <v/>
      </c>
      <c r="J368" s="25" t="str">
        <f t="shared" si="38"/>
        <v/>
      </c>
      <c r="K368" s="25" t="str">
        <f t="shared" si="36"/>
        <v/>
      </c>
      <c r="L368" s="25" t="str">
        <f t="shared" si="37"/>
        <v/>
      </c>
      <c r="M368" s="25" t="str">
        <f t="shared" si="39"/>
        <v/>
      </c>
      <c r="N368" s="25" t="str">
        <f t="shared" si="40"/>
        <v/>
      </c>
    </row>
    <row r="369" spans="9:14" x14ac:dyDescent="0.3">
      <c r="I369" s="23" t="str">
        <f t="shared" si="35"/>
        <v/>
      </c>
      <c r="J369" s="25" t="str">
        <f t="shared" si="38"/>
        <v/>
      </c>
      <c r="K369" s="25" t="str">
        <f t="shared" si="36"/>
        <v/>
      </c>
      <c r="L369" s="25" t="str">
        <f t="shared" si="37"/>
        <v/>
      </c>
      <c r="M369" s="25" t="str">
        <f t="shared" si="39"/>
        <v/>
      </c>
      <c r="N369" s="25" t="str">
        <f t="shared" si="40"/>
        <v/>
      </c>
    </row>
    <row r="370" spans="9:14" x14ac:dyDescent="0.3">
      <c r="I370" s="23" t="str">
        <f t="shared" si="35"/>
        <v/>
      </c>
      <c r="J370" s="25" t="str">
        <f t="shared" si="38"/>
        <v/>
      </c>
      <c r="K370" s="25" t="str">
        <f t="shared" si="36"/>
        <v/>
      </c>
      <c r="L370" s="25" t="str">
        <f t="shared" si="37"/>
        <v/>
      </c>
      <c r="M370" s="25" t="str">
        <f t="shared" si="39"/>
        <v/>
      </c>
      <c r="N370" s="25" t="str">
        <f t="shared" si="40"/>
        <v/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82"/>
  <sheetViews>
    <sheetView showGridLines="0" tabSelected="1" workbookViewId="0">
      <selection activeCell="E35" sqref="E35:H82"/>
    </sheetView>
  </sheetViews>
  <sheetFormatPr defaultColWidth="9.109375" defaultRowHeight="14.4" x14ac:dyDescent="0.3"/>
  <cols>
    <col min="1" max="1" width="0.88671875" customWidth="1"/>
    <col min="2" max="2" width="7.6640625" customWidth="1"/>
    <col min="3" max="4" width="12.6640625" customWidth="1"/>
    <col min="5" max="5" width="14.33203125" bestFit="1" customWidth="1"/>
    <col min="6" max="6" width="2" customWidth="1"/>
    <col min="7" max="7" width="0.88671875" customWidth="1"/>
    <col min="9" max="9" width="13.33203125" bestFit="1" customWidth="1"/>
    <col min="10" max="10" width="11.5546875" customWidth="1"/>
    <col min="12" max="12" width="9.109375" customWidth="1"/>
    <col min="19" max="19" width="2" customWidth="1"/>
    <col min="20" max="20" width="0.88671875" customWidth="1"/>
  </cols>
  <sheetData>
    <row r="1" spans="1:23" ht="21.6" thickBot="1" x14ac:dyDescent="0.45">
      <c r="A1" s="21"/>
      <c r="B1" s="42" t="s">
        <v>33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</row>
    <row r="2" spans="1:23" ht="15.6" thickTop="1" thickBot="1" x14ac:dyDescent="0.35"/>
    <row r="3" spans="1:23" ht="15" thickBot="1" x14ac:dyDescent="0.35">
      <c r="A3" s="14"/>
      <c r="B3" s="15" t="s">
        <v>18</v>
      </c>
      <c r="C3" s="12"/>
      <c r="D3" s="13"/>
      <c r="E3" s="13"/>
      <c r="F3" s="3"/>
      <c r="G3" s="14"/>
      <c r="H3" s="15" t="s">
        <v>19</v>
      </c>
      <c r="I3" s="12"/>
      <c r="J3" s="13"/>
      <c r="K3" s="13"/>
      <c r="L3" s="13"/>
      <c r="M3" s="13"/>
      <c r="N3" s="13"/>
      <c r="O3" s="13"/>
      <c r="P3" s="13"/>
      <c r="Q3" s="13"/>
      <c r="R3" s="13"/>
      <c r="T3" s="14"/>
      <c r="U3" s="15" t="s">
        <v>22</v>
      </c>
      <c r="V3" s="12"/>
      <c r="W3" s="13"/>
    </row>
    <row r="4" spans="1:23" ht="6" customHeight="1" x14ac:dyDescent="0.3">
      <c r="B4" s="16"/>
      <c r="F4" s="17"/>
      <c r="H4" s="16"/>
    </row>
    <row r="5" spans="1:23" x14ac:dyDescent="0.3">
      <c r="B5" s="2" t="s">
        <v>0</v>
      </c>
      <c r="C5" s="2"/>
      <c r="D5" t="s">
        <v>26</v>
      </c>
      <c r="E5" s="18">
        <v>25000</v>
      </c>
      <c r="F5" s="3"/>
      <c r="U5" s="43" t="s">
        <v>21</v>
      </c>
      <c r="V5" s="44"/>
      <c r="W5" s="45"/>
    </row>
    <row r="6" spans="1:23" x14ac:dyDescent="0.3">
      <c r="B6" s="2" t="s">
        <v>16</v>
      </c>
      <c r="C6" s="2"/>
      <c r="D6" t="s">
        <v>15</v>
      </c>
      <c r="E6" s="18">
        <v>9</v>
      </c>
      <c r="F6" s="4"/>
      <c r="U6" s="46" t="s">
        <v>20</v>
      </c>
      <c r="V6" s="47"/>
      <c r="W6" s="48"/>
    </row>
    <row r="7" spans="1:23" x14ac:dyDescent="0.3">
      <c r="B7" s="2" t="s">
        <v>14</v>
      </c>
      <c r="C7" s="2"/>
      <c r="D7" t="s">
        <v>2</v>
      </c>
      <c r="E7" s="20">
        <v>48</v>
      </c>
      <c r="F7" s="2"/>
      <c r="U7" s="49">
        <f>IF(OR(E5="",E6="",E7=""),"",-PMT(E6/1200,E7,E5))</f>
        <v>622.12605934835528</v>
      </c>
      <c r="V7" s="49"/>
      <c r="W7" s="49"/>
    </row>
    <row r="8" spans="1:23" x14ac:dyDescent="0.3">
      <c r="B8" s="2" t="s">
        <v>13</v>
      </c>
      <c r="C8" s="2"/>
      <c r="E8" s="19">
        <v>45658</v>
      </c>
      <c r="F8" s="5"/>
      <c r="U8" s="49"/>
      <c r="V8" s="49"/>
      <c r="W8" s="49"/>
    </row>
    <row r="9" spans="1:23" ht="15" thickBot="1" x14ac:dyDescent="0.35"/>
    <row r="10" spans="1:23" ht="15" thickBot="1" x14ac:dyDescent="0.35">
      <c r="A10" s="14"/>
      <c r="B10" s="15" t="s">
        <v>17</v>
      </c>
      <c r="C10" s="12"/>
      <c r="D10" s="13"/>
      <c r="E10" s="13"/>
      <c r="U10" s="40" t="s">
        <v>11</v>
      </c>
      <c r="V10" s="40"/>
      <c r="W10" s="40"/>
    </row>
    <row r="11" spans="1:23" ht="6" customHeight="1" x14ac:dyDescent="0.3">
      <c r="B11" s="24">
        <v>1</v>
      </c>
      <c r="U11" s="41">
        <f>U7*E7</f>
        <v>29862.050848721054</v>
      </c>
      <c r="V11" s="41"/>
      <c r="W11" s="41"/>
    </row>
    <row r="12" spans="1:23" ht="15" customHeight="1" x14ac:dyDescent="0.3">
      <c r="B12" s="6" t="s">
        <v>2</v>
      </c>
      <c r="C12" s="7" t="s">
        <v>3</v>
      </c>
      <c r="D12" s="8" t="s">
        <v>4</v>
      </c>
      <c r="E12" s="9" t="s">
        <v>5</v>
      </c>
      <c r="U12" s="41"/>
      <c r="V12" s="41"/>
      <c r="W12" s="41"/>
    </row>
    <row r="13" spans="1:23" ht="15" customHeight="1" x14ac:dyDescent="0.3">
      <c r="B13" s="10">
        <f>IF(B11&gt;(MAX(Sheet1!I11:I370)-11),(MAX(Sheet1!I11:I370)-11),B11)</f>
        <v>1</v>
      </c>
      <c r="C13" s="1">
        <f>VLOOKUP($B13,Sheet1!$I$11:$N$370,2,FALSE)</f>
        <v>24565.373940651643</v>
      </c>
      <c r="D13" s="1">
        <f>VLOOKUP($B13,Sheet1!$I$11:$N$370,3,FALSE)</f>
        <v>434.62605934835528</v>
      </c>
      <c r="E13" s="1">
        <f>VLOOKUP($B13,Sheet1!$I$11:$N$370,4,FALSE)</f>
        <v>187.5</v>
      </c>
      <c r="U13" s="41"/>
      <c r="V13" s="41"/>
      <c r="W13" s="41"/>
    </row>
    <row r="14" spans="1:23" x14ac:dyDescent="0.3">
      <c r="B14" s="10">
        <f>B13+1</f>
        <v>2</v>
      </c>
      <c r="C14" s="1">
        <f>VLOOKUP($B14,Sheet1!$I$11:$N$370,2,FALSE)</f>
        <v>24127.488185858176</v>
      </c>
      <c r="D14" s="1">
        <f>VLOOKUP($B14,Sheet1!$I$11:$N$370,3,FALSE)</f>
        <v>437.88575479346798</v>
      </c>
      <c r="E14" s="1">
        <f>VLOOKUP($B14,Sheet1!$I$11:$N$370,4,FALSE)</f>
        <v>184.24030455488733</v>
      </c>
    </row>
    <row r="15" spans="1:23" x14ac:dyDescent="0.3">
      <c r="B15" s="10">
        <f t="shared" ref="B15:B24" si="0">B14+1</f>
        <v>3</v>
      </c>
      <c r="C15" s="1">
        <f>VLOOKUP($B15,Sheet1!$I$11:$N$370,2,FALSE)</f>
        <v>23686.318287903756</v>
      </c>
      <c r="D15" s="1">
        <f>VLOOKUP($B15,Sheet1!$I$11:$N$370,3,FALSE)</f>
        <v>441.16989795441896</v>
      </c>
      <c r="E15" s="1">
        <f>VLOOKUP($B15,Sheet1!$I$11:$N$370,4,FALSE)</f>
        <v>180.9561613939363</v>
      </c>
      <c r="U15" s="40" t="s">
        <v>12</v>
      </c>
      <c r="V15" s="40"/>
      <c r="W15" s="40"/>
    </row>
    <row r="16" spans="1:23" x14ac:dyDescent="0.3">
      <c r="B16" s="10">
        <f t="shared" si="0"/>
        <v>4</v>
      </c>
      <c r="C16" s="1">
        <f>VLOOKUP($B16,Sheet1!$I$11:$N$370,2,FALSE)</f>
        <v>23241.839615714678</v>
      </c>
      <c r="D16" s="1">
        <f>VLOOKUP($B16,Sheet1!$I$11:$N$370,3,FALSE)</f>
        <v>444.47867218907709</v>
      </c>
      <c r="E16" s="1">
        <f>VLOOKUP($B16,Sheet1!$I$11:$N$370,4,FALSE)</f>
        <v>177.6473871592782</v>
      </c>
      <c r="U16" s="50">
        <f>DATE(YEAR(E8),MONTH(E8)+E7,DAY(E8))</f>
        <v>47119</v>
      </c>
      <c r="V16" s="50"/>
      <c r="W16" s="50"/>
    </row>
    <row r="17" spans="2:23" x14ac:dyDescent="0.3">
      <c r="B17" s="10">
        <f t="shared" si="0"/>
        <v>5</v>
      </c>
      <c r="C17" s="1">
        <f>VLOOKUP($B17,Sheet1!$I$11:$N$370,2,FALSE)</f>
        <v>22794.027353484184</v>
      </c>
      <c r="D17" s="1">
        <f>VLOOKUP($B17,Sheet1!$I$11:$N$370,3,FALSE)</f>
        <v>447.81226223049521</v>
      </c>
      <c r="E17" s="1">
        <f>VLOOKUP($B17,Sheet1!$I$11:$N$370,4,FALSE)</f>
        <v>174.31379711786008</v>
      </c>
      <c r="U17" s="50"/>
      <c r="V17" s="50"/>
      <c r="W17" s="50"/>
    </row>
    <row r="18" spans="2:23" x14ac:dyDescent="0.3">
      <c r="B18" s="10">
        <f t="shared" si="0"/>
        <v>6</v>
      </c>
      <c r="C18" s="1">
        <f>VLOOKUP($B18,Sheet1!$I$11:$N$370,2,FALSE)</f>
        <v>22342.856499286958</v>
      </c>
      <c r="D18" s="1">
        <f>VLOOKUP($B18,Sheet1!$I$11:$N$370,3,FALSE)</f>
        <v>451.17085419722389</v>
      </c>
      <c r="E18" s="1">
        <f>VLOOKUP($B18,Sheet1!$I$11:$N$370,4,FALSE)</f>
        <v>170.95520515113137</v>
      </c>
    </row>
    <row r="19" spans="2:23" x14ac:dyDescent="0.3">
      <c r="B19" s="10">
        <f t="shared" si="0"/>
        <v>7</v>
      </c>
      <c r="C19" s="1">
        <f>VLOOKUP($B19,Sheet1!$I$11:$N$370,2,FALSE)</f>
        <v>21888.301863683253</v>
      </c>
      <c r="D19" s="1">
        <f>VLOOKUP($B19,Sheet1!$I$11:$N$370,3,FALSE)</f>
        <v>454.5546356037031</v>
      </c>
      <c r="E19" s="1">
        <f>VLOOKUP($B19,Sheet1!$I$11:$N$370,4,FALSE)</f>
        <v>167.57142374465218</v>
      </c>
      <c r="U19" s="40" t="s">
        <v>25</v>
      </c>
      <c r="V19" s="40"/>
      <c r="W19" s="40"/>
    </row>
    <row r="20" spans="2:23" ht="15" customHeight="1" x14ac:dyDescent="0.3">
      <c r="B20" s="10">
        <f t="shared" si="0"/>
        <v>8</v>
      </c>
      <c r="C20" s="1">
        <f>VLOOKUP($B20,Sheet1!$I$11:$N$370,2,FALSE)</f>
        <v>21430.338068312522</v>
      </c>
      <c r="D20" s="1">
        <f>VLOOKUP($B20,Sheet1!$I$11:$N$370,3,FALSE)</f>
        <v>457.96379537073091</v>
      </c>
      <c r="E20" s="1">
        <f>VLOOKUP($B20,Sheet1!$I$11:$N$370,4,FALSE)</f>
        <v>164.16226397762438</v>
      </c>
      <c r="U20" s="41">
        <f>+U11-E5</f>
        <v>4862.0508487210536</v>
      </c>
      <c r="V20" s="41"/>
      <c r="W20" s="41"/>
    </row>
    <row r="21" spans="2:23" ht="15" customHeight="1" x14ac:dyDescent="0.3">
      <c r="B21" s="10">
        <f t="shared" si="0"/>
        <v>9</v>
      </c>
      <c r="C21" s="1">
        <f>VLOOKUP($B21,Sheet1!$I$11:$N$370,2,FALSE)</f>
        <v>20968.93954447651</v>
      </c>
      <c r="D21" s="1">
        <f>VLOOKUP($B21,Sheet1!$I$11:$N$370,3,FALSE)</f>
        <v>461.39852383601135</v>
      </c>
      <c r="E21" s="1">
        <f>VLOOKUP($B21,Sheet1!$I$11:$N$370,4,FALSE)</f>
        <v>160.72753551234391</v>
      </c>
      <c r="U21" s="41"/>
      <c r="V21" s="41"/>
      <c r="W21" s="41"/>
    </row>
    <row r="22" spans="2:23" ht="15" customHeight="1" x14ac:dyDescent="0.3">
      <c r="B22" s="10">
        <f t="shared" si="0"/>
        <v>10</v>
      </c>
      <c r="C22" s="1">
        <f>VLOOKUP($B22,Sheet1!$I$11:$N$370,2,FALSE)</f>
        <v>20504.08053171173</v>
      </c>
      <c r="D22" s="1">
        <f>VLOOKUP($B22,Sheet1!$I$11:$N$370,3,FALSE)</f>
        <v>464.85901276478148</v>
      </c>
      <c r="E22" s="1">
        <f>VLOOKUP($B22,Sheet1!$I$11:$N$370,4,FALSE)</f>
        <v>157.26704658357383</v>
      </c>
    </row>
    <row r="23" spans="2:23" x14ac:dyDescent="0.3">
      <c r="B23" s="10">
        <f t="shared" si="0"/>
        <v>11</v>
      </c>
      <c r="C23" s="1">
        <f>VLOOKUP($B23,Sheet1!$I$11:$N$370,2,FALSE)</f>
        <v>20035.735076351211</v>
      </c>
      <c r="D23" s="1">
        <f>VLOOKUP($B23,Sheet1!$I$11:$N$370,3,FALSE)</f>
        <v>468.34545536051735</v>
      </c>
      <c r="E23" s="1">
        <f>VLOOKUP($B23,Sheet1!$I$11:$N$370,4,FALSE)</f>
        <v>153.78060398783796</v>
      </c>
    </row>
    <row r="24" spans="2:23" ht="15" customHeight="1" x14ac:dyDescent="0.3">
      <c r="B24" s="10">
        <f t="shared" si="0"/>
        <v>12</v>
      </c>
      <c r="C24" s="1">
        <f>VLOOKUP($B24,Sheet1!$I$11:$N$370,2,FALSE)</f>
        <v>19563.877030075491</v>
      </c>
      <c r="D24" s="1">
        <f>VLOOKUP($B24,Sheet1!$I$11:$N$370,3,FALSE)</f>
        <v>471.85804627572122</v>
      </c>
      <c r="E24" s="1">
        <f>VLOOKUP($B24,Sheet1!$I$11:$N$370,4,FALSE)</f>
        <v>150.26801307263406</v>
      </c>
    </row>
    <row r="25" spans="2:23" x14ac:dyDescent="0.3">
      <c r="B25" s="22"/>
    </row>
    <row r="28" spans="2:23" x14ac:dyDescent="0.3">
      <c r="B28" s="11"/>
    </row>
    <row r="29" spans="2:23" x14ac:dyDescent="0.3">
      <c r="E29" s="18">
        <f>+E5</f>
        <v>25000</v>
      </c>
    </row>
    <row r="30" spans="2:23" x14ac:dyDescent="0.3">
      <c r="D30" s="34" t="s">
        <v>27</v>
      </c>
      <c r="E30" s="37">
        <f>SUM(E35:E46)</f>
        <v>0.15</v>
      </c>
    </row>
    <row r="31" spans="2:23" x14ac:dyDescent="0.3">
      <c r="D31" t="s">
        <v>28</v>
      </c>
      <c r="E31" s="37">
        <f>SUM(E35:E58)</f>
        <v>0.26000000000000006</v>
      </c>
    </row>
    <row r="32" spans="2:23" x14ac:dyDescent="0.3">
      <c r="D32" t="s">
        <v>29</v>
      </c>
      <c r="E32" s="37">
        <f>SUM(E35:E70)</f>
        <v>0.35600000000000015</v>
      </c>
    </row>
    <row r="33" spans="4:11" x14ac:dyDescent="0.3">
      <c r="D33" t="s">
        <v>30</v>
      </c>
      <c r="E33" s="37">
        <f>SUM(E35:E82)</f>
        <v>0.44600000000000023</v>
      </c>
    </row>
    <row r="34" spans="4:11" x14ac:dyDescent="0.3">
      <c r="I34" s="39" t="s">
        <v>31</v>
      </c>
      <c r="J34" s="39" t="s">
        <v>32</v>
      </c>
    </row>
    <row r="35" spans="4:11" x14ac:dyDescent="0.3">
      <c r="D35" s="36">
        <v>1</v>
      </c>
      <c r="E35" s="35">
        <v>0.02</v>
      </c>
      <c r="H35" s="35">
        <f>+E35</f>
        <v>0.02</v>
      </c>
      <c r="I35" s="1">
        <f>+$E$29*(100%-H35)</f>
        <v>24500</v>
      </c>
      <c r="J35" s="1">
        <v>19673.323291361445</v>
      </c>
      <c r="K35" s="38"/>
    </row>
    <row r="36" spans="4:11" x14ac:dyDescent="0.3">
      <c r="D36" s="36">
        <v>2</v>
      </c>
      <c r="E36" s="35">
        <v>0.02</v>
      </c>
      <c r="H36" s="35">
        <f>+H35+E36</f>
        <v>0.04</v>
      </c>
      <c r="I36" s="1">
        <f t="shared" ref="I36:I82" si="1">+$E$29*(100%-H36)</f>
        <v>24000</v>
      </c>
      <c r="J36" s="1">
        <v>19343.379815636505</v>
      </c>
      <c r="K36" s="38"/>
    </row>
    <row r="37" spans="4:11" x14ac:dyDescent="0.3">
      <c r="D37" s="36">
        <v>3</v>
      </c>
      <c r="E37" s="35">
        <v>0.02</v>
      </c>
      <c r="H37" s="35">
        <f t="shared" ref="H37:H82" si="2">+H36+E37</f>
        <v>0.06</v>
      </c>
      <c r="I37" s="1">
        <f t="shared" si="1"/>
        <v>23500</v>
      </c>
      <c r="J37" s="1">
        <v>19010.136905154315</v>
      </c>
      <c r="K37" s="38"/>
    </row>
    <row r="38" spans="4:11" x14ac:dyDescent="0.3">
      <c r="D38" s="36">
        <v>4</v>
      </c>
      <c r="E38" s="35">
        <v>0.01</v>
      </c>
      <c r="H38" s="35">
        <f t="shared" si="2"/>
        <v>6.9999999999999993E-2</v>
      </c>
      <c r="I38" s="1">
        <f t="shared" si="1"/>
        <v>23250</v>
      </c>
      <c r="J38" s="1">
        <v>18673.561565567303</v>
      </c>
      <c r="K38" s="38"/>
    </row>
    <row r="39" spans="4:11" x14ac:dyDescent="0.3">
      <c r="D39" s="36">
        <v>5</v>
      </c>
      <c r="E39" s="35">
        <v>0.01</v>
      </c>
      <c r="H39" s="35">
        <f t="shared" si="2"/>
        <v>7.9999999999999988E-2</v>
      </c>
      <c r="I39" s="1">
        <f t="shared" si="1"/>
        <v>23000</v>
      </c>
      <c r="J39" s="1">
        <v>18333.620472584422</v>
      </c>
      <c r="K39" s="38"/>
    </row>
    <row r="40" spans="4:11" x14ac:dyDescent="0.3">
      <c r="D40" s="36">
        <v>6</v>
      </c>
      <c r="E40" s="35">
        <v>0.01</v>
      </c>
      <c r="H40" s="35">
        <f t="shared" si="2"/>
        <v>8.9999999999999983E-2</v>
      </c>
      <c r="I40" s="1">
        <f t="shared" si="1"/>
        <v>22750</v>
      </c>
      <c r="J40" s="1">
        <v>17990.279968671712</v>
      </c>
      <c r="K40" s="38"/>
    </row>
    <row r="41" spans="4:11" x14ac:dyDescent="0.3">
      <c r="D41" s="36">
        <v>7</v>
      </c>
      <c r="E41" s="35">
        <v>0.01</v>
      </c>
      <c r="H41" s="35">
        <f t="shared" si="2"/>
        <v>9.9999999999999978E-2</v>
      </c>
      <c r="I41" s="1">
        <f t="shared" si="1"/>
        <v>22500</v>
      </c>
      <c r="J41" s="1">
        <v>17643.506059719875</v>
      </c>
      <c r="K41" s="38"/>
    </row>
    <row r="42" spans="4:11" x14ac:dyDescent="0.3">
      <c r="D42" s="36">
        <v>8</v>
      </c>
      <c r="E42" s="35">
        <v>0.01</v>
      </c>
      <c r="H42" s="35">
        <f t="shared" si="2"/>
        <v>0.10999999999999997</v>
      </c>
      <c r="I42" s="1">
        <f t="shared" si="1"/>
        <v>22250</v>
      </c>
      <c r="J42" s="1">
        <v>17293.26441167852</v>
      </c>
      <c r="K42" s="38"/>
    </row>
    <row r="43" spans="4:11" x14ac:dyDescent="0.3">
      <c r="D43" s="36">
        <v>9</v>
      </c>
      <c r="E43" s="35">
        <v>0.01</v>
      </c>
      <c r="H43" s="35">
        <f t="shared" si="2"/>
        <v>0.11999999999999997</v>
      </c>
      <c r="I43" s="1">
        <f t="shared" si="1"/>
        <v>22000</v>
      </c>
      <c r="J43" s="1">
        <v>16939.520347156751</v>
      </c>
      <c r="K43" s="38"/>
    </row>
    <row r="44" spans="4:11" x14ac:dyDescent="0.3">
      <c r="D44" s="36">
        <v>10</v>
      </c>
      <c r="E44" s="35">
        <v>0.01</v>
      </c>
      <c r="H44" s="35">
        <f t="shared" si="2"/>
        <v>0.12999999999999998</v>
      </c>
      <c r="I44" s="1">
        <f t="shared" si="1"/>
        <v>21750</v>
      </c>
      <c r="J44" s="1">
        <v>16582.238841989762</v>
      </c>
      <c r="K44" s="38"/>
    </row>
    <row r="45" spans="4:11" x14ac:dyDescent="0.3">
      <c r="D45" s="36">
        <v>11</v>
      </c>
      <c r="E45" s="35">
        <v>0.01</v>
      </c>
      <c r="H45" s="35">
        <f t="shared" si="2"/>
        <v>0.13999999999999999</v>
      </c>
      <c r="I45" s="1">
        <f t="shared" si="1"/>
        <v>21500</v>
      </c>
      <c r="J45" s="1">
        <v>16221.384521771104</v>
      </c>
      <c r="K45" s="38"/>
    </row>
    <row r="46" spans="4:11" x14ac:dyDescent="0.3">
      <c r="D46" s="36">
        <v>12</v>
      </c>
      <c r="E46" s="35">
        <v>0.01</v>
      </c>
      <c r="H46" s="35">
        <f t="shared" si="2"/>
        <v>0.15</v>
      </c>
      <c r="I46" s="1">
        <f t="shared" si="1"/>
        <v>21250</v>
      </c>
      <c r="J46" s="1">
        <v>15856.92165835026</v>
      </c>
      <c r="K46" s="38"/>
    </row>
    <row r="47" spans="4:11" x14ac:dyDescent="0.3">
      <c r="D47" s="36">
        <v>13</v>
      </c>
      <c r="E47" s="35">
        <v>0.01</v>
      </c>
      <c r="H47" s="35">
        <f t="shared" si="2"/>
        <v>0.16</v>
      </c>
      <c r="I47" s="1">
        <f t="shared" si="1"/>
        <v>21000</v>
      </c>
      <c r="J47" s="1">
        <v>15488.814166295208</v>
      </c>
      <c r="K47" s="38"/>
    </row>
    <row r="48" spans="4:11" x14ac:dyDescent="0.3">
      <c r="D48" s="36">
        <v>14</v>
      </c>
      <c r="E48" s="35">
        <v>0.01</v>
      </c>
      <c r="H48" s="35">
        <f t="shared" si="2"/>
        <v>0.17</v>
      </c>
      <c r="I48" s="1">
        <f t="shared" si="1"/>
        <v>20750</v>
      </c>
      <c r="J48" s="1">
        <v>15117.025599319604</v>
      </c>
      <c r="K48" s="38"/>
    </row>
    <row r="49" spans="4:11" x14ac:dyDescent="0.3">
      <c r="D49" s="36">
        <v>15</v>
      </c>
      <c r="E49" s="35">
        <v>0.01</v>
      </c>
      <c r="H49" s="35">
        <f t="shared" si="2"/>
        <v>0.18000000000000002</v>
      </c>
      <c r="I49" s="1">
        <f t="shared" si="1"/>
        <v>20500</v>
      </c>
      <c r="J49" s="1">
        <v>14741.519146674245</v>
      </c>
      <c r="K49" s="38"/>
    </row>
    <row r="50" spans="4:11" x14ac:dyDescent="0.3">
      <c r="D50" s="36">
        <v>16</v>
      </c>
      <c r="E50" s="35">
        <v>0.01</v>
      </c>
      <c r="H50" s="35">
        <f t="shared" si="2"/>
        <v>0.19000000000000003</v>
      </c>
      <c r="I50" s="1">
        <f t="shared" si="1"/>
        <v>20250</v>
      </c>
      <c r="J50" s="1">
        <v>14362.257629502432</v>
      </c>
      <c r="K50" s="38"/>
    </row>
    <row r="51" spans="4:11" x14ac:dyDescent="0.3">
      <c r="D51" s="36">
        <v>17</v>
      </c>
      <c r="E51" s="35">
        <v>0.01</v>
      </c>
      <c r="H51" s="35">
        <f t="shared" si="2"/>
        <v>0.20000000000000004</v>
      </c>
      <c r="I51" s="1">
        <f t="shared" si="1"/>
        <v>20000</v>
      </c>
      <c r="J51" s="1">
        <v>13979.2034971589</v>
      </c>
      <c r="K51" s="38"/>
    </row>
    <row r="52" spans="4:11" x14ac:dyDescent="0.3">
      <c r="D52" s="36">
        <v>18</v>
      </c>
      <c r="E52" s="35">
        <v>0.01</v>
      </c>
      <c r="H52" s="35">
        <f t="shared" si="2"/>
        <v>0.21000000000000005</v>
      </c>
      <c r="I52" s="1">
        <f t="shared" si="1"/>
        <v>19749.999999999996</v>
      </c>
      <c r="J52" s="1">
        <v>13592.318823491934</v>
      </c>
      <c r="K52" s="38"/>
    </row>
    <row r="53" spans="4:11" x14ac:dyDescent="0.3">
      <c r="D53" s="36">
        <v>19</v>
      </c>
      <c r="E53" s="35">
        <v>0.01</v>
      </c>
      <c r="H53" s="35">
        <f t="shared" si="2"/>
        <v>0.22000000000000006</v>
      </c>
      <c r="I53" s="1">
        <f t="shared" si="1"/>
        <v>19499.999999999996</v>
      </c>
      <c r="J53" s="1">
        <v>13201.565303088299</v>
      </c>
      <c r="K53" s="38"/>
    </row>
    <row r="54" spans="4:11" x14ac:dyDescent="0.3">
      <c r="D54" s="36">
        <v>20</v>
      </c>
      <c r="E54" s="35">
        <v>8.0000000000000002E-3</v>
      </c>
      <c r="H54" s="35">
        <f t="shared" si="2"/>
        <v>0.22800000000000006</v>
      </c>
      <c r="I54" s="1">
        <f t="shared" si="1"/>
        <v>19299.999999999996</v>
      </c>
      <c r="J54" s="1">
        <v>12806.904247480627</v>
      </c>
      <c r="K54" s="38"/>
    </row>
    <row r="55" spans="4:11" x14ac:dyDescent="0.3">
      <c r="D55" s="36">
        <v>21</v>
      </c>
      <c r="E55" s="35">
        <v>8.0000000000000002E-3</v>
      </c>
      <c r="H55" s="35">
        <f t="shared" si="2"/>
        <v>0.23600000000000007</v>
      </c>
      <c r="I55" s="1">
        <f t="shared" si="1"/>
        <v>19099.999999999996</v>
      </c>
      <c r="J55" s="1">
        <v>12408.296581316878</v>
      </c>
      <c r="K55" s="38"/>
    </row>
    <row r="56" spans="4:11" x14ac:dyDescent="0.3">
      <c r="D56" s="36">
        <v>22</v>
      </c>
      <c r="E56" s="35">
        <v>8.0000000000000002E-3</v>
      </c>
      <c r="H56" s="35">
        <f t="shared" si="2"/>
        <v>0.24400000000000008</v>
      </c>
      <c r="I56" s="1">
        <f t="shared" si="1"/>
        <v>18899.999999999996</v>
      </c>
      <c r="J56" s="1">
        <v>12005.70283849149</v>
      </c>
      <c r="K56" s="38"/>
    </row>
    <row r="57" spans="4:11" x14ac:dyDescent="0.3">
      <c r="D57" s="36">
        <v>23</v>
      </c>
      <c r="E57" s="35">
        <v>8.0000000000000002E-3</v>
      </c>
      <c r="H57" s="35">
        <f t="shared" si="2"/>
        <v>0.25200000000000006</v>
      </c>
      <c r="I57" s="1">
        <f t="shared" si="1"/>
        <v>18700</v>
      </c>
      <c r="J57" s="1">
        <v>11599.083158237851</v>
      </c>
      <c r="K57" s="38"/>
    </row>
    <row r="58" spans="4:11" x14ac:dyDescent="0.3">
      <c r="D58" s="36">
        <v>24</v>
      </c>
      <c r="E58" s="35">
        <v>8.0000000000000002E-3</v>
      </c>
      <c r="H58" s="35">
        <f t="shared" si="2"/>
        <v>0.26000000000000006</v>
      </c>
      <c r="I58" s="1">
        <f t="shared" si="1"/>
        <v>18500</v>
      </c>
      <c r="J58" s="1">
        <v>11188.397281181673</v>
      </c>
      <c r="K58" s="38"/>
    </row>
    <row r="59" spans="4:11" x14ac:dyDescent="0.3">
      <c r="D59" s="36">
        <v>25</v>
      </c>
      <c r="E59" s="35">
        <v>8.0000000000000002E-3</v>
      </c>
      <c r="H59" s="35">
        <f t="shared" si="2"/>
        <v>0.26800000000000007</v>
      </c>
      <c r="I59" s="1">
        <f t="shared" si="1"/>
        <v>18300</v>
      </c>
      <c r="J59" s="1">
        <v>10773.604545354934</v>
      </c>
      <c r="K59" s="38"/>
    </row>
    <row r="60" spans="4:11" x14ac:dyDescent="0.3">
      <c r="D60" s="36">
        <v>26</v>
      </c>
      <c r="E60" s="35">
        <v>8.0000000000000002E-3</v>
      </c>
      <c r="H60" s="35">
        <f t="shared" si="2"/>
        <v>0.27600000000000008</v>
      </c>
      <c r="I60" s="1">
        <f t="shared" si="1"/>
        <v>18100</v>
      </c>
      <c r="J60" s="1">
        <v>10354.663882169929</v>
      </c>
      <c r="K60" s="38"/>
    </row>
    <row r="61" spans="4:11" x14ac:dyDescent="0.3">
      <c r="D61" s="36">
        <v>27</v>
      </c>
      <c r="E61" s="35">
        <v>8.0000000000000002E-3</v>
      </c>
      <c r="H61" s="35">
        <f t="shared" si="2"/>
        <v>0.28400000000000009</v>
      </c>
      <c r="I61" s="1">
        <f t="shared" si="1"/>
        <v>17900</v>
      </c>
      <c r="J61" s="1">
        <v>9931.5338123530728</v>
      </c>
      <c r="K61" s="38"/>
    </row>
    <row r="62" spans="4:11" x14ac:dyDescent="0.3">
      <c r="D62" s="36">
        <v>28</v>
      </c>
      <c r="E62" s="35">
        <v>8.0000000000000002E-3</v>
      </c>
      <c r="H62" s="35">
        <f t="shared" si="2"/>
        <v>0.29200000000000009</v>
      </c>
      <c r="I62" s="1">
        <f t="shared" si="1"/>
        <v>17700</v>
      </c>
      <c r="J62" s="1">
        <v>9504.1724418380491</v>
      </c>
      <c r="K62" s="38"/>
    </row>
    <row r="63" spans="4:11" x14ac:dyDescent="0.3">
      <c r="D63" s="36">
        <v>29</v>
      </c>
      <c r="E63" s="35">
        <v>8.0000000000000002E-3</v>
      </c>
      <c r="H63" s="35">
        <f t="shared" si="2"/>
        <v>0.3000000000000001</v>
      </c>
      <c r="I63" s="1">
        <f t="shared" si="1"/>
        <v>17500</v>
      </c>
      <c r="J63" s="1">
        <v>9072.5374576178747</v>
      </c>
      <c r="K63" s="38"/>
    </row>
    <row r="64" spans="4:11" x14ac:dyDescent="0.3">
      <c r="D64" s="36">
        <v>30</v>
      </c>
      <c r="E64" s="35">
        <v>8.0000000000000002E-3</v>
      </c>
      <c r="H64" s="35">
        <f t="shared" si="2"/>
        <v>0.30800000000000011</v>
      </c>
      <c r="I64" s="1">
        <f t="shared" si="1"/>
        <v>17300</v>
      </c>
      <c r="J64" s="1">
        <v>8636.5861235554985</v>
      </c>
      <c r="K64" s="38"/>
    </row>
    <row r="65" spans="4:11" x14ac:dyDescent="0.3">
      <c r="D65" s="36">
        <v>31</v>
      </c>
      <c r="E65" s="35">
        <v>8.0000000000000002E-3</v>
      </c>
      <c r="H65" s="35">
        <f t="shared" si="2"/>
        <v>0.31600000000000011</v>
      </c>
      <c r="I65" s="1">
        <f t="shared" si="1"/>
        <v>17100</v>
      </c>
      <c r="J65" s="1">
        <v>8196.2752761524989</v>
      </c>
      <c r="K65" s="38"/>
    </row>
    <row r="66" spans="4:11" x14ac:dyDescent="0.3">
      <c r="D66" s="36">
        <v>32</v>
      </c>
      <c r="E66" s="35">
        <v>8.0000000000000002E-3</v>
      </c>
      <c r="H66" s="35">
        <f t="shared" si="2"/>
        <v>0.32400000000000012</v>
      </c>
      <c r="I66" s="1">
        <f t="shared" si="1"/>
        <v>16900</v>
      </c>
      <c r="J66" s="1">
        <v>7751.5613202754685</v>
      </c>
      <c r="K66" s="38"/>
    </row>
    <row r="67" spans="4:11" x14ac:dyDescent="0.3">
      <c r="D67" s="36">
        <v>33</v>
      </c>
      <c r="E67" s="35">
        <v>8.0000000000000002E-3</v>
      </c>
      <c r="H67" s="35">
        <f t="shared" si="2"/>
        <v>0.33200000000000013</v>
      </c>
      <c r="I67" s="1">
        <f t="shared" si="1"/>
        <v>16699.999999999996</v>
      </c>
      <c r="J67" s="1">
        <v>7302.4002248396682</v>
      </c>
      <c r="K67" s="38"/>
    </row>
    <row r="68" spans="4:11" x14ac:dyDescent="0.3">
      <c r="D68" s="36">
        <v>34</v>
      </c>
      <c r="E68" s="35">
        <v>8.0000000000000002E-3</v>
      </c>
      <c r="H68" s="35">
        <f t="shared" si="2"/>
        <v>0.34000000000000014</v>
      </c>
      <c r="I68" s="1">
        <f t="shared" si="1"/>
        <v>16499.999999999996</v>
      </c>
      <c r="J68" s="1">
        <v>6848.7475184495097</v>
      </c>
      <c r="K68" s="38"/>
    </row>
    <row r="69" spans="4:11" x14ac:dyDescent="0.3">
      <c r="D69" s="36">
        <v>35</v>
      </c>
      <c r="E69" s="35">
        <v>8.0000000000000002E-3</v>
      </c>
      <c r="H69" s="35">
        <f t="shared" si="2"/>
        <v>0.34800000000000014</v>
      </c>
      <c r="I69" s="1">
        <f t="shared" si="1"/>
        <v>16299.999999999998</v>
      </c>
      <c r="J69" s="1">
        <v>6390.5582849954499</v>
      </c>
      <c r="K69" s="38"/>
    </row>
    <row r="70" spans="4:11" x14ac:dyDescent="0.3">
      <c r="D70" s="36">
        <v>36</v>
      </c>
      <c r="E70" s="35">
        <v>8.0000000000000002E-3</v>
      </c>
      <c r="H70" s="35">
        <f t="shared" si="2"/>
        <v>0.35600000000000015</v>
      </c>
      <c r="I70" s="1">
        <f t="shared" si="1"/>
        <v>16099.999999999998</v>
      </c>
      <c r="J70" s="1">
        <v>5927.7871592068495</v>
      </c>
      <c r="K70" s="38"/>
    </row>
    <row r="71" spans="4:11" x14ac:dyDescent="0.3">
      <c r="D71" s="36">
        <v>37</v>
      </c>
      <c r="E71" s="35">
        <v>8.0000000000000002E-3</v>
      </c>
      <c r="H71" s="35">
        <f t="shared" si="2"/>
        <v>0.36400000000000016</v>
      </c>
      <c r="I71" s="1">
        <f t="shared" si="1"/>
        <v>15899.999999999998</v>
      </c>
      <c r="J71" s="1">
        <v>5460.3883221603628</v>
      </c>
      <c r="K71" s="38"/>
    </row>
    <row r="72" spans="4:11" x14ac:dyDescent="0.3">
      <c r="D72" s="36">
        <v>38</v>
      </c>
      <c r="E72" s="35">
        <v>8.0000000000000002E-3</v>
      </c>
      <c r="H72" s="35">
        <f t="shared" si="2"/>
        <v>0.37200000000000016</v>
      </c>
      <c r="I72" s="1">
        <f t="shared" si="1"/>
        <v>15699.999999999998</v>
      </c>
      <c r="J72" s="1">
        <v>4988.3154967434111</v>
      </c>
      <c r="K72" s="38"/>
    </row>
    <row r="73" spans="4:11" x14ac:dyDescent="0.3">
      <c r="D73" s="36">
        <v>39</v>
      </c>
      <c r="E73" s="35">
        <v>8.0000000000000002E-3</v>
      </c>
      <c r="H73" s="35">
        <f t="shared" si="2"/>
        <v>0.38000000000000017</v>
      </c>
      <c r="I73" s="1">
        <f t="shared" si="1"/>
        <v>15499.999999999996</v>
      </c>
      <c r="J73" s="1">
        <v>4511.52194307229</v>
      </c>
      <c r="K73" s="38"/>
    </row>
    <row r="74" spans="4:11" x14ac:dyDescent="0.3">
      <c r="D74" s="36">
        <v>40</v>
      </c>
      <c r="E74" s="35">
        <v>8.0000000000000002E-3</v>
      </c>
      <c r="H74" s="35">
        <f t="shared" si="2"/>
        <v>0.38800000000000018</v>
      </c>
      <c r="I74" s="1">
        <f t="shared" si="1"/>
        <v>15299.999999999996</v>
      </c>
      <c r="J74" s="1">
        <v>4029.9604538644576</v>
      </c>
      <c r="K74" s="38"/>
    </row>
    <row r="75" spans="4:11" x14ac:dyDescent="0.3">
      <c r="D75" s="36">
        <v>41</v>
      </c>
      <c r="E75" s="35">
        <v>8.0000000000000002E-3</v>
      </c>
      <c r="H75" s="35">
        <f t="shared" si="2"/>
        <v>0.39600000000000019</v>
      </c>
      <c r="I75" s="1">
        <f t="shared" si="1"/>
        <v>15099.999999999996</v>
      </c>
      <c r="J75" s="1">
        <v>3543.5833497645467</v>
      </c>
      <c r="K75" s="38"/>
    </row>
    <row r="76" spans="4:11" x14ac:dyDescent="0.3">
      <c r="D76" s="36">
        <v>42</v>
      </c>
      <c r="E76" s="35">
        <v>8.0000000000000002E-3</v>
      </c>
      <c r="H76" s="35">
        <f t="shared" si="2"/>
        <v>0.40400000000000019</v>
      </c>
      <c r="I76" s="1">
        <f t="shared" si="1"/>
        <v>14899.999999999996</v>
      </c>
      <c r="J76" s="1">
        <v>3052.3424746236369</v>
      </c>
      <c r="K76" s="38"/>
    </row>
    <row r="77" spans="4:11" x14ac:dyDescent="0.3">
      <c r="D77" s="36">
        <v>43</v>
      </c>
      <c r="E77" s="35">
        <v>7.0000000000000001E-3</v>
      </c>
      <c r="H77" s="35">
        <f t="shared" si="2"/>
        <v>0.4110000000000002</v>
      </c>
      <c r="I77" s="1">
        <f t="shared" si="1"/>
        <v>14724.999999999995</v>
      </c>
      <c r="J77" s="1">
        <v>2556.1891907313179</v>
      </c>
      <c r="K77" s="38"/>
    </row>
    <row r="78" spans="4:11" x14ac:dyDescent="0.3">
      <c r="D78" s="36">
        <v>44</v>
      </c>
      <c r="E78" s="35">
        <v>7.0000000000000001E-3</v>
      </c>
      <c r="H78" s="35">
        <f t="shared" si="2"/>
        <v>0.4180000000000002</v>
      </c>
      <c r="I78" s="1">
        <f t="shared" si="1"/>
        <v>14549.999999999996</v>
      </c>
      <c r="J78" s="1">
        <v>2055.0743740000757</v>
      </c>
      <c r="K78" s="38"/>
    </row>
    <row r="79" spans="4:11" x14ac:dyDescent="0.3">
      <c r="D79" s="36">
        <v>45</v>
      </c>
      <c r="E79" s="35">
        <v>7.0000000000000001E-3</v>
      </c>
      <c r="H79" s="35">
        <f t="shared" si="2"/>
        <v>0.42500000000000021</v>
      </c>
      <c r="I79" s="1">
        <f t="shared" si="1"/>
        <v>14374.999999999993</v>
      </c>
      <c r="J79" s="1">
        <v>1548.9484091015213</v>
      </c>
      <c r="K79" s="38"/>
    </row>
    <row r="80" spans="4:11" x14ac:dyDescent="0.3">
      <c r="D80" s="36">
        <v>46</v>
      </c>
      <c r="E80" s="35">
        <v>7.0000000000000001E-3</v>
      </c>
      <c r="H80" s="35">
        <f t="shared" si="2"/>
        <v>0.43200000000000022</v>
      </c>
      <c r="I80" s="1">
        <f t="shared" si="1"/>
        <v>14199.999999999996</v>
      </c>
      <c r="J80" s="1">
        <v>1037.7611845539811</v>
      </c>
      <c r="K80" s="38"/>
    </row>
    <row r="81" spans="4:11" x14ac:dyDescent="0.3">
      <c r="D81" s="36">
        <v>47</v>
      </c>
      <c r="E81" s="35">
        <v>7.0000000000000001E-3</v>
      </c>
      <c r="H81" s="35">
        <f t="shared" si="2"/>
        <v>0.43900000000000022</v>
      </c>
      <c r="I81" s="1">
        <f t="shared" si="1"/>
        <v>14024.999999999993</v>
      </c>
      <c r="J81" s="1">
        <v>521.46208776096569</v>
      </c>
      <c r="K81" s="38"/>
    </row>
    <row r="82" spans="4:11" x14ac:dyDescent="0.3">
      <c r="D82" s="36">
        <v>48</v>
      </c>
      <c r="E82" s="35">
        <v>7.0000000000000001E-3</v>
      </c>
      <c r="H82" s="35">
        <f t="shared" si="2"/>
        <v>0.44600000000000023</v>
      </c>
      <c r="I82" s="1">
        <f t="shared" si="1"/>
        <v>13849.999999999996</v>
      </c>
      <c r="J82" s="1">
        <v>2.0008883439004421E-11</v>
      </c>
      <c r="K82" s="38"/>
    </row>
  </sheetData>
  <mergeCells count="10">
    <mergeCell ref="U19:W19"/>
    <mergeCell ref="U20:W21"/>
    <mergeCell ref="B1:W1"/>
    <mergeCell ref="U5:W5"/>
    <mergeCell ref="U6:W6"/>
    <mergeCell ref="U10:W10"/>
    <mergeCell ref="U15:W15"/>
    <mergeCell ref="U7:W8"/>
    <mergeCell ref="U11:W13"/>
    <mergeCell ref="U16:W17"/>
  </mergeCells>
  <pageMargins left="0.7" right="0.7" top="0.75" bottom="0.75" header="0.3" footer="0.3"/>
  <pageSetup scale="67" orientation="landscape" r:id="rId1"/>
  <headerFooter>
    <oddFooter>&amp;Ccopyright (c) 2011 exceltemplate.net</oddFooter>
  </headerFooter>
  <ignoredErrors>
    <ignoredError sqref="E30:E32" formulaRange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4" name="Scroll Bar 2">
              <controlPr defaultSize="0" autoPict="0">
                <anchor moveWithCells="1">
                  <from>
                    <xdr:col>1</xdr:col>
                    <xdr:colOff>68580</xdr:colOff>
                    <xdr:row>12</xdr:row>
                    <xdr:rowOff>38100</xdr:rowOff>
                  </from>
                  <to>
                    <xdr:col>1</xdr:col>
                    <xdr:colOff>228600</xdr:colOff>
                    <xdr:row>23</xdr:row>
                    <xdr:rowOff>144780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33" customWidth="1"/>
    <col min="2" max="16384" width="12.44140625" style="33"/>
  </cols>
  <sheetData>
    <row r="4" spans="1:1" s="30" customFormat="1" ht="15.6" customHeight="1" x14ac:dyDescent="0.5">
      <c r="A4" s="29"/>
    </row>
    <row r="5" spans="1:1" s="30" customFormat="1" ht="15.6" customHeight="1" x14ac:dyDescent="0.5">
      <c r="A5" s="31"/>
    </row>
    <row r="40" spans="1:15" s="30" customFormat="1" ht="30" customHeight="1" x14ac:dyDescent="0.5">
      <c r="A40" s="51" t="s">
        <v>23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29"/>
      <c r="N40" s="29"/>
      <c r="O40" s="29"/>
    </row>
    <row r="41" spans="1:15" s="30" customFormat="1" ht="30" customHeight="1" x14ac:dyDescent="0.5">
      <c r="A41" s="52" t="s">
        <v>24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32"/>
      <c r="N41" s="32"/>
      <c r="O41" s="32"/>
    </row>
  </sheetData>
  <mergeCells count="2">
    <mergeCell ref="A40:L40"/>
    <mergeCell ref="A41:L41"/>
  </mergeCells>
  <hyperlinks>
    <hyperlink ref="A41" r:id="rId1" display="https://exceltemplate.net/support/ " xr:uid="{00000000-0004-0000-0300-000000000000}"/>
    <hyperlink ref="A41:L41" r:id="rId2" display="https://exceltemplate.net/support/" xr:uid="{00000000-0004-0000-0300-000001000000}"/>
  </hyperlinks>
  <pageMargins left="0.7" right="0.7" top="0.75" bottom="0.75" header="0.3" footer="0.3"/>
  <pageSetup orientation="portrait" horizontalDpi="1200" verticalDpi="12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Amortization Chart</vt:lpstr>
      <vt:lpstr>Copyright-2</vt:lpstr>
      <vt:lpstr>'Amortization Chart'!Print_Area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Vasilis Pouloupatis</dc:creator>
  <cp:lastModifiedBy>Pouloupatis Vassileios</cp:lastModifiedBy>
  <cp:lastPrinted>2011-07-16T10:14:12Z</cp:lastPrinted>
  <dcterms:created xsi:type="dcterms:W3CDTF">2011-04-09T04:46:32Z</dcterms:created>
  <dcterms:modified xsi:type="dcterms:W3CDTF">2025-06-17T10:05:23Z</dcterms:modified>
</cp:coreProperties>
</file>