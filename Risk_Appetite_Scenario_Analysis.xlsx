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ouloupatis\Desktop\"/>
    </mc:Choice>
  </mc:AlternateContent>
  <xr:revisionPtr revIDLastSave="0" documentId="13_ncr:1_{67B23BA3-62A6-4C4B-806B-39569042DA2B}" xr6:coauthVersionLast="47" xr6:coauthVersionMax="47" xr10:uidLastSave="{00000000-0000-0000-0000-000000000000}"/>
  <bookViews>
    <workbookView xWindow="-108" yWindow="-108" windowWidth="23256" windowHeight="12456" xr2:uid="{BAF84142-963F-4E82-8355-EF2C82871214}"/>
  </bookViews>
  <sheets>
    <sheet name="Executive Summary" sheetId="4" r:id="rId1"/>
    <sheet name="Inputs" sheetId="1" r:id="rId2"/>
    <sheet name="Summary (actuals)" sheetId="2" r:id="rId3"/>
    <sheet name="Scenario Analysi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2" i="2"/>
  <c r="I21" i="3"/>
  <c r="I22" i="3" s="1"/>
  <c r="I23" i="3" s="1"/>
  <c r="I24" i="3" s="1"/>
  <c r="I25" i="3" s="1"/>
  <c r="I15" i="3"/>
  <c r="I16" i="3" s="1"/>
  <c r="I17" i="3" s="1"/>
  <c r="I18" i="3" s="1"/>
  <c r="I19" i="3" s="1"/>
  <c r="I9" i="3"/>
  <c r="I10" i="3" s="1"/>
  <c r="I11" i="3" s="1"/>
  <c r="I12" i="3" s="1"/>
  <c r="I13" i="3" s="1"/>
  <c r="B13" i="3"/>
  <c r="B12" i="3"/>
  <c r="B11" i="3"/>
  <c r="B10" i="3"/>
  <c r="B9" i="3"/>
  <c r="B8" i="3"/>
  <c r="G9" i="3"/>
  <c r="G10" i="3"/>
  <c r="G11" i="3"/>
  <c r="G12" i="3"/>
  <c r="G13" i="3"/>
  <c r="G8" i="3"/>
  <c r="G2" i="3"/>
  <c r="G20" i="3" s="1"/>
  <c r="G7" i="3"/>
  <c r="G19" i="3" s="1"/>
  <c r="G6" i="3"/>
  <c r="G18" i="3" s="1"/>
  <c r="G5" i="3"/>
  <c r="G17" i="3" s="1"/>
  <c r="G4" i="3"/>
  <c r="G16" i="3" s="1"/>
  <c r="G3" i="3"/>
  <c r="G21" i="3" s="1"/>
  <c r="G15" i="3" l="1"/>
  <c r="G14" i="3"/>
  <c r="G22" i="3"/>
  <c r="G23" i="3"/>
  <c r="G24" i="3"/>
  <c r="G25" i="3"/>
  <c r="C21" i="3"/>
  <c r="D21" i="3" s="1"/>
  <c r="F21" i="3" s="1"/>
  <c r="C22" i="3"/>
  <c r="D22" i="3" s="1"/>
  <c r="F22" i="3" s="1"/>
  <c r="C23" i="3"/>
  <c r="D23" i="3" s="1"/>
  <c r="F23" i="3" s="1"/>
  <c r="C24" i="3"/>
  <c r="D24" i="3" s="1"/>
  <c r="F24" i="3" s="1"/>
  <c r="C25" i="3"/>
  <c r="D25" i="3" s="1"/>
  <c r="F25" i="3" s="1"/>
  <c r="C20" i="3"/>
  <c r="D20" i="3" s="1"/>
  <c r="F20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2" i="3"/>
  <c r="D2" i="3" s="1"/>
  <c r="C3" i="3"/>
  <c r="C4" i="3"/>
  <c r="C5" i="3"/>
  <c r="C6" i="3"/>
  <c r="C7" i="3"/>
  <c r="K25" i="3"/>
  <c r="J25" i="3"/>
  <c r="J24" i="3"/>
  <c r="K24" i="3"/>
  <c r="J23" i="3"/>
  <c r="K23" i="3"/>
  <c r="K22" i="3"/>
  <c r="J22" i="3"/>
  <c r="J21" i="3"/>
  <c r="K21" i="3"/>
  <c r="J20" i="3"/>
  <c r="K20" i="3"/>
  <c r="K19" i="3"/>
  <c r="J19" i="3"/>
  <c r="K18" i="3"/>
  <c r="J18" i="3"/>
  <c r="K17" i="3"/>
  <c r="J17" i="3"/>
  <c r="J16" i="3"/>
  <c r="K16" i="3"/>
  <c r="J15" i="3"/>
  <c r="K15" i="3"/>
  <c r="K14" i="3"/>
  <c r="J13" i="3"/>
  <c r="K13" i="3"/>
  <c r="J12" i="3"/>
  <c r="K12" i="3"/>
  <c r="K11" i="3"/>
  <c r="J11" i="3"/>
  <c r="K10" i="3"/>
  <c r="J10" i="3"/>
  <c r="K9" i="3"/>
  <c r="J9" i="3"/>
  <c r="K8" i="3"/>
  <c r="J7" i="3"/>
  <c r="K7" i="3"/>
  <c r="K6" i="3"/>
  <c r="J6" i="3"/>
  <c r="J5" i="3"/>
  <c r="K5" i="3"/>
  <c r="J4" i="3"/>
  <c r="K4" i="3"/>
  <c r="K3" i="3"/>
  <c r="J3" i="3"/>
  <c r="K2" i="3"/>
  <c r="J2" i="3"/>
  <c r="G7" i="2"/>
  <c r="F7" i="2"/>
  <c r="G6" i="2"/>
  <c r="F6" i="2"/>
  <c r="G5" i="2"/>
  <c r="F5" i="2"/>
  <c r="G4" i="2"/>
  <c r="F4" i="2"/>
  <c r="G3" i="2"/>
  <c r="F3" i="2"/>
  <c r="G2" i="2"/>
  <c r="F2" i="2"/>
  <c r="D7" i="3" l="1"/>
  <c r="D4" i="3"/>
  <c r="D3" i="3"/>
  <c r="E2" i="3"/>
  <c r="F2" i="3"/>
  <c r="D6" i="3"/>
  <c r="Q2" i="3"/>
  <c r="D5" i="3"/>
  <c r="L25" i="3"/>
  <c r="Q20" i="3"/>
  <c r="L21" i="3"/>
  <c r="L24" i="3"/>
  <c r="E23" i="3"/>
  <c r="E17" i="3"/>
  <c r="F17" i="3"/>
  <c r="L17" i="3" s="1"/>
  <c r="F16" i="3"/>
  <c r="L16" i="3" s="1"/>
  <c r="E22" i="3"/>
  <c r="E16" i="3"/>
  <c r="F15" i="3"/>
  <c r="L15" i="3" s="1"/>
  <c r="E15" i="3"/>
  <c r="E21" i="3"/>
  <c r="E19" i="3"/>
  <c r="E25" i="3"/>
  <c r="F19" i="3"/>
  <c r="L19" i="3" s="1"/>
  <c r="E24" i="3"/>
  <c r="F18" i="3"/>
  <c r="L18" i="3" s="1"/>
  <c r="E18" i="3"/>
  <c r="F14" i="3"/>
  <c r="E14" i="3"/>
  <c r="E20" i="3"/>
  <c r="E13" i="3"/>
  <c r="F13" i="3"/>
  <c r="L13" i="3" s="1"/>
  <c r="E12" i="3"/>
  <c r="F12" i="3"/>
  <c r="L12" i="3" s="1"/>
  <c r="E11" i="3"/>
  <c r="F11" i="3"/>
  <c r="L11" i="3" s="1"/>
  <c r="E10" i="3"/>
  <c r="F10" i="3"/>
  <c r="L10" i="3" s="1"/>
  <c r="E9" i="3"/>
  <c r="F9" i="3"/>
  <c r="L9" i="3" s="1"/>
  <c r="F8" i="3"/>
  <c r="E8" i="3"/>
  <c r="L20" i="3"/>
  <c r="L22" i="3"/>
  <c r="L23" i="3"/>
  <c r="O20" i="3" l="1"/>
  <c r="M25" i="3"/>
  <c r="N25" i="3"/>
  <c r="M13" i="3"/>
  <c r="N13" i="3"/>
  <c r="M22" i="3"/>
  <c r="N22" i="3"/>
  <c r="M24" i="3"/>
  <c r="N24" i="3"/>
  <c r="M20" i="3"/>
  <c r="N20" i="3"/>
  <c r="M15" i="3"/>
  <c r="N15" i="3"/>
  <c r="M21" i="3"/>
  <c r="N21" i="3"/>
  <c r="M9" i="3"/>
  <c r="N9" i="3"/>
  <c r="M19" i="3"/>
  <c r="N19" i="3"/>
  <c r="M16" i="3"/>
  <c r="N16" i="3"/>
  <c r="M17" i="3"/>
  <c r="N17" i="3"/>
  <c r="M10" i="3"/>
  <c r="N10" i="3"/>
  <c r="M23" i="3"/>
  <c r="N23" i="3"/>
  <c r="M11" i="3"/>
  <c r="N11" i="3"/>
  <c r="M12" i="3"/>
  <c r="N12" i="3"/>
  <c r="M18" i="3"/>
  <c r="N18" i="3"/>
  <c r="E5" i="3"/>
  <c r="F5" i="3"/>
  <c r="L5" i="3" s="1"/>
  <c r="F3" i="3"/>
  <c r="L3" i="3" s="1"/>
  <c r="E3" i="3"/>
  <c r="F4" i="3"/>
  <c r="L4" i="3" s="1"/>
  <c r="E4" i="3"/>
  <c r="E6" i="3"/>
  <c r="F6" i="3"/>
  <c r="L6" i="3" s="1"/>
  <c r="E7" i="3"/>
  <c r="F7" i="3"/>
  <c r="L7" i="3" s="1"/>
  <c r="L2" i="3"/>
  <c r="O2" i="3" l="1"/>
  <c r="M2" i="3"/>
  <c r="N2" i="3"/>
  <c r="M7" i="3"/>
  <c r="N7" i="3"/>
  <c r="M6" i="3"/>
  <c r="N6" i="3"/>
  <c r="M5" i="3"/>
  <c r="N5" i="3"/>
  <c r="M4" i="3"/>
  <c r="N4" i="3"/>
  <c r="M3" i="3"/>
  <c r="N3" i="3"/>
  <c r="J14" i="3" l="1"/>
  <c r="Q14" i="3" s="1"/>
  <c r="J8" i="3"/>
  <c r="L8" i="3" s="1"/>
  <c r="O8" i="3" s="1"/>
  <c r="M8" i="3" l="1"/>
  <c r="N8" i="3"/>
  <c r="L14" i="3"/>
  <c r="O14" i="3" s="1"/>
  <c r="Q8" i="3"/>
  <c r="M14" i="3" l="1"/>
  <c r="N14" i="3"/>
</calcChain>
</file>

<file path=xl/sharedStrings.xml><?xml version="1.0" encoding="utf-8"?>
<sst xmlns="http://schemas.openxmlformats.org/spreadsheetml/2006/main" count="43" uniqueCount="37">
  <si>
    <t>Parameter</t>
  </si>
  <si>
    <t>Value</t>
  </si>
  <si>
    <t>Average Loan ticket (€)</t>
  </si>
  <si>
    <t>MOB</t>
  </si>
  <si>
    <t>New_Auto_CoR_2022</t>
  </si>
  <si>
    <t>Used_Auto_CoR_2022</t>
  </si>
  <si>
    <t>New_Auto_Profit_2022</t>
  </si>
  <si>
    <t>Used_Auto_Profit_2022</t>
  </si>
  <si>
    <t>Διαφορά_CoR (Used - New)</t>
  </si>
  <si>
    <t>Diff_Profit (Used - New)</t>
  </si>
  <si>
    <t>Risk Increase %</t>
  </si>
  <si>
    <t>Increased CoR (%)</t>
  </si>
  <si>
    <t>Decreased Net Profit (%)</t>
  </si>
  <si>
    <t>Net profit decrease (%)</t>
  </si>
  <si>
    <t>Used Auto Net Profit per Unit (Updated)</t>
  </si>
  <si>
    <t>Used Auto Net Profit per unit (current)</t>
  </si>
  <si>
    <t># of Disb. Loans (before the risk increase)</t>
  </si>
  <si>
    <t xml:space="preserve"> Increase (%) in # of Disb. Loans</t>
  </si>
  <si>
    <t># of Disb. Loans (after the risk increase)</t>
  </si>
  <si>
    <t xml:space="preserve">Total Net Profit (before the risk increase) </t>
  </si>
  <si>
    <t xml:space="preserve">Total Net Profit (after the risk increase) </t>
  </si>
  <si>
    <t>10%</t>
  </si>
  <si>
    <t>Scenarios Increase (%)</t>
  </si>
  <si>
    <t>Scenarios Increase (# of Appl.)</t>
  </si>
  <si>
    <t>production increase by     10%</t>
  </si>
  <si>
    <t>production increase by     15%</t>
  </si>
  <si>
    <t>production increase by    20%</t>
  </si>
  <si>
    <t>Gain (€)</t>
  </si>
  <si>
    <t>Gain (%)</t>
  </si>
  <si>
    <t>Avg. Gain (%)</t>
  </si>
  <si>
    <r>
      <t xml:space="preserve">production increase by c.5%                                              </t>
    </r>
    <r>
      <rPr>
        <sz val="11"/>
        <color theme="9" tint="-0.499984740745262"/>
        <rFont val="Aptos Narrow"/>
        <family val="2"/>
        <scheme val="minor"/>
      </rPr>
      <t>break even</t>
    </r>
    <r>
      <rPr>
        <sz val="11"/>
        <color theme="1"/>
        <rFont val="Aptos Narrow"/>
        <family val="2"/>
        <charset val="161"/>
        <scheme val="minor"/>
      </rPr>
      <t xml:space="preserve"> </t>
    </r>
    <r>
      <rPr>
        <sz val="11"/>
        <color theme="9" tint="-0.499984740745262"/>
        <rFont val="Aptos Narrow"/>
        <family val="2"/>
        <scheme val="minor"/>
      </rPr>
      <t>point</t>
    </r>
  </si>
  <si>
    <t>Could we increase the risk appetite?</t>
  </si>
  <si>
    <t>Risk-Reward Ratio</t>
  </si>
  <si>
    <t>Reward vs Risk: The risk reward ratio is positively inclined towards reward.</t>
  </si>
  <si>
    <t>Break-Even Analysis: A 10% increase in CoR can be offset by a production increase of only ~5%.</t>
  </si>
  <si>
    <t>Market Opportunity: The Used Auto market is generally more price-sensitive, therefore more receptive to credit expansion, and can offer rapid volume growth.</t>
  </si>
  <si>
    <t>Profitability Resilience: Used Auto maintains high profit margins even with a slightly higher probability of default.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</si>
</sst>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1"/>
      <color theme="9" tint="-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1" xfId="0" applyFont="1" applyBorder="1" applyAlignment="1">
      <alignment horizontal="left" vertical="top"/>
    </xf>
    <xf numFmtId="2" fontId="0" fillId="2" borderId="0" xfId="0" applyNumberForma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1" fillId="5" borderId="1" xfId="0" applyFont="1" applyFill="1" applyBorder="1" applyAlignment="1">
      <alignment horizontal="center" vertical="top"/>
    </xf>
    <xf numFmtId="2" fontId="0" fillId="5" borderId="0" xfId="0" applyNumberFormat="1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2" borderId="1" xfId="0" applyFont="1" applyFill="1" applyBorder="1" applyAlignment="1">
      <alignment horizontal="center" vertical="top"/>
    </xf>
    <xf numFmtId="2" fontId="0" fillId="3" borderId="0" xfId="0" applyNumberFormat="1" applyFill="1"/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3" fontId="0" fillId="2" borderId="6" xfId="0" applyNumberFormat="1" applyFill="1" applyBorder="1"/>
    <xf numFmtId="9" fontId="0" fillId="2" borderId="6" xfId="0" applyNumberFormat="1" applyFill="1" applyBorder="1" applyAlignment="1">
      <alignment horizontal="center"/>
    </xf>
    <xf numFmtId="3" fontId="0" fillId="2" borderId="7" xfId="0" applyNumberFormat="1" applyFill="1" applyBorder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/>
    </xf>
    <xf numFmtId="3" fontId="0" fillId="2" borderId="0" xfId="0" applyNumberFormat="1" applyFill="1"/>
    <xf numFmtId="9" fontId="0" fillId="2" borderId="0" xfId="0" applyNumberFormat="1" applyFill="1" applyAlignment="1">
      <alignment horizontal="center"/>
    </xf>
    <xf numFmtId="3" fontId="0" fillId="2" borderId="9" xfId="0" applyNumberFormat="1" applyFill="1" applyBorder="1"/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3" fontId="0" fillId="2" borderId="11" xfId="0" applyNumberFormat="1" applyFill="1" applyBorder="1"/>
    <xf numFmtId="9" fontId="0" fillId="2" borderId="11" xfId="0" applyNumberFormat="1" applyFill="1" applyBorder="1" applyAlignment="1">
      <alignment horizontal="center"/>
    </xf>
    <xf numFmtId="3" fontId="0" fillId="2" borderId="12" xfId="0" applyNumberFormat="1" applyFill="1" applyBorder="1"/>
    <xf numFmtId="0" fontId="0" fillId="3" borderId="5" xfId="0" applyFill="1" applyBorder="1" applyAlignment="1">
      <alignment horizontal="left"/>
    </xf>
    <xf numFmtId="9" fontId="0" fillId="3" borderId="6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3" fontId="0" fillId="3" borderId="6" xfId="0" applyNumberFormat="1" applyFill="1" applyBorder="1"/>
    <xf numFmtId="0" fontId="0" fillId="3" borderId="8" xfId="0" applyFill="1" applyBorder="1" applyAlignment="1">
      <alignment horizontal="left"/>
    </xf>
    <xf numFmtId="9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10" xfId="0" applyFill="1" applyBorder="1" applyAlignment="1">
      <alignment horizontal="left"/>
    </xf>
    <xf numFmtId="9" fontId="0" fillId="3" borderId="11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3" fontId="0" fillId="3" borderId="11" xfId="0" applyNumberFormat="1" applyFill="1" applyBorder="1"/>
    <xf numFmtId="0" fontId="0" fillId="4" borderId="5" xfId="0" applyFill="1" applyBorder="1" applyAlignment="1">
      <alignment horizontal="left"/>
    </xf>
    <xf numFmtId="9" fontId="0" fillId="4" borderId="6" xfId="0" applyNumberFormat="1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3" fontId="0" fillId="4" borderId="6" xfId="0" applyNumberFormat="1" applyFill="1" applyBorder="1"/>
    <xf numFmtId="3" fontId="0" fillId="4" borderId="7" xfId="0" applyNumberFormat="1" applyFill="1" applyBorder="1"/>
    <xf numFmtId="0" fontId="0" fillId="4" borderId="8" xfId="0" applyFill="1" applyBorder="1" applyAlignment="1">
      <alignment horizontal="left"/>
    </xf>
    <xf numFmtId="9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3" fontId="0" fillId="4" borderId="0" xfId="0" applyNumberFormat="1" applyFill="1"/>
    <xf numFmtId="3" fontId="0" fillId="4" borderId="9" xfId="0" applyNumberFormat="1" applyFill="1" applyBorder="1"/>
    <xf numFmtId="0" fontId="0" fillId="4" borderId="10" xfId="0" applyFill="1" applyBorder="1" applyAlignment="1">
      <alignment horizontal="left"/>
    </xf>
    <xf numFmtId="9" fontId="0" fillId="4" borderId="11" xfId="0" applyNumberFormat="1" applyFill="1" applyBorder="1" applyAlignment="1">
      <alignment horizontal="center"/>
    </xf>
    <xf numFmtId="2" fontId="0" fillId="4" borderId="11" xfId="0" applyNumberFormat="1" applyFill="1" applyBorder="1" applyAlignment="1">
      <alignment horizontal="center"/>
    </xf>
    <xf numFmtId="3" fontId="0" fillId="4" borderId="11" xfId="0" applyNumberFormat="1" applyFill="1" applyBorder="1"/>
    <xf numFmtId="3" fontId="0" fillId="4" borderId="12" xfId="0" applyNumberFormat="1" applyFill="1" applyBorder="1"/>
    <xf numFmtId="0" fontId="0" fillId="5" borderId="5" xfId="0" applyFill="1" applyBorder="1" applyAlignment="1">
      <alignment horizontal="left"/>
    </xf>
    <xf numFmtId="9" fontId="0" fillId="5" borderId="6" xfId="0" applyNumberFormat="1" applyFill="1" applyBorder="1" applyAlignment="1">
      <alignment horizontal="center"/>
    </xf>
    <xf numFmtId="2" fontId="0" fillId="5" borderId="6" xfId="0" applyNumberFormat="1" applyFill="1" applyBorder="1" applyAlignment="1">
      <alignment horizontal="center"/>
    </xf>
    <xf numFmtId="3" fontId="0" fillId="5" borderId="6" xfId="0" applyNumberFormat="1" applyFill="1" applyBorder="1"/>
    <xf numFmtId="3" fontId="0" fillId="5" borderId="7" xfId="0" applyNumberFormat="1" applyFill="1" applyBorder="1"/>
    <xf numFmtId="0" fontId="0" fillId="5" borderId="8" xfId="0" applyFill="1" applyBorder="1" applyAlignment="1">
      <alignment horizontal="left"/>
    </xf>
    <xf numFmtId="9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3" fontId="0" fillId="5" borderId="0" xfId="0" applyNumberFormat="1" applyFill="1"/>
    <xf numFmtId="3" fontId="0" fillId="5" borderId="9" xfId="0" applyNumberFormat="1" applyFill="1" applyBorder="1"/>
    <xf numFmtId="0" fontId="0" fillId="5" borderId="10" xfId="0" applyFill="1" applyBorder="1" applyAlignment="1">
      <alignment horizontal="left"/>
    </xf>
    <xf numFmtId="9" fontId="0" fillId="5" borderId="11" xfId="0" applyNumberFormat="1" applyFill="1" applyBorder="1" applyAlignment="1">
      <alignment horizontal="center"/>
    </xf>
    <xf numFmtId="2" fontId="0" fillId="5" borderId="11" xfId="0" applyNumberFormat="1" applyFill="1" applyBorder="1" applyAlignment="1">
      <alignment horizontal="center"/>
    </xf>
    <xf numFmtId="3" fontId="0" fillId="5" borderId="11" xfId="0" applyNumberFormat="1" applyFill="1" applyBorder="1"/>
    <xf numFmtId="3" fontId="0" fillId="5" borderId="12" xfId="0" applyNumberFormat="1" applyFill="1" applyBorder="1"/>
    <xf numFmtId="0" fontId="1" fillId="0" borderId="3" xfId="0" applyFont="1" applyBorder="1" applyAlignment="1">
      <alignment horizontal="center" vertical="top"/>
    </xf>
    <xf numFmtId="9" fontId="0" fillId="2" borderId="7" xfId="1" applyFont="1" applyFill="1" applyBorder="1" applyAlignment="1">
      <alignment horizontal="right"/>
    </xf>
    <xf numFmtId="9" fontId="0" fillId="2" borderId="9" xfId="1" applyFont="1" applyFill="1" applyBorder="1" applyAlignment="1">
      <alignment horizontal="right"/>
    </xf>
    <xf numFmtId="9" fontId="0" fillId="2" borderId="3" xfId="1" applyFont="1" applyFill="1" applyBorder="1" applyAlignment="1">
      <alignment horizontal="right"/>
    </xf>
    <xf numFmtId="9" fontId="0" fillId="3" borderId="2" xfId="1" applyFont="1" applyFill="1" applyBorder="1"/>
    <xf numFmtId="9" fontId="0" fillId="3" borderId="3" xfId="1" applyFont="1" applyFill="1" applyBorder="1"/>
    <xf numFmtId="9" fontId="0" fillId="3" borderId="4" xfId="1" applyFont="1" applyFill="1" applyBorder="1"/>
    <xf numFmtId="9" fontId="0" fillId="4" borderId="9" xfId="1" applyFont="1" applyFill="1" applyBorder="1"/>
    <xf numFmtId="9" fontId="0" fillId="4" borderId="12" xfId="1" applyFont="1" applyFill="1" applyBorder="1"/>
    <xf numFmtId="9" fontId="0" fillId="5" borderId="7" xfId="1" applyFont="1" applyFill="1" applyBorder="1"/>
    <xf numFmtId="9" fontId="0" fillId="5" borderId="9" xfId="1" applyFont="1" applyFill="1" applyBorder="1"/>
    <xf numFmtId="9" fontId="0" fillId="5" borderId="12" xfId="1" applyFont="1" applyFill="1" applyBorder="1"/>
    <xf numFmtId="0" fontId="0" fillId="6" borderId="0" xfId="0" applyFill="1"/>
    <xf numFmtId="3" fontId="0" fillId="2" borderId="2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0" fillId="3" borderId="2" xfId="0" quotePrefix="1" applyNumberFormat="1" applyFill="1" applyBorder="1" applyAlignment="1">
      <alignment horizontal="center" vertical="center" wrapText="1"/>
    </xf>
    <xf numFmtId="3" fontId="0" fillId="3" borderId="3" xfId="0" applyNumberFormat="1" applyFill="1" applyBorder="1" applyAlignment="1">
      <alignment horizontal="center" vertical="center" wrapText="1"/>
    </xf>
    <xf numFmtId="3" fontId="0" fillId="3" borderId="4" xfId="0" applyNumberFormat="1" applyFill="1" applyBorder="1" applyAlignment="1">
      <alignment horizontal="center" vertical="center" wrapText="1"/>
    </xf>
    <xf numFmtId="3" fontId="0" fillId="4" borderId="3" xfId="0" quotePrefix="1" applyNumberFormat="1" applyFill="1" applyBorder="1" applyAlignment="1">
      <alignment horizontal="center" vertical="center" wrapText="1"/>
    </xf>
    <xf numFmtId="3" fontId="0" fillId="4" borderId="3" xfId="0" applyNumberFormat="1" applyFill="1" applyBorder="1" applyAlignment="1">
      <alignment horizontal="center" vertical="center" wrapText="1"/>
    </xf>
    <xf numFmtId="3" fontId="0" fillId="4" borderId="4" xfId="0" applyNumberFormat="1" applyFill="1" applyBorder="1" applyAlignment="1">
      <alignment horizontal="center" vertical="center" wrapText="1"/>
    </xf>
    <xf numFmtId="3" fontId="0" fillId="5" borderId="2" xfId="0" quotePrefix="1" applyNumberFormat="1" applyFill="1" applyBorder="1" applyAlignment="1">
      <alignment horizontal="center" vertical="center" wrapText="1"/>
    </xf>
    <xf numFmtId="3" fontId="0" fillId="5" borderId="3" xfId="0" applyNumberFormat="1" applyFill="1" applyBorder="1" applyAlignment="1">
      <alignment horizontal="center" vertical="center" wrapText="1"/>
    </xf>
    <xf numFmtId="3" fontId="0" fillId="5" borderId="4" xfId="0" applyNumberFormat="1" applyFill="1" applyBorder="1" applyAlignment="1">
      <alignment horizontal="center" vertical="center" wrapText="1"/>
    </xf>
    <xf numFmtId="9" fontId="0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3" borderId="2" xfId="1" applyFont="1" applyFill="1" applyBorder="1" applyAlignment="1">
      <alignment horizontal="center" vertical="center" wrapText="1"/>
    </xf>
    <xf numFmtId="9" fontId="0" fillId="4" borderId="2" xfId="1" applyFont="1" applyFill="1" applyBorder="1" applyAlignment="1">
      <alignment horizontal="center" vertical="center" wrapText="1"/>
    </xf>
    <xf numFmtId="9" fontId="0" fillId="5" borderId="2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9" fontId="0" fillId="3" borderId="2" xfId="0" quotePrefix="1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9" fontId="0" fillId="4" borderId="3" xfId="0" quotePrefix="1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9" fontId="0" fillId="5" borderId="2" xfId="0" quotePrefix="1" applyNumberForma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3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243840</xdr:colOff>
      <xdr:row>0</xdr:row>
      <xdr:rowOff>7620</xdr:rowOff>
    </xdr:from>
    <xdr:to>
      <xdr:col>9</xdr:col>
      <xdr:colOff>22860</xdr:colOff>
      <xdr:row>7</xdr:row>
      <xdr:rowOff>15240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98E876A-82BF-957D-0766-6806E7EDAFD9}"/>
            </a:ext>
          </a:extLst>
        </xdr:cNvPr>
        <xdr:cNvSpPr/>
      </xdr:nvSpPr>
      <xdr:spPr>
        <a:xfrm>
          <a:off x="9685020" y="7620"/>
          <a:ext cx="1844040" cy="1287780"/>
        </a:xfrm>
        <a:prstGeom prst="rect">
          <a:avLst/>
        </a:prstGeom>
        <a:noFill/>
        <a:ln w="38100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1158240</xdr:colOff>
      <xdr:row>1</xdr:row>
      <xdr:rowOff>15240</xdr:rowOff>
    </xdr:from>
    <xdr:to>
      <xdr:col>16</xdr:col>
      <xdr:colOff>1805940</xdr:colOff>
      <xdr:row>4</xdr:row>
      <xdr:rowOff>83820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59D1D15-FF34-7262-BEC8-871B7ED9D252}"/>
            </a:ext>
          </a:extLst>
        </xdr:cNvPr>
        <xdr:cNvSpPr/>
      </xdr:nvSpPr>
      <xdr:spPr>
        <a:xfrm>
          <a:off x="27325320" y="198120"/>
          <a:ext cx="647700" cy="6172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per</a:t>
          </a:r>
          <a:r>
            <a:rPr lang="en-US" sz="1100" baseline="0"/>
            <a:t> 100s</a:t>
          </a:r>
          <a:endParaRPr lang="el-GR" sz="1100"/>
        </a:p>
      </xdr:txBody>
    </xdr:sp>
    <xdr:clientData/>
  </xdr:twoCellAnchor>
  <xdr:twoCellAnchor>
    <xdr:from>
      <xdr:col>16</xdr:col>
      <xdr:colOff>1150620</xdr:colOff>
      <xdr:row>7</xdr:row>
      <xdr:rowOff>7620</xdr:rowOff>
    </xdr:from>
    <xdr:to>
      <xdr:col>16</xdr:col>
      <xdr:colOff>1798320</xdr:colOff>
      <xdr:row>10</xdr:row>
      <xdr:rowOff>76200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9876EDF-549F-4497-B91C-82EDA538A026}"/>
            </a:ext>
          </a:extLst>
        </xdr:cNvPr>
        <xdr:cNvSpPr/>
      </xdr:nvSpPr>
      <xdr:spPr>
        <a:xfrm>
          <a:off x="25808940" y="1287780"/>
          <a:ext cx="647700" cy="6172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per</a:t>
          </a:r>
          <a:r>
            <a:rPr lang="en-US" sz="1100" baseline="0"/>
            <a:t> 100s</a:t>
          </a:r>
          <a:endParaRPr lang="el-GR" sz="1100"/>
        </a:p>
      </xdr:txBody>
    </xdr:sp>
    <xdr:clientData/>
  </xdr:twoCellAnchor>
  <xdr:twoCellAnchor>
    <xdr:from>
      <xdr:col>16</xdr:col>
      <xdr:colOff>1158240</xdr:colOff>
      <xdr:row>13</xdr:row>
      <xdr:rowOff>15240</xdr:rowOff>
    </xdr:from>
    <xdr:to>
      <xdr:col>16</xdr:col>
      <xdr:colOff>1805940</xdr:colOff>
      <xdr:row>16</xdr:row>
      <xdr:rowOff>83820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29364E6-37F0-4CFA-A453-1724EBF429F3}"/>
            </a:ext>
          </a:extLst>
        </xdr:cNvPr>
        <xdr:cNvSpPr/>
      </xdr:nvSpPr>
      <xdr:spPr>
        <a:xfrm>
          <a:off x="27325320" y="2392680"/>
          <a:ext cx="647700" cy="6172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per</a:t>
          </a:r>
          <a:r>
            <a:rPr lang="en-US" sz="1100" baseline="0"/>
            <a:t> 100s</a:t>
          </a:r>
          <a:endParaRPr lang="el-GR" sz="1100"/>
        </a:p>
      </xdr:txBody>
    </xdr:sp>
    <xdr:clientData/>
  </xdr:twoCellAnchor>
  <xdr:twoCellAnchor>
    <xdr:from>
      <xdr:col>16</xdr:col>
      <xdr:colOff>1158240</xdr:colOff>
      <xdr:row>19</xdr:row>
      <xdr:rowOff>15240</xdr:rowOff>
    </xdr:from>
    <xdr:to>
      <xdr:col>16</xdr:col>
      <xdr:colOff>1805940</xdr:colOff>
      <xdr:row>22</xdr:row>
      <xdr:rowOff>83820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C5964D4-F00E-46DD-BD0D-86AA430E3E91}"/>
            </a:ext>
          </a:extLst>
        </xdr:cNvPr>
        <xdr:cNvSpPr/>
      </xdr:nvSpPr>
      <xdr:spPr>
        <a:xfrm>
          <a:off x="27325320" y="3489960"/>
          <a:ext cx="647700" cy="6172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per</a:t>
          </a:r>
          <a:r>
            <a:rPr lang="en-US" sz="1100" baseline="0"/>
            <a:t> 100s</a:t>
          </a:r>
          <a:endParaRPr lang="el-GR" sz="1100"/>
        </a:p>
      </xdr:txBody>
    </xdr:sp>
    <xdr:clientData/>
  </xdr:twoCellAnchor>
  <xdr:twoCellAnchor>
    <xdr:from>
      <xdr:col>13</xdr:col>
      <xdr:colOff>670560</xdr:colOff>
      <xdr:row>0</xdr:row>
      <xdr:rowOff>15240</xdr:rowOff>
    </xdr:from>
    <xdr:to>
      <xdr:col>17</xdr:col>
      <xdr:colOff>22860</xdr:colOff>
      <xdr:row>25</xdr:row>
      <xdr:rowOff>15240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1A606C9-3EF9-D6EA-B9E3-3C4F11A6DF4B}"/>
            </a:ext>
          </a:extLst>
        </xdr:cNvPr>
        <xdr:cNvSpPr/>
      </xdr:nvSpPr>
      <xdr:spPr>
        <a:xfrm>
          <a:off x="23774400" y="15240"/>
          <a:ext cx="4229100" cy="4572000"/>
        </a:xfrm>
        <a:prstGeom prst="rect">
          <a:avLst/>
        </a:prstGeom>
        <a:noFill/>
        <a:ln w="38100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96DA-BF5A-4080-B0D9-C38B3BC8A8F4}">
  <dimension ref="A2:B7"/>
  <sheetViews>
    <sheetView tabSelected="1" workbookViewId="0">
      <selection activeCell="B11" sqref="B11"/>
    </sheetView>
  </sheetViews>
  <sheetFormatPr defaultRowHeight="14.4" x14ac:dyDescent="0.3"/>
  <cols>
    <col min="2" max="2" width="177.33203125" bestFit="1" customWidth="1"/>
  </cols>
  <sheetData>
    <row r="2" spans="1:2" x14ac:dyDescent="0.3">
      <c r="B2" s="7" t="s">
        <v>31</v>
      </c>
    </row>
    <row r="4" spans="1:2" x14ac:dyDescent="0.3">
      <c r="A4" s="7">
        <v>1</v>
      </c>
      <c r="B4" t="s">
        <v>33</v>
      </c>
    </row>
    <row r="5" spans="1:2" x14ac:dyDescent="0.3">
      <c r="A5" s="7">
        <v>2</v>
      </c>
      <c r="B5" t="s">
        <v>34</v>
      </c>
    </row>
    <row r="6" spans="1:2" x14ac:dyDescent="0.3">
      <c r="A6" s="7">
        <v>3</v>
      </c>
      <c r="B6" t="s">
        <v>35</v>
      </c>
    </row>
    <row r="7" spans="1:2" x14ac:dyDescent="0.3">
      <c r="A7" s="7">
        <v>4</v>
      </c>
      <c r="B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D783-A093-484E-8435-920337039CD5}">
  <dimension ref="A1:B2"/>
  <sheetViews>
    <sheetView workbookViewId="0">
      <selection activeCell="B2" sqref="B2"/>
    </sheetView>
  </sheetViews>
  <sheetFormatPr defaultRowHeight="14.4" x14ac:dyDescent="0.3"/>
  <cols>
    <col min="1" max="1" width="19.33203125" bestFit="1" customWidth="1"/>
    <col min="2" max="2" width="7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AC29-1AFE-4108-BEEB-6BDFC43A671A}">
  <dimension ref="A1:I16"/>
  <sheetViews>
    <sheetView workbookViewId="0">
      <selection activeCell="I2" sqref="I2"/>
    </sheetView>
  </sheetViews>
  <sheetFormatPr defaultRowHeight="14.4" x14ac:dyDescent="0.3"/>
  <cols>
    <col min="1" max="1" width="5.21875" bestFit="1" customWidth="1"/>
    <col min="2" max="2" width="19.44140625" customWidth="1"/>
    <col min="3" max="3" width="19.88671875" bestFit="1" customWidth="1"/>
    <col min="4" max="4" width="20.77734375" customWidth="1"/>
    <col min="5" max="5" width="21.33203125" bestFit="1" customWidth="1"/>
    <col min="6" max="6" width="24.77734375" bestFit="1" customWidth="1"/>
    <col min="7" max="7" width="26.21875" bestFit="1" customWidth="1"/>
    <col min="8" max="8" width="3.88671875" customWidth="1"/>
    <col min="9" max="9" width="26.21875" bestFit="1" customWidth="1"/>
  </cols>
  <sheetData>
    <row r="1" spans="1:9" x14ac:dyDescent="0.3">
      <c r="A1" s="1" t="s">
        <v>3</v>
      </c>
      <c r="B1" s="10" t="s">
        <v>4</v>
      </c>
      <c r="C1" s="8" t="s">
        <v>5</v>
      </c>
      <c r="D1" s="10" t="s">
        <v>6</v>
      </c>
      <c r="E1" s="8" t="s">
        <v>7</v>
      </c>
      <c r="F1" s="12" t="s">
        <v>8</v>
      </c>
      <c r="G1" s="12" t="s">
        <v>9</v>
      </c>
      <c r="H1" s="85"/>
      <c r="I1" s="12" t="s">
        <v>32</v>
      </c>
    </row>
    <row r="2" spans="1:9" x14ac:dyDescent="0.3">
      <c r="A2">
        <v>6</v>
      </c>
      <c r="B2" s="11">
        <v>-1.4</v>
      </c>
      <c r="C2" s="9">
        <v>-2.4</v>
      </c>
      <c r="D2" s="13">
        <v>2.7</v>
      </c>
      <c r="E2" s="9">
        <v>4.3</v>
      </c>
      <c r="F2" s="4">
        <f>+C2-B2</f>
        <v>-1</v>
      </c>
      <c r="G2" s="4">
        <f>+E2-D2</f>
        <v>1.5999999999999996</v>
      </c>
      <c r="H2" s="85"/>
      <c r="I2" s="4">
        <f>-C2/E2</f>
        <v>0.55813953488372092</v>
      </c>
    </row>
    <row r="3" spans="1:9" x14ac:dyDescent="0.3">
      <c r="A3">
        <v>12</v>
      </c>
      <c r="B3" s="11">
        <v>-1.2</v>
      </c>
      <c r="C3" s="9">
        <v>-2</v>
      </c>
      <c r="D3" s="13">
        <v>2.9</v>
      </c>
      <c r="E3" s="9">
        <v>5</v>
      </c>
      <c r="F3" s="4">
        <f t="shared" ref="F3:F7" si="0">+C3-B3</f>
        <v>-0.8</v>
      </c>
      <c r="G3" s="4">
        <f t="shared" ref="G3:G7" si="1">+E3-D3</f>
        <v>2.1</v>
      </c>
      <c r="H3" s="85"/>
      <c r="I3" s="4">
        <f t="shared" ref="I3:I7" si="2">-C3/E3</f>
        <v>0.4</v>
      </c>
    </row>
    <row r="4" spans="1:9" x14ac:dyDescent="0.3">
      <c r="A4">
        <v>18</v>
      </c>
      <c r="B4" s="11">
        <v>-1.2</v>
      </c>
      <c r="C4" s="9">
        <v>-2.6</v>
      </c>
      <c r="D4" s="13">
        <v>2</v>
      </c>
      <c r="E4" s="9">
        <v>3.8</v>
      </c>
      <c r="F4" s="4">
        <f t="shared" si="0"/>
        <v>-1.4000000000000001</v>
      </c>
      <c r="G4" s="4">
        <f t="shared" si="1"/>
        <v>1.7999999999999998</v>
      </c>
      <c r="H4" s="85"/>
      <c r="I4" s="4">
        <f t="shared" si="2"/>
        <v>0.68421052631578949</v>
      </c>
    </row>
    <row r="5" spans="1:9" x14ac:dyDescent="0.3">
      <c r="A5">
        <v>24</v>
      </c>
      <c r="B5" s="11">
        <v>-1.3</v>
      </c>
      <c r="C5" s="9">
        <v>-2.1</v>
      </c>
      <c r="D5" s="13">
        <v>1.9</v>
      </c>
      <c r="E5" s="9">
        <v>4.4000000000000004</v>
      </c>
      <c r="F5" s="4">
        <f t="shared" si="0"/>
        <v>-0.8</v>
      </c>
      <c r="G5" s="4">
        <f t="shared" si="1"/>
        <v>2.5000000000000004</v>
      </c>
      <c r="H5" s="85"/>
      <c r="I5" s="4">
        <f t="shared" si="2"/>
        <v>0.47727272727272724</v>
      </c>
    </row>
    <row r="6" spans="1:9" x14ac:dyDescent="0.3">
      <c r="A6">
        <v>30</v>
      </c>
      <c r="B6" s="11">
        <v>-1.2</v>
      </c>
      <c r="C6" s="9">
        <v>-2.4</v>
      </c>
      <c r="D6" s="13">
        <v>3.5</v>
      </c>
      <c r="E6" s="9">
        <v>5.9</v>
      </c>
      <c r="F6" s="4">
        <f t="shared" si="0"/>
        <v>-1.2</v>
      </c>
      <c r="G6" s="4">
        <f t="shared" si="1"/>
        <v>2.4000000000000004</v>
      </c>
      <c r="H6" s="85"/>
      <c r="I6" s="4">
        <f t="shared" si="2"/>
        <v>0.40677966101694912</v>
      </c>
    </row>
    <row r="7" spans="1:9" x14ac:dyDescent="0.3">
      <c r="A7">
        <v>36</v>
      </c>
      <c r="B7" s="11">
        <v>-1.1000000000000001</v>
      </c>
      <c r="C7" s="9">
        <v>-2.5</v>
      </c>
      <c r="D7" s="13">
        <v>4.5</v>
      </c>
      <c r="E7" s="9">
        <v>7</v>
      </c>
      <c r="F7" s="4">
        <f t="shared" si="0"/>
        <v>-1.4</v>
      </c>
      <c r="G7" s="4">
        <f t="shared" si="1"/>
        <v>2.5</v>
      </c>
      <c r="H7" s="85"/>
      <c r="I7" s="4">
        <f t="shared" si="2"/>
        <v>0.35714285714285715</v>
      </c>
    </row>
    <row r="11" spans="1:9" x14ac:dyDescent="0.3">
      <c r="C11" s="2"/>
      <c r="D11" s="2"/>
      <c r="E11" s="2"/>
    </row>
    <row r="12" spans="1:9" x14ac:dyDescent="0.3">
      <c r="C12" s="2"/>
      <c r="D12" s="2"/>
      <c r="E12" s="2"/>
    </row>
    <row r="13" spans="1:9" x14ac:dyDescent="0.3">
      <c r="C13" s="2"/>
      <c r="D13" s="2"/>
      <c r="E13" s="2"/>
    </row>
    <row r="14" spans="1:9" x14ac:dyDescent="0.3">
      <c r="C14" s="2"/>
      <c r="D14" s="2"/>
      <c r="E14" s="2"/>
    </row>
    <row r="15" spans="1:9" x14ac:dyDescent="0.3">
      <c r="C15" s="2"/>
      <c r="D15" s="2"/>
      <c r="E15" s="2"/>
    </row>
    <row r="16" spans="1:9" x14ac:dyDescent="0.3">
      <c r="C16" s="2"/>
      <c r="D16" s="2"/>
      <c r="E16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AB467-9B86-4AD0-B3E2-30EB2464EC24}">
  <dimension ref="A1:S25"/>
  <sheetViews>
    <sheetView workbookViewId="0">
      <pane xSplit="1" topLeftCell="E1" activePane="topRight" state="frozen"/>
      <selection pane="topRight" activeCell="S6" sqref="S6"/>
    </sheetView>
  </sheetViews>
  <sheetFormatPr defaultRowHeight="14.4" x14ac:dyDescent="0.3"/>
  <cols>
    <col min="1" max="1" width="5.21875" style="5" bestFit="1" customWidth="1"/>
    <col min="2" max="2" width="19.88671875" style="6" bestFit="1" customWidth="1"/>
    <col min="3" max="3" width="19.88671875" style="6" customWidth="1"/>
    <col min="4" max="4" width="21.77734375" style="6" bestFit="1" customWidth="1"/>
    <col min="5" max="5" width="20.44140625" style="6" bestFit="1" customWidth="1"/>
    <col min="6" max="6" width="35.33203125" bestFit="1" customWidth="1"/>
    <col min="7" max="7" width="33.88671875" bestFit="1" customWidth="1"/>
    <col min="8" max="8" width="36" bestFit="1" customWidth="1"/>
    <col min="9" max="9" width="27.6640625" style="6" bestFit="1" customWidth="1"/>
    <col min="10" max="10" width="34.44140625" bestFit="1" customWidth="1"/>
    <col min="11" max="12" width="36.109375" bestFit="1" customWidth="1"/>
    <col min="13" max="13" width="10.109375" bestFit="1" customWidth="1"/>
    <col min="14" max="14" width="10.109375" customWidth="1"/>
    <col min="15" max="15" width="11.88671875" bestFit="1" customWidth="1"/>
    <col min="16" max="16" width="22.6640625" bestFit="1" customWidth="1"/>
    <col min="17" max="17" width="26.44140625" bestFit="1" customWidth="1"/>
    <col min="19" max="19" width="8.88671875" style="114"/>
  </cols>
  <sheetData>
    <row r="1" spans="1:19" x14ac:dyDescent="0.3">
      <c r="A1" s="3" t="s">
        <v>3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27</v>
      </c>
      <c r="N1" s="1" t="s">
        <v>28</v>
      </c>
      <c r="O1" s="1" t="s">
        <v>29</v>
      </c>
      <c r="P1" s="73" t="s">
        <v>22</v>
      </c>
      <c r="Q1" s="73" t="s">
        <v>23</v>
      </c>
    </row>
    <row r="2" spans="1:19" x14ac:dyDescent="0.3">
      <c r="A2" s="14">
        <v>6</v>
      </c>
      <c r="B2" s="15" t="s">
        <v>21</v>
      </c>
      <c r="C2" s="16">
        <f>+'Summary (actuals)'!C2+('Summary (actuals)'!C2*'Scenario Analysis'!B2)</f>
        <v>-2.6399999999999997</v>
      </c>
      <c r="D2" s="16">
        <f>+'Summary (actuals)'!E2-('Summary (actuals)'!C2-'Scenario Analysis'!C2)</f>
        <v>4.0600000000000005</v>
      </c>
      <c r="E2" s="16">
        <f>+D2-'Summary (actuals)'!E2</f>
        <v>-0.23999999999999932</v>
      </c>
      <c r="F2" s="17">
        <f>+Inputs!$B$2*('Scenario Analysis'!D2/100)</f>
        <v>324.8</v>
      </c>
      <c r="G2" s="17">
        <f>+Inputs!$B$2*('Summary (actuals)'!E2/100)</f>
        <v>344</v>
      </c>
      <c r="H2" s="17">
        <v>100</v>
      </c>
      <c r="I2" s="18">
        <v>5.91E-2</v>
      </c>
      <c r="J2" s="17">
        <f>+H2+(H2*I2)</f>
        <v>105.91</v>
      </c>
      <c r="K2" s="17">
        <f>+H2*G2</f>
        <v>34400</v>
      </c>
      <c r="L2" s="17">
        <f>+J2*F2</f>
        <v>34399.567999999999</v>
      </c>
      <c r="M2" s="19">
        <f>+L2-K2</f>
        <v>-0.43200000000069849</v>
      </c>
      <c r="N2" s="74">
        <f>+L2/K2-1</f>
        <v>-1.2558139534935009E-5</v>
      </c>
      <c r="O2" s="98">
        <f>+SUM(L2:L7)/SUM(K2:K7)-1</f>
        <v>-1.2500000000637002E-6</v>
      </c>
      <c r="P2" s="104" t="s">
        <v>30</v>
      </c>
      <c r="Q2" s="86">
        <f>(-SUM(H2:H7)+SUM(J2:J7))/5</f>
        <v>6.0755104663604014</v>
      </c>
    </row>
    <row r="3" spans="1:19" x14ac:dyDescent="0.3">
      <c r="A3" s="20">
        <v>12</v>
      </c>
      <c r="B3" s="21" t="s">
        <v>21</v>
      </c>
      <c r="C3" s="4">
        <f>+'Summary (actuals)'!C3+('Summary (actuals)'!C3*'Scenario Analysis'!B3)</f>
        <v>-2.2000000000000002</v>
      </c>
      <c r="D3" s="4">
        <f>+'Summary (actuals)'!E3-('Summary (actuals)'!C3-'Scenario Analysis'!C3)</f>
        <v>4.8</v>
      </c>
      <c r="E3" s="4">
        <f>+D3-'Summary (actuals)'!E3</f>
        <v>-0.20000000000000018</v>
      </c>
      <c r="F3" s="22">
        <f>+Inputs!$B$2*('Scenario Analysis'!D3/100)</f>
        <v>384</v>
      </c>
      <c r="G3" s="22">
        <f>+Inputs!$B$2*('Summary (actuals)'!E3/100)</f>
        <v>400</v>
      </c>
      <c r="H3" s="22">
        <v>100</v>
      </c>
      <c r="I3" s="23">
        <v>4.1669999999999999E-2</v>
      </c>
      <c r="J3" s="22">
        <f t="shared" ref="J3:J25" si="0">+H3+(H3*I3)</f>
        <v>104.167</v>
      </c>
      <c r="K3" s="22">
        <f t="shared" ref="K3:K25" si="1">+H3*G3</f>
        <v>40000</v>
      </c>
      <c r="L3" s="22">
        <f t="shared" ref="L3:L25" si="2">+J3*F3</f>
        <v>40000.127999999997</v>
      </c>
      <c r="M3" s="24">
        <f t="shared" ref="M3:M25" si="3">+L3-K3</f>
        <v>0.1279999999969732</v>
      </c>
      <c r="N3" s="76">
        <f t="shared" ref="N3:N25" si="4">+L3/K3-1</f>
        <v>3.1999999998699735E-6</v>
      </c>
      <c r="O3" s="99"/>
      <c r="P3" s="87"/>
      <c r="Q3" s="87"/>
    </row>
    <row r="4" spans="1:19" x14ac:dyDescent="0.3">
      <c r="A4" s="20">
        <v>18</v>
      </c>
      <c r="B4" s="21" t="s">
        <v>21</v>
      </c>
      <c r="C4" s="4">
        <f>+'Summary (actuals)'!C4+('Summary (actuals)'!C4*'Scenario Analysis'!B4)</f>
        <v>-2.8600000000000003</v>
      </c>
      <c r="D4" s="4">
        <f>+'Summary (actuals)'!E4-('Summary (actuals)'!C4-'Scenario Analysis'!C4)</f>
        <v>3.5399999999999996</v>
      </c>
      <c r="E4" s="4">
        <f>+D4-'Summary (actuals)'!E4</f>
        <v>-0.26000000000000023</v>
      </c>
      <c r="F4" s="22">
        <f>+Inputs!$B$2*('Scenario Analysis'!D4/100)</f>
        <v>283.19999999999993</v>
      </c>
      <c r="G4" s="22">
        <f>+Inputs!$B$2*('Summary (actuals)'!E4/100)</f>
        <v>304</v>
      </c>
      <c r="H4" s="22">
        <v>100</v>
      </c>
      <c r="I4" s="23">
        <v>7.3446327683616253E-2</v>
      </c>
      <c r="J4" s="22">
        <f t="shared" si="0"/>
        <v>107.34463276836162</v>
      </c>
      <c r="K4" s="22">
        <f t="shared" si="1"/>
        <v>30400</v>
      </c>
      <c r="L4" s="22">
        <f t="shared" si="2"/>
        <v>30400.000000000004</v>
      </c>
      <c r="M4" s="24">
        <f t="shared" si="3"/>
        <v>0</v>
      </c>
      <c r="N4" s="76">
        <f t="shared" si="4"/>
        <v>0</v>
      </c>
      <c r="O4" s="99"/>
      <c r="P4" s="87"/>
      <c r="Q4" s="87"/>
    </row>
    <row r="5" spans="1:19" x14ac:dyDescent="0.3">
      <c r="A5" s="20">
        <v>24</v>
      </c>
      <c r="B5" s="21" t="s">
        <v>21</v>
      </c>
      <c r="C5" s="4">
        <f>+'Summary (actuals)'!C5+('Summary (actuals)'!C5*'Scenario Analysis'!B5)</f>
        <v>-2.31</v>
      </c>
      <c r="D5" s="4">
        <f>+'Summary (actuals)'!E5-('Summary (actuals)'!C5-'Scenario Analysis'!C5)</f>
        <v>4.1900000000000004</v>
      </c>
      <c r="E5" s="4">
        <f>+D5-'Summary (actuals)'!E5</f>
        <v>-0.20999999999999996</v>
      </c>
      <c r="F5" s="22">
        <f>+Inputs!$B$2*('Scenario Analysis'!D5/100)</f>
        <v>335.20000000000005</v>
      </c>
      <c r="G5" s="22">
        <f>+Inputs!$B$2*('Summary (actuals)'!E5/100)</f>
        <v>352.00000000000006</v>
      </c>
      <c r="H5" s="22">
        <v>100</v>
      </c>
      <c r="I5" s="23">
        <v>5.0119331742243332E-2</v>
      </c>
      <c r="J5" s="22">
        <f t="shared" si="0"/>
        <v>105.01193317422434</v>
      </c>
      <c r="K5" s="22">
        <f t="shared" si="1"/>
        <v>35200.000000000007</v>
      </c>
      <c r="L5" s="22">
        <f t="shared" si="2"/>
        <v>35200</v>
      </c>
      <c r="M5" s="24">
        <f t="shared" si="3"/>
        <v>0</v>
      </c>
      <c r="N5" s="76">
        <f t="shared" si="4"/>
        <v>0</v>
      </c>
      <c r="O5" s="99"/>
      <c r="P5" s="87"/>
      <c r="Q5" s="87"/>
    </row>
    <row r="6" spans="1:19" x14ac:dyDescent="0.3">
      <c r="A6" s="20">
        <v>30</v>
      </c>
      <c r="B6" s="21" t="s">
        <v>21</v>
      </c>
      <c r="C6" s="4">
        <f>+'Summary (actuals)'!C6+('Summary (actuals)'!C6*'Scenario Analysis'!B6)</f>
        <v>-2.6399999999999997</v>
      </c>
      <c r="D6" s="4">
        <f>+'Summary (actuals)'!E6-('Summary (actuals)'!C6-'Scenario Analysis'!C6)</f>
        <v>5.66</v>
      </c>
      <c r="E6" s="4">
        <f>+D6-'Summary (actuals)'!E6</f>
        <v>-0.24000000000000021</v>
      </c>
      <c r="F6" s="22">
        <f>+Inputs!$B$2*('Scenario Analysis'!D6/100)</f>
        <v>452.8</v>
      </c>
      <c r="G6" s="22">
        <f>+Inputs!$B$2*('Summary (actuals)'!E6/100)</f>
        <v>472.00000000000006</v>
      </c>
      <c r="H6" s="22">
        <v>100</v>
      </c>
      <c r="I6" s="23">
        <v>4.2402826855123449E-2</v>
      </c>
      <c r="J6" s="22">
        <f t="shared" si="0"/>
        <v>104.24028268551234</v>
      </c>
      <c r="K6" s="22">
        <f t="shared" si="1"/>
        <v>47200.000000000007</v>
      </c>
      <c r="L6" s="22">
        <f t="shared" si="2"/>
        <v>47199.999999999993</v>
      </c>
      <c r="M6" s="24">
        <f t="shared" si="3"/>
        <v>0</v>
      </c>
      <c r="N6" s="76">
        <f t="shared" si="4"/>
        <v>0</v>
      </c>
      <c r="O6" s="99"/>
      <c r="P6" s="87"/>
      <c r="Q6" s="87"/>
      <c r="S6" s="115"/>
    </row>
    <row r="7" spans="1:19" x14ac:dyDescent="0.3">
      <c r="A7" s="25">
        <v>36</v>
      </c>
      <c r="B7" s="26" t="s">
        <v>21</v>
      </c>
      <c r="C7" s="27">
        <f>+'Summary (actuals)'!C7+('Summary (actuals)'!C7*'Scenario Analysis'!B7)</f>
        <v>-2.75</v>
      </c>
      <c r="D7" s="27">
        <f>+'Summary (actuals)'!E7-('Summary (actuals)'!C7-'Scenario Analysis'!C7)</f>
        <v>6.75</v>
      </c>
      <c r="E7" s="27">
        <f>+D7-'Summary (actuals)'!E7</f>
        <v>-0.25</v>
      </c>
      <c r="F7" s="28">
        <f>+Inputs!$B$2*('Scenario Analysis'!D7/100)</f>
        <v>540</v>
      </c>
      <c r="G7" s="28">
        <f>+Inputs!$B$2*('Summary (actuals)'!E7/100)</f>
        <v>560</v>
      </c>
      <c r="H7" s="28">
        <v>100</v>
      </c>
      <c r="I7" s="29">
        <v>3.7037037037037063E-2</v>
      </c>
      <c r="J7" s="28">
        <f t="shared" si="0"/>
        <v>103.70370370370371</v>
      </c>
      <c r="K7" s="28">
        <f t="shared" si="1"/>
        <v>56000</v>
      </c>
      <c r="L7" s="28">
        <f t="shared" si="2"/>
        <v>56000</v>
      </c>
      <c r="M7" s="30">
        <f t="shared" si="3"/>
        <v>0</v>
      </c>
      <c r="N7" s="75">
        <f t="shared" si="4"/>
        <v>0</v>
      </c>
      <c r="O7" s="100"/>
      <c r="P7" s="88"/>
      <c r="Q7" s="88"/>
      <c r="S7" s="115"/>
    </row>
    <row r="8" spans="1:19" x14ac:dyDescent="0.3">
      <c r="A8" s="31">
        <v>6</v>
      </c>
      <c r="B8" s="32" t="str">
        <f t="shared" ref="B8:B13" si="5">+B2</f>
        <v>10%</v>
      </c>
      <c r="C8" s="33">
        <f>+'Summary (actuals)'!C2+('Summary (actuals)'!C2*'Scenario Analysis'!B8)</f>
        <v>-2.6399999999999997</v>
      </c>
      <c r="D8" s="33">
        <f>+'Summary (actuals)'!E2-('Summary (actuals)'!C2-'Scenario Analysis'!C8)</f>
        <v>4.0600000000000005</v>
      </c>
      <c r="E8" s="33">
        <f>+D8-'Summary (actuals)'!E2</f>
        <v>-0.23999999999999932</v>
      </c>
      <c r="F8" s="34">
        <f>+Inputs!$B$2*('Scenario Analysis'!D8/100)</f>
        <v>324.8</v>
      </c>
      <c r="G8" s="34">
        <f>+Inputs!$B$2*('Summary (actuals)'!E2/100)</f>
        <v>344</v>
      </c>
      <c r="H8" s="34">
        <v>100</v>
      </c>
      <c r="I8" s="32">
        <v>0.1</v>
      </c>
      <c r="J8" s="34">
        <f t="shared" si="0"/>
        <v>110</v>
      </c>
      <c r="K8" s="34">
        <f t="shared" si="1"/>
        <v>34400</v>
      </c>
      <c r="L8" s="34">
        <f t="shared" si="2"/>
        <v>35728</v>
      </c>
      <c r="M8" s="34">
        <f t="shared" si="3"/>
        <v>1328</v>
      </c>
      <c r="N8" s="77">
        <f>+L8/K8-1</f>
        <v>3.860465116279066E-2</v>
      </c>
      <c r="O8" s="101">
        <f>+SUM(L8:L13)/SUM(K8:K13)-1</f>
        <v>4.9342105263157965E-2</v>
      </c>
      <c r="P8" s="105" t="s">
        <v>24</v>
      </c>
      <c r="Q8" s="89">
        <f>(-SUM(H2:H7)+SUM(J8:J13))/5</f>
        <v>12</v>
      </c>
      <c r="S8" s="115"/>
    </row>
    <row r="9" spans="1:19" x14ac:dyDescent="0.3">
      <c r="A9" s="35">
        <v>12</v>
      </c>
      <c r="B9" s="36" t="str">
        <f t="shared" si="5"/>
        <v>10%</v>
      </c>
      <c r="C9" s="37">
        <f>+'Summary (actuals)'!C3+('Summary (actuals)'!C3*'Scenario Analysis'!B9)</f>
        <v>-2.2000000000000002</v>
      </c>
      <c r="D9" s="37">
        <f>+'Summary (actuals)'!E3-('Summary (actuals)'!C3-'Scenario Analysis'!C9)</f>
        <v>4.8</v>
      </c>
      <c r="E9" s="37">
        <f>+D9-'Summary (actuals)'!E3</f>
        <v>-0.20000000000000018</v>
      </c>
      <c r="F9" s="38">
        <f>+Inputs!$B$2*('Scenario Analysis'!D9/100)</f>
        <v>384</v>
      </c>
      <c r="G9" s="38">
        <f>+Inputs!$B$2*('Summary (actuals)'!E3/100)</f>
        <v>400</v>
      </c>
      <c r="H9" s="38">
        <v>100</v>
      </c>
      <c r="I9" s="36">
        <f>+I8</f>
        <v>0.1</v>
      </c>
      <c r="J9" s="38">
        <f t="shared" si="0"/>
        <v>110</v>
      </c>
      <c r="K9" s="38">
        <f t="shared" si="1"/>
        <v>40000</v>
      </c>
      <c r="L9" s="38">
        <f t="shared" si="2"/>
        <v>42240</v>
      </c>
      <c r="M9" s="38">
        <f t="shared" si="3"/>
        <v>2240</v>
      </c>
      <c r="N9" s="78">
        <f t="shared" si="4"/>
        <v>5.600000000000005E-2</v>
      </c>
      <c r="O9" s="87"/>
      <c r="P9" s="106"/>
      <c r="Q9" s="90"/>
      <c r="S9" s="115"/>
    </row>
    <row r="10" spans="1:19" x14ac:dyDescent="0.3">
      <c r="A10" s="35">
        <v>18</v>
      </c>
      <c r="B10" s="36" t="str">
        <f t="shared" si="5"/>
        <v>10%</v>
      </c>
      <c r="C10" s="37">
        <f>+'Summary (actuals)'!C4+('Summary (actuals)'!C4*'Scenario Analysis'!B10)</f>
        <v>-2.8600000000000003</v>
      </c>
      <c r="D10" s="37">
        <f>+'Summary (actuals)'!E4-('Summary (actuals)'!C4-'Scenario Analysis'!C10)</f>
        <v>3.5399999999999996</v>
      </c>
      <c r="E10" s="37">
        <f>+D10-'Summary (actuals)'!E4</f>
        <v>-0.26000000000000023</v>
      </c>
      <c r="F10" s="38">
        <f>+Inputs!$B$2*('Scenario Analysis'!D10/100)</f>
        <v>283.19999999999993</v>
      </c>
      <c r="G10" s="38">
        <f>+Inputs!$B$2*('Summary (actuals)'!E4/100)</f>
        <v>304</v>
      </c>
      <c r="H10" s="38">
        <v>100</v>
      </c>
      <c r="I10" s="36">
        <f t="shared" ref="I10:I13" si="6">+I9</f>
        <v>0.1</v>
      </c>
      <c r="J10" s="38">
        <f t="shared" si="0"/>
        <v>110</v>
      </c>
      <c r="K10" s="38">
        <f t="shared" si="1"/>
        <v>30400</v>
      </c>
      <c r="L10" s="38">
        <f t="shared" si="2"/>
        <v>31151.999999999993</v>
      </c>
      <c r="M10" s="38">
        <f t="shared" si="3"/>
        <v>751.99999999999272</v>
      </c>
      <c r="N10" s="78">
        <f t="shared" si="4"/>
        <v>2.4736842105262946E-2</v>
      </c>
      <c r="O10" s="87"/>
      <c r="P10" s="106"/>
      <c r="Q10" s="90"/>
      <c r="S10" s="115"/>
    </row>
    <row r="11" spans="1:19" x14ac:dyDescent="0.3">
      <c r="A11" s="35">
        <v>24</v>
      </c>
      <c r="B11" s="36" t="str">
        <f t="shared" si="5"/>
        <v>10%</v>
      </c>
      <c r="C11" s="37">
        <f>+'Summary (actuals)'!C5+('Summary (actuals)'!C5*'Scenario Analysis'!B11)</f>
        <v>-2.31</v>
      </c>
      <c r="D11" s="37">
        <f>+'Summary (actuals)'!E5-('Summary (actuals)'!C5-'Scenario Analysis'!C11)</f>
        <v>4.1900000000000004</v>
      </c>
      <c r="E11" s="37">
        <f>+D11-'Summary (actuals)'!E5</f>
        <v>-0.20999999999999996</v>
      </c>
      <c r="F11" s="38">
        <f>+Inputs!$B$2*('Scenario Analysis'!D11/100)</f>
        <v>335.20000000000005</v>
      </c>
      <c r="G11" s="38">
        <f>+Inputs!$B$2*('Summary (actuals)'!E5/100)</f>
        <v>352.00000000000006</v>
      </c>
      <c r="H11" s="38">
        <v>100</v>
      </c>
      <c r="I11" s="36">
        <f t="shared" si="6"/>
        <v>0.1</v>
      </c>
      <c r="J11" s="38">
        <f t="shared" si="0"/>
        <v>110</v>
      </c>
      <c r="K11" s="38">
        <f t="shared" si="1"/>
        <v>35200.000000000007</v>
      </c>
      <c r="L11" s="38">
        <f t="shared" si="2"/>
        <v>36872.000000000007</v>
      </c>
      <c r="M11" s="38">
        <f t="shared" si="3"/>
        <v>1672</v>
      </c>
      <c r="N11" s="78">
        <f t="shared" si="4"/>
        <v>4.7500000000000098E-2</v>
      </c>
      <c r="O11" s="87"/>
      <c r="P11" s="106"/>
      <c r="Q11" s="90"/>
    </row>
    <row r="12" spans="1:19" x14ac:dyDescent="0.3">
      <c r="A12" s="35">
        <v>30</v>
      </c>
      <c r="B12" s="36" t="str">
        <f t="shared" si="5"/>
        <v>10%</v>
      </c>
      <c r="C12" s="37">
        <f>+'Summary (actuals)'!C6+('Summary (actuals)'!C6*'Scenario Analysis'!B12)</f>
        <v>-2.6399999999999997</v>
      </c>
      <c r="D12" s="37">
        <f>+'Summary (actuals)'!E6-('Summary (actuals)'!C6-'Scenario Analysis'!C12)</f>
        <v>5.66</v>
      </c>
      <c r="E12" s="37">
        <f>+D12-'Summary (actuals)'!E6</f>
        <v>-0.24000000000000021</v>
      </c>
      <c r="F12" s="38">
        <f>+Inputs!$B$2*('Scenario Analysis'!D12/100)</f>
        <v>452.8</v>
      </c>
      <c r="G12" s="38">
        <f>+Inputs!$B$2*('Summary (actuals)'!E6/100)</f>
        <v>472.00000000000006</v>
      </c>
      <c r="H12" s="38">
        <v>100</v>
      </c>
      <c r="I12" s="36">
        <f t="shared" si="6"/>
        <v>0.1</v>
      </c>
      <c r="J12" s="38">
        <f t="shared" si="0"/>
        <v>110</v>
      </c>
      <c r="K12" s="38">
        <f t="shared" si="1"/>
        <v>47200.000000000007</v>
      </c>
      <c r="L12" s="38">
        <f t="shared" si="2"/>
        <v>49808</v>
      </c>
      <c r="M12" s="38">
        <f t="shared" si="3"/>
        <v>2607.9999999999927</v>
      </c>
      <c r="N12" s="78">
        <f t="shared" si="4"/>
        <v>5.5254237288135499E-2</v>
      </c>
      <c r="O12" s="87"/>
      <c r="P12" s="106"/>
      <c r="Q12" s="90"/>
    </row>
    <row r="13" spans="1:19" x14ac:dyDescent="0.3">
      <c r="A13" s="39">
        <v>36</v>
      </c>
      <c r="B13" s="40" t="str">
        <f t="shared" si="5"/>
        <v>10%</v>
      </c>
      <c r="C13" s="41">
        <f>+'Summary (actuals)'!C7+('Summary (actuals)'!C7*'Scenario Analysis'!B13)</f>
        <v>-2.75</v>
      </c>
      <c r="D13" s="41">
        <f>+'Summary (actuals)'!E7-('Summary (actuals)'!C7-'Scenario Analysis'!C13)</f>
        <v>6.75</v>
      </c>
      <c r="E13" s="41">
        <f>+D13-'Summary (actuals)'!E7</f>
        <v>-0.25</v>
      </c>
      <c r="F13" s="42">
        <f>+Inputs!$B$2*('Scenario Analysis'!D13/100)</f>
        <v>540</v>
      </c>
      <c r="G13" s="42">
        <f>+Inputs!$B$2*('Summary (actuals)'!E7/100)</f>
        <v>560</v>
      </c>
      <c r="H13" s="42">
        <v>100</v>
      </c>
      <c r="I13" s="36">
        <f t="shared" si="6"/>
        <v>0.1</v>
      </c>
      <c r="J13" s="42">
        <f t="shared" si="0"/>
        <v>110</v>
      </c>
      <c r="K13" s="42">
        <f t="shared" si="1"/>
        <v>56000</v>
      </c>
      <c r="L13" s="42">
        <f t="shared" si="2"/>
        <v>59400</v>
      </c>
      <c r="M13" s="42">
        <f t="shared" si="3"/>
        <v>3400</v>
      </c>
      <c r="N13" s="79">
        <f t="shared" si="4"/>
        <v>6.0714285714285721E-2</v>
      </c>
      <c r="O13" s="88"/>
      <c r="P13" s="107"/>
      <c r="Q13" s="91"/>
    </row>
    <row r="14" spans="1:19" x14ac:dyDescent="0.3">
      <c r="A14" s="43">
        <v>6</v>
      </c>
      <c r="B14" s="44">
        <v>0.1</v>
      </c>
      <c r="C14" s="45">
        <f>+'Summary (actuals)'!C2+('Summary (actuals)'!C2*'Scenario Analysis'!B14)</f>
        <v>-2.6399999999999997</v>
      </c>
      <c r="D14" s="45">
        <f>+'Summary (actuals)'!E2-('Summary (actuals)'!C2-'Scenario Analysis'!C14)</f>
        <v>4.0600000000000005</v>
      </c>
      <c r="E14" s="45">
        <f>+D14-'Summary (actuals)'!E2</f>
        <v>-0.23999999999999932</v>
      </c>
      <c r="F14" s="46">
        <f>+Inputs!$B$2*('Scenario Analysis'!D14/100)</f>
        <v>324.8</v>
      </c>
      <c r="G14" s="46">
        <f t="shared" ref="G14:G19" si="7">+G2</f>
        <v>344</v>
      </c>
      <c r="H14" s="46">
        <v>100</v>
      </c>
      <c r="I14" s="44">
        <v>0.15</v>
      </c>
      <c r="J14" s="46">
        <f t="shared" si="0"/>
        <v>115</v>
      </c>
      <c r="K14" s="46">
        <f t="shared" si="1"/>
        <v>34400</v>
      </c>
      <c r="L14" s="46">
        <f t="shared" si="2"/>
        <v>37352</v>
      </c>
      <c r="M14" s="47">
        <f t="shared" si="3"/>
        <v>2952</v>
      </c>
      <c r="N14" s="80">
        <f t="shared" si="4"/>
        <v>8.5813953488372174E-2</v>
      </c>
      <c r="O14" s="102">
        <f>+SUM(L14:L19)/SUM(K14:K19)-1</f>
        <v>9.703947368421062E-2</v>
      </c>
      <c r="P14" s="108" t="s">
        <v>25</v>
      </c>
      <c r="Q14" s="92">
        <f>(-SUM(H2:H7)+SUM(J14:J19))/5</f>
        <v>18</v>
      </c>
    </row>
    <row r="15" spans="1:19" x14ac:dyDescent="0.3">
      <c r="A15" s="48">
        <v>12</v>
      </c>
      <c r="B15" s="49">
        <v>0.1</v>
      </c>
      <c r="C15" s="50">
        <f>+'Summary (actuals)'!C3+('Summary (actuals)'!C3*'Scenario Analysis'!B15)</f>
        <v>-2.2000000000000002</v>
      </c>
      <c r="D15" s="50">
        <f>+'Summary (actuals)'!E3-('Summary (actuals)'!C3-'Scenario Analysis'!C15)</f>
        <v>4.8</v>
      </c>
      <c r="E15" s="50">
        <f>+D15-'Summary (actuals)'!E3</f>
        <v>-0.20000000000000018</v>
      </c>
      <c r="F15" s="51">
        <f>+Inputs!$B$2*('Scenario Analysis'!D15/100)</f>
        <v>384</v>
      </c>
      <c r="G15" s="51">
        <f t="shared" si="7"/>
        <v>400</v>
      </c>
      <c r="H15" s="51">
        <v>100</v>
      </c>
      <c r="I15" s="49">
        <f t="shared" ref="I15:I25" si="8">+I14</f>
        <v>0.15</v>
      </c>
      <c r="J15" s="51">
        <f t="shared" si="0"/>
        <v>115</v>
      </c>
      <c r="K15" s="51">
        <f t="shared" si="1"/>
        <v>40000</v>
      </c>
      <c r="L15" s="51">
        <f t="shared" si="2"/>
        <v>44160</v>
      </c>
      <c r="M15" s="52">
        <f t="shared" si="3"/>
        <v>4160</v>
      </c>
      <c r="N15" s="80">
        <f t="shared" si="4"/>
        <v>0.10400000000000009</v>
      </c>
      <c r="O15" s="87"/>
      <c r="P15" s="109"/>
      <c r="Q15" s="93"/>
    </row>
    <row r="16" spans="1:19" x14ac:dyDescent="0.3">
      <c r="A16" s="48">
        <v>18</v>
      </c>
      <c r="B16" s="49">
        <v>0.1</v>
      </c>
      <c r="C16" s="50">
        <f>+'Summary (actuals)'!C4+('Summary (actuals)'!C4*'Scenario Analysis'!B16)</f>
        <v>-2.8600000000000003</v>
      </c>
      <c r="D16" s="50">
        <f>+'Summary (actuals)'!E4-('Summary (actuals)'!C4-'Scenario Analysis'!C16)</f>
        <v>3.5399999999999996</v>
      </c>
      <c r="E16" s="50">
        <f>+D16-'Summary (actuals)'!E4</f>
        <v>-0.26000000000000023</v>
      </c>
      <c r="F16" s="51">
        <f>+Inputs!$B$2*('Scenario Analysis'!D16/100)</f>
        <v>283.19999999999993</v>
      </c>
      <c r="G16" s="51">
        <f t="shared" si="7"/>
        <v>304</v>
      </c>
      <c r="H16" s="51">
        <v>100</v>
      </c>
      <c r="I16" s="49">
        <f t="shared" si="8"/>
        <v>0.15</v>
      </c>
      <c r="J16" s="51">
        <f t="shared" si="0"/>
        <v>115</v>
      </c>
      <c r="K16" s="51">
        <f t="shared" si="1"/>
        <v>30400</v>
      </c>
      <c r="L16" s="51">
        <f t="shared" si="2"/>
        <v>32567.999999999993</v>
      </c>
      <c r="M16" s="52">
        <f t="shared" si="3"/>
        <v>2167.9999999999927</v>
      </c>
      <c r="N16" s="80">
        <f t="shared" si="4"/>
        <v>7.1315789473683999E-2</v>
      </c>
      <c r="O16" s="87"/>
      <c r="P16" s="109"/>
      <c r="Q16" s="93"/>
    </row>
    <row r="17" spans="1:17" x14ac:dyDescent="0.3">
      <c r="A17" s="48">
        <v>24</v>
      </c>
      <c r="B17" s="49">
        <v>0.1</v>
      </c>
      <c r="C17" s="50">
        <f>+'Summary (actuals)'!C5+('Summary (actuals)'!C5*'Scenario Analysis'!B17)</f>
        <v>-2.31</v>
      </c>
      <c r="D17" s="50">
        <f>+'Summary (actuals)'!E5-('Summary (actuals)'!C5-'Scenario Analysis'!C17)</f>
        <v>4.1900000000000004</v>
      </c>
      <c r="E17" s="50">
        <f>+D17-'Summary (actuals)'!E5</f>
        <v>-0.20999999999999996</v>
      </c>
      <c r="F17" s="51">
        <f>+Inputs!$B$2*('Scenario Analysis'!D17/100)</f>
        <v>335.20000000000005</v>
      </c>
      <c r="G17" s="51">
        <f t="shared" si="7"/>
        <v>352.00000000000006</v>
      </c>
      <c r="H17" s="51">
        <v>100</v>
      </c>
      <c r="I17" s="49">
        <f t="shared" si="8"/>
        <v>0.15</v>
      </c>
      <c r="J17" s="51">
        <f t="shared" si="0"/>
        <v>115</v>
      </c>
      <c r="K17" s="51">
        <f t="shared" si="1"/>
        <v>35200.000000000007</v>
      </c>
      <c r="L17" s="51">
        <f t="shared" si="2"/>
        <v>38548.000000000007</v>
      </c>
      <c r="M17" s="52">
        <f t="shared" si="3"/>
        <v>3348</v>
      </c>
      <c r="N17" s="80">
        <f t="shared" si="4"/>
        <v>9.5113636363636234E-2</v>
      </c>
      <c r="O17" s="87"/>
      <c r="P17" s="109"/>
      <c r="Q17" s="93"/>
    </row>
    <row r="18" spans="1:17" x14ac:dyDescent="0.3">
      <c r="A18" s="48">
        <v>30</v>
      </c>
      <c r="B18" s="49">
        <v>0.1</v>
      </c>
      <c r="C18" s="50">
        <f>+'Summary (actuals)'!C6+('Summary (actuals)'!C6*'Scenario Analysis'!B18)</f>
        <v>-2.6399999999999997</v>
      </c>
      <c r="D18" s="50">
        <f>+'Summary (actuals)'!E6-('Summary (actuals)'!C6-'Scenario Analysis'!C18)</f>
        <v>5.66</v>
      </c>
      <c r="E18" s="50">
        <f>+D18-'Summary (actuals)'!E6</f>
        <v>-0.24000000000000021</v>
      </c>
      <c r="F18" s="51">
        <f>+Inputs!$B$2*('Scenario Analysis'!D18/100)</f>
        <v>452.8</v>
      </c>
      <c r="G18" s="51">
        <f t="shared" si="7"/>
        <v>472.00000000000006</v>
      </c>
      <c r="H18" s="51">
        <v>100</v>
      </c>
      <c r="I18" s="49">
        <f t="shared" si="8"/>
        <v>0.15</v>
      </c>
      <c r="J18" s="51">
        <f t="shared" si="0"/>
        <v>115</v>
      </c>
      <c r="K18" s="51">
        <f t="shared" si="1"/>
        <v>47200.000000000007</v>
      </c>
      <c r="L18" s="51">
        <f t="shared" si="2"/>
        <v>52072</v>
      </c>
      <c r="M18" s="52">
        <f t="shared" si="3"/>
        <v>4871.9999999999927</v>
      </c>
      <c r="N18" s="80">
        <f t="shared" si="4"/>
        <v>0.10322033898305061</v>
      </c>
      <c r="O18" s="87"/>
      <c r="P18" s="109"/>
      <c r="Q18" s="93"/>
    </row>
    <row r="19" spans="1:17" x14ac:dyDescent="0.3">
      <c r="A19" s="53">
        <v>36</v>
      </c>
      <c r="B19" s="54">
        <v>0.1</v>
      </c>
      <c r="C19" s="55">
        <f>+'Summary (actuals)'!C7+('Summary (actuals)'!C7*'Scenario Analysis'!B19)</f>
        <v>-2.75</v>
      </c>
      <c r="D19" s="55">
        <f>+'Summary (actuals)'!E7-('Summary (actuals)'!C7-'Scenario Analysis'!C19)</f>
        <v>6.75</v>
      </c>
      <c r="E19" s="55">
        <f>+D19-'Summary (actuals)'!E7</f>
        <v>-0.25</v>
      </c>
      <c r="F19" s="56">
        <f>+Inputs!$B$2*('Scenario Analysis'!D19/100)</f>
        <v>540</v>
      </c>
      <c r="G19" s="56">
        <f t="shared" si="7"/>
        <v>560</v>
      </c>
      <c r="H19" s="56">
        <v>100</v>
      </c>
      <c r="I19" s="49">
        <f t="shared" si="8"/>
        <v>0.15</v>
      </c>
      <c r="J19" s="56">
        <f t="shared" si="0"/>
        <v>115</v>
      </c>
      <c r="K19" s="56">
        <f t="shared" si="1"/>
        <v>56000</v>
      </c>
      <c r="L19" s="56">
        <f t="shared" si="2"/>
        <v>62100</v>
      </c>
      <c r="M19" s="57">
        <f t="shared" si="3"/>
        <v>6100</v>
      </c>
      <c r="N19" s="81">
        <f t="shared" si="4"/>
        <v>0.10892857142857149</v>
      </c>
      <c r="O19" s="88"/>
      <c r="P19" s="110"/>
      <c r="Q19" s="94"/>
    </row>
    <row r="20" spans="1:17" x14ac:dyDescent="0.3">
      <c r="A20" s="58">
        <v>6</v>
      </c>
      <c r="B20" s="59">
        <v>0.1</v>
      </c>
      <c r="C20" s="60">
        <f>+'Summary (actuals)'!C2+('Summary (actuals)'!C2*'Scenario Analysis'!B20)</f>
        <v>-2.6399999999999997</v>
      </c>
      <c r="D20" s="60">
        <f>+'Summary (actuals)'!E2-('Summary (actuals)'!C2-'Scenario Analysis'!C20)</f>
        <v>4.0600000000000005</v>
      </c>
      <c r="E20" s="60">
        <f>+D14-'Summary (actuals)'!E2</f>
        <v>-0.23999999999999932</v>
      </c>
      <c r="F20" s="61">
        <f>+Inputs!$B$2*('Scenario Analysis'!D20/100)</f>
        <v>324.8</v>
      </c>
      <c r="G20" s="61">
        <f t="shared" ref="G20:G25" si="9">+G2</f>
        <v>344</v>
      </c>
      <c r="H20" s="61">
        <v>100</v>
      </c>
      <c r="I20" s="59">
        <v>0.2</v>
      </c>
      <c r="J20" s="61">
        <f t="shared" si="0"/>
        <v>120</v>
      </c>
      <c r="K20" s="61">
        <f t="shared" si="1"/>
        <v>34400</v>
      </c>
      <c r="L20" s="61">
        <f t="shared" si="2"/>
        <v>38976</v>
      </c>
      <c r="M20" s="62">
        <f t="shared" si="3"/>
        <v>4576</v>
      </c>
      <c r="N20" s="82">
        <f t="shared" si="4"/>
        <v>0.13302325581395347</v>
      </c>
      <c r="O20" s="103">
        <f>+SUM(L20:L25)/SUM(K20:K25)-1</f>
        <v>0.14473684210526305</v>
      </c>
      <c r="P20" s="111" t="s">
        <v>26</v>
      </c>
      <c r="Q20" s="95">
        <f>(-SUM(H2:H7)+SUM(J20:J25))/5</f>
        <v>24</v>
      </c>
    </row>
    <row r="21" spans="1:17" x14ac:dyDescent="0.3">
      <c r="A21" s="63">
        <v>12</v>
      </c>
      <c r="B21" s="64">
        <v>0.1</v>
      </c>
      <c r="C21" s="65">
        <f>+'Summary (actuals)'!C3+('Summary (actuals)'!C3*'Scenario Analysis'!B21)</f>
        <v>-2.2000000000000002</v>
      </c>
      <c r="D21" s="65">
        <f>+'Summary (actuals)'!E3-('Summary (actuals)'!C3-'Scenario Analysis'!C21)</f>
        <v>4.8</v>
      </c>
      <c r="E21" s="65">
        <f>+D15-'Summary (actuals)'!E3</f>
        <v>-0.20000000000000018</v>
      </c>
      <c r="F21" s="66">
        <f>+Inputs!$B$2*('Scenario Analysis'!D21/100)</f>
        <v>384</v>
      </c>
      <c r="G21" s="66">
        <f t="shared" si="9"/>
        <v>400</v>
      </c>
      <c r="H21" s="66">
        <v>100</v>
      </c>
      <c r="I21" s="64">
        <f t="shared" ref="I21" si="10">+I20</f>
        <v>0.2</v>
      </c>
      <c r="J21" s="66">
        <f t="shared" si="0"/>
        <v>120</v>
      </c>
      <c r="K21" s="66">
        <f t="shared" si="1"/>
        <v>40000</v>
      </c>
      <c r="L21" s="66">
        <f t="shared" si="2"/>
        <v>46080</v>
      </c>
      <c r="M21" s="67">
        <f t="shared" si="3"/>
        <v>6080</v>
      </c>
      <c r="N21" s="83">
        <f t="shared" si="4"/>
        <v>0.15199999999999991</v>
      </c>
      <c r="O21" s="87"/>
      <c r="P21" s="112"/>
      <c r="Q21" s="96"/>
    </row>
    <row r="22" spans="1:17" x14ac:dyDescent="0.3">
      <c r="A22" s="63">
        <v>18</v>
      </c>
      <c r="B22" s="64">
        <v>0.1</v>
      </c>
      <c r="C22" s="65">
        <f>+'Summary (actuals)'!C4+('Summary (actuals)'!C4*'Scenario Analysis'!B22)</f>
        <v>-2.8600000000000003</v>
      </c>
      <c r="D22" s="65">
        <f>+'Summary (actuals)'!E4-('Summary (actuals)'!C4-'Scenario Analysis'!C22)</f>
        <v>3.5399999999999996</v>
      </c>
      <c r="E22" s="65">
        <f>+D16-'Summary (actuals)'!E4</f>
        <v>-0.26000000000000023</v>
      </c>
      <c r="F22" s="66">
        <f>+Inputs!$B$2*('Scenario Analysis'!D22/100)</f>
        <v>283.19999999999993</v>
      </c>
      <c r="G22" s="66">
        <f t="shared" si="9"/>
        <v>304</v>
      </c>
      <c r="H22" s="66">
        <v>100</v>
      </c>
      <c r="I22" s="64">
        <f t="shared" si="8"/>
        <v>0.2</v>
      </c>
      <c r="J22" s="66">
        <f t="shared" si="0"/>
        <v>120</v>
      </c>
      <c r="K22" s="66">
        <f t="shared" si="1"/>
        <v>30400</v>
      </c>
      <c r="L22" s="66">
        <f t="shared" si="2"/>
        <v>33983.999999999993</v>
      </c>
      <c r="M22" s="67">
        <f t="shared" si="3"/>
        <v>3583.9999999999927</v>
      </c>
      <c r="N22" s="83">
        <f t="shared" si="4"/>
        <v>0.11789473684210505</v>
      </c>
      <c r="O22" s="87"/>
      <c r="P22" s="112"/>
      <c r="Q22" s="96"/>
    </row>
    <row r="23" spans="1:17" x14ac:dyDescent="0.3">
      <c r="A23" s="63">
        <v>24</v>
      </c>
      <c r="B23" s="64">
        <v>0.1</v>
      </c>
      <c r="C23" s="65">
        <f>+'Summary (actuals)'!C5+('Summary (actuals)'!C5*'Scenario Analysis'!B23)</f>
        <v>-2.31</v>
      </c>
      <c r="D23" s="65">
        <f>+'Summary (actuals)'!E5-('Summary (actuals)'!C5-'Scenario Analysis'!C23)</f>
        <v>4.1900000000000004</v>
      </c>
      <c r="E23" s="65">
        <f>+D17-'Summary (actuals)'!E5</f>
        <v>-0.20999999999999996</v>
      </c>
      <c r="F23" s="66">
        <f>+Inputs!$B$2*('Scenario Analysis'!D23/100)</f>
        <v>335.20000000000005</v>
      </c>
      <c r="G23" s="66">
        <f t="shared" si="9"/>
        <v>352.00000000000006</v>
      </c>
      <c r="H23" s="66">
        <v>100</v>
      </c>
      <c r="I23" s="64">
        <f t="shared" si="8"/>
        <v>0.2</v>
      </c>
      <c r="J23" s="66">
        <f t="shared" si="0"/>
        <v>120</v>
      </c>
      <c r="K23" s="66">
        <f t="shared" si="1"/>
        <v>35200.000000000007</v>
      </c>
      <c r="L23" s="66">
        <f t="shared" si="2"/>
        <v>40224.000000000007</v>
      </c>
      <c r="M23" s="67">
        <f t="shared" si="3"/>
        <v>5024</v>
      </c>
      <c r="N23" s="83">
        <f t="shared" si="4"/>
        <v>0.14272727272727259</v>
      </c>
      <c r="O23" s="87"/>
      <c r="P23" s="112"/>
      <c r="Q23" s="96"/>
    </row>
    <row r="24" spans="1:17" x14ac:dyDescent="0.3">
      <c r="A24" s="63">
        <v>30</v>
      </c>
      <c r="B24" s="64">
        <v>0.1</v>
      </c>
      <c r="C24" s="65">
        <f>+'Summary (actuals)'!C6+('Summary (actuals)'!C6*'Scenario Analysis'!B24)</f>
        <v>-2.6399999999999997</v>
      </c>
      <c r="D24" s="65">
        <f>+'Summary (actuals)'!E6-('Summary (actuals)'!C6-'Scenario Analysis'!C24)</f>
        <v>5.66</v>
      </c>
      <c r="E24" s="65">
        <f>+D18-'Summary (actuals)'!E6</f>
        <v>-0.24000000000000021</v>
      </c>
      <c r="F24" s="66">
        <f>+Inputs!$B$2*('Scenario Analysis'!D24/100)</f>
        <v>452.8</v>
      </c>
      <c r="G24" s="66">
        <f t="shared" si="9"/>
        <v>472.00000000000006</v>
      </c>
      <c r="H24" s="66">
        <v>100</v>
      </c>
      <c r="I24" s="64">
        <f t="shared" si="8"/>
        <v>0.2</v>
      </c>
      <c r="J24" s="66">
        <f t="shared" si="0"/>
        <v>120</v>
      </c>
      <c r="K24" s="66">
        <f t="shared" si="1"/>
        <v>47200.000000000007</v>
      </c>
      <c r="L24" s="66">
        <f t="shared" si="2"/>
        <v>54336</v>
      </c>
      <c r="M24" s="67">
        <f t="shared" si="3"/>
        <v>7135.9999999999927</v>
      </c>
      <c r="N24" s="83">
        <f t="shared" si="4"/>
        <v>0.15118644067796594</v>
      </c>
      <c r="O24" s="87"/>
      <c r="P24" s="112"/>
      <c r="Q24" s="96"/>
    </row>
    <row r="25" spans="1:17" x14ac:dyDescent="0.3">
      <c r="A25" s="68">
        <v>36</v>
      </c>
      <c r="B25" s="69">
        <v>0.1</v>
      </c>
      <c r="C25" s="70">
        <f>+'Summary (actuals)'!C7+('Summary (actuals)'!C7*'Scenario Analysis'!B25)</f>
        <v>-2.75</v>
      </c>
      <c r="D25" s="70">
        <f>+'Summary (actuals)'!E7-('Summary (actuals)'!C7-'Scenario Analysis'!C25)</f>
        <v>6.75</v>
      </c>
      <c r="E25" s="70">
        <f>+D19-'Summary (actuals)'!E7</f>
        <v>-0.25</v>
      </c>
      <c r="F25" s="71">
        <f>+Inputs!$B$2*('Scenario Analysis'!D25/100)</f>
        <v>540</v>
      </c>
      <c r="G25" s="71">
        <f t="shared" si="9"/>
        <v>560</v>
      </c>
      <c r="H25" s="71">
        <v>100</v>
      </c>
      <c r="I25" s="69">
        <f t="shared" si="8"/>
        <v>0.2</v>
      </c>
      <c r="J25" s="71">
        <f t="shared" si="0"/>
        <v>120</v>
      </c>
      <c r="K25" s="71">
        <f t="shared" si="1"/>
        <v>56000</v>
      </c>
      <c r="L25" s="71">
        <f t="shared" si="2"/>
        <v>64800</v>
      </c>
      <c r="M25" s="72">
        <f t="shared" si="3"/>
        <v>8800</v>
      </c>
      <c r="N25" s="84">
        <f t="shared" si="4"/>
        <v>0.15714285714285725</v>
      </c>
      <c r="O25" s="88"/>
      <c r="P25" s="113"/>
      <c r="Q25" s="97"/>
    </row>
  </sheetData>
  <mergeCells count="12">
    <mergeCell ref="Q2:Q7"/>
    <mergeCell ref="Q8:Q13"/>
    <mergeCell ref="Q14:Q19"/>
    <mergeCell ref="Q20:Q25"/>
    <mergeCell ref="O2:O7"/>
    <mergeCell ref="O8:O13"/>
    <mergeCell ref="O14:O19"/>
    <mergeCell ref="O20:O25"/>
    <mergeCell ref="P2:P7"/>
    <mergeCell ref="P8:P13"/>
    <mergeCell ref="P14:P19"/>
    <mergeCell ref="P20:P25"/>
  </mergeCells>
  <pageMargins left="0.7" right="0.7" top="0.75" bottom="0.75" header="0.3" footer="0.3"/>
  <ignoredErrors>
    <ignoredError sqref="B2:B7" numberStoredAsText="1"/>
    <ignoredError sqref="Q8:Q25 Q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Inputs</vt:lpstr>
      <vt:lpstr>Summary (actuals)</vt:lpstr>
      <vt:lpstr>Scenario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Pouloupatis Vassileios</dc:creator>
  <cp:lastModifiedBy>Pouloupatis Vassileios</cp:lastModifiedBy>
  <dcterms:created xsi:type="dcterms:W3CDTF">2025-07-02T14:53:27Z</dcterms:created>
  <dcterms:modified xsi:type="dcterms:W3CDTF">2025-07-10T14:32:30Z</dcterms:modified>
</cp:coreProperties>
</file>