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bank-my.sharepoint.com/personal/vpouloupatis_eurobank_gr/Documents/Backup 2025/Desktop/McKinsey/"/>
    </mc:Choice>
  </mc:AlternateContent>
  <xr:revisionPtr revIDLastSave="1" documentId="8_{531CDAC4-36B3-4653-9C15-C9AF5D7B0151}" xr6:coauthVersionLast="47" xr6:coauthVersionMax="47" xr10:uidLastSave="{475D76D5-EE28-4B7F-989B-A59773C55928}"/>
  <bookViews>
    <workbookView xWindow="-108" yWindow="-108" windowWidth="23256" windowHeight="12456" xr2:uid="{DC961A45-9DD3-44A6-A391-CAC4FD4449D3}"/>
  </bookViews>
  <sheets>
    <sheet name="figures" sheetId="1" r:id="rId1"/>
    <sheet name="com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H30" i="1" s="1"/>
  <c r="E30" i="1"/>
  <c r="F23" i="1" l="1"/>
  <c r="E15" i="1"/>
  <c r="G15" i="1" s="1"/>
  <c r="E14" i="1"/>
  <c r="G14" i="1" s="1"/>
  <c r="F13" i="1"/>
  <c r="D13" i="1"/>
  <c r="E13" i="1" s="1"/>
  <c r="F12" i="1"/>
  <c r="D12" i="1"/>
  <c r="E12" i="1" s="1"/>
  <c r="E7" i="1"/>
  <c r="G7" i="1" s="1"/>
  <c r="E6" i="1"/>
  <c r="G6" i="1" s="1"/>
  <c r="F5" i="1"/>
  <c r="D5" i="1"/>
  <c r="E5" i="1" s="1"/>
  <c r="F4" i="1"/>
  <c r="D4" i="1"/>
  <c r="E4" i="1" s="1"/>
  <c r="G13" i="1" l="1"/>
  <c r="E22" i="1" s="1"/>
  <c r="F22" i="1" s="1"/>
  <c r="G5" i="1"/>
  <c r="D8" i="1"/>
  <c r="G4" i="1"/>
  <c r="E8" i="1"/>
  <c r="G12" i="1"/>
  <c r="E16" i="1"/>
  <c r="E23" i="1"/>
  <c r="D16" i="1"/>
  <c r="G8" i="1" l="1"/>
  <c r="G16" i="1"/>
  <c r="E21" i="1"/>
  <c r="E24" i="1" l="1"/>
  <c r="F21" i="1"/>
  <c r="F24" i="1" s="1"/>
  <c r="H24" i="1" s="1"/>
</calcChain>
</file>

<file path=xl/sharedStrings.xml><?xml version="1.0" encoding="utf-8"?>
<sst xmlns="http://schemas.openxmlformats.org/spreadsheetml/2006/main" count="115" uniqueCount="62">
  <si>
    <t>B2B players</t>
  </si>
  <si>
    <t>Car type</t>
  </si>
  <si>
    <t>Car sales volumes (2024)</t>
  </si>
  <si>
    <t>Car sales value (2024)</t>
  </si>
  <si>
    <t>Avg. Stock rotation</t>
  </si>
  <si>
    <t>Yearly disbursments</t>
  </si>
  <si>
    <t>Note</t>
  </si>
  <si>
    <t>Unit of measure</t>
  </si>
  <si>
    <t>k#</t>
  </si>
  <si>
    <t>B€</t>
  </si>
  <si>
    <t>1/years</t>
  </si>
  <si>
    <t>€B</t>
  </si>
  <si>
    <t>Dealerships</t>
  </si>
  <si>
    <t>New</t>
  </si>
  <si>
    <r>
      <t>Sales to end consumers (</t>
    </r>
    <r>
      <rPr>
        <sz val="11"/>
        <color rgb="FF000000"/>
        <rFont val="Aptos Narrow"/>
        <family val="2"/>
      </rPr>
      <t>~</t>
    </r>
    <r>
      <rPr>
        <sz val="11"/>
        <color rgb="FF000000"/>
        <rFont val="Aptos Narrow"/>
        <family val="2"/>
        <scheme val="minor"/>
      </rPr>
      <t>62 k#) plus 50-60% of RAC volumes (which are purchased via dealers' channel)</t>
    </r>
  </si>
  <si>
    <t>Used</t>
  </si>
  <si>
    <r>
      <t>Sales to end consumers (</t>
    </r>
    <r>
      <rPr>
        <sz val="11"/>
        <color rgb="FF000000"/>
        <rFont val="Aptos Narrow"/>
        <family val="2"/>
      </rPr>
      <t>~</t>
    </r>
    <r>
      <rPr>
        <sz val="11"/>
        <color rgb="FF000000"/>
        <rFont val="Aptos Narrow"/>
        <family val="2"/>
        <scheme val="minor"/>
      </rPr>
      <t>68 k#) plus 50-60% of RAC volumes (which are purchased via dealers' channel)</t>
    </r>
  </si>
  <si>
    <t>RACs</t>
  </si>
  <si>
    <t>Total</t>
  </si>
  <si>
    <t>Car sales volumes (2030)</t>
  </si>
  <si>
    <t>Car sales value (2030)</t>
  </si>
  <si>
    <r>
      <t>Sales to end consumers (</t>
    </r>
    <r>
      <rPr>
        <sz val="11"/>
        <color rgb="FF000000"/>
        <rFont val="Aptos Narrow"/>
        <family val="2"/>
      </rPr>
      <t>~75</t>
    </r>
    <r>
      <rPr>
        <sz val="11"/>
        <color rgb="FF000000"/>
        <rFont val="Aptos Narrow"/>
        <family val="2"/>
        <scheme val="minor"/>
      </rPr>
      <t xml:space="preserve"> k#) plus 50-60% of RAC volumes (which are purchased via dealers' channel)</t>
    </r>
  </si>
  <si>
    <r>
      <t>Sales to end consumers (</t>
    </r>
    <r>
      <rPr>
        <sz val="11"/>
        <color rgb="FF000000"/>
        <rFont val="Aptos Narrow"/>
        <family val="2"/>
      </rPr>
      <t>~90</t>
    </r>
    <r>
      <rPr>
        <sz val="11"/>
        <color rgb="FF000000"/>
        <rFont val="Aptos Narrow"/>
        <family val="2"/>
        <scheme val="minor"/>
      </rPr>
      <t xml:space="preserve"> k#) plus 50-60% of RAC volumes (which are purchased via dealers' channel)</t>
    </r>
  </si>
  <si>
    <t>B2B opportunity</t>
  </si>
  <si>
    <t>ERB Potential MS  2030, %</t>
  </si>
  <si>
    <t>ERB loan disbursements  2030</t>
  </si>
  <si>
    <t>ERB RAR 2030</t>
  </si>
  <si>
    <t>ERB Opex 2030</t>
  </si>
  <si>
    <t>ERB PBT</t>
  </si>
  <si>
    <t>%</t>
  </si>
  <si>
    <t>€M</t>
  </si>
  <si>
    <t xml:space="preserve">Considering 2.5% spread for floor plan financing (new cars) </t>
  </si>
  <si>
    <t>Considering 3% spread for Stock finance (used cars)</t>
  </si>
  <si>
    <t>Considering 900-1000€ RAR per car for RACs financing</t>
  </si>
  <si>
    <t>Highly preliminary opex estimate</t>
  </si>
  <si>
    <t xml:space="preserve">Redesign the B2B offering by introducing interest-free periods for floor plans, launching new products like balloon financing for RAC, </t>
  </si>
  <si>
    <t>and enhancing the dealer platform for streamlined credit processes. This includes integrating with dealer management systems for real-time inventory visibility</t>
  </si>
  <si>
    <t>Revamp floorplans and stock financing by developing a dealer platform</t>
  </si>
  <si>
    <t>• Competition – specialized auto banks and captives – is offering tailored and digital B2B solutions (e.g., dealer</t>
  </si>
  <si>
    <t>portal, RAC financing with buy-back options, stock finance, asset repossession) and linking it to the size of their retail</t>
  </si>
  <si>
    <t>• Eurobank used to offer B2B financing to dealers (i.e., stock finance) but scaled back during the recession, and it is</t>
  </si>
  <si>
    <t>now re-entering the market with a floor plan for Toyota (covering only ~60% of their dealers)</t>
  </si>
  <si>
    <t>• To protect the core business, Eurobank should redesign its B2B offering across three key pillars:</t>
  </si>
  <si>
    <t>A. Product &amp; Commercial: enhance B2B offering with additional features (e.g., interest-free periods for floor plans)</t>
  </si>
  <si>
    <t>B. Systems &amp; Processes: enhance the dealer platform to streamline credit processes, including integration with</t>
  </si>
  <si>
    <t>dealer management systems for real-time inventory visibility</t>
  </si>
  <si>
    <t>C. Risk Appetite: evolve credit models and risk appetite to support more flexible B2B underwriting and broaden</t>
  </si>
  <si>
    <t>market reach, leveraging vehicle repossession to mitigate risk</t>
  </si>
  <si>
    <t>• This strategy can allow Eurobank to capture 5-7M€ in RAR from B2B financing by 2030</t>
  </si>
  <si>
    <t>• Additionally, it will serve as a strategic lever to regain Eurobank historical fair share in retail auto financing</t>
  </si>
  <si>
    <t>through dealerships (+3-5pp), generating an additional 3-4M€ in RAR financing by 2030</t>
  </si>
  <si>
    <t>Key insights</t>
  </si>
  <si>
    <t>• B2B financing is critical for dealers’ and RACs businesses and will represent a market opportunity of ~1.5 B€ of loan disbursements by 2030</t>
  </si>
  <si>
    <t>business (e.g., for 1€ of B2B financing, 2-3€ of retail financing), which puts at risk Eurobank position in retail auto finance</t>
  </si>
  <si>
    <t>and launch balloon financing for RACs, linking dealers commercial terms with Eurobank’s share of wallet in retail financing</t>
  </si>
  <si>
    <t>Incremental retail opportunity</t>
  </si>
  <si>
    <t>Incremental ERB retail MS</t>
  </si>
  <si>
    <t>Incremental ERB retail loan disbursements (2030)</t>
  </si>
  <si>
    <t>Incremental ERB RAR</t>
  </si>
  <si>
    <t>3-5%</t>
  </si>
  <si>
    <t>15-20%</t>
  </si>
  <si>
    <r>
      <t xml:space="preserve">Considering </t>
    </r>
    <r>
      <rPr>
        <sz val="11"/>
        <rFont val="Aptos Narrow"/>
        <family val="2"/>
      </rPr>
      <t xml:space="preserve">~1B€ retail </t>
    </r>
    <r>
      <rPr>
        <sz val="11"/>
        <rFont val="Aptos Narrow"/>
        <family val="2"/>
        <scheme val="minor"/>
      </rPr>
      <t>auto loan disburments market via dealerships in 2030, accounting for ~90M€ RAR; highly preliminary opex estimate (decreased vs. Steering Commitee 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</si>
</sst>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10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b/>
      <sz val="11"/>
      <color theme="0"/>
      <name val="Aptos Narrow"/>
      <family val="2"/>
      <scheme val="minor"/>
    </font>
    <font>
      <b/>
      <sz val="11"/>
      <color rgb="FF003366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3" fontId="6" fillId="0" borderId="1" xfId="0" applyNumberFormat="1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165" fontId="6" fillId="0" borderId="1" xfId="1" applyNumberFormat="1" applyFont="1" applyBorder="1"/>
    <xf numFmtId="0" fontId="7" fillId="0" borderId="0" xfId="0" applyFont="1"/>
    <xf numFmtId="0" fontId="8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1531620</xdr:colOff>
      <xdr:row>17</xdr:row>
      <xdr:rowOff>15240</xdr:rowOff>
    </xdr:from>
    <xdr:to>
      <xdr:col>6</xdr:col>
      <xdr:colOff>7620</xdr:colOff>
      <xdr:row>24</xdr:row>
      <xdr:rowOff>68580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1525FCC-943B-1D78-23AE-5E7C094B4F51}"/>
            </a:ext>
          </a:extLst>
        </xdr:cNvPr>
        <xdr:cNvSpPr/>
      </xdr:nvSpPr>
      <xdr:spPr>
        <a:xfrm>
          <a:off x="3162300" y="3124200"/>
          <a:ext cx="2933700" cy="1333500"/>
        </a:xfrm>
        <a:prstGeom prst="rect">
          <a:avLst/>
        </a:prstGeom>
        <a:noFill/>
        <a:ln w="5715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B4A4-3334-4508-BE0F-2E0D71D1CD57}">
  <dimension ref="B2:I30"/>
  <sheetViews>
    <sheetView tabSelected="1" topLeftCell="A2" zoomScale="90" zoomScaleNormal="90" workbookViewId="0">
      <selection activeCell="J24" sqref="J24"/>
    </sheetView>
  </sheetViews>
  <sheetFormatPr defaultRowHeight="14.4" x14ac:dyDescent="0.3"/>
  <cols>
    <col min="1" max="1" width="1.5546875" customWidth="1"/>
    <col min="2" max="2" width="14.33203125" bestFit="1" customWidth="1"/>
    <col min="3" max="3" width="7.88671875" bestFit="1" customWidth="1"/>
    <col min="4" max="4" width="22.44140625" bestFit="1" customWidth="1"/>
    <col min="5" max="5" width="26" bestFit="1" customWidth="1"/>
    <col min="6" max="6" width="16.5546875" bestFit="1" customWidth="1"/>
    <col min="7" max="7" width="18.109375" bestFit="1" customWidth="1"/>
    <col min="8" max="8" width="7.6640625" bestFit="1" customWidth="1"/>
    <col min="9" max="9" width="85.5546875" bestFit="1" customWidth="1"/>
  </cols>
  <sheetData>
    <row r="2" spans="2:9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"/>
      <c r="I2" s="1" t="s">
        <v>6</v>
      </c>
    </row>
    <row r="3" spans="2:9" x14ac:dyDescent="0.3">
      <c r="B3" s="3" t="s">
        <v>7</v>
      </c>
      <c r="C3" s="4"/>
      <c r="D3" s="4" t="s">
        <v>8</v>
      </c>
      <c r="E3" s="5" t="s">
        <v>9</v>
      </c>
      <c r="F3" s="5" t="s">
        <v>10</v>
      </c>
      <c r="G3" s="5" t="s">
        <v>11</v>
      </c>
      <c r="H3" s="3"/>
      <c r="I3" s="3"/>
    </row>
    <row r="4" spans="2:9" x14ac:dyDescent="0.3">
      <c r="B4" s="6" t="s">
        <v>12</v>
      </c>
      <c r="C4" s="7" t="s">
        <v>13</v>
      </c>
      <c r="D4" s="8">
        <f>62+16</f>
        <v>78</v>
      </c>
      <c r="E4" s="9">
        <f>D4*20000/1000000</f>
        <v>1.56</v>
      </c>
      <c r="F4" s="9">
        <f>1/8</f>
        <v>0.125</v>
      </c>
      <c r="G4" s="9">
        <f>E4*F4</f>
        <v>0.19500000000000001</v>
      </c>
      <c r="H4" s="10"/>
      <c r="I4" s="6" t="s">
        <v>14</v>
      </c>
    </row>
    <row r="5" spans="2:9" x14ac:dyDescent="0.3">
      <c r="B5" s="6" t="s">
        <v>12</v>
      </c>
      <c r="C5" s="7" t="s">
        <v>15</v>
      </c>
      <c r="D5" s="8">
        <f>68+8</f>
        <v>76</v>
      </c>
      <c r="E5" s="9">
        <f>D5*10000/1000000</f>
        <v>0.76</v>
      </c>
      <c r="F5" s="9">
        <f>1/8</f>
        <v>0.125</v>
      </c>
      <c r="G5" s="9">
        <f t="shared" ref="G5" si="0">E5*F5</f>
        <v>9.5000000000000001E-2</v>
      </c>
      <c r="H5" s="10"/>
      <c r="I5" s="6" t="s">
        <v>16</v>
      </c>
    </row>
    <row r="6" spans="2:9" x14ac:dyDescent="0.3">
      <c r="B6" s="6" t="s">
        <v>17</v>
      </c>
      <c r="C6" s="7" t="s">
        <v>13</v>
      </c>
      <c r="D6" s="7">
        <v>25</v>
      </c>
      <c r="E6" s="9">
        <f t="shared" ref="E6" si="1">D6*20000/1000000</f>
        <v>0.5</v>
      </c>
      <c r="F6" s="9">
        <v>3</v>
      </c>
      <c r="G6" s="9">
        <f>E6</f>
        <v>0.5</v>
      </c>
      <c r="H6" s="10"/>
      <c r="I6" s="6"/>
    </row>
    <row r="7" spans="2:9" x14ac:dyDescent="0.3">
      <c r="B7" s="6" t="s">
        <v>17</v>
      </c>
      <c r="C7" s="7" t="s">
        <v>15</v>
      </c>
      <c r="D7" s="7">
        <v>15</v>
      </c>
      <c r="E7" s="9">
        <f>D7*10000/1000000</f>
        <v>0.15</v>
      </c>
      <c r="F7" s="9">
        <v>3</v>
      </c>
      <c r="G7" s="9">
        <f>E7</f>
        <v>0.15</v>
      </c>
      <c r="H7" s="10"/>
      <c r="I7" s="6"/>
    </row>
    <row r="8" spans="2:9" x14ac:dyDescent="0.3">
      <c r="B8" s="11" t="s">
        <v>18</v>
      </c>
      <c r="C8" s="12" t="s">
        <v>18</v>
      </c>
      <c r="D8" s="13">
        <f>SUM(D4:D7)</f>
        <v>194</v>
      </c>
      <c r="E8" s="14">
        <f>SUM(E4:E7)</f>
        <v>2.97</v>
      </c>
      <c r="F8" s="14"/>
      <c r="G8" s="14">
        <f>SUM(G4:G7)</f>
        <v>0.94000000000000006</v>
      </c>
      <c r="H8" s="15"/>
      <c r="I8" s="6"/>
    </row>
    <row r="9" spans="2:9" x14ac:dyDescent="0.3">
      <c r="C9" s="16"/>
      <c r="D9" s="16"/>
      <c r="E9" s="16"/>
      <c r="F9" s="16"/>
      <c r="G9" s="16"/>
    </row>
    <row r="10" spans="2:9" x14ac:dyDescent="0.3">
      <c r="B10" s="1" t="s">
        <v>0</v>
      </c>
      <c r="C10" s="2" t="s">
        <v>1</v>
      </c>
      <c r="D10" s="2" t="s">
        <v>19</v>
      </c>
      <c r="E10" s="2" t="s">
        <v>20</v>
      </c>
      <c r="F10" s="2" t="s">
        <v>4</v>
      </c>
      <c r="G10" s="2" t="s">
        <v>5</v>
      </c>
      <c r="H10" s="1"/>
      <c r="I10" s="1" t="s">
        <v>6</v>
      </c>
    </row>
    <row r="11" spans="2:9" x14ac:dyDescent="0.3">
      <c r="B11" s="3" t="s">
        <v>7</v>
      </c>
      <c r="C11" s="4"/>
      <c r="D11" s="4" t="s">
        <v>8</v>
      </c>
      <c r="E11" s="5" t="s">
        <v>9</v>
      </c>
      <c r="F11" s="5" t="s">
        <v>10</v>
      </c>
      <c r="G11" s="5" t="s">
        <v>11</v>
      </c>
      <c r="H11" s="3"/>
      <c r="I11" s="3"/>
    </row>
    <row r="12" spans="2:9" x14ac:dyDescent="0.3">
      <c r="B12" s="6" t="s">
        <v>12</v>
      </c>
      <c r="C12" s="7" t="s">
        <v>13</v>
      </c>
      <c r="D12" s="8">
        <f>75+60%*D14</f>
        <v>93.6</v>
      </c>
      <c r="E12" s="9">
        <f>D12*25000/1000000</f>
        <v>2.34</v>
      </c>
      <c r="F12" s="9">
        <f>1/8</f>
        <v>0.125</v>
      </c>
      <c r="G12" s="9">
        <f>E12*F12</f>
        <v>0.29249999999999998</v>
      </c>
      <c r="H12" s="10"/>
      <c r="I12" s="6" t="s">
        <v>21</v>
      </c>
    </row>
    <row r="13" spans="2:9" x14ac:dyDescent="0.3">
      <c r="B13" s="6" t="s">
        <v>12</v>
      </c>
      <c r="C13" s="7" t="s">
        <v>15</v>
      </c>
      <c r="D13" s="8">
        <f>90+60%*D15</f>
        <v>99.6</v>
      </c>
      <c r="E13" s="9">
        <f>D13*15000/1000000</f>
        <v>1.494</v>
      </c>
      <c r="F13" s="9">
        <f>1/8</f>
        <v>0.125</v>
      </c>
      <c r="G13" s="9">
        <f t="shared" ref="G13" si="2">E13*F13</f>
        <v>0.18675</v>
      </c>
      <c r="H13" s="10"/>
      <c r="I13" s="6" t="s">
        <v>22</v>
      </c>
    </row>
    <row r="14" spans="2:9" x14ac:dyDescent="0.3">
      <c r="B14" s="6" t="s">
        <v>17</v>
      </c>
      <c r="C14" s="7" t="s">
        <v>13</v>
      </c>
      <c r="D14" s="7">
        <v>31</v>
      </c>
      <c r="E14" s="9">
        <f>D14*25000/1000000</f>
        <v>0.77500000000000002</v>
      </c>
      <c r="F14" s="9">
        <v>3</v>
      </c>
      <c r="G14" s="9">
        <f>E14</f>
        <v>0.77500000000000002</v>
      </c>
      <c r="H14" s="10"/>
      <c r="I14" s="6"/>
    </row>
    <row r="15" spans="2:9" x14ac:dyDescent="0.3">
      <c r="B15" s="6" t="s">
        <v>17</v>
      </c>
      <c r="C15" s="7" t="s">
        <v>15</v>
      </c>
      <c r="D15" s="7">
        <v>16</v>
      </c>
      <c r="E15" s="9">
        <f>D15*15000/1000000</f>
        <v>0.24</v>
      </c>
      <c r="F15" s="9">
        <v>3</v>
      </c>
      <c r="G15" s="9">
        <f>E15</f>
        <v>0.24</v>
      </c>
      <c r="H15" s="10"/>
      <c r="I15" s="6"/>
    </row>
    <row r="16" spans="2:9" x14ac:dyDescent="0.3">
      <c r="B16" s="11" t="s">
        <v>18</v>
      </c>
      <c r="C16" s="12" t="s">
        <v>18</v>
      </c>
      <c r="D16" s="13">
        <f>SUM(D12:D15)</f>
        <v>240.2</v>
      </c>
      <c r="E16" s="14">
        <f>SUM(E12:E15)</f>
        <v>4.8490000000000002</v>
      </c>
      <c r="F16" s="14"/>
      <c r="G16" s="14">
        <f>SUM(G12:G15)</f>
        <v>1.4942499999999999</v>
      </c>
      <c r="H16" s="15"/>
      <c r="I16" s="6"/>
    </row>
    <row r="17" spans="2:9" x14ac:dyDescent="0.3">
      <c r="C17" s="16"/>
      <c r="D17" s="16"/>
      <c r="E17" s="16"/>
      <c r="F17" s="16"/>
      <c r="G17" s="16"/>
    </row>
    <row r="18" spans="2:9" x14ac:dyDescent="0.3">
      <c r="B18" s="1" t="s">
        <v>23</v>
      </c>
      <c r="C18" s="2"/>
      <c r="D18" s="2"/>
      <c r="E18" s="2"/>
      <c r="F18" s="2"/>
      <c r="G18" s="2"/>
      <c r="H18" s="1"/>
      <c r="I18" s="1"/>
    </row>
    <row r="19" spans="2:9" x14ac:dyDescent="0.3">
      <c r="B19" s="1" t="s">
        <v>0</v>
      </c>
      <c r="C19" s="2" t="s">
        <v>1</v>
      </c>
      <c r="D19" s="2" t="s">
        <v>24</v>
      </c>
      <c r="E19" s="2" t="s">
        <v>25</v>
      </c>
      <c r="F19" s="2" t="s">
        <v>26</v>
      </c>
      <c r="G19" s="2" t="s">
        <v>27</v>
      </c>
      <c r="H19" s="1" t="s">
        <v>28</v>
      </c>
      <c r="I19" s="1" t="s">
        <v>6</v>
      </c>
    </row>
    <row r="20" spans="2:9" x14ac:dyDescent="0.3">
      <c r="B20" s="3" t="s">
        <v>7</v>
      </c>
      <c r="C20" s="4"/>
      <c r="D20" s="5" t="s">
        <v>29</v>
      </c>
      <c r="E20" s="5" t="s">
        <v>30</v>
      </c>
      <c r="F20" s="5" t="s">
        <v>30</v>
      </c>
      <c r="G20" s="5" t="s">
        <v>29</v>
      </c>
      <c r="H20" s="3" t="s">
        <v>30</v>
      </c>
      <c r="I20" s="3"/>
    </row>
    <row r="21" spans="2:9" x14ac:dyDescent="0.3">
      <c r="B21" s="6" t="s">
        <v>12</v>
      </c>
      <c r="C21" s="7" t="s">
        <v>13</v>
      </c>
      <c r="D21" s="17">
        <v>0.25</v>
      </c>
      <c r="E21" s="18">
        <f>D21*G12*1000</f>
        <v>73.125</v>
      </c>
      <c r="F21" s="9">
        <f>2.5%*E21</f>
        <v>1.828125</v>
      </c>
      <c r="G21" s="19"/>
      <c r="H21" s="20"/>
      <c r="I21" s="6" t="s">
        <v>31</v>
      </c>
    </row>
    <row r="22" spans="2:9" x14ac:dyDescent="0.3">
      <c r="B22" s="6" t="s">
        <v>12</v>
      </c>
      <c r="C22" s="7" t="s">
        <v>15</v>
      </c>
      <c r="D22" s="17">
        <v>0.25</v>
      </c>
      <c r="E22" s="18">
        <f>D22*G13*1000</f>
        <v>46.6875</v>
      </c>
      <c r="F22" s="9">
        <f>3%*E22</f>
        <v>1.400625</v>
      </c>
      <c r="G22" s="19"/>
      <c r="H22" s="20"/>
      <c r="I22" s="6" t="s">
        <v>32</v>
      </c>
    </row>
    <row r="23" spans="2:9" x14ac:dyDescent="0.3">
      <c r="B23" s="6" t="s">
        <v>17</v>
      </c>
      <c r="C23" s="7" t="s">
        <v>18</v>
      </c>
      <c r="D23" s="17">
        <v>0.1</v>
      </c>
      <c r="E23" s="18">
        <f>10%*(G14+G15)*1000</f>
        <v>101.50000000000001</v>
      </c>
      <c r="F23" s="9">
        <f>D23*(D6+D7)*950*1000/10^6</f>
        <v>3.8</v>
      </c>
      <c r="G23" s="19"/>
      <c r="H23" s="20"/>
      <c r="I23" s="6" t="s">
        <v>33</v>
      </c>
    </row>
    <row r="24" spans="2:9" x14ac:dyDescent="0.3">
      <c r="B24" s="11" t="s">
        <v>18</v>
      </c>
      <c r="C24" s="12" t="s">
        <v>18</v>
      </c>
      <c r="D24" s="17"/>
      <c r="E24" s="21">
        <f>SUM(E21:E23)</f>
        <v>221.3125</v>
      </c>
      <c r="F24" s="14">
        <f>SUM(F21:F23)</f>
        <v>7.0287499999999996</v>
      </c>
      <c r="G24" s="22">
        <v>0.4</v>
      </c>
      <c r="H24" s="23">
        <f>40%*F24</f>
        <v>2.8115000000000001</v>
      </c>
      <c r="I24" s="6" t="s">
        <v>34</v>
      </c>
    </row>
    <row r="27" spans="2:9" x14ac:dyDescent="0.3">
      <c r="B27" s="1" t="s">
        <v>55</v>
      </c>
      <c r="C27" s="2"/>
      <c r="D27" s="2"/>
      <c r="E27" s="2"/>
      <c r="F27" s="2"/>
      <c r="G27" s="2"/>
      <c r="H27" s="2"/>
      <c r="I27" s="1"/>
    </row>
    <row r="28" spans="2:9" x14ac:dyDescent="0.3">
      <c r="B28" s="1" t="s">
        <v>0</v>
      </c>
      <c r="C28" s="2" t="s">
        <v>1</v>
      </c>
      <c r="D28" s="2" t="s">
        <v>56</v>
      </c>
      <c r="E28" s="2" t="s">
        <v>57</v>
      </c>
      <c r="F28" s="2" t="s">
        <v>58</v>
      </c>
      <c r="G28" s="2" t="s">
        <v>27</v>
      </c>
      <c r="H28" s="2" t="s">
        <v>28</v>
      </c>
      <c r="I28" s="1" t="s">
        <v>6</v>
      </c>
    </row>
    <row r="29" spans="2:9" x14ac:dyDescent="0.3">
      <c r="B29" s="3" t="s">
        <v>7</v>
      </c>
      <c r="C29" s="4"/>
      <c r="D29" s="5" t="s">
        <v>29</v>
      </c>
      <c r="E29" s="5" t="s">
        <v>30</v>
      </c>
      <c r="F29" s="5" t="s">
        <v>30</v>
      </c>
      <c r="G29" s="5" t="s">
        <v>29</v>
      </c>
      <c r="H29" s="5" t="s">
        <v>30</v>
      </c>
      <c r="I29" s="3"/>
    </row>
    <row r="30" spans="2:9" x14ac:dyDescent="0.3">
      <c r="B30" s="11" t="s">
        <v>18</v>
      </c>
      <c r="C30" s="12" t="s">
        <v>18</v>
      </c>
      <c r="D30" s="22" t="s">
        <v>59</v>
      </c>
      <c r="E30" s="21">
        <f>3%*950</f>
        <v>28.5</v>
      </c>
      <c r="F30" s="13">
        <f>3%*90</f>
        <v>2.6999999999999997</v>
      </c>
      <c r="G30" s="22" t="s">
        <v>60</v>
      </c>
      <c r="H30" s="13">
        <f>F30*(1-17.5%)</f>
        <v>2.2274999999999996</v>
      </c>
      <c r="I30" s="25" t="s">
        <v>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AEF0-4B8A-4F2D-A704-74FA47305253}">
  <dimension ref="A1:B22"/>
  <sheetViews>
    <sheetView workbookViewId="0">
      <selection activeCell="B21" sqref="B21"/>
    </sheetView>
  </sheetViews>
  <sheetFormatPr defaultRowHeight="14.4" x14ac:dyDescent="0.3"/>
  <sheetData>
    <row r="1" spans="1:2" x14ac:dyDescent="0.3">
      <c r="B1" s="24" t="s">
        <v>37</v>
      </c>
    </row>
    <row r="3" spans="1:2" x14ac:dyDescent="0.3">
      <c r="A3" s="24">
        <v>1</v>
      </c>
      <c r="B3" t="s">
        <v>35</v>
      </c>
    </row>
    <row r="4" spans="1:2" x14ac:dyDescent="0.3">
      <c r="B4" t="s">
        <v>36</v>
      </c>
    </row>
    <row r="6" spans="1:2" x14ac:dyDescent="0.3">
      <c r="A6" s="24">
        <v>2</v>
      </c>
      <c r="B6" t="s">
        <v>51</v>
      </c>
    </row>
    <row r="7" spans="1:2" x14ac:dyDescent="0.3">
      <c r="B7" t="s">
        <v>52</v>
      </c>
    </row>
    <row r="8" spans="1:2" x14ac:dyDescent="0.3">
      <c r="B8" t="s">
        <v>38</v>
      </c>
    </row>
    <row r="9" spans="1:2" x14ac:dyDescent="0.3">
      <c r="B9" t="s">
        <v>39</v>
      </c>
    </row>
    <row r="10" spans="1:2" x14ac:dyDescent="0.3">
      <c r="B10" t="s">
        <v>53</v>
      </c>
    </row>
    <row r="11" spans="1:2" x14ac:dyDescent="0.3">
      <c r="B11" t="s">
        <v>40</v>
      </c>
    </row>
    <row r="12" spans="1:2" x14ac:dyDescent="0.3">
      <c r="B12" t="s">
        <v>41</v>
      </c>
    </row>
    <row r="13" spans="1:2" x14ac:dyDescent="0.3">
      <c r="B13" t="s">
        <v>42</v>
      </c>
    </row>
    <row r="14" spans="1:2" x14ac:dyDescent="0.3">
      <c r="B14" t="s">
        <v>43</v>
      </c>
    </row>
    <row r="15" spans="1:2" x14ac:dyDescent="0.3">
      <c r="B15" t="s">
        <v>54</v>
      </c>
    </row>
    <row r="16" spans="1:2" x14ac:dyDescent="0.3">
      <c r="B16" t="s">
        <v>44</v>
      </c>
    </row>
    <row r="17" spans="2:2" x14ac:dyDescent="0.3">
      <c r="B17" t="s">
        <v>45</v>
      </c>
    </row>
    <row r="18" spans="2:2" x14ac:dyDescent="0.3">
      <c r="B18" t="s">
        <v>46</v>
      </c>
    </row>
    <row r="19" spans="2:2" x14ac:dyDescent="0.3">
      <c r="B19" t="s">
        <v>47</v>
      </c>
    </row>
    <row r="20" spans="2:2" x14ac:dyDescent="0.3">
      <c r="B20" t="s">
        <v>48</v>
      </c>
    </row>
    <row r="21" spans="2:2" x14ac:dyDescent="0.3">
      <c r="B21" t="s">
        <v>49</v>
      </c>
    </row>
    <row r="22" spans="2:2" x14ac:dyDescent="0.3">
      <c r="B2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figures</vt:lpstr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Pouloupatis Vassileios</dc:creator>
  <cp:lastModifiedBy>Pouloupatis Vassileios</cp:lastModifiedBy>
  <dcterms:created xsi:type="dcterms:W3CDTF">2025-09-03T07:34:38Z</dcterms:created>
  <dcterms:modified xsi:type="dcterms:W3CDTF">2026-05-13T11:27:21Z</dcterms:modified>
</cp:coreProperties>
</file>