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Psematika\RUN THE BUSINESS PROJECTS\McKinsey Car Financing Project 2025\"/>
    </mc:Choice>
  </mc:AlternateContent>
  <xr:revisionPtr revIDLastSave="0" documentId="13_ncr:1_{EE7588EF-4CCF-4715-B949-71785524AEF8}" xr6:coauthVersionLast="47" xr6:coauthVersionMax="47" xr10:uidLastSave="{00000000-0000-0000-0000-000000000000}"/>
  <bookViews>
    <workbookView xWindow="-120" yWindow="-120" windowWidth="23280" windowHeight="12480" activeTab="1" xr2:uid="{929D8496-227A-4E58-A06D-B73DB91A67DE}"/>
  </bookViews>
  <sheets>
    <sheet name="tables 2024" sheetId="4" r:id="rId1"/>
    <sheet name="tables 2021" sheetId="5" r:id="rId2"/>
    <sheet name="risk profile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5" l="1"/>
  <c r="F18" i="5"/>
  <c r="D18" i="5"/>
  <c r="J17" i="5"/>
  <c r="H17" i="5"/>
  <c r="F17" i="5"/>
  <c r="D17" i="5"/>
  <c r="J16" i="5"/>
  <c r="H16" i="5"/>
  <c r="F16" i="5"/>
  <c r="D16" i="5"/>
  <c r="J15" i="5"/>
  <c r="H15" i="5"/>
  <c r="F15" i="5"/>
  <c r="D15" i="5"/>
  <c r="J14" i="5"/>
  <c r="H14" i="5"/>
  <c r="F14" i="5"/>
  <c r="D14" i="5"/>
  <c r="J13" i="5"/>
  <c r="H13" i="5"/>
  <c r="F13" i="5"/>
  <c r="D13" i="5"/>
  <c r="H9" i="5"/>
  <c r="F9" i="5"/>
  <c r="D9" i="5"/>
  <c r="J8" i="5"/>
  <c r="H8" i="5"/>
  <c r="F8" i="5"/>
  <c r="D8" i="5"/>
  <c r="J7" i="5"/>
  <c r="H7" i="5"/>
  <c r="F7" i="5"/>
  <c r="D7" i="5"/>
  <c r="J6" i="5"/>
  <c r="H6" i="5"/>
  <c r="F6" i="5"/>
  <c r="D6" i="5"/>
  <c r="J5" i="5"/>
  <c r="H5" i="5"/>
  <c r="F5" i="5"/>
  <c r="D5" i="5"/>
  <c r="J4" i="5"/>
  <c r="H4" i="5"/>
  <c r="F4" i="5"/>
  <c r="D4" i="5"/>
  <c r="D9" i="4"/>
  <c r="D7" i="4"/>
  <c r="J14" i="4"/>
  <c r="J15" i="4"/>
  <c r="J16" i="4"/>
  <c r="J17" i="4"/>
  <c r="J13" i="4"/>
  <c r="J5" i="4"/>
  <c r="J6" i="4"/>
  <c r="J7" i="4"/>
  <c r="J8" i="4"/>
  <c r="J4" i="4"/>
  <c r="H14" i="4"/>
  <c r="H15" i="4"/>
  <c r="H16" i="4"/>
  <c r="H17" i="4"/>
  <c r="H13" i="4"/>
  <c r="F14" i="4"/>
  <c r="F15" i="4"/>
  <c r="F16" i="4"/>
  <c r="F17" i="4"/>
  <c r="F13" i="4"/>
  <c r="H18" i="4"/>
  <c r="F18" i="4"/>
  <c r="D18" i="4"/>
  <c r="F9" i="4"/>
  <c r="H9" i="4"/>
  <c r="D14" i="4"/>
  <c r="D15" i="4"/>
  <c r="D16" i="4"/>
  <c r="D17" i="4"/>
  <c r="D13" i="4"/>
  <c r="H5" i="4"/>
  <c r="H6" i="4"/>
  <c r="H7" i="4"/>
  <c r="H8" i="4"/>
  <c r="H4" i="4"/>
  <c r="F5" i="4"/>
  <c r="F6" i="4"/>
  <c r="F7" i="4"/>
  <c r="F8" i="4"/>
  <c r="F4" i="4"/>
  <c r="D5" i="4"/>
  <c r="D6" i="4"/>
  <c r="D8" i="4"/>
  <c r="D4" i="4"/>
</calcChain>
</file>

<file path=xl/sharedStrings.xml><?xml version="1.0" encoding="utf-8"?>
<sst xmlns="http://schemas.openxmlformats.org/spreadsheetml/2006/main" count="223" uniqueCount="84">
  <si>
    <t>Reject</t>
  </si>
  <si>
    <t>Disbursed</t>
  </si>
  <si>
    <t>Cancelled after Counter Offer</t>
  </si>
  <si>
    <t>Cancelled before Decision</t>
  </si>
  <si>
    <t>Approval Cancelled</t>
  </si>
  <si>
    <t>&lt;= 9 y</t>
  </si>
  <si>
    <t>9-12 y</t>
  </si>
  <si>
    <t>12+ y</t>
  </si>
  <si>
    <t>Grand Total</t>
  </si>
  <si>
    <t>Used Cars FY 2024 (accounts)</t>
  </si>
  <si>
    <t>Used Cars FY 2024 (amounts)</t>
  </si>
  <si>
    <t>acceptance rate</t>
  </si>
  <si>
    <t>Avg Ticket</t>
  </si>
  <si>
    <t>Avg DownPayment %</t>
  </si>
  <si>
    <t>Counter Offer Description</t>
  </si>
  <si>
    <t>DOWNPAYMENT 35%</t>
  </si>
  <si>
    <t>PROVIDE GUARANTOR</t>
  </si>
  <si>
    <t>DOWNPAYMENT 35% &amp; GUARANTOR</t>
  </si>
  <si>
    <t>DOWNPAYMENT 40%</t>
  </si>
  <si>
    <t>DOWNPAYMENT 40% &amp; GUARANTOR</t>
  </si>
  <si>
    <t>PROVIDE CO-BORROWER</t>
  </si>
  <si>
    <t>DOWNPAYMENT 50%</t>
  </si>
  <si>
    <t>DOWNPAYMENT 20%</t>
  </si>
  <si>
    <t>DOWNPAYMENT 30%</t>
  </si>
  <si>
    <t>DOWNPAYMENT 30% &amp; GUARANTOR</t>
  </si>
  <si>
    <t>DOWNPAYMENT 35% &amp; CO-BORROWER</t>
  </si>
  <si>
    <t>DOWNPAYMENT 45%</t>
  </si>
  <si>
    <t>DOWNPAYMENT 25%</t>
  </si>
  <si>
    <t>DOWNPAYMENT 40% &amp; CO-BORROWER</t>
  </si>
  <si>
    <t>DOWNPAYMENT 50% or GUARANTOR</t>
  </si>
  <si>
    <t>DOWNPAYMENT 25% &amp; GUARANTOR</t>
  </si>
  <si>
    <t>DOWNPAYMENT 20% &amp; GUARANTOR</t>
  </si>
  <si>
    <t>DOWNPAYMENT 50% &amp; GUARANTOR</t>
  </si>
  <si>
    <t>DOWNPAYMENT 30% or GUARANTOR</t>
  </si>
  <si>
    <t>DOWNPAYMENT 35% or GUARANTOR</t>
  </si>
  <si>
    <t>DOWNPAYMENT 45% &amp; GUARANTOR</t>
  </si>
  <si>
    <t>DOWNPAYMENT 20% &amp; CO-BORROWER</t>
  </si>
  <si>
    <t>DOWNPAYMENT 45% or GUARANTOR</t>
  </si>
  <si>
    <t>DOWNPAYMENT 40% or GUARANTOR</t>
  </si>
  <si>
    <t>DOWNPAYMENT 40% or CO-BORROWER</t>
  </si>
  <si>
    <t>DOWNPAYMENT 45% &amp; CO-BORROWER</t>
  </si>
  <si>
    <t>DOWNPAYMENT 30% &amp; CO-BORROWER</t>
  </si>
  <si>
    <t>DOWNPAYMENT 50% &amp; CO-BORROWER</t>
  </si>
  <si>
    <t>CAR AGE AT REPAYMENT WITH ACTUAL DOWNPAYMENT IN THE APPLICATION</t>
  </si>
  <si>
    <t>&lt;= 9 y Total</t>
  </si>
  <si>
    <t>9-12 y Total</t>
  </si>
  <si>
    <t>12+ y Total</t>
  </si>
  <si>
    <t>0-10%</t>
  </si>
  <si>
    <t>10-20%</t>
  </si>
  <si>
    <t>20-35%</t>
  </si>
  <si>
    <t>35-50%</t>
  </si>
  <si>
    <t>50-70%</t>
  </si>
  <si>
    <t>70%+</t>
  </si>
  <si>
    <t>LOAN AMOUNT REDUCTION</t>
  </si>
  <si>
    <t>THE GUARANTOR MUST CHANGE TO CO-BORROWER</t>
  </si>
  <si>
    <t>SPOUSE TO CONTRIBUTE TO THE LOAN</t>
  </si>
  <si>
    <t>LOAN DURATION CHANGE</t>
  </si>
  <si>
    <t>Used Cars FY 2021 (accounts)</t>
  </si>
  <si>
    <t>Used Cars FY 2021 (amounts)</t>
  </si>
  <si>
    <t>Avg Ticket 2021</t>
  </si>
  <si>
    <t>Avg DownPayment % 2021</t>
  </si>
  <si>
    <t>&lt;= 9y</t>
  </si>
  <si>
    <t>low risk</t>
  </si>
  <si>
    <t>RC 1</t>
  </si>
  <si>
    <t>RC 2</t>
  </si>
  <si>
    <t>RC 3</t>
  </si>
  <si>
    <t>RC 4</t>
  </si>
  <si>
    <t>RC 5</t>
  </si>
  <si>
    <t>medium risk</t>
  </si>
  <si>
    <t>RC 6</t>
  </si>
  <si>
    <t>RC 7</t>
  </si>
  <si>
    <t>high risk</t>
  </si>
  <si>
    <t>RC 8</t>
  </si>
  <si>
    <t>RC 9</t>
  </si>
  <si>
    <t>RC 10</t>
  </si>
  <si>
    <t>DOWNPAYMENT 15%</t>
  </si>
  <si>
    <t>DOWNPAYMENT 15% &amp; GUARANTOR</t>
  </si>
  <si>
    <t>DOWNPAYMENT 10% &amp; GUARANTOR</t>
  </si>
  <si>
    <t>DOWNPAYMENT 10%</t>
  </si>
  <si>
    <t>REPLACE GUARANTOR AS CO-BORROWER</t>
  </si>
  <si>
    <t>DOWNPAYMENT 25% or GUARANTOR</t>
  </si>
  <si>
    <t>DOWNPAYMENT 20% or GUARANTOR</t>
  </si>
  <si>
    <t>DOWNPAYMENT 15% or GUARANTOR</t>
  </si>
  <si>
    <t>PROVIDE GUARANTOR or CO-BORROWER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</si>
</sst>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[$€-408]_-;\-* #,##0\ [$€-408]_-;_-* &quot;-&quot;??\ [$€-408]_-;_-@_-"/>
  </numFmts>
  <fonts count="7" x14ac:knownFonts="1"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charset val="161"/>
      <scheme val="minor"/>
    </font>
    <font>
      <sz val="11"/>
      <color rgb="FFFF0000"/>
      <name val="Aptos Narrow"/>
      <family val="2"/>
      <charset val="161"/>
      <scheme val="minor"/>
    </font>
    <font>
      <b/>
      <sz val="11"/>
      <color theme="1"/>
      <name val="Aptos Narrow"/>
      <family val="2"/>
      <charset val="161"/>
      <scheme val="minor"/>
    </font>
    <font>
      <b/>
      <sz val="11"/>
      <color theme="1"/>
      <name val="Aptos Narrow"/>
      <family val="2"/>
      <scheme val="minor"/>
    </font>
    <font>
      <b/>
      <sz val="10"/>
      <color theme="0"/>
      <name val="Eurobank Sans"/>
      <charset val="161"/>
    </font>
    <font>
      <sz val="10"/>
      <color rgb="FF002060"/>
      <name val="Eurobank Sans"/>
      <charset val="161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2060"/>
        <bgColor theme="4" tint="0.79998168889431442"/>
      </patternFill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3" tint="0.24994659260841701"/>
      </left>
      <right style="thin">
        <color theme="3" tint="0.24994659260841701"/>
      </right>
      <top style="thin">
        <color theme="3" tint="0.24994659260841701"/>
      </top>
      <bottom style="thin">
        <color theme="3" tint="0.2499465926084170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3" fillId="2" borderId="1" xfId="0" applyFont="1" applyFill="1" applyBorder="1"/>
    <xf numFmtId="0" fontId="0" fillId="0" borderId="0" xfId="0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3" fillId="2" borderId="2" xfId="0" applyNumberFormat="1" applyFont="1" applyFill="1" applyBorder="1" applyAlignment="1">
      <alignment horizontal="center"/>
    </xf>
    <xf numFmtId="9" fontId="3" fillId="2" borderId="2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9" fontId="3" fillId="2" borderId="2" xfId="0" applyNumberFormat="1" applyFont="1" applyFill="1" applyBorder="1" applyAlignment="1">
      <alignment horizontal="center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center"/>
    </xf>
    <xf numFmtId="9" fontId="2" fillId="0" borderId="0" xfId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3" borderId="0" xfId="0" applyFill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0" borderId="7" xfId="0" applyBorder="1" applyAlignment="1">
      <alignment horizontal="left" wrapText="1"/>
    </xf>
    <xf numFmtId="0" fontId="3" fillId="2" borderId="7" xfId="0" applyFont="1" applyFill="1" applyBorder="1" applyAlignment="1">
      <alignment horizontal="left"/>
    </xf>
    <xf numFmtId="0" fontId="5" fillId="7" borderId="9" xfId="0" applyFont="1" applyFill="1" applyBorder="1" applyAlignment="1">
      <alignment horizontal="center"/>
    </xf>
    <xf numFmtId="0" fontId="6" fillId="0" borderId="9" xfId="0" applyFont="1" applyBorder="1" applyAlignment="1">
      <alignment horizontal="left"/>
    </xf>
    <xf numFmtId="9" fontId="6" fillId="0" borderId="9" xfId="1" applyFont="1" applyBorder="1" applyAlignment="1">
      <alignment horizontal="center"/>
    </xf>
    <xf numFmtId="0" fontId="5" fillId="7" borderId="9" xfId="0" applyFont="1" applyFill="1" applyBorder="1" applyAlignment="1">
      <alignment horizontal="left"/>
    </xf>
    <xf numFmtId="9" fontId="5" fillId="8" borderId="9" xfId="1" applyFont="1" applyFill="1" applyBorder="1" applyAlignment="1">
      <alignment horizontal="center"/>
    </xf>
    <xf numFmtId="9" fontId="0" fillId="0" borderId="0" xfId="1" applyFont="1"/>
    <xf numFmtId="0" fontId="3" fillId="2" borderId="1" xfId="0" applyFont="1" applyFill="1" applyBorder="1" applyAlignment="1">
      <alignment horizontal="center"/>
    </xf>
    <xf numFmtId="9" fontId="3" fillId="2" borderId="1" xfId="1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left" vertical="center"/>
    </xf>
    <xf numFmtId="0" fontId="3" fillId="4" borderId="8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3" fillId="4" borderId="7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72718-012E-4A4A-90AA-56B32BBE9373}">
  <dimension ref="B3:AJ38"/>
  <sheetViews>
    <sheetView topLeftCell="B1" workbookViewId="0">
      <selection activeCell="N19" sqref="N19"/>
    </sheetView>
  </sheetViews>
  <sheetFormatPr defaultRowHeight="15" x14ac:dyDescent="0.25"/>
  <cols>
    <col min="2" max="2" width="28.42578125" customWidth="1"/>
    <col min="3" max="4" width="14.5703125" style="5" customWidth="1"/>
    <col min="5" max="5" width="13.140625" style="5" bestFit="1" customWidth="1"/>
    <col min="6" max="6" width="13.140625" style="5" customWidth="1"/>
    <col min="7" max="7" width="13.140625" style="5" bestFit="1" customWidth="1"/>
    <col min="8" max="8" width="13.140625" style="5" customWidth="1"/>
    <col min="9" max="10" width="13.140625" style="5" bestFit="1" customWidth="1"/>
    <col min="14" max="14" width="46.7109375" bestFit="1" customWidth="1"/>
  </cols>
  <sheetData>
    <row r="3" spans="2:36" x14ac:dyDescent="0.25">
      <c r="B3" s="1" t="s">
        <v>9</v>
      </c>
      <c r="C3" s="30" t="s">
        <v>5</v>
      </c>
      <c r="D3" s="30"/>
      <c r="E3" s="30" t="s">
        <v>6</v>
      </c>
      <c r="F3" s="30"/>
      <c r="G3" s="30" t="s">
        <v>7</v>
      </c>
      <c r="H3" s="30"/>
      <c r="I3" s="30" t="s">
        <v>8</v>
      </c>
      <c r="J3" s="30"/>
      <c r="O3" s="32" t="s">
        <v>43</v>
      </c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4"/>
    </row>
    <row r="4" spans="2:36" x14ac:dyDescent="0.25">
      <c r="B4" s="2" t="s">
        <v>4</v>
      </c>
      <c r="C4" s="5">
        <v>129</v>
      </c>
      <c r="D4" s="10">
        <f>C4/$C$9</f>
        <v>6.4791562029131083E-2</v>
      </c>
      <c r="E4" s="5">
        <v>259</v>
      </c>
      <c r="F4" s="10">
        <f>E4/$E$9</f>
        <v>6.1171469059990553E-2</v>
      </c>
      <c r="G4" s="5">
        <v>74</v>
      </c>
      <c r="H4" s="10">
        <f>G4/$G$9</f>
        <v>2.5649913344887348E-2</v>
      </c>
      <c r="I4" s="5">
        <v>462</v>
      </c>
      <c r="J4" s="10">
        <f>I4/$I$9</f>
        <v>5.0713501646542258E-2</v>
      </c>
      <c r="N4" s="35" t="s">
        <v>14</v>
      </c>
      <c r="O4" s="37" t="s">
        <v>5</v>
      </c>
      <c r="P4" s="37"/>
      <c r="Q4" s="37"/>
      <c r="R4" s="37"/>
      <c r="S4" s="37"/>
      <c r="T4" s="37"/>
      <c r="U4" s="38" t="s">
        <v>44</v>
      </c>
      <c r="V4" s="37" t="s">
        <v>6</v>
      </c>
      <c r="W4" s="37"/>
      <c r="X4" s="37"/>
      <c r="Y4" s="37"/>
      <c r="Z4" s="37"/>
      <c r="AA4" s="37"/>
      <c r="AB4" s="38" t="s">
        <v>45</v>
      </c>
      <c r="AC4" s="37" t="s">
        <v>7</v>
      </c>
      <c r="AD4" s="37"/>
      <c r="AE4" s="37"/>
      <c r="AF4" s="37"/>
      <c r="AG4" s="37"/>
      <c r="AH4" s="37"/>
      <c r="AI4" s="38" t="s">
        <v>46</v>
      </c>
      <c r="AJ4" s="40" t="s">
        <v>8</v>
      </c>
    </row>
    <row r="5" spans="2:36" x14ac:dyDescent="0.25">
      <c r="B5" s="2" t="s">
        <v>2</v>
      </c>
      <c r="C5" s="5">
        <v>223</v>
      </c>
      <c r="D5" s="10">
        <f t="shared" ref="D5:D8" si="0">C5/$C$9</f>
        <v>0.11200401808136615</v>
      </c>
      <c r="E5" s="5">
        <v>1028</v>
      </c>
      <c r="F5" s="10">
        <f t="shared" ref="F5:F8" si="1">E5/$E$9</f>
        <v>0.24279641001417099</v>
      </c>
      <c r="G5" s="5">
        <v>898</v>
      </c>
      <c r="H5" s="10">
        <f t="shared" ref="H5:H8" si="2">G5/$G$9</f>
        <v>0.31126516464471404</v>
      </c>
      <c r="I5" s="17">
        <v>2149</v>
      </c>
      <c r="J5" s="10">
        <f t="shared" ref="J5:J8" si="3">I5/$I$9</f>
        <v>0.23589462129527991</v>
      </c>
      <c r="N5" s="36"/>
      <c r="O5" s="18" t="s">
        <v>47</v>
      </c>
      <c r="P5" s="18" t="s">
        <v>48</v>
      </c>
      <c r="Q5" s="18" t="s">
        <v>49</v>
      </c>
      <c r="R5" s="18" t="s">
        <v>50</v>
      </c>
      <c r="S5" s="18" t="s">
        <v>51</v>
      </c>
      <c r="T5" s="18" t="s">
        <v>52</v>
      </c>
      <c r="U5" s="39"/>
      <c r="V5" s="18" t="s">
        <v>47</v>
      </c>
      <c r="W5" s="18" t="s">
        <v>48</v>
      </c>
      <c r="X5" s="18" t="s">
        <v>49</v>
      </c>
      <c r="Y5" s="18" t="s">
        <v>50</v>
      </c>
      <c r="Z5" s="18" t="s">
        <v>51</v>
      </c>
      <c r="AA5" s="18" t="s">
        <v>52</v>
      </c>
      <c r="AB5" s="39"/>
      <c r="AC5" s="18" t="s">
        <v>47</v>
      </c>
      <c r="AD5" s="18" t="s">
        <v>48</v>
      </c>
      <c r="AE5" s="18" t="s">
        <v>49</v>
      </c>
      <c r="AF5" s="18" t="s">
        <v>50</v>
      </c>
      <c r="AG5" s="18" t="s">
        <v>51</v>
      </c>
      <c r="AH5" s="18" t="s">
        <v>52</v>
      </c>
      <c r="AI5" s="39"/>
      <c r="AJ5" s="41"/>
    </row>
    <row r="6" spans="2:36" x14ac:dyDescent="0.25">
      <c r="B6" s="2" t="s">
        <v>3</v>
      </c>
      <c r="C6" s="5">
        <v>119</v>
      </c>
      <c r="D6" s="10">
        <f t="shared" si="0"/>
        <v>5.9768960321446511E-2</v>
      </c>
      <c r="E6" s="5">
        <v>216</v>
      </c>
      <c r="F6" s="10">
        <f t="shared" si="1"/>
        <v>5.1015588096362779E-2</v>
      </c>
      <c r="G6" s="5">
        <v>99</v>
      </c>
      <c r="H6" s="10">
        <f t="shared" si="2"/>
        <v>3.4315424610051992E-2</v>
      </c>
      <c r="I6" s="5">
        <v>434</v>
      </c>
      <c r="J6" s="10">
        <f t="shared" si="3"/>
        <v>4.7639956092206365E-2</v>
      </c>
      <c r="N6" s="19" t="s">
        <v>15</v>
      </c>
      <c r="O6" s="20"/>
      <c r="P6" s="20"/>
      <c r="Q6" s="20">
        <v>3</v>
      </c>
      <c r="R6" s="20"/>
      <c r="S6" s="20"/>
      <c r="T6" s="20"/>
      <c r="U6" s="21">
        <v>3</v>
      </c>
      <c r="V6" s="20">
        <v>193</v>
      </c>
      <c r="W6" s="20">
        <v>136</v>
      </c>
      <c r="X6" s="20">
        <v>93</v>
      </c>
      <c r="Y6" s="20">
        <v>2</v>
      </c>
      <c r="Z6" s="20">
        <v>2</v>
      </c>
      <c r="AA6" s="20"/>
      <c r="AB6" s="21">
        <v>426</v>
      </c>
      <c r="AC6" s="20">
        <v>177</v>
      </c>
      <c r="AD6" s="20">
        <v>115</v>
      </c>
      <c r="AE6" s="20">
        <v>52</v>
      </c>
      <c r="AF6" s="20"/>
      <c r="AG6" s="20"/>
      <c r="AH6" s="20"/>
      <c r="AI6" s="21">
        <v>344</v>
      </c>
      <c r="AJ6" s="20">
        <v>773</v>
      </c>
    </row>
    <row r="7" spans="2:36" x14ac:dyDescent="0.25">
      <c r="B7" s="12" t="s">
        <v>1</v>
      </c>
      <c r="C7" s="15">
        <v>1165</v>
      </c>
      <c r="D7" s="14">
        <f>C7/$C$9</f>
        <v>0.58513309894525367</v>
      </c>
      <c r="E7" s="15">
        <v>1594</v>
      </c>
      <c r="F7" s="14">
        <f t="shared" si="1"/>
        <v>0.37647614548889941</v>
      </c>
      <c r="G7" s="15">
        <v>497</v>
      </c>
      <c r="H7" s="14">
        <f t="shared" si="2"/>
        <v>0.17227036395147313</v>
      </c>
      <c r="I7" s="15">
        <v>3256</v>
      </c>
      <c r="J7" s="14">
        <f t="shared" si="3"/>
        <v>0.3574094401756312</v>
      </c>
      <c r="K7" s="16" t="s">
        <v>11</v>
      </c>
      <c r="N7" s="19" t="s">
        <v>16</v>
      </c>
      <c r="O7" s="20">
        <v>6</v>
      </c>
      <c r="P7" s="20">
        <v>12</v>
      </c>
      <c r="Q7" s="20">
        <v>40</v>
      </c>
      <c r="R7" s="20">
        <v>39</v>
      </c>
      <c r="S7" s="20">
        <v>33</v>
      </c>
      <c r="T7" s="20">
        <v>10</v>
      </c>
      <c r="U7" s="21">
        <v>140</v>
      </c>
      <c r="V7" s="20">
        <v>4</v>
      </c>
      <c r="W7" s="20">
        <v>13</v>
      </c>
      <c r="X7" s="20">
        <v>61</v>
      </c>
      <c r="Y7" s="20">
        <v>64</v>
      </c>
      <c r="Z7" s="20">
        <v>37</v>
      </c>
      <c r="AA7" s="20">
        <v>5</v>
      </c>
      <c r="AB7" s="21">
        <v>184</v>
      </c>
      <c r="AC7" s="20">
        <v>3</v>
      </c>
      <c r="AD7" s="20">
        <v>5</v>
      </c>
      <c r="AE7" s="20">
        <v>21</v>
      </c>
      <c r="AF7" s="20">
        <v>53</v>
      </c>
      <c r="AG7" s="20">
        <v>11</v>
      </c>
      <c r="AH7" s="20">
        <v>2</v>
      </c>
      <c r="AI7" s="21">
        <v>95</v>
      </c>
      <c r="AJ7" s="20">
        <v>419</v>
      </c>
    </row>
    <row r="8" spans="2:36" x14ac:dyDescent="0.25">
      <c r="B8" s="2" t="s">
        <v>0</v>
      </c>
      <c r="C8" s="5">
        <v>355</v>
      </c>
      <c r="D8" s="10">
        <f t="shared" si="0"/>
        <v>0.17830236062280261</v>
      </c>
      <c r="E8" s="5">
        <v>1137</v>
      </c>
      <c r="F8" s="10">
        <f t="shared" si="1"/>
        <v>0.26854038734057628</v>
      </c>
      <c r="G8" s="5">
        <v>1317</v>
      </c>
      <c r="H8" s="10">
        <f t="shared" si="2"/>
        <v>0.4564991334488735</v>
      </c>
      <c r="I8" s="5">
        <v>2809</v>
      </c>
      <c r="J8" s="10">
        <f t="shared" si="3"/>
        <v>0.30834248079034027</v>
      </c>
      <c r="N8" s="19" t="s">
        <v>17</v>
      </c>
      <c r="O8" s="20">
        <v>1</v>
      </c>
      <c r="P8" s="20"/>
      <c r="Q8" s="20">
        <v>1</v>
      </c>
      <c r="R8" s="20">
        <v>1</v>
      </c>
      <c r="S8" s="20"/>
      <c r="T8" s="20"/>
      <c r="U8" s="21">
        <v>3</v>
      </c>
      <c r="V8" s="20">
        <v>56</v>
      </c>
      <c r="W8" s="20">
        <v>72</v>
      </c>
      <c r="X8" s="20">
        <v>50</v>
      </c>
      <c r="Y8" s="20">
        <v>1</v>
      </c>
      <c r="Z8" s="20"/>
      <c r="AA8" s="20"/>
      <c r="AB8" s="21">
        <v>179</v>
      </c>
      <c r="AC8" s="20">
        <v>52</v>
      </c>
      <c r="AD8" s="20">
        <v>37</v>
      </c>
      <c r="AE8" s="20">
        <v>41</v>
      </c>
      <c r="AF8" s="20"/>
      <c r="AG8" s="20"/>
      <c r="AH8" s="20"/>
      <c r="AI8" s="21">
        <v>130</v>
      </c>
      <c r="AJ8" s="20">
        <v>312</v>
      </c>
    </row>
    <row r="9" spans="2:36" x14ac:dyDescent="0.25">
      <c r="B9" s="3" t="s">
        <v>8</v>
      </c>
      <c r="C9" s="6">
        <v>1991</v>
      </c>
      <c r="D9" s="9">
        <f>C9/I9</f>
        <v>0.21855104281009879</v>
      </c>
      <c r="E9" s="6">
        <v>4234</v>
      </c>
      <c r="F9" s="9">
        <f>E9/I9</f>
        <v>0.46476399560922066</v>
      </c>
      <c r="G9" s="6">
        <v>2885</v>
      </c>
      <c r="H9" s="9">
        <f>G9/I9</f>
        <v>0.31668496158068055</v>
      </c>
      <c r="I9" s="6">
        <v>9110</v>
      </c>
      <c r="J9" s="11">
        <v>1</v>
      </c>
      <c r="N9" s="19" t="s">
        <v>18</v>
      </c>
      <c r="O9" s="20">
        <v>1</v>
      </c>
      <c r="P9" s="20">
        <v>2</v>
      </c>
      <c r="Q9" s="20">
        <v>3</v>
      </c>
      <c r="R9" s="20"/>
      <c r="S9" s="20"/>
      <c r="T9" s="20"/>
      <c r="U9" s="21">
        <v>6</v>
      </c>
      <c r="V9" s="20">
        <v>16</v>
      </c>
      <c r="W9" s="20">
        <v>23</v>
      </c>
      <c r="X9" s="20">
        <v>15</v>
      </c>
      <c r="Y9" s="20">
        <v>1</v>
      </c>
      <c r="Z9" s="20"/>
      <c r="AA9" s="20"/>
      <c r="AB9" s="21">
        <v>55</v>
      </c>
      <c r="AC9" s="20">
        <v>72</v>
      </c>
      <c r="AD9" s="20">
        <v>46</v>
      </c>
      <c r="AE9" s="20">
        <v>44</v>
      </c>
      <c r="AF9" s="20">
        <v>4</v>
      </c>
      <c r="AG9" s="20"/>
      <c r="AH9" s="20"/>
      <c r="AI9" s="21">
        <v>166</v>
      </c>
      <c r="AJ9" s="20">
        <v>227</v>
      </c>
    </row>
    <row r="10" spans="2:36" x14ac:dyDescent="0.25">
      <c r="B10" s="2"/>
      <c r="N10" s="22" t="s">
        <v>53</v>
      </c>
      <c r="O10" s="20">
        <v>5</v>
      </c>
      <c r="P10" s="20">
        <v>6</v>
      </c>
      <c r="Q10" s="20">
        <v>6</v>
      </c>
      <c r="R10" s="20">
        <v>2</v>
      </c>
      <c r="S10" s="20"/>
      <c r="T10" s="20"/>
      <c r="U10" s="21">
        <v>19</v>
      </c>
      <c r="V10" s="20">
        <v>14</v>
      </c>
      <c r="W10" s="20">
        <v>11</v>
      </c>
      <c r="X10" s="20">
        <v>22</v>
      </c>
      <c r="Y10" s="20">
        <v>6</v>
      </c>
      <c r="Z10" s="20">
        <v>1</v>
      </c>
      <c r="AA10" s="20"/>
      <c r="AB10" s="21">
        <v>54</v>
      </c>
      <c r="AC10" s="20">
        <v>19</v>
      </c>
      <c r="AD10" s="20">
        <v>18</v>
      </c>
      <c r="AE10" s="20">
        <v>17</v>
      </c>
      <c r="AF10" s="20">
        <v>2</v>
      </c>
      <c r="AG10" s="20">
        <v>1</v>
      </c>
      <c r="AH10" s="20"/>
      <c r="AI10" s="21">
        <v>57</v>
      </c>
      <c r="AJ10" s="20">
        <v>130</v>
      </c>
    </row>
    <row r="11" spans="2:36" x14ac:dyDescent="0.25">
      <c r="N11" s="19" t="s">
        <v>19</v>
      </c>
      <c r="O11" s="20">
        <v>1</v>
      </c>
      <c r="P11" s="20"/>
      <c r="Q11" s="20"/>
      <c r="R11" s="20">
        <v>1</v>
      </c>
      <c r="S11" s="20"/>
      <c r="T11" s="20"/>
      <c r="U11" s="21">
        <v>2</v>
      </c>
      <c r="V11" s="20">
        <v>6</v>
      </c>
      <c r="W11" s="20">
        <v>2</v>
      </c>
      <c r="X11" s="20">
        <v>10</v>
      </c>
      <c r="Y11" s="20"/>
      <c r="Z11" s="20"/>
      <c r="AA11" s="20"/>
      <c r="AB11" s="21">
        <v>18</v>
      </c>
      <c r="AC11" s="20">
        <v>12</v>
      </c>
      <c r="AD11" s="20">
        <v>4</v>
      </c>
      <c r="AE11" s="20">
        <v>8</v>
      </c>
      <c r="AF11" s="20"/>
      <c r="AG11" s="20"/>
      <c r="AH11" s="20"/>
      <c r="AI11" s="21">
        <v>24</v>
      </c>
      <c r="AJ11" s="20">
        <v>44</v>
      </c>
    </row>
    <row r="12" spans="2:36" x14ac:dyDescent="0.25">
      <c r="B12" s="1" t="s">
        <v>10</v>
      </c>
      <c r="C12" s="30" t="s">
        <v>5</v>
      </c>
      <c r="D12" s="30"/>
      <c r="E12" s="30" t="s">
        <v>6</v>
      </c>
      <c r="F12" s="30"/>
      <c r="G12" s="30" t="s">
        <v>7</v>
      </c>
      <c r="H12" s="30"/>
      <c r="I12" s="31" t="s">
        <v>8</v>
      </c>
      <c r="J12" s="31"/>
      <c r="N12" s="19" t="s">
        <v>20</v>
      </c>
      <c r="O12" s="20">
        <v>1</v>
      </c>
      <c r="P12" s="20"/>
      <c r="Q12" s="20">
        <v>3</v>
      </c>
      <c r="R12" s="20">
        <v>2</v>
      </c>
      <c r="S12" s="20">
        <v>3</v>
      </c>
      <c r="T12" s="20">
        <v>1</v>
      </c>
      <c r="U12" s="21">
        <v>10</v>
      </c>
      <c r="V12" s="20">
        <v>4</v>
      </c>
      <c r="W12" s="20">
        <v>1</v>
      </c>
      <c r="X12" s="20">
        <v>3</v>
      </c>
      <c r="Y12" s="20">
        <v>2</v>
      </c>
      <c r="Z12" s="20">
        <v>5</v>
      </c>
      <c r="AA12" s="20"/>
      <c r="AB12" s="21">
        <v>15</v>
      </c>
      <c r="AC12" s="20">
        <v>1</v>
      </c>
      <c r="AD12" s="20">
        <v>3</v>
      </c>
      <c r="AE12" s="20"/>
      <c r="AF12" s="20">
        <v>4</v>
      </c>
      <c r="AG12" s="20"/>
      <c r="AH12" s="20">
        <v>2</v>
      </c>
      <c r="AI12" s="21">
        <v>10</v>
      </c>
      <c r="AJ12" s="20">
        <v>35</v>
      </c>
    </row>
    <row r="13" spans="2:36" x14ac:dyDescent="0.25">
      <c r="B13" s="2" t="s">
        <v>4</v>
      </c>
      <c r="C13" s="7">
        <v>1181310.92</v>
      </c>
      <c r="D13" s="10">
        <f>C13/$C$18</f>
        <v>6.1797472892371641E-2</v>
      </c>
      <c r="E13" s="7">
        <v>2489813.3699999996</v>
      </c>
      <c r="F13" s="10">
        <f>E13/$E$18</f>
        <v>5.4793436767264135E-2</v>
      </c>
      <c r="G13" s="7">
        <v>596202.19999999972</v>
      </c>
      <c r="H13" s="10">
        <f>G13/$G$18</f>
        <v>2.0341693039797271E-2</v>
      </c>
      <c r="I13" s="7">
        <v>4267326.4899999993</v>
      </c>
      <c r="J13" s="10">
        <f>I13/$I$18</f>
        <v>4.5462281542973444E-2</v>
      </c>
      <c r="N13" s="19" t="s">
        <v>21</v>
      </c>
      <c r="O13" s="20"/>
      <c r="P13" s="20"/>
      <c r="Q13" s="20"/>
      <c r="R13" s="20">
        <v>1</v>
      </c>
      <c r="S13" s="20"/>
      <c r="T13" s="20"/>
      <c r="U13" s="21">
        <v>1</v>
      </c>
      <c r="V13" s="20">
        <v>2</v>
      </c>
      <c r="W13" s="20">
        <v>3</v>
      </c>
      <c r="X13" s="20">
        <v>4</v>
      </c>
      <c r="Y13" s="20">
        <v>1</v>
      </c>
      <c r="Z13" s="20"/>
      <c r="AA13" s="20"/>
      <c r="AB13" s="21">
        <v>10</v>
      </c>
      <c r="AC13" s="20">
        <v>5</v>
      </c>
      <c r="AD13" s="20">
        <v>3</v>
      </c>
      <c r="AE13" s="20">
        <v>6</v>
      </c>
      <c r="AF13" s="20">
        <v>4</v>
      </c>
      <c r="AG13" s="20"/>
      <c r="AH13" s="20"/>
      <c r="AI13" s="21">
        <v>18</v>
      </c>
      <c r="AJ13" s="20">
        <v>29</v>
      </c>
    </row>
    <row r="14" spans="2:36" x14ac:dyDescent="0.25">
      <c r="B14" s="2" t="s">
        <v>2</v>
      </c>
      <c r="C14" s="7">
        <v>2660420.4000000008</v>
      </c>
      <c r="D14" s="10">
        <f t="shared" ref="D14:D17" si="4">C14/$C$18</f>
        <v>0.13917356960630869</v>
      </c>
      <c r="E14" s="7">
        <v>12441401.069999987</v>
      </c>
      <c r="F14" s="10">
        <f t="shared" ref="F14:F17" si="5">E14/$E$18</f>
        <v>0.27379848266507489</v>
      </c>
      <c r="G14" s="7">
        <v>9759479.0900000017</v>
      </c>
      <c r="H14" s="10">
        <f t="shared" ref="H14:H17" si="6">G14/$G$18</f>
        <v>0.33298154196193863</v>
      </c>
      <c r="I14" s="7">
        <v>24861300.559999987</v>
      </c>
      <c r="J14" s="10">
        <f t="shared" ref="J14:J17" si="7">I14/$I$18</f>
        <v>0.26486172272775943</v>
      </c>
      <c r="N14" s="19" t="s">
        <v>22</v>
      </c>
      <c r="O14" s="20">
        <v>6</v>
      </c>
      <c r="P14" s="20"/>
      <c r="Q14" s="20"/>
      <c r="R14" s="20"/>
      <c r="S14" s="20"/>
      <c r="T14" s="20"/>
      <c r="U14" s="21">
        <v>6</v>
      </c>
      <c r="V14" s="20">
        <v>12</v>
      </c>
      <c r="W14" s="20">
        <v>1</v>
      </c>
      <c r="X14" s="20"/>
      <c r="Y14" s="20"/>
      <c r="Z14" s="20"/>
      <c r="AA14" s="20"/>
      <c r="AB14" s="21">
        <v>13</v>
      </c>
      <c r="AC14" s="20">
        <v>3</v>
      </c>
      <c r="AD14" s="20">
        <v>1</v>
      </c>
      <c r="AE14" s="20"/>
      <c r="AF14" s="20"/>
      <c r="AG14" s="20"/>
      <c r="AH14" s="20"/>
      <c r="AI14" s="21">
        <v>4</v>
      </c>
      <c r="AJ14" s="20">
        <v>23</v>
      </c>
    </row>
    <row r="15" spans="2:36" x14ac:dyDescent="0.25">
      <c r="B15" s="2" t="s">
        <v>3</v>
      </c>
      <c r="C15" s="7">
        <v>1123799.9399999997</v>
      </c>
      <c r="D15" s="10">
        <f t="shared" si="4"/>
        <v>5.8788922672956295E-2</v>
      </c>
      <c r="E15" s="7">
        <v>2256430.9699999997</v>
      </c>
      <c r="F15" s="10">
        <f t="shared" si="5"/>
        <v>4.965737961090292E-2</v>
      </c>
      <c r="G15" s="7">
        <v>995575.83</v>
      </c>
      <c r="H15" s="10">
        <f t="shared" si="6"/>
        <v>3.3967834958846845E-2</v>
      </c>
      <c r="I15" s="7">
        <v>4375806.7399999993</v>
      </c>
      <c r="J15" s="10">
        <f t="shared" si="7"/>
        <v>4.6617983990140111E-2</v>
      </c>
      <c r="N15" s="19" t="s">
        <v>23</v>
      </c>
      <c r="O15" s="20">
        <v>1</v>
      </c>
      <c r="P15" s="20">
        <v>2</v>
      </c>
      <c r="Q15" s="20">
        <v>2</v>
      </c>
      <c r="R15" s="20"/>
      <c r="S15" s="20"/>
      <c r="T15" s="20"/>
      <c r="U15" s="21">
        <v>5</v>
      </c>
      <c r="V15" s="20">
        <v>7</v>
      </c>
      <c r="W15" s="20">
        <v>2</v>
      </c>
      <c r="X15" s="20"/>
      <c r="Y15" s="20"/>
      <c r="Z15" s="20"/>
      <c r="AA15" s="20"/>
      <c r="AB15" s="21">
        <v>9</v>
      </c>
      <c r="AC15" s="20">
        <v>4</v>
      </c>
      <c r="AD15" s="20">
        <v>1</v>
      </c>
      <c r="AE15" s="20"/>
      <c r="AF15" s="20"/>
      <c r="AG15" s="20"/>
      <c r="AH15" s="20"/>
      <c r="AI15" s="21">
        <v>5</v>
      </c>
      <c r="AJ15" s="20">
        <v>19</v>
      </c>
    </row>
    <row r="16" spans="2:36" x14ac:dyDescent="0.25">
      <c r="B16" s="12" t="s">
        <v>1</v>
      </c>
      <c r="C16" s="13">
        <v>9807890.0799999982</v>
      </c>
      <c r="D16" s="14">
        <f t="shared" si="4"/>
        <v>0.51307645691632198</v>
      </c>
      <c r="E16" s="13">
        <v>14336383.280000003</v>
      </c>
      <c r="F16" s="14">
        <f t="shared" si="5"/>
        <v>0.31550144287478987</v>
      </c>
      <c r="G16" s="13">
        <v>3887531.709999999</v>
      </c>
      <c r="H16" s="14">
        <f t="shared" si="6"/>
        <v>0.13263784791015229</v>
      </c>
      <c r="I16" s="13">
        <v>28031805.07</v>
      </c>
      <c r="J16" s="14">
        <f t="shared" si="7"/>
        <v>0.29863892937099606</v>
      </c>
      <c r="K16" s="16" t="s">
        <v>11</v>
      </c>
      <c r="N16" s="19" t="s">
        <v>54</v>
      </c>
      <c r="O16" s="20"/>
      <c r="P16" s="20">
        <v>3</v>
      </c>
      <c r="Q16" s="20"/>
      <c r="R16" s="20">
        <v>1</v>
      </c>
      <c r="S16" s="20">
        <v>1</v>
      </c>
      <c r="T16" s="20"/>
      <c r="U16" s="21">
        <v>5</v>
      </c>
      <c r="V16" s="20">
        <v>1</v>
      </c>
      <c r="W16" s="20">
        <v>3</v>
      </c>
      <c r="X16" s="20">
        <v>2</v>
      </c>
      <c r="Y16" s="20"/>
      <c r="Z16" s="20"/>
      <c r="AA16" s="20"/>
      <c r="AB16" s="21">
        <v>6</v>
      </c>
      <c r="AC16" s="20">
        <v>1</v>
      </c>
      <c r="AD16" s="20"/>
      <c r="AE16" s="20">
        <v>1</v>
      </c>
      <c r="AF16" s="20">
        <v>3</v>
      </c>
      <c r="AG16" s="20"/>
      <c r="AH16" s="20"/>
      <c r="AI16" s="21">
        <v>5</v>
      </c>
      <c r="AJ16" s="20">
        <v>16</v>
      </c>
    </row>
    <row r="17" spans="2:36" x14ac:dyDescent="0.25">
      <c r="B17" s="2" t="s">
        <v>0</v>
      </c>
      <c r="C17" s="7">
        <v>4342423.7699999996</v>
      </c>
      <c r="D17" s="10">
        <f t="shared" si="4"/>
        <v>0.22716357791204136</v>
      </c>
      <c r="E17" s="7">
        <v>13915964.070000002</v>
      </c>
      <c r="F17" s="10">
        <f t="shared" si="5"/>
        <v>0.30624925808196818</v>
      </c>
      <c r="G17" s="7">
        <v>14070580.790000008</v>
      </c>
      <c r="H17" s="10">
        <f t="shared" si="6"/>
        <v>0.48007108212926497</v>
      </c>
      <c r="I17" s="7">
        <v>32328968.63000001</v>
      </c>
      <c r="J17" s="10">
        <f t="shared" si="7"/>
        <v>0.34441908236813096</v>
      </c>
      <c r="N17" s="19" t="s">
        <v>24</v>
      </c>
      <c r="O17" s="20">
        <v>3</v>
      </c>
      <c r="P17" s="20">
        <v>2</v>
      </c>
      <c r="Q17" s="20"/>
      <c r="R17" s="20"/>
      <c r="S17" s="20"/>
      <c r="T17" s="20"/>
      <c r="U17" s="21">
        <v>5</v>
      </c>
      <c r="V17" s="20">
        <v>1</v>
      </c>
      <c r="W17" s="20">
        <v>5</v>
      </c>
      <c r="X17" s="20">
        <v>3</v>
      </c>
      <c r="Y17" s="20"/>
      <c r="Z17" s="20"/>
      <c r="AA17" s="20"/>
      <c r="AB17" s="21">
        <v>9</v>
      </c>
      <c r="AC17" s="20">
        <v>1</v>
      </c>
      <c r="AD17" s="20"/>
      <c r="AE17" s="20"/>
      <c r="AF17" s="20"/>
      <c r="AG17" s="20"/>
      <c r="AH17" s="20"/>
      <c r="AI17" s="21">
        <v>1</v>
      </c>
      <c r="AJ17" s="20">
        <v>15</v>
      </c>
    </row>
    <row r="18" spans="2:36" x14ac:dyDescent="0.25">
      <c r="B18" s="3" t="s">
        <v>8</v>
      </c>
      <c r="C18" s="8">
        <v>19115845.109999999</v>
      </c>
      <c r="D18" s="9">
        <f>C18/I18</f>
        <v>0.20365208388887354</v>
      </c>
      <c r="E18" s="8">
        <v>45439992.75999999</v>
      </c>
      <c r="F18" s="9">
        <f>E18/I18</f>
        <v>0.48409835736890028</v>
      </c>
      <c r="G18" s="8">
        <v>29309369.620000008</v>
      </c>
      <c r="H18" s="9">
        <f>G18/I18</f>
        <v>0.31224955874222626</v>
      </c>
      <c r="I18" s="8">
        <v>93865207.489999995</v>
      </c>
      <c r="J18" s="9">
        <v>1</v>
      </c>
      <c r="N18" s="19" t="s">
        <v>55</v>
      </c>
      <c r="O18" s="20"/>
      <c r="P18" s="20"/>
      <c r="Q18" s="20"/>
      <c r="R18" s="20">
        <v>2</v>
      </c>
      <c r="S18" s="20">
        <v>1</v>
      </c>
      <c r="T18" s="20"/>
      <c r="U18" s="21">
        <v>3</v>
      </c>
      <c r="V18" s="20">
        <v>2</v>
      </c>
      <c r="W18" s="20">
        <v>2</v>
      </c>
      <c r="X18" s="20">
        <v>1</v>
      </c>
      <c r="Y18" s="20">
        <v>3</v>
      </c>
      <c r="Z18" s="20">
        <v>1</v>
      </c>
      <c r="AA18" s="20"/>
      <c r="AB18" s="21">
        <v>9</v>
      </c>
      <c r="AC18" s="20"/>
      <c r="AD18" s="20">
        <v>2</v>
      </c>
      <c r="AE18" s="20"/>
      <c r="AF18" s="20"/>
      <c r="AG18" s="20"/>
      <c r="AH18" s="20"/>
      <c r="AI18" s="21">
        <v>2</v>
      </c>
      <c r="AJ18" s="20">
        <v>14</v>
      </c>
    </row>
    <row r="19" spans="2:36" x14ac:dyDescent="0.25">
      <c r="N19" s="19" t="s">
        <v>56</v>
      </c>
      <c r="O19" s="20"/>
      <c r="P19" s="20"/>
      <c r="Q19" s="20">
        <v>3</v>
      </c>
      <c r="R19" s="20">
        <v>1</v>
      </c>
      <c r="S19" s="20">
        <v>1</v>
      </c>
      <c r="T19" s="20"/>
      <c r="U19" s="21">
        <v>5</v>
      </c>
      <c r="V19" s="20"/>
      <c r="W19" s="20">
        <v>1</v>
      </c>
      <c r="X19" s="20"/>
      <c r="Y19" s="20"/>
      <c r="Z19" s="20"/>
      <c r="AA19" s="20"/>
      <c r="AB19" s="21">
        <v>1</v>
      </c>
      <c r="AC19" s="20"/>
      <c r="AD19" s="20"/>
      <c r="AE19" s="20">
        <v>3</v>
      </c>
      <c r="AF19" s="20">
        <v>3</v>
      </c>
      <c r="AG19" s="20">
        <v>1</v>
      </c>
      <c r="AH19" s="20"/>
      <c r="AI19" s="21">
        <v>7</v>
      </c>
      <c r="AJ19" s="20">
        <v>13</v>
      </c>
    </row>
    <row r="20" spans="2:36" x14ac:dyDescent="0.25">
      <c r="N20" s="19" t="s">
        <v>25</v>
      </c>
      <c r="O20" s="20"/>
      <c r="P20" s="20"/>
      <c r="Q20" s="20"/>
      <c r="R20" s="20"/>
      <c r="S20" s="20"/>
      <c r="T20" s="20"/>
      <c r="U20" s="21"/>
      <c r="V20" s="20">
        <v>4</v>
      </c>
      <c r="W20" s="20">
        <v>1</v>
      </c>
      <c r="X20" s="20">
        <v>1</v>
      </c>
      <c r="Y20" s="20"/>
      <c r="Z20" s="20"/>
      <c r="AA20" s="20"/>
      <c r="AB20" s="21">
        <v>6</v>
      </c>
      <c r="AC20" s="20">
        <v>4</v>
      </c>
      <c r="AD20" s="20">
        <v>2</v>
      </c>
      <c r="AE20" s="20">
        <v>1</v>
      </c>
      <c r="AF20" s="20"/>
      <c r="AG20" s="20"/>
      <c r="AH20" s="20"/>
      <c r="AI20" s="21">
        <v>7</v>
      </c>
      <c r="AJ20" s="20">
        <v>13</v>
      </c>
    </row>
    <row r="21" spans="2:36" x14ac:dyDescent="0.25">
      <c r="B21" s="1" t="s">
        <v>12</v>
      </c>
      <c r="C21" s="4" t="s">
        <v>5</v>
      </c>
      <c r="D21" s="4" t="s">
        <v>6</v>
      </c>
      <c r="E21" s="4" t="s">
        <v>7</v>
      </c>
      <c r="F21" s="4" t="s">
        <v>8</v>
      </c>
      <c r="N21" s="19" t="s">
        <v>26</v>
      </c>
      <c r="O21" s="20">
        <v>1</v>
      </c>
      <c r="P21" s="20"/>
      <c r="Q21" s="20">
        <v>1</v>
      </c>
      <c r="R21" s="20"/>
      <c r="S21" s="20"/>
      <c r="T21" s="20"/>
      <c r="U21" s="21">
        <v>2</v>
      </c>
      <c r="V21" s="20"/>
      <c r="W21" s="20">
        <v>1</v>
      </c>
      <c r="X21" s="20"/>
      <c r="Y21" s="20">
        <v>2</v>
      </c>
      <c r="Z21" s="20"/>
      <c r="AA21" s="20"/>
      <c r="AB21" s="21">
        <v>3</v>
      </c>
      <c r="AC21" s="20">
        <v>3</v>
      </c>
      <c r="AD21" s="20">
        <v>1</v>
      </c>
      <c r="AE21" s="20">
        <v>1</v>
      </c>
      <c r="AF21" s="20">
        <v>1</v>
      </c>
      <c r="AG21" s="20"/>
      <c r="AH21" s="20"/>
      <c r="AI21" s="21">
        <v>6</v>
      </c>
      <c r="AJ21" s="20">
        <v>11</v>
      </c>
    </row>
    <row r="22" spans="2:36" x14ac:dyDescent="0.25">
      <c r="B22" s="2" t="s">
        <v>4</v>
      </c>
      <c r="C22" s="7">
        <v>9157.4489922480607</v>
      </c>
      <c r="D22" s="7">
        <v>9613.1790347490332</v>
      </c>
      <c r="E22" s="7">
        <v>8056.7864864864823</v>
      </c>
      <c r="F22" s="7">
        <v>9236.6374242424208</v>
      </c>
      <c r="N22" s="19" t="s">
        <v>27</v>
      </c>
      <c r="O22" s="20">
        <v>1</v>
      </c>
      <c r="P22" s="20"/>
      <c r="Q22" s="20"/>
      <c r="R22" s="20"/>
      <c r="S22" s="20"/>
      <c r="T22" s="20"/>
      <c r="U22" s="21">
        <v>1</v>
      </c>
      <c r="V22" s="20">
        <v>2</v>
      </c>
      <c r="W22" s="20">
        <v>4</v>
      </c>
      <c r="X22" s="20"/>
      <c r="Y22" s="20"/>
      <c r="Z22" s="20"/>
      <c r="AA22" s="20"/>
      <c r="AB22" s="21">
        <v>6</v>
      </c>
      <c r="AC22" s="20">
        <v>1</v>
      </c>
      <c r="AD22" s="20">
        <v>2</v>
      </c>
      <c r="AE22" s="20"/>
      <c r="AF22" s="20"/>
      <c r="AG22" s="20"/>
      <c r="AH22" s="20"/>
      <c r="AI22" s="21">
        <v>3</v>
      </c>
      <c r="AJ22" s="20">
        <v>10</v>
      </c>
    </row>
    <row r="23" spans="2:36" x14ac:dyDescent="0.25">
      <c r="B23" s="2" t="s">
        <v>2</v>
      </c>
      <c r="C23" s="7">
        <v>11930.136322869959</v>
      </c>
      <c r="D23" s="7">
        <v>12102.530223735395</v>
      </c>
      <c r="E23" s="7">
        <v>10868.01680400891</v>
      </c>
      <c r="F23" s="7">
        <v>11568.776435551412</v>
      </c>
      <c r="N23" s="19" t="s">
        <v>28</v>
      </c>
      <c r="O23" s="20">
        <v>1</v>
      </c>
      <c r="P23" s="20"/>
      <c r="Q23" s="20">
        <v>1</v>
      </c>
      <c r="R23" s="20"/>
      <c r="S23" s="20"/>
      <c r="T23" s="20"/>
      <c r="U23" s="21">
        <v>2</v>
      </c>
      <c r="V23" s="20">
        <v>2</v>
      </c>
      <c r="W23" s="20">
        <v>1</v>
      </c>
      <c r="X23" s="20">
        <v>3</v>
      </c>
      <c r="Y23" s="20"/>
      <c r="Z23" s="20"/>
      <c r="AA23" s="20"/>
      <c r="AB23" s="21">
        <v>6</v>
      </c>
      <c r="AC23" s="20">
        <v>1</v>
      </c>
      <c r="AD23" s="20"/>
      <c r="AE23" s="20"/>
      <c r="AF23" s="20"/>
      <c r="AG23" s="20"/>
      <c r="AH23" s="20"/>
      <c r="AI23" s="21">
        <v>1</v>
      </c>
      <c r="AJ23" s="20">
        <v>9</v>
      </c>
    </row>
    <row r="24" spans="2:36" x14ac:dyDescent="0.25">
      <c r="B24" s="2" t="s">
        <v>3</v>
      </c>
      <c r="C24" s="7">
        <v>9443.6969747899129</v>
      </c>
      <c r="D24" s="7">
        <v>10446.439675925925</v>
      </c>
      <c r="E24" s="7">
        <v>10056.321515151514</v>
      </c>
      <c r="F24" s="7">
        <v>10082.504009216595</v>
      </c>
      <c r="N24" s="19" t="s">
        <v>29</v>
      </c>
      <c r="O24" s="20"/>
      <c r="P24" s="20"/>
      <c r="Q24" s="20"/>
      <c r="R24" s="20"/>
      <c r="S24" s="20"/>
      <c r="T24" s="20"/>
      <c r="U24" s="21"/>
      <c r="V24" s="20"/>
      <c r="W24" s="20"/>
      <c r="X24" s="20">
        <v>3</v>
      </c>
      <c r="Y24" s="20"/>
      <c r="Z24" s="20"/>
      <c r="AA24" s="20"/>
      <c r="AB24" s="21">
        <v>3</v>
      </c>
      <c r="AC24" s="20"/>
      <c r="AD24" s="20"/>
      <c r="AE24" s="20">
        <v>2</v>
      </c>
      <c r="AF24" s="20"/>
      <c r="AG24" s="20"/>
      <c r="AH24" s="20"/>
      <c r="AI24" s="21">
        <v>2</v>
      </c>
      <c r="AJ24" s="20">
        <v>5</v>
      </c>
    </row>
    <row r="25" spans="2:36" x14ac:dyDescent="0.25">
      <c r="B25" s="12" t="s">
        <v>1</v>
      </c>
      <c r="C25" s="13">
        <v>8418.7897682403418</v>
      </c>
      <c r="D25" s="13">
        <v>8993.9669259723978</v>
      </c>
      <c r="E25" s="13">
        <v>7821.9953923541225</v>
      </c>
      <c r="F25" s="13">
        <v>8609.2767414005048</v>
      </c>
      <c r="N25" s="19" t="s">
        <v>30</v>
      </c>
      <c r="O25" s="20"/>
      <c r="P25" s="20">
        <v>1</v>
      </c>
      <c r="Q25" s="20"/>
      <c r="R25" s="20"/>
      <c r="S25" s="20"/>
      <c r="T25" s="20"/>
      <c r="U25" s="21">
        <v>1</v>
      </c>
      <c r="V25" s="20">
        <v>1</v>
      </c>
      <c r="W25" s="20">
        <v>1</v>
      </c>
      <c r="X25" s="20"/>
      <c r="Y25" s="20"/>
      <c r="Z25" s="20"/>
      <c r="AA25" s="20"/>
      <c r="AB25" s="21">
        <v>2</v>
      </c>
      <c r="AC25" s="20">
        <v>1</v>
      </c>
      <c r="AD25" s="20">
        <v>1</v>
      </c>
      <c r="AE25" s="20"/>
      <c r="AF25" s="20"/>
      <c r="AG25" s="20"/>
      <c r="AH25" s="20"/>
      <c r="AI25" s="21">
        <v>2</v>
      </c>
      <c r="AJ25" s="20">
        <v>5</v>
      </c>
    </row>
    <row r="26" spans="2:36" x14ac:dyDescent="0.25">
      <c r="B26" s="2" t="s">
        <v>0</v>
      </c>
      <c r="C26" s="7">
        <v>12232.179633802816</v>
      </c>
      <c r="D26" s="7">
        <v>12239.194432717681</v>
      </c>
      <c r="E26" s="7">
        <v>10683.812293090363</v>
      </c>
      <c r="F26" s="7">
        <v>11509.066796012816</v>
      </c>
      <c r="N26" s="19" t="s">
        <v>31</v>
      </c>
      <c r="O26" s="20">
        <v>3</v>
      </c>
      <c r="P26" s="20"/>
      <c r="Q26" s="20"/>
      <c r="R26" s="20"/>
      <c r="S26" s="20"/>
      <c r="T26" s="20"/>
      <c r="U26" s="21">
        <v>3</v>
      </c>
      <c r="V26" s="20"/>
      <c r="W26" s="20"/>
      <c r="X26" s="20"/>
      <c r="Y26" s="20"/>
      <c r="Z26" s="20"/>
      <c r="AA26" s="20"/>
      <c r="AB26" s="21"/>
      <c r="AC26" s="20">
        <v>1</v>
      </c>
      <c r="AD26" s="20"/>
      <c r="AE26" s="20"/>
      <c r="AF26" s="20"/>
      <c r="AG26" s="20"/>
      <c r="AH26" s="20"/>
      <c r="AI26" s="21">
        <v>1</v>
      </c>
      <c r="AJ26" s="20">
        <v>4</v>
      </c>
    </row>
    <row r="27" spans="2:36" x14ac:dyDescent="0.25">
      <c r="B27" s="3" t="s">
        <v>8</v>
      </c>
      <c r="C27" s="8">
        <v>9601.1276293320007</v>
      </c>
      <c r="D27" s="8">
        <v>10732.166452527168</v>
      </c>
      <c r="E27" s="8">
        <v>10159.226904679364</v>
      </c>
      <c r="F27" s="8">
        <v>10303.535399560924</v>
      </c>
      <c r="N27" s="19" t="s">
        <v>32</v>
      </c>
      <c r="O27" s="20"/>
      <c r="P27" s="20"/>
      <c r="Q27" s="20"/>
      <c r="R27" s="20"/>
      <c r="S27" s="20"/>
      <c r="T27" s="20"/>
      <c r="U27" s="21"/>
      <c r="V27" s="20"/>
      <c r="W27" s="20"/>
      <c r="X27" s="20">
        <v>3</v>
      </c>
      <c r="Y27" s="20"/>
      <c r="Z27" s="20"/>
      <c r="AA27" s="20"/>
      <c r="AB27" s="21">
        <v>3</v>
      </c>
      <c r="AC27" s="20"/>
      <c r="AD27" s="20"/>
      <c r="AE27" s="20"/>
      <c r="AF27" s="20"/>
      <c r="AG27" s="20"/>
      <c r="AH27" s="20"/>
      <c r="AI27" s="21"/>
      <c r="AJ27" s="20">
        <v>3</v>
      </c>
    </row>
    <row r="28" spans="2:36" x14ac:dyDescent="0.25">
      <c r="N28" s="19" t="s">
        <v>33</v>
      </c>
      <c r="O28" s="20"/>
      <c r="P28" s="20">
        <v>1</v>
      </c>
      <c r="Q28" s="20"/>
      <c r="R28" s="20"/>
      <c r="S28" s="20"/>
      <c r="T28" s="20"/>
      <c r="U28" s="21">
        <v>1</v>
      </c>
      <c r="V28" s="20"/>
      <c r="W28" s="20">
        <v>1</v>
      </c>
      <c r="X28" s="20"/>
      <c r="Y28" s="20"/>
      <c r="Z28" s="20"/>
      <c r="AA28" s="20"/>
      <c r="AB28" s="21">
        <v>1</v>
      </c>
      <c r="AC28" s="20">
        <v>1</v>
      </c>
      <c r="AD28" s="20"/>
      <c r="AE28" s="20"/>
      <c r="AF28" s="20"/>
      <c r="AG28" s="20"/>
      <c r="AH28" s="20"/>
      <c r="AI28" s="21">
        <v>1</v>
      </c>
      <c r="AJ28" s="20">
        <v>3</v>
      </c>
    </row>
    <row r="29" spans="2:36" x14ac:dyDescent="0.25">
      <c r="B29" s="1" t="s">
        <v>13</v>
      </c>
      <c r="C29" s="4" t="s">
        <v>5</v>
      </c>
      <c r="D29" s="4" t="s">
        <v>6</v>
      </c>
      <c r="E29" s="4" t="s">
        <v>7</v>
      </c>
      <c r="F29" s="4" t="s">
        <v>8</v>
      </c>
      <c r="N29" s="19" t="s">
        <v>34</v>
      </c>
      <c r="O29" s="20"/>
      <c r="P29" s="20"/>
      <c r="Q29" s="20"/>
      <c r="R29" s="20"/>
      <c r="S29" s="20"/>
      <c r="T29" s="20"/>
      <c r="U29" s="21"/>
      <c r="V29" s="20">
        <v>1</v>
      </c>
      <c r="W29" s="20"/>
      <c r="X29" s="20"/>
      <c r="Y29" s="20"/>
      <c r="Z29" s="20"/>
      <c r="AA29" s="20"/>
      <c r="AB29" s="21">
        <v>1</v>
      </c>
      <c r="AC29" s="20"/>
      <c r="AD29" s="20">
        <v>2</v>
      </c>
      <c r="AE29" s="20"/>
      <c r="AF29" s="20"/>
      <c r="AG29" s="20"/>
      <c r="AH29" s="20"/>
      <c r="AI29" s="21">
        <v>2</v>
      </c>
      <c r="AJ29" s="20">
        <v>3</v>
      </c>
    </row>
    <row r="30" spans="2:36" x14ac:dyDescent="0.25">
      <c r="B30" s="2" t="s">
        <v>4</v>
      </c>
      <c r="C30" s="10">
        <v>0.44989106082630864</v>
      </c>
      <c r="D30" s="10">
        <v>0.34886522539950493</v>
      </c>
      <c r="E30" s="10">
        <v>0.39099080069958553</v>
      </c>
      <c r="F30" s="10">
        <v>0.38382112440873389</v>
      </c>
      <c r="N30" s="19" t="s">
        <v>35</v>
      </c>
      <c r="O30" s="20"/>
      <c r="P30" s="20"/>
      <c r="Q30" s="20"/>
      <c r="R30" s="20"/>
      <c r="S30" s="20"/>
      <c r="T30" s="20"/>
      <c r="U30" s="21"/>
      <c r="V30" s="20"/>
      <c r="W30" s="20">
        <v>1</v>
      </c>
      <c r="X30" s="20">
        <v>1</v>
      </c>
      <c r="Y30" s="20"/>
      <c r="Z30" s="20"/>
      <c r="AA30" s="20"/>
      <c r="AB30" s="21">
        <v>2</v>
      </c>
      <c r="AC30" s="20"/>
      <c r="AD30" s="20"/>
      <c r="AE30" s="20">
        <v>1</v>
      </c>
      <c r="AF30" s="20"/>
      <c r="AG30" s="20"/>
      <c r="AH30" s="20"/>
      <c r="AI30" s="21">
        <v>1</v>
      </c>
      <c r="AJ30" s="20">
        <v>3</v>
      </c>
    </row>
    <row r="31" spans="2:36" x14ac:dyDescent="0.25">
      <c r="B31" s="2" t="s">
        <v>2</v>
      </c>
      <c r="C31" s="10">
        <v>0.33862496224945232</v>
      </c>
      <c r="D31" s="10">
        <v>0.18427237597622514</v>
      </c>
      <c r="E31" s="10">
        <v>0.15732076726389987</v>
      </c>
      <c r="F31" s="10">
        <v>0.18902718384744965</v>
      </c>
      <c r="N31" s="19" t="s">
        <v>36</v>
      </c>
      <c r="O31" s="20"/>
      <c r="P31" s="20"/>
      <c r="Q31" s="20"/>
      <c r="R31" s="20"/>
      <c r="S31" s="20"/>
      <c r="T31" s="20"/>
      <c r="U31" s="21"/>
      <c r="V31" s="20">
        <v>1</v>
      </c>
      <c r="W31" s="20">
        <v>1</v>
      </c>
      <c r="X31" s="20"/>
      <c r="Y31" s="20"/>
      <c r="Z31" s="20"/>
      <c r="AA31" s="20"/>
      <c r="AB31" s="21">
        <v>2</v>
      </c>
      <c r="AC31" s="20"/>
      <c r="AD31" s="20"/>
      <c r="AE31" s="20"/>
      <c r="AF31" s="20"/>
      <c r="AG31" s="20"/>
      <c r="AH31" s="20"/>
      <c r="AI31" s="21"/>
      <c r="AJ31" s="20">
        <v>2</v>
      </c>
    </row>
    <row r="32" spans="2:36" x14ac:dyDescent="0.25">
      <c r="B32" s="2" t="s">
        <v>3</v>
      </c>
      <c r="C32" s="10">
        <v>0.40746981288215633</v>
      </c>
      <c r="D32" s="10">
        <v>0.2947828660741193</v>
      </c>
      <c r="E32" s="10">
        <v>0.26084758220682253</v>
      </c>
      <c r="F32" s="10">
        <v>0.31793990194346061</v>
      </c>
      <c r="N32" s="19" t="s">
        <v>37</v>
      </c>
      <c r="O32" s="20"/>
      <c r="P32" s="20"/>
      <c r="Q32" s="20"/>
      <c r="R32" s="20"/>
      <c r="S32" s="20"/>
      <c r="T32" s="20"/>
      <c r="U32" s="21"/>
      <c r="V32" s="20"/>
      <c r="W32" s="20"/>
      <c r="X32" s="20">
        <v>1</v>
      </c>
      <c r="Y32" s="20"/>
      <c r="Z32" s="20"/>
      <c r="AA32" s="20"/>
      <c r="AB32" s="21">
        <v>1</v>
      </c>
      <c r="AC32" s="20"/>
      <c r="AD32" s="20"/>
      <c r="AE32" s="20">
        <v>1</v>
      </c>
      <c r="AF32" s="20"/>
      <c r="AG32" s="20"/>
      <c r="AH32" s="20"/>
      <c r="AI32" s="21">
        <v>1</v>
      </c>
      <c r="AJ32" s="20">
        <v>2</v>
      </c>
    </row>
    <row r="33" spans="2:36" x14ac:dyDescent="0.25">
      <c r="B33" s="12" t="s">
        <v>1</v>
      </c>
      <c r="C33" s="14">
        <v>0.45698470897667737</v>
      </c>
      <c r="D33" s="14">
        <v>0.36083533108553761</v>
      </c>
      <c r="E33" s="14">
        <v>0.38358327920571095</v>
      </c>
      <c r="F33" s="14">
        <v>0.39870994885547156</v>
      </c>
      <c r="N33" s="19" t="s">
        <v>38</v>
      </c>
      <c r="O33" s="20"/>
      <c r="P33" s="20"/>
      <c r="Q33" s="20"/>
      <c r="R33" s="20"/>
      <c r="S33" s="20"/>
      <c r="T33" s="20"/>
      <c r="U33" s="21"/>
      <c r="V33" s="20"/>
      <c r="W33" s="20"/>
      <c r="X33" s="20">
        <v>1</v>
      </c>
      <c r="Y33" s="20"/>
      <c r="Z33" s="20"/>
      <c r="AA33" s="20"/>
      <c r="AB33" s="21">
        <v>1</v>
      </c>
      <c r="AC33" s="20"/>
      <c r="AD33" s="20"/>
      <c r="AE33" s="20">
        <v>1</v>
      </c>
      <c r="AF33" s="20"/>
      <c r="AG33" s="20"/>
      <c r="AH33" s="20"/>
      <c r="AI33" s="21">
        <v>1</v>
      </c>
      <c r="AJ33" s="20">
        <v>2</v>
      </c>
    </row>
    <row r="34" spans="2:36" x14ac:dyDescent="0.25">
      <c r="B34" s="2" t="s">
        <v>0</v>
      </c>
      <c r="C34" s="10">
        <v>0.30350035558137456</v>
      </c>
      <c r="D34" s="10">
        <v>0.18748195435621562</v>
      </c>
      <c r="E34" s="10">
        <v>0.14781057353366109</v>
      </c>
      <c r="F34" s="10">
        <v>0.18354436941197472</v>
      </c>
      <c r="N34" s="19" t="s">
        <v>39</v>
      </c>
      <c r="O34" s="20"/>
      <c r="P34" s="20"/>
      <c r="Q34" s="20"/>
      <c r="R34" s="20"/>
      <c r="S34" s="20"/>
      <c r="T34" s="20"/>
      <c r="U34" s="21"/>
      <c r="V34" s="20"/>
      <c r="W34" s="20"/>
      <c r="X34" s="20">
        <v>1</v>
      </c>
      <c r="Y34" s="20"/>
      <c r="Z34" s="20"/>
      <c r="AA34" s="20"/>
      <c r="AB34" s="21">
        <v>1</v>
      </c>
      <c r="AC34" s="20"/>
      <c r="AD34" s="20"/>
      <c r="AE34" s="20"/>
      <c r="AF34" s="20">
        <v>1</v>
      </c>
      <c r="AG34" s="20"/>
      <c r="AH34" s="20"/>
      <c r="AI34" s="21">
        <v>1</v>
      </c>
      <c r="AJ34" s="20">
        <v>2</v>
      </c>
    </row>
    <row r="35" spans="2:36" x14ac:dyDescent="0.25">
      <c r="B35" s="3" t="s">
        <v>8</v>
      </c>
      <c r="C35" s="9">
        <v>0.41294225683094726</v>
      </c>
      <c r="D35" s="9">
        <v>0.2673121622124246</v>
      </c>
      <c r="E35" s="9">
        <v>0.20150388007011988</v>
      </c>
      <c r="F35" s="9">
        <v>0.2782992779539098</v>
      </c>
      <c r="N35" s="19" t="s">
        <v>40</v>
      </c>
      <c r="O35" s="20"/>
      <c r="P35" s="20"/>
      <c r="Q35" s="20"/>
      <c r="R35" s="20"/>
      <c r="S35" s="20"/>
      <c r="T35" s="20"/>
      <c r="U35" s="21"/>
      <c r="V35" s="20"/>
      <c r="W35" s="20">
        <v>1</v>
      </c>
      <c r="X35" s="20"/>
      <c r="Y35" s="20"/>
      <c r="Z35" s="20"/>
      <c r="AA35" s="20"/>
      <c r="AB35" s="21">
        <v>1</v>
      </c>
      <c r="AC35" s="20"/>
      <c r="AD35" s="20"/>
      <c r="AE35" s="20"/>
      <c r="AF35" s="20"/>
      <c r="AG35" s="20"/>
      <c r="AH35" s="20"/>
      <c r="AI35" s="21"/>
      <c r="AJ35" s="20">
        <v>1</v>
      </c>
    </row>
    <row r="36" spans="2:36" x14ac:dyDescent="0.25">
      <c r="N36" s="19" t="s">
        <v>41</v>
      </c>
      <c r="O36" s="20"/>
      <c r="P36" s="20"/>
      <c r="Q36" s="20"/>
      <c r="R36" s="20"/>
      <c r="S36" s="20"/>
      <c r="T36" s="20"/>
      <c r="U36" s="21"/>
      <c r="V36" s="20">
        <v>1</v>
      </c>
      <c r="W36" s="20"/>
      <c r="X36" s="20"/>
      <c r="Y36" s="20"/>
      <c r="Z36" s="20"/>
      <c r="AA36" s="20"/>
      <c r="AB36" s="21">
        <v>1</v>
      </c>
      <c r="AC36" s="20"/>
      <c r="AD36" s="20"/>
      <c r="AE36" s="20"/>
      <c r="AF36" s="20"/>
      <c r="AG36" s="20"/>
      <c r="AH36" s="20"/>
      <c r="AI36" s="21"/>
      <c r="AJ36" s="20">
        <v>1</v>
      </c>
    </row>
    <row r="37" spans="2:36" x14ac:dyDescent="0.25">
      <c r="N37" s="19" t="s">
        <v>42</v>
      </c>
      <c r="O37" s="20"/>
      <c r="P37" s="20"/>
      <c r="Q37" s="20"/>
      <c r="R37" s="20"/>
      <c r="S37" s="20"/>
      <c r="T37" s="20"/>
      <c r="U37" s="21"/>
      <c r="V37" s="20"/>
      <c r="W37" s="20"/>
      <c r="X37" s="20"/>
      <c r="Y37" s="20"/>
      <c r="Z37" s="20"/>
      <c r="AA37" s="20"/>
      <c r="AB37" s="21"/>
      <c r="AC37" s="20"/>
      <c r="AD37" s="20">
        <v>1</v>
      </c>
      <c r="AE37" s="20"/>
      <c r="AF37" s="20"/>
      <c r="AG37" s="20"/>
      <c r="AH37" s="20"/>
      <c r="AI37" s="21">
        <v>1</v>
      </c>
      <c r="AJ37" s="20">
        <v>1</v>
      </c>
    </row>
    <row r="38" spans="2:36" x14ac:dyDescent="0.25">
      <c r="N38" s="23" t="s">
        <v>8</v>
      </c>
      <c r="O38" s="18">
        <v>31</v>
      </c>
      <c r="P38" s="18">
        <v>29</v>
      </c>
      <c r="Q38" s="18">
        <v>63</v>
      </c>
      <c r="R38" s="18">
        <v>50</v>
      </c>
      <c r="S38" s="18">
        <v>39</v>
      </c>
      <c r="T38" s="18">
        <v>11</v>
      </c>
      <c r="U38" s="18">
        <v>223</v>
      </c>
      <c r="V38" s="18">
        <v>330</v>
      </c>
      <c r="W38" s="18">
        <v>287</v>
      </c>
      <c r="X38" s="18">
        <v>278</v>
      </c>
      <c r="Y38" s="18">
        <v>82</v>
      </c>
      <c r="Z38" s="18">
        <v>46</v>
      </c>
      <c r="AA38" s="18">
        <v>5</v>
      </c>
      <c r="AB38" s="18">
        <v>1028</v>
      </c>
      <c r="AC38" s="18">
        <v>362</v>
      </c>
      <c r="AD38" s="18">
        <v>244</v>
      </c>
      <c r="AE38" s="18">
        <v>200</v>
      </c>
      <c r="AF38" s="18">
        <v>75</v>
      </c>
      <c r="AG38" s="18">
        <v>13</v>
      </c>
      <c r="AH38" s="18">
        <v>4</v>
      </c>
      <c r="AI38" s="18">
        <v>898</v>
      </c>
      <c r="AJ38" s="18">
        <v>2149</v>
      </c>
    </row>
  </sheetData>
  <mergeCells count="17">
    <mergeCell ref="O3:AJ3"/>
    <mergeCell ref="N4:N5"/>
    <mergeCell ref="O4:T4"/>
    <mergeCell ref="U4:U5"/>
    <mergeCell ref="V4:AA4"/>
    <mergeCell ref="AB4:AB5"/>
    <mergeCell ref="AC4:AH4"/>
    <mergeCell ref="AI4:AI5"/>
    <mergeCell ref="AJ4:AJ5"/>
    <mergeCell ref="I3:J3"/>
    <mergeCell ref="I12:J12"/>
    <mergeCell ref="C3:D3"/>
    <mergeCell ref="E3:F3"/>
    <mergeCell ref="G3:H3"/>
    <mergeCell ref="C12:D12"/>
    <mergeCell ref="E12:F12"/>
    <mergeCell ref="G12:H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BB13A-43DB-44AB-AAEF-4449C8E3E6EC}">
  <dimension ref="B3:R42"/>
  <sheetViews>
    <sheetView tabSelected="1" topLeftCell="C1" workbookViewId="0">
      <selection activeCell="N14" sqref="N14"/>
    </sheetView>
  </sheetViews>
  <sheetFormatPr defaultRowHeight="15" x14ac:dyDescent="0.25"/>
  <cols>
    <col min="2" max="2" width="28.42578125" customWidth="1"/>
    <col min="3" max="4" width="14.5703125" style="5" customWidth="1"/>
    <col min="5" max="5" width="13.140625" style="5" bestFit="1" customWidth="1"/>
    <col min="6" max="6" width="13.140625" style="5" customWidth="1"/>
    <col min="7" max="7" width="13.140625" style="5" bestFit="1" customWidth="1"/>
    <col min="8" max="8" width="13.140625" style="5" customWidth="1"/>
    <col min="9" max="10" width="13.140625" style="5" bestFit="1" customWidth="1"/>
    <col min="14" max="14" width="42.42578125" bestFit="1" customWidth="1"/>
    <col min="18" max="18" width="11.28515625" bestFit="1" customWidth="1"/>
  </cols>
  <sheetData>
    <row r="3" spans="2:18" x14ac:dyDescent="0.25">
      <c r="B3" s="1" t="s">
        <v>57</v>
      </c>
      <c r="C3" s="30" t="s">
        <v>5</v>
      </c>
      <c r="D3" s="30"/>
      <c r="E3" s="30" t="s">
        <v>6</v>
      </c>
      <c r="F3" s="30"/>
      <c r="G3" s="30" t="s">
        <v>7</v>
      </c>
      <c r="H3" s="30"/>
      <c r="I3" s="30" t="s">
        <v>8</v>
      </c>
      <c r="J3" s="30"/>
      <c r="N3" s="43" t="s">
        <v>14</v>
      </c>
      <c r="O3" s="18" t="s">
        <v>61</v>
      </c>
      <c r="P3" s="18" t="s">
        <v>6</v>
      </c>
      <c r="Q3" s="18" t="s">
        <v>7</v>
      </c>
      <c r="R3" s="18" t="s">
        <v>8</v>
      </c>
    </row>
    <row r="4" spans="2:18" x14ac:dyDescent="0.25">
      <c r="B4" s="2" t="s">
        <v>4</v>
      </c>
      <c r="C4" s="5">
        <v>210</v>
      </c>
      <c r="D4" s="10">
        <f>C4/$C$9</f>
        <v>6.9674850696748503E-2</v>
      </c>
      <c r="E4" s="5">
        <v>357</v>
      </c>
      <c r="F4" s="10">
        <f>E4/$E$9</f>
        <v>8.2277022355381424E-2</v>
      </c>
      <c r="G4" s="5">
        <v>292</v>
      </c>
      <c r="H4" s="10">
        <f>G4/$G$9</f>
        <v>7.9499047100462836E-2</v>
      </c>
      <c r="I4" s="5">
        <v>859</v>
      </c>
      <c r="J4" s="10">
        <f>I4/$I$9</f>
        <v>7.7906765826228908E-2</v>
      </c>
      <c r="N4" s="19" t="s">
        <v>16</v>
      </c>
      <c r="O4" s="20">
        <v>332</v>
      </c>
      <c r="P4" s="20">
        <v>624</v>
      </c>
      <c r="Q4" s="20">
        <v>583</v>
      </c>
      <c r="R4" s="20">
        <v>1539</v>
      </c>
    </row>
    <row r="5" spans="2:18" x14ac:dyDescent="0.25">
      <c r="B5" s="2" t="s">
        <v>2</v>
      </c>
      <c r="C5" s="5">
        <v>444</v>
      </c>
      <c r="D5" s="10">
        <f t="shared" ref="D5:D8" si="0">C5/$C$9</f>
        <v>0.14731254147312542</v>
      </c>
      <c r="E5" s="5">
        <v>926</v>
      </c>
      <c r="F5" s="10">
        <f t="shared" ref="F5:F8" si="1">E5/$E$9</f>
        <v>0.21341322885457478</v>
      </c>
      <c r="G5" s="5">
        <v>919</v>
      </c>
      <c r="H5" s="10">
        <f t="shared" ref="H5:H8" si="2">G5/$G$9</f>
        <v>0.25020419275796352</v>
      </c>
      <c r="I5" s="17">
        <v>2289</v>
      </c>
      <c r="J5" s="10">
        <f t="shared" ref="J5:J8" si="3">I5/$I$9</f>
        <v>0.20760021766733175</v>
      </c>
      <c r="N5" s="19" t="s">
        <v>53</v>
      </c>
      <c r="O5" s="20">
        <v>6</v>
      </c>
      <c r="P5" s="20">
        <v>41</v>
      </c>
      <c r="Q5" s="20">
        <v>49</v>
      </c>
      <c r="R5" s="20">
        <v>96</v>
      </c>
    </row>
    <row r="6" spans="2:18" x14ac:dyDescent="0.25">
      <c r="B6" s="2" t="s">
        <v>3</v>
      </c>
      <c r="C6" s="5">
        <v>560</v>
      </c>
      <c r="D6" s="10">
        <f t="shared" si="0"/>
        <v>0.18579960185799602</v>
      </c>
      <c r="E6" s="5">
        <v>167</v>
      </c>
      <c r="F6" s="10">
        <f t="shared" si="1"/>
        <v>3.8488130905738646E-2</v>
      </c>
      <c r="G6" s="5">
        <v>109</v>
      </c>
      <c r="H6" s="10">
        <f t="shared" si="2"/>
        <v>2.9676014157364553E-2</v>
      </c>
      <c r="I6" s="5">
        <v>836</v>
      </c>
      <c r="J6" s="10">
        <f t="shared" si="3"/>
        <v>7.5820787230183206E-2</v>
      </c>
      <c r="N6" s="19" t="s">
        <v>22</v>
      </c>
      <c r="O6" s="20">
        <v>6</v>
      </c>
      <c r="P6" s="20">
        <v>34</v>
      </c>
      <c r="Q6" s="20">
        <v>48</v>
      </c>
      <c r="R6" s="20">
        <v>88</v>
      </c>
    </row>
    <row r="7" spans="2:18" x14ac:dyDescent="0.25">
      <c r="B7" s="12" t="s">
        <v>1</v>
      </c>
      <c r="C7" s="15">
        <v>1393</v>
      </c>
      <c r="D7" s="14">
        <f t="shared" si="0"/>
        <v>0.4621765096217651</v>
      </c>
      <c r="E7" s="15">
        <v>1874</v>
      </c>
      <c r="F7" s="14">
        <f t="shared" si="1"/>
        <v>0.43189675040331876</v>
      </c>
      <c r="G7" s="15">
        <v>1310</v>
      </c>
      <c r="H7" s="14">
        <f t="shared" si="2"/>
        <v>0.35665668390961069</v>
      </c>
      <c r="I7" s="15">
        <v>4577</v>
      </c>
      <c r="J7" s="14">
        <f>I7/$I$9</f>
        <v>0.4151097406130963</v>
      </c>
      <c r="K7" s="16" t="s">
        <v>11</v>
      </c>
      <c r="N7" s="19" t="s">
        <v>31</v>
      </c>
      <c r="O7" s="20">
        <v>10</v>
      </c>
      <c r="P7" s="20">
        <v>34</v>
      </c>
      <c r="Q7" s="20">
        <v>35</v>
      </c>
      <c r="R7" s="20">
        <v>79</v>
      </c>
    </row>
    <row r="8" spans="2:18" x14ac:dyDescent="0.25">
      <c r="B8" s="2" t="s">
        <v>0</v>
      </c>
      <c r="C8" s="5">
        <v>407</v>
      </c>
      <c r="D8" s="10">
        <f t="shared" si="0"/>
        <v>0.13503649635036497</v>
      </c>
      <c r="E8" s="5">
        <v>1015</v>
      </c>
      <c r="F8" s="10">
        <f t="shared" si="1"/>
        <v>0.2339248674809864</v>
      </c>
      <c r="G8" s="5">
        <v>1043</v>
      </c>
      <c r="H8" s="10">
        <f t="shared" si="2"/>
        <v>0.2839640620745984</v>
      </c>
      <c r="I8" s="5">
        <v>2465</v>
      </c>
      <c r="J8" s="10">
        <f t="shared" si="3"/>
        <v>0.22356248866315981</v>
      </c>
      <c r="N8" s="19" t="s">
        <v>23</v>
      </c>
      <c r="O8" s="20">
        <v>5</v>
      </c>
      <c r="P8" s="20">
        <v>26</v>
      </c>
      <c r="Q8" s="20">
        <v>28</v>
      </c>
      <c r="R8" s="20">
        <v>59</v>
      </c>
    </row>
    <row r="9" spans="2:18" x14ac:dyDescent="0.25">
      <c r="B9" s="3" t="s">
        <v>8</v>
      </c>
      <c r="C9" s="6">
        <v>3014</v>
      </c>
      <c r="D9" s="9">
        <f>C9/I9</f>
        <v>0.27335389080355521</v>
      </c>
      <c r="E9" s="6">
        <v>4339</v>
      </c>
      <c r="F9" s="9">
        <f>E9/I9</f>
        <v>0.3935243968801016</v>
      </c>
      <c r="G9" s="6">
        <v>3673</v>
      </c>
      <c r="H9" s="9">
        <f>G9/I9</f>
        <v>0.33312171231634319</v>
      </c>
      <c r="I9" s="6">
        <v>11026</v>
      </c>
      <c r="J9" s="11">
        <v>1</v>
      </c>
      <c r="N9" s="19" t="s">
        <v>27</v>
      </c>
      <c r="O9" s="20">
        <v>6</v>
      </c>
      <c r="P9" s="20">
        <v>24</v>
      </c>
      <c r="Q9" s="20">
        <v>19</v>
      </c>
      <c r="R9" s="20">
        <v>49</v>
      </c>
    </row>
    <row r="10" spans="2:18" x14ac:dyDescent="0.25">
      <c r="B10" s="2"/>
      <c r="N10" s="19" t="s">
        <v>30</v>
      </c>
      <c r="O10" s="20">
        <v>6</v>
      </c>
      <c r="P10" s="20">
        <v>17</v>
      </c>
      <c r="Q10" s="20">
        <v>21</v>
      </c>
      <c r="R10" s="20">
        <v>44</v>
      </c>
    </row>
    <row r="11" spans="2:18" x14ac:dyDescent="0.25">
      <c r="N11" s="19" t="s">
        <v>24</v>
      </c>
      <c r="O11" s="20">
        <v>4</v>
      </c>
      <c r="P11" s="20">
        <v>16</v>
      </c>
      <c r="Q11" s="20">
        <v>19</v>
      </c>
      <c r="R11" s="20">
        <v>39</v>
      </c>
    </row>
    <row r="12" spans="2:18" x14ac:dyDescent="0.25">
      <c r="B12" s="1" t="s">
        <v>58</v>
      </c>
      <c r="C12" s="30" t="s">
        <v>5</v>
      </c>
      <c r="D12" s="30"/>
      <c r="E12" s="30" t="s">
        <v>6</v>
      </c>
      <c r="F12" s="30"/>
      <c r="G12" s="30" t="s">
        <v>7</v>
      </c>
      <c r="H12" s="30"/>
      <c r="I12" s="31" t="s">
        <v>8</v>
      </c>
      <c r="J12" s="31"/>
      <c r="N12" s="19" t="s">
        <v>18</v>
      </c>
      <c r="O12" s="20">
        <v>5</v>
      </c>
      <c r="P12" s="20">
        <v>14</v>
      </c>
      <c r="Q12" s="20">
        <v>14</v>
      </c>
      <c r="R12" s="20">
        <v>33</v>
      </c>
    </row>
    <row r="13" spans="2:18" x14ac:dyDescent="0.25">
      <c r="B13" s="2" t="s">
        <v>4</v>
      </c>
      <c r="C13" s="7">
        <v>1451838.5000000005</v>
      </c>
      <c r="D13" s="10">
        <f>C13/$C$18</f>
        <v>6.125122317575335E-2</v>
      </c>
      <c r="E13" s="7">
        <v>2893635.93</v>
      </c>
      <c r="F13" s="10">
        <f>E13/$E$18</f>
        <v>7.7386257427173949E-2</v>
      </c>
      <c r="G13" s="7">
        <v>2167580.5</v>
      </c>
      <c r="H13" s="10">
        <f>G13/$G$18</f>
        <v>7.7269471317923971E-2</v>
      </c>
      <c r="I13" s="7">
        <v>6513054.9300000006</v>
      </c>
      <c r="J13" s="10">
        <f>I13/$I$18</f>
        <v>7.3059432050100487E-2</v>
      </c>
      <c r="N13" s="19" t="s">
        <v>19</v>
      </c>
      <c r="O13" s="20">
        <v>5</v>
      </c>
      <c r="P13" s="20">
        <v>8</v>
      </c>
      <c r="Q13" s="20">
        <v>14</v>
      </c>
      <c r="R13" s="20">
        <v>27</v>
      </c>
    </row>
    <row r="14" spans="2:18" x14ac:dyDescent="0.25">
      <c r="B14" s="2" t="s">
        <v>2</v>
      </c>
      <c r="C14" s="7">
        <v>4050765.0900000003</v>
      </c>
      <c r="D14" s="10">
        <f t="shared" ref="D14:D17" si="4">C14/$C$18</f>
        <v>0.17089663661635957</v>
      </c>
      <c r="E14" s="7">
        <v>8667303.8100000005</v>
      </c>
      <c r="F14" s="10">
        <f t="shared" ref="F14:F17" si="5">E14/$E$18</f>
        <v>0.23179495280879564</v>
      </c>
      <c r="G14" s="7">
        <v>7484139.049999998</v>
      </c>
      <c r="H14" s="10">
        <f t="shared" ref="H14:H17" si="6">G14/$G$18</f>
        <v>0.26679307534983343</v>
      </c>
      <c r="I14" s="7">
        <v>20202207.949999999</v>
      </c>
      <c r="J14" s="10">
        <f t="shared" ref="J14:J17" si="7">I14/$I$18</f>
        <v>0.22661590526229825</v>
      </c>
      <c r="N14" s="19" t="s">
        <v>32</v>
      </c>
      <c r="O14" s="20">
        <v>6</v>
      </c>
      <c r="P14" s="20">
        <v>9</v>
      </c>
      <c r="Q14" s="20">
        <v>6</v>
      </c>
      <c r="R14" s="20">
        <v>21</v>
      </c>
    </row>
    <row r="15" spans="2:18" x14ac:dyDescent="0.25">
      <c r="B15" s="2" t="s">
        <v>3</v>
      </c>
      <c r="C15" s="7">
        <v>4581229.71</v>
      </c>
      <c r="D15" s="10">
        <f t="shared" si="4"/>
        <v>0.19327626549826424</v>
      </c>
      <c r="E15" s="7">
        <v>1358713.1899999997</v>
      </c>
      <c r="F15" s="10">
        <f t="shared" si="5"/>
        <v>3.6336889378836501E-2</v>
      </c>
      <c r="G15" s="7">
        <v>741378.86999999988</v>
      </c>
      <c r="H15" s="10">
        <f t="shared" si="6"/>
        <v>2.6428524029986373E-2</v>
      </c>
      <c r="I15" s="7">
        <v>6681321.7699999996</v>
      </c>
      <c r="J15" s="10">
        <f t="shared" si="7"/>
        <v>7.4946945650920832E-2</v>
      </c>
      <c r="N15" s="19" t="s">
        <v>79</v>
      </c>
      <c r="O15" s="20">
        <v>7</v>
      </c>
      <c r="P15" s="20">
        <v>7</v>
      </c>
      <c r="Q15" s="20">
        <v>7</v>
      </c>
      <c r="R15" s="20">
        <v>21</v>
      </c>
    </row>
    <row r="16" spans="2:18" x14ac:dyDescent="0.25">
      <c r="B16" s="12" t="s">
        <v>1</v>
      </c>
      <c r="C16" s="13">
        <v>9842197.1400000025</v>
      </c>
      <c r="D16" s="14">
        <f t="shared" si="4"/>
        <v>0.41522980246212043</v>
      </c>
      <c r="E16" s="13">
        <v>14530355.289999992</v>
      </c>
      <c r="F16" s="14">
        <f t="shared" si="5"/>
        <v>0.3885940879163185</v>
      </c>
      <c r="G16" s="13">
        <v>9154384.4300000016</v>
      </c>
      <c r="H16" s="14">
        <f t="shared" si="6"/>
        <v>0.32633364488522337</v>
      </c>
      <c r="I16" s="13">
        <v>33526936.859999996</v>
      </c>
      <c r="J16" s="14">
        <f>I16/$I$18</f>
        <v>0.3760844936357966</v>
      </c>
      <c r="K16" s="16" t="s">
        <v>11</v>
      </c>
      <c r="N16" s="19" t="s">
        <v>20</v>
      </c>
      <c r="O16" s="20">
        <v>6</v>
      </c>
      <c r="P16" s="20">
        <v>7</v>
      </c>
      <c r="Q16" s="20">
        <v>8</v>
      </c>
      <c r="R16" s="20">
        <v>21</v>
      </c>
    </row>
    <row r="17" spans="2:18" x14ac:dyDescent="0.25">
      <c r="B17" s="2" t="s">
        <v>0</v>
      </c>
      <c r="C17" s="7">
        <v>3776981.9200000009</v>
      </c>
      <c r="D17" s="10">
        <f t="shared" si="4"/>
        <v>0.1593460722475023</v>
      </c>
      <c r="E17" s="7">
        <v>9942107.9799999986</v>
      </c>
      <c r="F17" s="10">
        <f t="shared" si="5"/>
        <v>0.2658878124688755</v>
      </c>
      <c r="G17" s="7">
        <v>8504740.9200000018</v>
      </c>
      <c r="H17" s="10">
        <f t="shared" si="6"/>
        <v>0.30317528441703295</v>
      </c>
      <c r="I17" s="7">
        <v>22223830.82</v>
      </c>
      <c r="J17" s="10">
        <f t="shared" si="7"/>
        <v>0.24929322340088397</v>
      </c>
      <c r="N17" s="19" t="s">
        <v>33</v>
      </c>
      <c r="O17" s="20">
        <v>3</v>
      </c>
      <c r="P17" s="20">
        <v>9</v>
      </c>
      <c r="Q17" s="20">
        <v>9</v>
      </c>
      <c r="R17" s="20">
        <v>21</v>
      </c>
    </row>
    <row r="18" spans="2:18" x14ac:dyDescent="0.25">
      <c r="B18" s="3" t="s">
        <v>8</v>
      </c>
      <c r="C18" s="8">
        <v>23703012.360000007</v>
      </c>
      <c r="D18" s="9">
        <f>C18/I18</f>
        <v>0.26588576935249525</v>
      </c>
      <c r="E18" s="8">
        <v>37392116.199999988</v>
      </c>
      <c r="F18" s="9">
        <f>E18/I18</f>
        <v>0.41944169089379385</v>
      </c>
      <c r="G18" s="8">
        <v>28052223.77</v>
      </c>
      <c r="H18" s="9">
        <f>G18/I18</f>
        <v>0.31467253975371101</v>
      </c>
      <c r="I18" s="8">
        <v>89147352.329999983</v>
      </c>
      <c r="J18" s="9">
        <v>1</v>
      </c>
      <c r="N18" s="19" t="s">
        <v>55</v>
      </c>
      <c r="O18" s="20">
        <v>4</v>
      </c>
      <c r="P18" s="20">
        <v>8</v>
      </c>
      <c r="Q18" s="20">
        <v>4</v>
      </c>
      <c r="R18" s="20">
        <v>16</v>
      </c>
    </row>
    <row r="19" spans="2:18" x14ac:dyDescent="0.25">
      <c r="N19" s="19" t="s">
        <v>38</v>
      </c>
      <c r="O19" s="20">
        <v>1</v>
      </c>
      <c r="P19" s="20">
        <v>6</v>
      </c>
      <c r="Q19" s="20">
        <v>9</v>
      </c>
      <c r="R19" s="20">
        <v>16</v>
      </c>
    </row>
    <row r="20" spans="2:18" x14ac:dyDescent="0.25">
      <c r="N20" s="19" t="s">
        <v>15</v>
      </c>
      <c r="O20" s="20">
        <v>3</v>
      </c>
      <c r="P20" s="20">
        <v>10</v>
      </c>
      <c r="Q20" s="20">
        <v>3</v>
      </c>
      <c r="R20" s="20">
        <v>16</v>
      </c>
    </row>
    <row r="21" spans="2:18" x14ac:dyDescent="0.25">
      <c r="B21" s="1" t="s">
        <v>59</v>
      </c>
      <c r="C21" s="4" t="s">
        <v>5</v>
      </c>
      <c r="D21" s="4" t="s">
        <v>6</v>
      </c>
      <c r="E21" s="4" t="s">
        <v>7</v>
      </c>
      <c r="F21" s="4" t="s">
        <v>8</v>
      </c>
      <c r="K21" s="5"/>
      <c r="L21" s="5"/>
      <c r="N21" s="19" t="s">
        <v>80</v>
      </c>
      <c r="O21" s="20">
        <v>4</v>
      </c>
      <c r="P21" s="20">
        <v>4</v>
      </c>
      <c r="Q21" s="20">
        <v>7</v>
      </c>
      <c r="R21" s="20">
        <v>15</v>
      </c>
    </row>
    <row r="22" spans="2:18" x14ac:dyDescent="0.25">
      <c r="B22" s="2" t="s">
        <v>4</v>
      </c>
      <c r="C22" s="7">
        <v>6913.5166666666692</v>
      </c>
      <c r="D22" s="7">
        <v>8105.4227731092442</v>
      </c>
      <c r="E22" s="7">
        <v>7423.2208904109593</v>
      </c>
      <c r="F22" s="7">
        <v>7582.136123399303</v>
      </c>
      <c r="K22" s="5"/>
      <c r="L22" s="5"/>
      <c r="N22" s="19" t="s">
        <v>21</v>
      </c>
      <c r="O22" s="20">
        <v>3</v>
      </c>
      <c r="P22" s="20">
        <v>3</v>
      </c>
      <c r="Q22" s="20">
        <v>7</v>
      </c>
      <c r="R22" s="20">
        <v>13</v>
      </c>
    </row>
    <row r="23" spans="2:18" x14ac:dyDescent="0.25">
      <c r="B23" s="2" t="s">
        <v>2</v>
      </c>
      <c r="C23" s="7">
        <v>9123.3447972972972</v>
      </c>
      <c r="D23" s="7">
        <v>9359.9393196544279</v>
      </c>
      <c r="E23" s="7">
        <v>8143.7856909684415</v>
      </c>
      <c r="F23" s="7">
        <v>8825.7789209261718</v>
      </c>
      <c r="K23" s="5"/>
      <c r="L23" s="5"/>
      <c r="N23" s="19" t="s">
        <v>17</v>
      </c>
      <c r="O23" s="20">
        <v>3</v>
      </c>
      <c r="P23" s="20">
        <v>5</v>
      </c>
      <c r="Q23" s="20">
        <v>4</v>
      </c>
      <c r="R23" s="20">
        <v>12</v>
      </c>
    </row>
    <row r="24" spans="2:18" x14ac:dyDescent="0.25">
      <c r="B24" s="2" t="s">
        <v>3</v>
      </c>
      <c r="C24" s="7">
        <v>8210.0890860215059</v>
      </c>
      <c r="D24" s="7">
        <v>8136.0071257485015</v>
      </c>
      <c r="E24" s="7">
        <v>6801.641009174311</v>
      </c>
      <c r="F24" s="7">
        <v>8011.1771822541959</v>
      </c>
      <c r="K24" s="5"/>
      <c r="L24" s="5"/>
      <c r="N24" s="19" t="s">
        <v>56</v>
      </c>
      <c r="O24" s="20">
        <v>8</v>
      </c>
      <c r="P24" s="20">
        <v>2</v>
      </c>
      <c r="Q24" s="20"/>
      <c r="R24" s="20">
        <v>10</v>
      </c>
    </row>
    <row r="25" spans="2:18" x14ac:dyDescent="0.25">
      <c r="B25" s="12" t="s">
        <v>1</v>
      </c>
      <c r="C25" s="13">
        <v>7065.4681550610212</v>
      </c>
      <c r="D25" s="13">
        <v>7753.6581056563455</v>
      </c>
      <c r="E25" s="13">
        <v>6988.0797175572534</v>
      </c>
      <c r="F25" s="13">
        <v>7325.0899847061437</v>
      </c>
      <c r="K25" s="5"/>
      <c r="L25" s="5"/>
      <c r="N25" s="19" t="s">
        <v>75</v>
      </c>
      <c r="O25" s="20">
        <v>1</v>
      </c>
      <c r="P25" s="20">
        <v>6</v>
      </c>
      <c r="Q25" s="20">
        <v>3</v>
      </c>
      <c r="R25" s="20">
        <v>10</v>
      </c>
    </row>
    <row r="26" spans="2:18" x14ac:dyDescent="0.25">
      <c r="B26" s="2" t="s">
        <v>0</v>
      </c>
      <c r="C26" s="7">
        <v>9280.0538574938601</v>
      </c>
      <c r="D26" s="7">
        <v>9795.180275862067</v>
      </c>
      <c r="E26" s="7">
        <v>8154.1140172579117</v>
      </c>
      <c r="F26" s="7">
        <v>9015.7528681541571</v>
      </c>
      <c r="K26" s="5"/>
      <c r="L26" s="5"/>
      <c r="N26" s="19" t="s">
        <v>34</v>
      </c>
      <c r="O26" s="20">
        <v>3</v>
      </c>
      <c r="P26" s="20">
        <v>2</v>
      </c>
      <c r="Q26" s="20">
        <v>5</v>
      </c>
      <c r="R26" s="20">
        <v>10</v>
      </c>
    </row>
    <row r="27" spans="2:18" x14ac:dyDescent="0.25">
      <c r="B27" s="3" t="s">
        <v>8</v>
      </c>
      <c r="C27" s="8">
        <v>7869.5260159362551</v>
      </c>
      <c r="D27" s="8">
        <v>8617.6806176538357</v>
      </c>
      <c r="E27" s="8">
        <v>7637.4145848080625</v>
      </c>
      <c r="F27" s="8">
        <v>8086.6611329825864</v>
      </c>
      <c r="K27" s="5"/>
      <c r="L27" s="5"/>
      <c r="N27" s="19" t="s">
        <v>76</v>
      </c>
      <c r="O27" s="20">
        <v>2</v>
      </c>
      <c r="P27" s="20">
        <v>3</v>
      </c>
      <c r="Q27" s="20">
        <v>4</v>
      </c>
      <c r="R27" s="20">
        <v>9</v>
      </c>
    </row>
    <row r="28" spans="2:18" x14ac:dyDescent="0.25">
      <c r="K28" s="5"/>
      <c r="L28" s="5"/>
      <c r="M28" s="5"/>
      <c r="N28" s="19" t="s">
        <v>81</v>
      </c>
      <c r="O28" s="20">
        <v>1</v>
      </c>
      <c r="P28" s="20">
        <v>1</v>
      </c>
      <c r="Q28" s="20">
        <v>7</v>
      </c>
      <c r="R28" s="20">
        <v>9</v>
      </c>
    </row>
    <row r="29" spans="2:18" x14ac:dyDescent="0.25">
      <c r="B29" s="1" t="s">
        <v>60</v>
      </c>
      <c r="C29" s="4" t="s">
        <v>5</v>
      </c>
      <c r="D29" s="4" t="s">
        <v>6</v>
      </c>
      <c r="E29" s="4" t="s">
        <v>7</v>
      </c>
      <c r="F29" s="4" t="s">
        <v>8</v>
      </c>
      <c r="K29" s="5"/>
      <c r="L29" s="5"/>
      <c r="M29" s="5"/>
      <c r="N29" s="19" t="s">
        <v>83</v>
      </c>
      <c r="O29" s="20">
        <v>2</v>
      </c>
      <c r="P29" s="20"/>
      <c r="Q29" s="20">
        <v>2</v>
      </c>
      <c r="R29" s="20">
        <v>4</v>
      </c>
    </row>
    <row r="30" spans="2:18" x14ac:dyDescent="0.25">
      <c r="B30" s="2" t="s">
        <v>4</v>
      </c>
      <c r="C30" s="10">
        <v>0.42923583989234354</v>
      </c>
      <c r="D30" s="10">
        <v>0.29179618608454444</v>
      </c>
      <c r="E30" s="10">
        <v>0.23149502173946193</v>
      </c>
      <c r="F30" s="10">
        <v>0.30489791752910028</v>
      </c>
      <c r="K30" s="5"/>
      <c r="L30" s="5"/>
      <c r="M30" s="5"/>
      <c r="N30" s="19" t="s">
        <v>29</v>
      </c>
      <c r="O30" s="20">
        <v>1</v>
      </c>
      <c r="P30" s="20">
        <v>1</v>
      </c>
      <c r="Q30" s="20">
        <v>2</v>
      </c>
      <c r="R30" s="20">
        <v>4</v>
      </c>
    </row>
    <row r="31" spans="2:18" x14ac:dyDescent="0.25">
      <c r="B31" s="2" t="s">
        <v>2</v>
      </c>
      <c r="C31" s="10">
        <v>0.31654175954376784</v>
      </c>
      <c r="D31" s="10">
        <v>0.22019002654378494</v>
      </c>
      <c r="E31" s="10">
        <v>0.16755561609348962</v>
      </c>
      <c r="F31" s="10">
        <v>0.2177475391030555</v>
      </c>
      <c r="K31" s="5"/>
      <c r="L31" s="5"/>
      <c r="M31" s="5"/>
      <c r="N31" s="19" t="s">
        <v>26</v>
      </c>
      <c r="O31" s="20"/>
      <c r="P31" s="20">
        <v>1</v>
      </c>
      <c r="Q31" s="20">
        <v>2</v>
      </c>
      <c r="R31" s="20">
        <v>3</v>
      </c>
    </row>
    <row r="32" spans="2:18" x14ac:dyDescent="0.25">
      <c r="B32" s="2" t="s">
        <v>3</v>
      </c>
      <c r="C32" s="10">
        <v>0.4101171747531594</v>
      </c>
      <c r="D32" s="10">
        <v>0.302503683395215</v>
      </c>
      <c r="E32" s="10">
        <v>0.22087568621462414</v>
      </c>
      <c r="F32" s="10">
        <v>0.3203525810148411</v>
      </c>
      <c r="K32" s="5"/>
      <c r="L32" s="5"/>
      <c r="M32" s="5"/>
      <c r="N32" s="19" t="s">
        <v>28</v>
      </c>
      <c r="O32" s="20"/>
      <c r="P32" s="20">
        <v>2</v>
      </c>
      <c r="Q32" s="20"/>
      <c r="R32" s="20">
        <v>2</v>
      </c>
    </row>
    <row r="33" spans="2:18" s="5" customFormat="1" x14ac:dyDescent="0.25">
      <c r="B33" s="12" t="s">
        <v>1</v>
      </c>
      <c r="C33" s="14">
        <v>0.40774168269684125</v>
      </c>
      <c r="D33" s="14">
        <v>0.28589932296821685</v>
      </c>
      <c r="E33" s="14">
        <v>0.22996893855595166</v>
      </c>
      <c r="F33" s="14">
        <v>0.30697373929373734</v>
      </c>
      <c r="N33" s="19" t="s">
        <v>82</v>
      </c>
      <c r="O33" s="20"/>
      <c r="P33" s="20">
        <v>1</v>
      </c>
      <c r="Q33" s="20"/>
      <c r="R33" s="20">
        <v>1</v>
      </c>
    </row>
    <row r="34" spans="2:18" s="5" customFormat="1" x14ac:dyDescent="0.25">
      <c r="B34" s="2" t="s">
        <v>0</v>
      </c>
      <c r="C34" s="10">
        <v>0.31599620943037815</v>
      </c>
      <c r="D34" s="10">
        <v>0.189497900896199</v>
      </c>
      <c r="E34" s="10">
        <v>0.13837705813468509</v>
      </c>
      <c r="F34" s="10">
        <v>0.18870215181528055</v>
      </c>
      <c r="N34" s="19" t="s">
        <v>77</v>
      </c>
      <c r="O34" s="20"/>
      <c r="P34" s="20">
        <v>1</v>
      </c>
      <c r="Q34" s="20"/>
      <c r="R34" s="20">
        <v>1</v>
      </c>
    </row>
    <row r="35" spans="2:18" s="5" customFormat="1" x14ac:dyDescent="0.25">
      <c r="B35" s="3" t="s">
        <v>8</v>
      </c>
      <c r="C35" s="9">
        <v>0.37979314827473837</v>
      </c>
      <c r="D35" s="9">
        <v>0.25044964710550999</v>
      </c>
      <c r="E35" s="9">
        <v>0.18819553184808235</v>
      </c>
      <c r="F35" s="9">
        <v>0.26067086776730952</v>
      </c>
      <c r="N35" s="19" t="s">
        <v>78</v>
      </c>
      <c r="O35" s="20">
        <v>1</v>
      </c>
      <c r="P35" s="20"/>
      <c r="Q35" s="20"/>
      <c r="R35" s="20">
        <v>1</v>
      </c>
    </row>
    <row r="36" spans="2:18" x14ac:dyDescent="0.25">
      <c r="K36" s="5"/>
      <c r="L36" s="5"/>
      <c r="M36" s="5"/>
      <c r="N36" s="23" t="s">
        <v>8</v>
      </c>
      <c r="O36" s="18">
        <v>444</v>
      </c>
      <c r="P36" s="18">
        <v>926</v>
      </c>
      <c r="Q36" s="18">
        <v>919</v>
      </c>
      <c r="R36" s="18">
        <v>2289</v>
      </c>
    </row>
    <row r="37" spans="2:18" x14ac:dyDescent="0.25">
      <c r="C37" s="10"/>
      <c r="D37" s="10"/>
      <c r="E37" s="10"/>
      <c r="F37" s="10"/>
      <c r="K37" s="5"/>
      <c r="L37" s="5"/>
      <c r="M37" s="5"/>
    </row>
    <row r="38" spans="2:18" x14ac:dyDescent="0.25">
      <c r="C38" s="10"/>
      <c r="D38" s="10"/>
      <c r="E38" s="10"/>
      <c r="F38" s="10"/>
      <c r="K38" s="5"/>
      <c r="L38" s="5"/>
      <c r="M38" s="5"/>
    </row>
    <row r="39" spans="2:18" x14ac:dyDescent="0.25">
      <c r="C39" s="10"/>
      <c r="D39" s="10"/>
      <c r="E39" s="10"/>
      <c r="F39" s="10"/>
      <c r="K39" s="5"/>
      <c r="L39" s="5"/>
      <c r="M39" s="5"/>
    </row>
    <row r="40" spans="2:18" x14ac:dyDescent="0.25">
      <c r="C40" s="10"/>
      <c r="D40" s="10"/>
      <c r="E40" s="10"/>
      <c r="F40" s="10"/>
      <c r="K40" s="5"/>
      <c r="L40" s="5"/>
      <c r="M40" s="5"/>
    </row>
    <row r="41" spans="2:18" x14ac:dyDescent="0.25">
      <c r="C41" s="10"/>
      <c r="D41" s="10"/>
      <c r="E41" s="10"/>
      <c r="F41" s="10"/>
      <c r="K41" s="5"/>
      <c r="L41" s="5"/>
      <c r="M41" s="5"/>
    </row>
    <row r="42" spans="2:18" x14ac:dyDescent="0.25">
      <c r="C42" s="10"/>
      <c r="D42" s="10"/>
      <c r="E42" s="10"/>
      <c r="F42" s="10"/>
      <c r="K42" s="5"/>
      <c r="L42" s="5"/>
      <c r="M42" s="5"/>
    </row>
  </sheetData>
  <mergeCells count="8">
    <mergeCell ref="C3:D3"/>
    <mergeCell ref="E3:F3"/>
    <mergeCell ref="G3:H3"/>
    <mergeCell ref="I3:J3"/>
    <mergeCell ref="C12:D12"/>
    <mergeCell ref="E12:F12"/>
    <mergeCell ref="G12:H12"/>
    <mergeCell ref="I12:J1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09AFD-DD1F-4B2A-A925-963227F81BB0}">
  <dimension ref="B2:N14"/>
  <sheetViews>
    <sheetView workbookViewId="0">
      <selection activeCell="B18" sqref="B18"/>
    </sheetView>
  </sheetViews>
  <sheetFormatPr defaultRowHeight="15" x14ac:dyDescent="0.25"/>
  <cols>
    <col min="2" max="2" width="12" bestFit="1" customWidth="1"/>
    <col min="3" max="3" width="11.28515625" bestFit="1" customWidth="1"/>
    <col min="7" max="7" width="11.28515625" bestFit="1" customWidth="1"/>
    <col min="8" max="8" width="4.42578125" customWidth="1"/>
    <col min="9" max="9" width="11.28515625" bestFit="1" customWidth="1"/>
    <col min="13" max="13" width="11.28515625" bestFit="1" customWidth="1"/>
  </cols>
  <sheetData>
    <row r="2" spans="2:14" x14ac:dyDescent="0.25">
      <c r="C2" s="24">
        <v>2021</v>
      </c>
      <c r="D2" s="24" t="s">
        <v>61</v>
      </c>
      <c r="E2" s="24" t="s">
        <v>6</v>
      </c>
      <c r="F2" s="24" t="s">
        <v>7</v>
      </c>
      <c r="G2" s="24" t="s">
        <v>8</v>
      </c>
      <c r="I2" s="24">
        <v>2024</v>
      </c>
      <c r="J2" s="24" t="s">
        <v>61</v>
      </c>
      <c r="K2" s="24" t="s">
        <v>6</v>
      </c>
      <c r="L2" s="24" t="s">
        <v>7</v>
      </c>
      <c r="M2" s="24" t="s">
        <v>8</v>
      </c>
    </row>
    <row r="3" spans="2:14" x14ac:dyDescent="0.25">
      <c r="B3" s="42" t="s">
        <v>62</v>
      </c>
      <c r="C3" s="25" t="s">
        <v>63</v>
      </c>
      <c r="D3" s="26">
        <v>3.6164565361645654E-2</v>
      </c>
      <c r="E3" s="26">
        <v>1.4749942383037565E-2</v>
      </c>
      <c r="F3" s="26">
        <v>6.2619112442145386E-3</v>
      </c>
      <c r="G3" s="26">
        <v>1.7776165427172138E-2</v>
      </c>
      <c r="I3" s="25" t="s">
        <v>63</v>
      </c>
      <c r="J3" s="26">
        <v>6.5293822199899543E-2</v>
      </c>
      <c r="K3" s="26">
        <v>2.2201228153046763E-2</v>
      </c>
      <c r="L3" s="26">
        <v>1.0398613518197574E-2</v>
      </c>
      <c r="M3" s="26">
        <v>2.78814489571899E-2</v>
      </c>
    </row>
    <row r="4" spans="2:14" x14ac:dyDescent="0.25">
      <c r="B4" s="42"/>
      <c r="C4" s="25" t="s">
        <v>64</v>
      </c>
      <c r="D4" s="26">
        <v>8.3278035832780359E-2</v>
      </c>
      <c r="E4" s="26">
        <v>3.7796727356533763E-2</v>
      </c>
      <c r="F4" s="26">
        <v>1.905799074326164E-2</v>
      </c>
      <c r="G4" s="26">
        <v>4.3986939960094319E-2</v>
      </c>
      <c r="I4" s="25" t="s">
        <v>64</v>
      </c>
      <c r="J4" s="26">
        <v>0.10848819688598695</v>
      </c>
      <c r="K4" s="26">
        <v>5.5503070382616912E-2</v>
      </c>
      <c r="L4" s="26">
        <v>2.9462738301559793E-2</v>
      </c>
      <c r="M4" s="26">
        <v>5.88364434687157E-2</v>
      </c>
    </row>
    <row r="5" spans="2:14" x14ac:dyDescent="0.25">
      <c r="B5" s="42"/>
      <c r="C5" s="25" t="s">
        <v>65</v>
      </c>
      <c r="D5" s="26">
        <v>8.2946250829462512E-2</v>
      </c>
      <c r="E5" s="26">
        <v>6.360912652684951E-2</v>
      </c>
      <c r="F5" s="26">
        <v>4.0838551592703512E-2</v>
      </c>
      <c r="G5" s="26">
        <v>6.130963177943044E-2</v>
      </c>
      <c r="I5" s="25" t="s">
        <v>65</v>
      </c>
      <c r="J5" s="26">
        <v>0.12405826217980914</v>
      </c>
      <c r="K5" s="26">
        <v>9.2111478507321681E-2</v>
      </c>
      <c r="L5" s="26">
        <v>5.4419410745233966E-2</v>
      </c>
      <c r="M5" s="26">
        <v>8.7156970362239294E-2</v>
      </c>
    </row>
    <row r="6" spans="2:14" x14ac:dyDescent="0.25">
      <c r="B6" s="42"/>
      <c r="C6" s="25" t="s">
        <v>66</v>
      </c>
      <c r="D6" s="26">
        <v>6.7020570670205712E-2</v>
      </c>
      <c r="E6" s="26">
        <v>6.8909887070753628E-2</v>
      </c>
      <c r="F6" s="26">
        <v>5.5268173155458754E-2</v>
      </c>
      <c r="G6" s="26">
        <v>6.3849083983312169E-2</v>
      </c>
      <c r="I6" s="25" t="s">
        <v>66</v>
      </c>
      <c r="J6" s="26">
        <v>9.8945253641386233E-2</v>
      </c>
      <c r="K6" s="26">
        <v>0.10273972602739725</v>
      </c>
      <c r="L6" s="26">
        <v>7.1403812824956669E-2</v>
      </c>
      <c r="M6" s="26">
        <v>9.1986827661909992E-2</v>
      </c>
    </row>
    <row r="7" spans="2:14" x14ac:dyDescent="0.25">
      <c r="B7" s="42"/>
      <c r="C7" s="25" t="s">
        <v>67</v>
      </c>
      <c r="D7" s="26">
        <v>7.996018579960186E-2</v>
      </c>
      <c r="E7" s="26">
        <v>7.6284858262272409E-2</v>
      </c>
      <c r="F7" s="26">
        <v>6.8608766675741895E-2</v>
      </c>
      <c r="G7" s="26">
        <v>7.4732450571376743E-2</v>
      </c>
      <c r="I7" s="25" t="s">
        <v>67</v>
      </c>
      <c r="J7" s="26">
        <v>0.10547463586137619</v>
      </c>
      <c r="K7" s="26">
        <v>9.4237128011336796E-2</v>
      </c>
      <c r="L7" s="26">
        <v>7.5909878682842283E-2</v>
      </c>
      <c r="M7" s="26">
        <v>9.0889132821075747E-2</v>
      </c>
    </row>
    <row r="8" spans="2:14" x14ac:dyDescent="0.25">
      <c r="B8" s="42" t="s">
        <v>68</v>
      </c>
      <c r="C8" s="25" t="s">
        <v>69</v>
      </c>
      <c r="D8" s="26">
        <v>0.10882548108825481</v>
      </c>
      <c r="E8" s="26">
        <v>0.1115464392717216</v>
      </c>
      <c r="F8" s="26">
        <v>8.9300299482711676E-2</v>
      </c>
      <c r="G8" s="26">
        <v>0.10339198258661346</v>
      </c>
      <c r="I8" s="25" t="s">
        <v>69</v>
      </c>
      <c r="J8" s="26">
        <v>0.12104470115519839</v>
      </c>
      <c r="K8" s="26">
        <v>0.10392064241851677</v>
      </c>
      <c r="L8" s="26">
        <v>9.8440207972270363E-2</v>
      </c>
      <c r="M8" s="26">
        <v>0.10592755214050494</v>
      </c>
    </row>
    <row r="9" spans="2:14" x14ac:dyDescent="0.25">
      <c r="B9" s="42"/>
      <c r="C9" s="25" t="s">
        <v>70</v>
      </c>
      <c r="D9" s="26">
        <v>0.13702720637027208</v>
      </c>
      <c r="E9" s="26">
        <v>0.15049550587693017</v>
      </c>
      <c r="F9" s="26">
        <v>0.15028586986114892</v>
      </c>
      <c r="G9" s="26">
        <v>0.14674405949573735</v>
      </c>
      <c r="I9" s="25" t="s">
        <v>70</v>
      </c>
      <c r="J9" s="26">
        <v>0.13360120542440984</v>
      </c>
      <c r="K9" s="26">
        <v>0.14359943316013227</v>
      </c>
      <c r="L9" s="26">
        <v>0.1462738301559792</v>
      </c>
      <c r="M9" s="26">
        <v>0.14226125137211856</v>
      </c>
    </row>
    <row r="10" spans="2:14" x14ac:dyDescent="0.25">
      <c r="B10" s="42" t="s">
        <v>71</v>
      </c>
      <c r="C10" s="25" t="s">
        <v>72</v>
      </c>
      <c r="D10" s="26">
        <v>0.10550763105507631</v>
      </c>
      <c r="E10" s="26">
        <v>0.19866328647153722</v>
      </c>
      <c r="F10" s="26">
        <v>0.23931391233324259</v>
      </c>
      <c r="G10" s="26">
        <v>0.18674043170687465</v>
      </c>
      <c r="I10" s="25" t="s">
        <v>72</v>
      </c>
      <c r="J10" s="26">
        <v>0.12857860371672528</v>
      </c>
      <c r="K10" s="26">
        <v>0.2014643363249882</v>
      </c>
      <c r="L10" s="26">
        <v>0.22357019064124783</v>
      </c>
      <c r="M10" s="26">
        <v>0.19253567508232711</v>
      </c>
    </row>
    <row r="11" spans="2:14" x14ac:dyDescent="0.25">
      <c r="B11" s="42"/>
      <c r="C11" s="25" t="s">
        <v>73</v>
      </c>
      <c r="D11" s="26">
        <v>7.5646980756469806E-2</v>
      </c>
      <c r="E11" s="26">
        <v>0.12883152800184375</v>
      </c>
      <c r="F11" s="26">
        <v>0.14211815954260823</v>
      </c>
      <c r="G11" s="26">
        <v>0.11871939053147107</v>
      </c>
      <c r="I11" s="25" t="s">
        <v>73</v>
      </c>
      <c r="J11" s="26">
        <v>6.0271220492214971E-2</v>
      </c>
      <c r="K11" s="26">
        <v>9.2583845063769488E-2</v>
      </c>
      <c r="L11" s="26">
        <v>0.13726169844020797</v>
      </c>
      <c r="M11" s="26">
        <v>9.9670691547749726E-2</v>
      </c>
    </row>
    <row r="12" spans="2:14" x14ac:dyDescent="0.25">
      <c r="B12" s="42"/>
      <c r="C12" s="25" t="s">
        <v>74</v>
      </c>
      <c r="D12" s="26">
        <v>4.3463835434638352E-2</v>
      </c>
      <c r="E12" s="26">
        <v>9.5413689790274259E-2</v>
      </c>
      <c r="F12" s="26">
        <v>0.13095562210726927</v>
      </c>
      <c r="G12" s="26">
        <v>9.3052784327952109E-2</v>
      </c>
      <c r="I12" s="25" t="s">
        <v>74</v>
      </c>
      <c r="J12" s="26">
        <v>5.4244098442993473E-2</v>
      </c>
      <c r="K12" s="26">
        <v>9.1639111950873875E-2</v>
      </c>
      <c r="L12" s="26">
        <v>0.15285961871750434</v>
      </c>
      <c r="M12" s="26">
        <v>0.10285400658616904</v>
      </c>
    </row>
    <row r="13" spans="2:14" x14ac:dyDescent="0.25">
      <c r="C13" s="27" t="s">
        <v>8</v>
      </c>
      <c r="D13" s="28">
        <v>0.27335389080355521</v>
      </c>
      <c r="E13" s="28">
        <v>0.3935243968801016</v>
      </c>
      <c r="F13" s="28">
        <v>0.33312171231634319</v>
      </c>
      <c r="G13" s="28">
        <v>1</v>
      </c>
      <c r="I13" s="27" t="s">
        <v>8</v>
      </c>
      <c r="J13" s="28">
        <v>0.21855104281009879</v>
      </c>
      <c r="K13" s="28">
        <v>0.46476399560922066</v>
      </c>
      <c r="L13" s="28">
        <v>0.31668496158068055</v>
      </c>
      <c r="M13" s="28">
        <v>1</v>
      </c>
    </row>
    <row r="14" spans="2:14" x14ac:dyDescent="0.25">
      <c r="N14" s="29"/>
    </row>
  </sheetData>
  <mergeCells count="3">
    <mergeCell ref="B3:B7"/>
    <mergeCell ref="B8:B9"/>
    <mergeCell ref="B10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tables 2024</vt:lpstr>
      <vt:lpstr>tables 2021</vt:lpstr>
      <vt:lpstr>risk profile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Psematika Kyriaki</dc:creator>
  <cp:lastModifiedBy>Psematika Kyriaki</cp:lastModifiedBy>
  <dcterms:created xsi:type="dcterms:W3CDTF">2025-06-27T12:07:46Z</dcterms:created>
  <dcterms:modified xsi:type="dcterms:W3CDTF">2025-07-17T14:11:17Z</dcterms:modified>
</cp:coreProperties>
</file>