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psematika\Documents\"/>
    </mc:Choice>
  </mc:AlternateContent>
  <xr:revisionPtr revIDLastSave="0" documentId="13_ncr:1_{24455D05-CC99-4A79-8844-B44B49690352}" xr6:coauthVersionLast="47" xr6:coauthVersionMax="47" xr10:uidLastSave="{00000000-0000-0000-0000-000000000000}"/>
  <bookViews>
    <workbookView xWindow="-108" yWindow="-108" windowWidth="23256" windowHeight="12456" activeTab="1" xr2:uid="{21252052-83E8-43D3-9642-6838CCCFE45F}"/>
  </bookViews>
  <sheets>
    <sheet name="Used car analysis " sheetId="5" r:id="rId1"/>
    <sheet name="New car analys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D20" i="5"/>
  <c r="F20" i="5"/>
  <c r="H22" i="5"/>
  <c r="F22" i="3"/>
  <c r="F9" i="3"/>
  <c r="E8" i="5"/>
  <c r="E9" i="5" s="1"/>
  <c r="F8" i="5" l="1"/>
  <c r="F9" i="5" s="1"/>
  <c r="H9" i="5" s="1"/>
  <c r="E2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tc={4D344F82-1F34-4066-B155-0D2B1BDC9BC5}</author>
    <author>tc={5EF190E8-10CA-4831-8B25-F87F46ADA610}</author>
    <author>tc={5E694458-3561-46FC-8D47-D52D8A501D93}</author>
    <author>tc={CEFA0770-486D-464F-AE24-F91D516BCF3D}</author>
    <author>tc={27FDFA89-DB16-4C8C-91F8-25C71C0C3853}</author>
  </authors>
  <commentList>
    <comment ref="D8" authorId="0" shapeId="0" xr:uid="{4D344F82-1F34-4066-B155-0D2B1BDC9B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mob 18 at 2023 after policy mitigation actions as shown in the below PBI image</t>
      </text>
    </comment>
    <comment ref="E8" authorId="1" shapeId="0" xr:uid="{5EF190E8-10CA-4831-8B25-F87F46ADA610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increase is estimated, like total bad rate of 2022 when no mandatory downpayment was in place (see PBI image below).</t>
      </text>
    </comment>
    <comment ref="F8" authorId="2" shapeId="0" xr:uid="{5E694458-3561-46FC-8D47-D52D8A501D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into account that more high risk customers will be approved, we assume that the bad rate of them (10,7% below PBI image) will constitute the total bad rate</t>
      </text>
    </comment>
    <comment ref="D9" authorId="3" shapeId="0" xr:uid="{CEFA0770-486D-464F-AE24-F91D516BCF3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Retail Finance tables (vintage 18 of 2023 used cars)</t>
      </text>
    </comment>
    <comment ref="D20" authorId="4" shapeId="0" xr:uid="{27FDFA89-DB16-4C8C-91F8-25C71C0C3853}">
      <text>
        <t>[Threaded comment]
Your version of Excel allows you to read this threaded comment; however, any edits to it will get removed if the file is opened in a newer version of Excel. Learn more: https://go.microsoft.com/fwlink/?linkid=870924
Comment:
    = bad rate * new LGL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tc={9507B251-CE94-4D0D-B5B3-A85A10E70140}</author>
    <author>tc={4ECE6856-01C1-4940-AEE0-F7160F616C9B}</author>
    <author>tc={1318938D-723E-421C-BD93-DDAB57332D5A}</author>
  </authors>
  <commentList>
    <comment ref="D8" authorId="0" shapeId="0" xr:uid="{9507B251-CE94-4D0D-B5B3-A85A10E701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Bad rate at mob 18 of 2023</t>
      </text>
    </comment>
    <comment ref="D9" authorId="1" shapeId="0" xr:uid="{4ECE6856-01C1-4940-AEE0-F7160F61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Retail Finance tables (vintage 18 of 2023 new cars)</t>
      </text>
    </comment>
    <comment ref="D20" authorId="2" shapeId="0" xr:uid="{1318938D-723E-421C-BD93-DDAB5733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= bad rate * new LGL</t>
      </text>
    </comment>
  </commentList>
</comments>
</file>

<file path=xl/sharedStrings.xml><?xml version="1.0" encoding="utf-8"?>
<sst xmlns="http://schemas.openxmlformats.org/spreadsheetml/2006/main" count="98" uniqueCount="24">
  <si>
    <t>Scenario A: Eurobank does not develop repossession capabilities</t>
  </si>
  <si>
    <t>Owner</t>
  </si>
  <si>
    <t>Credit policy</t>
  </si>
  <si>
    <t>Business</t>
  </si>
  <si>
    <t>Initiative:</t>
  </si>
  <si>
    <t>Metrics</t>
  </si>
  <si>
    <t xml:space="preserve">(1) No initiative </t>
  </si>
  <si>
    <t>(2) Introduction of AA models</t>
  </si>
  <si>
    <t>(3) Evolve Bank's risk appetite</t>
  </si>
  <si>
    <t>Bad rates, %</t>
  </si>
  <si>
    <t>Applications disbursed, %</t>
  </si>
  <si>
    <t>Applications Approved &amp; Cancelled, %</t>
  </si>
  <si>
    <t>Applications Rejected, %</t>
  </si>
  <si>
    <t>RAR, €M</t>
  </si>
  <si>
    <t>Financing disbursements, €M</t>
  </si>
  <si>
    <t>Cost of Risk, %</t>
  </si>
  <si>
    <t>Scenario B: Eurobank develops repossession capabilities</t>
  </si>
  <si>
    <t>Car residual value, %</t>
  </si>
  <si>
    <t xml:space="preserve">Bad rates, % </t>
  </si>
  <si>
    <t>Applications Counteroffer &amp; Cancelled, %</t>
  </si>
  <si>
    <t xml:space="preserve">not necessary </t>
  </si>
  <si>
    <t>LGL</t>
  </si>
  <si>
    <t>NEW ESTIMATED LGL based on RV 34% as calculated in total from excel "Repossesion Business Case"</t>
  </si>
  <si>
    <t>NEW ESTIMATED LGL based on RV 43% as calculated in the excel "Repossesion Business Case"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</si>
</sst>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1"/>
      <color rgb="FF003366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61"/>
      <scheme val="minor"/>
    </font>
    <font>
      <b/>
      <sz val="11"/>
      <color theme="0"/>
      <name val="Arial"/>
      <family val="2"/>
      <charset val="161"/>
      <scheme val="minor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0" borderId="0"/>
    <xf numFmtId="0" fontId="1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7" fillId="14" borderId="9" xfId="0" applyFont="1" applyFill="1" applyBorder="1"/>
    <xf numFmtId="0" fontId="19" fillId="0" borderId="9" xfId="0" applyFont="1" applyBorder="1"/>
    <xf numFmtId="0" fontId="18" fillId="15" borderId="8" xfId="0" applyFont="1" applyFill="1" applyBorder="1"/>
    <xf numFmtId="0" fontId="18" fillId="15" borderId="0" xfId="0" applyFont="1" applyFill="1"/>
    <xf numFmtId="0" fontId="19" fillId="0" borderId="11" xfId="0" applyFont="1" applyBorder="1"/>
    <xf numFmtId="0" fontId="19" fillId="0" borderId="10" xfId="0" applyFont="1" applyBorder="1"/>
    <xf numFmtId="0" fontId="19" fillId="0" borderId="12" xfId="0" applyFont="1" applyBorder="1"/>
    <xf numFmtId="164" fontId="0" fillId="0" borderId="0" xfId="0" applyNumberFormat="1"/>
    <xf numFmtId="0" fontId="11" fillId="0" borderId="0" xfId="0" applyFont="1"/>
    <xf numFmtId="0" fontId="7" fillId="14" borderId="9" xfId="0" applyFont="1" applyFill="1" applyBorder="1" applyAlignment="1">
      <alignment horizontal="center"/>
    </xf>
    <xf numFmtId="0" fontId="18" fillId="15" borderId="8" xfId="0" applyFont="1" applyFill="1" applyBorder="1" applyAlignment="1">
      <alignment horizontal="center"/>
    </xf>
    <xf numFmtId="9" fontId="16" fillId="0" borderId="11" xfId="0" applyNumberFormat="1" applyFont="1" applyBorder="1" applyAlignment="1">
      <alignment horizontal="center"/>
    </xf>
    <xf numFmtId="9" fontId="16" fillId="0" borderId="9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9" fontId="16" fillId="17" borderId="10" xfId="0" applyNumberFormat="1" applyFont="1" applyFill="1" applyBorder="1" applyAlignment="1">
      <alignment horizontal="center"/>
    </xf>
    <xf numFmtId="164" fontId="0" fillId="17" borderId="0" xfId="0" applyNumberFormat="1" applyFill="1" applyAlignment="1">
      <alignment horizontal="left" vertical="center"/>
    </xf>
    <xf numFmtId="164" fontId="16" fillId="0" borderId="9" xfId="29" applyNumberFormat="1" applyFont="1" applyBorder="1" applyAlignment="1">
      <alignment horizontal="center"/>
    </xf>
    <xf numFmtId="0" fontId="18" fillId="15" borderId="8" xfId="0" applyFont="1" applyFill="1" applyBorder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8" fillId="15" borderId="10" xfId="0" applyFont="1" applyFill="1" applyBorder="1" applyAlignment="1">
      <alignment horizontal="left" vertical="center"/>
    </xf>
    <xf numFmtId="0" fontId="21" fillId="16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 wrapText="1"/>
    </xf>
    <xf numFmtId="9" fontId="16" fillId="18" borderId="10" xfId="0" applyNumberFormat="1" applyFont="1" applyFill="1" applyBorder="1" applyAlignment="1">
      <alignment horizontal="center"/>
    </xf>
    <xf numFmtId="0" fontId="0" fillId="18" borderId="0" xfId="0" applyFill="1" applyAlignment="1">
      <alignment horizontal="left" vertical="center" wrapText="1"/>
    </xf>
    <xf numFmtId="164" fontId="0" fillId="18" borderId="0" xfId="0" applyNumberForma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164" fontId="11" fillId="0" borderId="12" xfId="29" applyNumberFormat="1" applyFont="1" applyBorder="1" applyAlignment="1">
      <alignment horizontal="center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</cellXfs>
  <cellStyles count="30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rmal 2" xfId="26" xr:uid="{770D50FD-DD2F-483F-9ABC-7018C05E1B79}"/>
    <cellStyle name="Normal 2 2" xfId="28" xr:uid="{416271FE-68E1-445B-9E85-6658959DF572}"/>
    <cellStyle name="Normal 3" xfId="27" xr:uid="{ECB42AC0-7323-4064-872C-CEB0E14D469D}"/>
    <cellStyle name="Normal 4" xfId="25" xr:uid="{43F4F976-4ABC-4995-9E29-B80BDC5D2807}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Percent" xfId="29" builtinId="5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0000FF"/>
      <color rgb="FFF2F2F2"/>
      <color rgb="FFD0D0D0"/>
      <color rgb="FF7F7F7F"/>
      <color rgb="FF0080B7"/>
      <color rgb="FFE6E6E6"/>
      <color rgb="FFE73535"/>
      <color rgb="FFFAA082"/>
      <color rgb="FF71D2F1"/>
      <color rgb="FF8C5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6</xdr:col>
      <xdr:colOff>1076598</xdr:colOff>
      <xdr:row>51</xdr:row>
      <xdr:rowOff>109362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A64C2-D337-438A-BD63-3DCE7988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4556760"/>
          <a:ext cx="12239898" cy="4490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3</xdr:col>
      <xdr:colOff>623065</xdr:colOff>
      <xdr:row>30</xdr:row>
      <xdr:rowOff>19967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AE3C3-B291-DF5D-2C49-2C93BA18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5405" y="4376351"/>
          <a:ext cx="3485714" cy="8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sematika Kyriaki" id="{B8362976-ED7F-46B6-A87F-D0DB6C3A9FD3}" userId="S::kpsematika@eurobank.gr::7866e73e-89f0-4abb-a556-f92f299a3357" providerId="AD"/>
</personList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7-17T11:15:28.55" personId="{B8362976-ED7F-46B6-A87F-D0DB6C3A9FD3}" id="{4D344F82-1F34-4066-B155-0D2B1BDC9BC5}">
    <text>mob 18 at 2023 after policy mitigation actions as shown in the below PBI image</text>
  </threadedComment>
  <threadedComment ref="E8" dT="2025-07-15T12:34:24.44" personId="{B8362976-ED7F-46B6-A87F-D0DB6C3A9FD3}" id="{5EF190E8-10CA-4831-8B25-F87F46ADA610}">
    <text>Minor increase is estimated, like total bad rate of 2022 when no mandatory downpayment was in place (see PBI image below).</text>
  </threadedComment>
  <threadedComment ref="F8" dT="2025-07-15T12:37:47.85" personId="{B8362976-ED7F-46B6-A87F-D0DB6C3A9FD3}" id="{5E694458-3561-46FC-8D47-D52D8A501D93}">
    <text>Taking into account that more high risk customers will be approved, we assume that the bad rate of them (10,7% below PBI image) will constitute the total bad rate</text>
  </threadedComment>
  <threadedComment ref="D9" dT="2025-07-17T11:16:15.52" personId="{B8362976-ED7F-46B6-A87F-D0DB6C3A9FD3}" id="{CEFA0770-486D-464F-AE24-F91D516BCF3D}">
    <text>From Retail Finance tables (vintage 18 of 2023 used cars)</text>
  </threadedComment>
  <threadedComment ref="D20" dT="2025-07-17T11:19:55.43" personId="{B8362976-ED7F-46B6-A87F-D0DB6C3A9FD3}" id="{27FDFA89-DB16-4C8C-91F8-25C71C0C3853}">
    <text>= bad rate * new LGL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8" dT="2025-07-17T14:30:19.56" personId="{B8362976-ED7F-46B6-A87F-D0DB6C3A9FD3}" id="{9507B251-CE94-4D0D-B5B3-A85A10E70140}">
    <text>Actual Bad rate at mob 18 of 2023</text>
  </threadedComment>
  <threadedComment ref="D9" dT="2025-07-17T11:16:15.52" personId="{B8362976-ED7F-46B6-A87F-D0DB6C3A9FD3}" id="{4ECE6856-01C1-4940-AEE0-F7160F616C9B}">
    <text>From Retail Finance tables (vintage 18 of 2023 new cars)</text>
  </threadedComment>
  <threadedComment ref="D20" dT="2025-07-17T11:19:55.43" personId="{B8362976-ED7F-46B6-A87F-D0DB6C3A9FD3}" id="{1318938D-723E-421C-BD93-DDAB57332D5A}">
    <text>= bad rate * new LGL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E9E6-2068-4605-A724-60A9CD2F189C}">
  <dimension ref="B2:P26"/>
  <sheetViews>
    <sheetView showGridLines="0" zoomScale="74" workbookViewId="0">
      <selection activeCell="H20" sqref="H20:I21"/>
    </sheetView>
  </sheetViews>
  <sheetFormatPr defaultRowHeight="13.8" x14ac:dyDescent="0.25"/>
  <cols>
    <col min="1" max="1" width="4.59765625" customWidth="1"/>
    <col min="2" max="2" width="25.19921875" customWidth="1"/>
    <col min="3" max="3" width="37.59765625" customWidth="1"/>
    <col min="4" max="4" width="24.8984375" style="19" customWidth="1"/>
    <col min="5" max="5" width="31.59765625" style="19" customWidth="1"/>
    <col min="6" max="6" width="27.19921875" style="19" bestFit="1" customWidth="1"/>
    <col min="7" max="7" width="16.69921875" customWidth="1"/>
    <col min="8" max="8" width="23.8984375" customWidth="1"/>
    <col min="9" max="9" width="36.19921875" customWidth="1"/>
  </cols>
  <sheetData>
    <row r="2" spans="2:16" x14ac:dyDescent="0.25">
      <c r="B2" s="1" t="s">
        <v>0</v>
      </c>
      <c r="C2" s="1"/>
      <c r="D2" s="10"/>
      <c r="E2" s="10"/>
      <c r="F2" s="10"/>
      <c r="G2" s="1"/>
    </row>
    <row r="3" spans="2:16" x14ac:dyDescent="0.25">
      <c r="B3" s="3" t="s">
        <v>4</v>
      </c>
      <c r="C3" s="3"/>
      <c r="D3" s="11" t="s">
        <v>6</v>
      </c>
      <c r="E3" s="11" t="s">
        <v>7</v>
      </c>
      <c r="F3" s="11" t="s">
        <v>8</v>
      </c>
      <c r="G3" s="4" t="s">
        <v>1</v>
      </c>
      <c r="I3" s="8"/>
    </row>
    <row r="4" spans="2:16" x14ac:dyDescent="0.25">
      <c r="B4" s="24" t="s">
        <v>5</v>
      </c>
      <c r="C4" s="5" t="s">
        <v>10</v>
      </c>
      <c r="D4" s="12">
        <v>0.37</v>
      </c>
      <c r="E4" s="12">
        <v>0.45</v>
      </c>
      <c r="F4" s="12">
        <v>0.7</v>
      </c>
      <c r="G4" s="5" t="s">
        <v>2</v>
      </c>
    </row>
    <row r="5" spans="2:16" x14ac:dyDescent="0.25">
      <c r="B5" s="25"/>
      <c r="C5" s="2" t="s">
        <v>11</v>
      </c>
      <c r="D5" s="13"/>
      <c r="E5" s="13"/>
      <c r="F5" s="14"/>
      <c r="G5" s="5" t="s">
        <v>2</v>
      </c>
      <c r="H5" s="27" t="s">
        <v>20</v>
      </c>
    </row>
    <row r="6" spans="2:16" x14ac:dyDescent="0.25">
      <c r="B6" s="25"/>
      <c r="C6" s="2" t="s">
        <v>19</v>
      </c>
      <c r="D6" s="13"/>
      <c r="E6" s="13"/>
      <c r="F6" s="14"/>
      <c r="G6" s="5" t="s">
        <v>2</v>
      </c>
      <c r="H6" s="27"/>
    </row>
    <row r="7" spans="2:16" x14ac:dyDescent="0.25">
      <c r="B7" s="25"/>
      <c r="C7" s="2" t="s">
        <v>12</v>
      </c>
      <c r="D7" s="13">
        <v>0.33</v>
      </c>
      <c r="E7" s="13">
        <v>0.3</v>
      </c>
      <c r="F7" s="13">
        <v>0.2</v>
      </c>
      <c r="G7" s="5" t="s">
        <v>2</v>
      </c>
    </row>
    <row r="8" spans="2:16" x14ac:dyDescent="0.25">
      <c r="B8" s="25"/>
      <c r="C8" s="2" t="s">
        <v>18</v>
      </c>
      <c r="D8" s="15">
        <v>2.5999999999999999E-2</v>
      </c>
      <c r="E8" s="15">
        <f>((D4*D8)+(E4-D4)*(D8*2))/E4</f>
        <v>3.0622222222222224E-2</v>
      </c>
      <c r="F8" s="15">
        <f>((E4*E8)+(F4-E4)*10.7%)/F4</f>
        <v>5.79E-2</v>
      </c>
      <c r="G8" s="5" t="s">
        <v>2</v>
      </c>
      <c r="H8" s="9"/>
    </row>
    <row r="9" spans="2:16" x14ac:dyDescent="0.25">
      <c r="B9" s="25"/>
      <c r="C9" s="7" t="s">
        <v>15</v>
      </c>
      <c r="D9" s="16">
        <v>1.6E-2</v>
      </c>
      <c r="E9" s="16">
        <f>(D9*E8)/D8</f>
        <v>1.8844444444444445E-2</v>
      </c>
      <c r="F9" s="16">
        <f>(E9*F8)/E8</f>
        <v>3.563076923076923E-2</v>
      </c>
      <c r="G9" s="7" t="s">
        <v>2</v>
      </c>
      <c r="H9" s="34">
        <f>F9/F8</f>
        <v>0.61538461538461542</v>
      </c>
      <c r="J9" s="8"/>
    </row>
    <row r="10" spans="2:16" x14ac:dyDescent="0.25">
      <c r="B10" s="25"/>
      <c r="C10" s="6" t="s">
        <v>13</v>
      </c>
      <c r="D10" s="17">
        <v>4</v>
      </c>
      <c r="E10" s="17">
        <v>8</v>
      </c>
      <c r="F10" s="17"/>
      <c r="G10" s="6" t="s">
        <v>3</v>
      </c>
      <c r="H10" s="35" t="s">
        <v>21</v>
      </c>
    </row>
    <row r="11" spans="2:16" x14ac:dyDescent="0.25">
      <c r="B11" s="26"/>
      <c r="C11" s="2" t="s">
        <v>14</v>
      </c>
      <c r="D11" s="14"/>
      <c r="E11" s="14"/>
      <c r="F11" s="14"/>
      <c r="G11" s="2" t="s">
        <v>3</v>
      </c>
      <c r="H11" s="8"/>
    </row>
    <row r="13" spans="2:16" x14ac:dyDescent="0.25">
      <c r="B13" s="1" t="s">
        <v>16</v>
      </c>
      <c r="C13" s="1"/>
      <c r="D13" s="10"/>
      <c r="E13" s="10"/>
      <c r="F13" s="10"/>
      <c r="G13" s="1"/>
      <c r="H13" s="20"/>
      <c r="I13" s="20"/>
      <c r="J13" s="20"/>
      <c r="K13" s="20"/>
      <c r="L13" s="20"/>
      <c r="M13" s="20"/>
      <c r="N13" s="20"/>
      <c r="O13" s="20"/>
      <c r="P13" s="20"/>
    </row>
    <row r="14" spans="2:16" x14ac:dyDescent="0.25">
      <c r="B14" s="3" t="s">
        <v>4</v>
      </c>
      <c r="C14" s="3"/>
      <c r="D14" s="11" t="s">
        <v>6</v>
      </c>
      <c r="E14" s="11" t="s">
        <v>7</v>
      </c>
      <c r="F14" s="11" t="s">
        <v>8</v>
      </c>
      <c r="G14" s="4" t="s">
        <v>1</v>
      </c>
      <c r="H14" s="20"/>
      <c r="I14" s="20"/>
      <c r="J14" s="20"/>
      <c r="K14" s="20"/>
      <c r="L14" s="20"/>
      <c r="M14" s="20"/>
      <c r="N14" s="20"/>
      <c r="O14" s="20"/>
      <c r="P14" s="20"/>
    </row>
    <row r="15" spans="2:16" x14ac:dyDescent="0.25">
      <c r="B15" s="24" t="s">
        <v>5</v>
      </c>
      <c r="C15" s="5" t="s">
        <v>10</v>
      </c>
      <c r="D15" s="18"/>
      <c r="E15" s="18"/>
      <c r="F15" s="12">
        <v>0.7</v>
      </c>
      <c r="G15" s="5" t="s">
        <v>2</v>
      </c>
      <c r="H15" s="20"/>
      <c r="I15" s="20"/>
      <c r="J15" s="20"/>
      <c r="K15" s="20"/>
      <c r="L15" s="20"/>
      <c r="M15" s="20"/>
      <c r="N15" s="20"/>
      <c r="O15" s="20"/>
      <c r="P15" s="20"/>
    </row>
    <row r="16" spans="2:16" x14ac:dyDescent="0.25">
      <c r="B16" s="25"/>
      <c r="C16" s="2" t="s">
        <v>11</v>
      </c>
      <c r="D16" s="14"/>
      <c r="E16" s="14"/>
      <c r="F16" s="14"/>
      <c r="G16" s="5" t="s">
        <v>2</v>
      </c>
      <c r="H16" s="20"/>
      <c r="I16" s="20"/>
      <c r="J16" s="20"/>
      <c r="K16" s="20"/>
      <c r="L16" s="20"/>
      <c r="M16" s="20"/>
      <c r="N16" s="20"/>
      <c r="O16" s="20"/>
      <c r="P16" s="20"/>
    </row>
    <row r="17" spans="2:16" x14ac:dyDescent="0.25">
      <c r="B17" s="25"/>
      <c r="C17" s="2" t="s">
        <v>19</v>
      </c>
      <c r="D17" s="14"/>
      <c r="E17" s="14"/>
      <c r="F17" s="14"/>
      <c r="G17" s="5" t="s">
        <v>2</v>
      </c>
      <c r="H17" s="20"/>
      <c r="I17" s="20"/>
      <c r="J17" s="20"/>
      <c r="K17" s="20"/>
      <c r="L17" s="20"/>
      <c r="M17" s="20"/>
      <c r="N17" s="20"/>
      <c r="O17" s="20"/>
      <c r="P17" s="20"/>
    </row>
    <row r="18" spans="2:16" x14ac:dyDescent="0.25">
      <c r="B18" s="25"/>
      <c r="C18" s="2" t="s">
        <v>12</v>
      </c>
      <c r="D18" s="14"/>
      <c r="E18" s="14"/>
      <c r="F18" s="14"/>
      <c r="G18" s="5" t="s">
        <v>2</v>
      </c>
      <c r="H18" s="20"/>
      <c r="I18" s="20"/>
      <c r="J18" s="20"/>
      <c r="K18" s="20"/>
      <c r="L18" s="20"/>
      <c r="M18" s="20"/>
      <c r="N18" s="20"/>
      <c r="O18" s="20"/>
      <c r="P18" s="20"/>
    </row>
    <row r="19" spans="2:16" x14ac:dyDescent="0.25">
      <c r="B19" s="25"/>
      <c r="C19" s="2" t="s">
        <v>9</v>
      </c>
      <c r="D19" s="23">
        <v>2.5999999999999999E-2</v>
      </c>
      <c r="E19" s="23">
        <v>3.1E-2</v>
      </c>
      <c r="F19" s="23">
        <v>5.8000000000000003E-2</v>
      </c>
      <c r="G19" s="5" t="s">
        <v>2</v>
      </c>
      <c r="H19" s="20"/>
      <c r="I19" s="20"/>
      <c r="J19" s="20"/>
      <c r="K19" s="20"/>
      <c r="L19" s="20"/>
      <c r="M19" s="20"/>
      <c r="N19" s="20"/>
      <c r="O19" s="20"/>
      <c r="P19" s="20"/>
    </row>
    <row r="20" spans="2:16" ht="13.8" customHeight="1" x14ac:dyDescent="0.25">
      <c r="B20" s="25"/>
      <c r="C20" s="7" t="s">
        <v>15</v>
      </c>
      <c r="D20" s="33">
        <f>D19*H22</f>
        <v>7.1599999999999997E-3</v>
      </c>
      <c r="E20" s="33">
        <f>E19*H22</f>
        <v>8.5369230769230774E-3</v>
      </c>
      <c r="F20" s="33">
        <f>F19*H22</f>
        <v>1.5972307692307695E-2</v>
      </c>
      <c r="G20" s="7" t="s">
        <v>2</v>
      </c>
      <c r="H20" s="28" t="s">
        <v>22</v>
      </c>
      <c r="I20" s="28"/>
      <c r="J20" s="20"/>
      <c r="K20" s="20"/>
      <c r="L20" s="20"/>
      <c r="M20" s="20"/>
      <c r="N20" s="20"/>
      <c r="O20" s="20"/>
      <c r="P20" s="20"/>
    </row>
    <row r="21" spans="2:16" x14ac:dyDescent="0.25">
      <c r="B21" s="25"/>
      <c r="C21" s="6" t="s">
        <v>17</v>
      </c>
      <c r="D21" s="21">
        <v>0.34</v>
      </c>
      <c r="E21" s="21">
        <v>0.34</v>
      </c>
      <c r="F21" s="21">
        <v>0.34</v>
      </c>
      <c r="G21" s="6" t="s">
        <v>3</v>
      </c>
      <c r="H21" s="28"/>
      <c r="I21" s="28"/>
      <c r="J21" s="20"/>
      <c r="K21" s="20"/>
      <c r="L21" s="20"/>
      <c r="M21" s="20"/>
      <c r="N21" s="20"/>
      <c r="O21" s="20"/>
      <c r="P21" s="20"/>
    </row>
    <row r="22" spans="2:16" x14ac:dyDescent="0.25">
      <c r="B22" s="25"/>
      <c r="C22" s="2" t="s">
        <v>13</v>
      </c>
      <c r="D22" s="14"/>
      <c r="E22" s="14"/>
      <c r="F22" s="14"/>
      <c r="G22" s="2" t="s">
        <v>3</v>
      </c>
      <c r="H22" s="22">
        <f>H9-D21</f>
        <v>0.27538461538461539</v>
      </c>
      <c r="I22" s="20"/>
      <c r="J22" s="20"/>
      <c r="K22" s="20"/>
      <c r="L22" s="20"/>
      <c r="M22" s="20"/>
      <c r="N22" s="20"/>
      <c r="O22" s="20"/>
      <c r="P22" s="20"/>
    </row>
    <row r="23" spans="2:16" x14ac:dyDescent="0.25">
      <c r="B23" s="26"/>
      <c r="C23" s="2" t="s">
        <v>14</v>
      </c>
      <c r="D23" s="14"/>
      <c r="E23" s="14"/>
      <c r="F23" s="14"/>
      <c r="G23" s="2" t="s">
        <v>3</v>
      </c>
      <c r="H23" s="20"/>
      <c r="I23" s="20"/>
      <c r="J23" s="20"/>
      <c r="K23" s="20"/>
      <c r="L23" s="20"/>
      <c r="M23" s="20"/>
      <c r="N23" s="20"/>
      <c r="O23" s="20"/>
      <c r="P23" s="20"/>
    </row>
    <row r="24" spans="2:16" x14ac:dyDescent="0.25">
      <c r="H24" s="20"/>
      <c r="I24" s="20"/>
      <c r="J24" s="20"/>
      <c r="K24" s="20"/>
      <c r="L24" s="20"/>
      <c r="M24" s="20"/>
      <c r="N24" s="20"/>
      <c r="O24" s="20"/>
    </row>
    <row r="25" spans="2:16" x14ac:dyDescent="0.25">
      <c r="H25" s="20"/>
      <c r="I25" s="20"/>
      <c r="J25" s="20"/>
      <c r="K25" s="20"/>
      <c r="L25" s="20"/>
      <c r="M25" s="20"/>
      <c r="N25" s="20"/>
      <c r="O25" s="20"/>
    </row>
    <row r="26" spans="2:16" x14ac:dyDescent="0.25">
      <c r="H26" s="8"/>
    </row>
  </sheetData>
  <mergeCells count="4">
    <mergeCell ref="B4:B11"/>
    <mergeCell ref="H5:H6"/>
    <mergeCell ref="B15:B23"/>
    <mergeCell ref="H20:I21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dimension ref="B2:N26"/>
  <sheetViews>
    <sheetView showGridLines="0" tabSelected="1" zoomScale="74" workbookViewId="0">
      <selection activeCell="D32" sqref="D32"/>
    </sheetView>
  </sheetViews>
  <sheetFormatPr defaultRowHeight="13.8" x14ac:dyDescent="0.25"/>
  <cols>
    <col min="1" max="1" width="4.59765625" customWidth="1"/>
    <col min="2" max="2" width="25.19921875" customWidth="1"/>
    <col min="3" max="3" width="37.59765625" customWidth="1"/>
    <col min="4" max="4" width="24.8984375" style="19" customWidth="1"/>
    <col min="5" max="5" width="16.69921875" customWidth="1"/>
    <col min="6" max="6" width="23.8984375" customWidth="1"/>
    <col min="7" max="7" width="36.19921875" customWidth="1"/>
  </cols>
  <sheetData>
    <row r="2" spans="2:14" x14ac:dyDescent="0.25">
      <c r="B2" s="1" t="s">
        <v>0</v>
      </c>
      <c r="C2" s="1"/>
      <c r="D2" s="10"/>
      <c r="E2" s="1"/>
    </row>
    <row r="3" spans="2:14" x14ac:dyDescent="0.25">
      <c r="B3" s="3" t="s">
        <v>4</v>
      </c>
      <c r="C3" s="3"/>
      <c r="D3" s="11" t="s">
        <v>6</v>
      </c>
      <c r="E3" s="4" t="s">
        <v>1</v>
      </c>
      <c r="G3" s="8"/>
    </row>
    <row r="4" spans="2:14" x14ac:dyDescent="0.25">
      <c r="B4" s="24" t="s">
        <v>5</v>
      </c>
      <c r="C4" s="5" t="s">
        <v>10</v>
      </c>
      <c r="D4" s="12">
        <v>0.62</v>
      </c>
      <c r="E4" s="5" t="s">
        <v>2</v>
      </c>
    </row>
    <row r="5" spans="2:14" x14ac:dyDescent="0.25">
      <c r="B5" s="25"/>
      <c r="C5" s="2" t="s">
        <v>11</v>
      </c>
      <c r="D5" s="13"/>
      <c r="E5" s="5" t="s">
        <v>2</v>
      </c>
      <c r="F5" s="27" t="s">
        <v>20</v>
      </c>
    </row>
    <row r="6" spans="2:14" x14ac:dyDescent="0.25">
      <c r="B6" s="25"/>
      <c r="C6" s="2" t="s">
        <v>19</v>
      </c>
      <c r="D6" s="13"/>
      <c r="E6" s="5" t="s">
        <v>2</v>
      </c>
      <c r="F6" s="27"/>
    </row>
    <row r="7" spans="2:14" x14ac:dyDescent="0.25">
      <c r="B7" s="25"/>
      <c r="C7" s="2" t="s">
        <v>12</v>
      </c>
      <c r="D7" s="13">
        <v>0.2</v>
      </c>
      <c r="E7" s="5" t="s">
        <v>2</v>
      </c>
    </row>
    <row r="8" spans="2:14" x14ac:dyDescent="0.25">
      <c r="B8" s="25"/>
      <c r="C8" s="2" t="s">
        <v>18</v>
      </c>
      <c r="D8" s="15">
        <v>1.2E-2</v>
      </c>
      <c r="E8" s="5" t="s">
        <v>2</v>
      </c>
      <c r="F8" s="9"/>
    </row>
    <row r="9" spans="2:14" x14ac:dyDescent="0.25">
      <c r="B9" s="25"/>
      <c r="C9" s="7" t="s">
        <v>15</v>
      </c>
      <c r="D9" s="16">
        <v>8.0000000000000002E-3</v>
      </c>
      <c r="E9" s="7" t="s">
        <v>2</v>
      </c>
      <c r="F9" s="34">
        <f>D9/D8</f>
        <v>0.66666666666666663</v>
      </c>
      <c r="H9" s="8"/>
    </row>
    <row r="10" spans="2:14" x14ac:dyDescent="0.25">
      <c r="B10" s="25"/>
      <c r="C10" s="6" t="s">
        <v>13</v>
      </c>
      <c r="D10" s="17"/>
      <c r="E10" s="6" t="s">
        <v>3</v>
      </c>
      <c r="F10" s="35" t="s">
        <v>21</v>
      </c>
    </row>
    <row r="11" spans="2:14" x14ac:dyDescent="0.25">
      <c r="B11" s="26"/>
      <c r="C11" s="2" t="s">
        <v>14</v>
      </c>
      <c r="D11" s="14"/>
      <c r="E11" s="2" t="s">
        <v>3</v>
      </c>
      <c r="F11" s="8"/>
    </row>
    <row r="13" spans="2:14" x14ac:dyDescent="0.25">
      <c r="B13" s="1" t="s">
        <v>16</v>
      </c>
      <c r="C13" s="1"/>
      <c r="D13" s="10"/>
      <c r="E13" s="1"/>
      <c r="F13" s="20"/>
      <c r="G13" s="20"/>
      <c r="H13" s="20"/>
      <c r="I13" s="20"/>
      <c r="J13" s="20"/>
      <c r="K13" s="20"/>
      <c r="L13" s="20"/>
      <c r="M13" s="20"/>
      <c r="N13" s="20"/>
    </row>
    <row r="14" spans="2:14" x14ac:dyDescent="0.25">
      <c r="B14" s="3" t="s">
        <v>4</v>
      </c>
      <c r="C14" s="3"/>
      <c r="D14" s="11" t="s">
        <v>6</v>
      </c>
      <c r="E14" s="4" t="s">
        <v>1</v>
      </c>
      <c r="F14" s="20"/>
      <c r="G14" s="20"/>
      <c r="H14" s="20"/>
      <c r="I14" s="20"/>
      <c r="J14" s="20"/>
      <c r="K14" s="20"/>
      <c r="L14" s="20"/>
      <c r="M14" s="20"/>
      <c r="N14" s="20"/>
    </row>
    <row r="15" spans="2:14" x14ac:dyDescent="0.25">
      <c r="B15" s="24" t="s">
        <v>5</v>
      </c>
      <c r="C15" s="5" t="s">
        <v>10</v>
      </c>
      <c r="D15" s="12">
        <v>0.62</v>
      </c>
      <c r="E15" s="5" t="s">
        <v>2</v>
      </c>
      <c r="F15" s="20"/>
      <c r="G15" s="20"/>
      <c r="H15" s="20"/>
      <c r="I15" s="20"/>
      <c r="J15" s="20"/>
      <c r="K15" s="20"/>
      <c r="L15" s="20"/>
      <c r="M15" s="20"/>
      <c r="N15" s="20"/>
    </row>
    <row r="16" spans="2:14" x14ac:dyDescent="0.25">
      <c r="B16" s="25"/>
      <c r="C16" s="2" t="s">
        <v>11</v>
      </c>
      <c r="D16" s="13"/>
      <c r="E16" s="5" t="s">
        <v>2</v>
      </c>
      <c r="F16" s="20"/>
      <c r="G16" s="20"/>
      <c r="H16" s="20"/>
      <c r="I16" s="20"/>
      <c r="J16" s="20"/>
      <c r="K16" s="20"/>
      <c r="L16" s="20"/>
      <c r="M16" s="20"/>
      <c r="N16" s="20"/>
    </row>
    <row r="17" spans="2:14" x14ac:dyDescent="0.25">
      <c r="B17" s="25"/>
      <c r="C17" s="2" t="s">
        <v>19</v>
      </c>
      <c r="D17" s="13"/>
      <c r="E17" s="5" t="s">
        <v>2</v>
      </c>
      <c r="F17" s="20"/>
      <c r="G17" s="20"/>
      <c r="H17" s="20"/>
      <c r="I17" s="20"/>
      <c r="J17" s="20"/>
      <c r="K17" s="20"/>
      <c r="L17" s="20"/>
      <c r="M17" s="20"/>
      <c r="N17" s="20"/>
    </row>
    <row r="18" spans="2:14" x14ac:dyDescent="0.25">
      <c r="B18" s="25"/>
      <c r="C18" s="2" t="s">
        <v>12</v>
      </c>
      <c r="D18" s="13">
        <v>0.2</v>
      </c>
      <c r="E18" s="5" t="s">
        <v>2</v>
      </c>
      <c r="F18" s="20"/>
      <c r="G18" s="20"/>
      <c r="H18" s="20"/>
      <c r="I18" s="20"/>
      <c r="J18" s="20"/>
      <c r="K18" s="20"/>
      <c r="L18" s="20"/>
      <c r="M18" s="20"/>
      <c r="N18" s="20"/>
    </row>
    <row r="19" spans="2:14" x14ac:dyDescent="0.25">
      <c r="B19" s="25"/>
      <c r="C19" s="2" t="s">
        <v>9</v>
      </c>
      <c r="D19" s="23">
        <v>1.2E-2</v>
      </c>
      <c r="E19" s="5" t="s">
        <v>2</v>
      </c>
      <c r="F19" s="20"/>
      <c r="G19" s="20"/>
      <c r="H19" s="20"/>
      <c r="I19" s="20"/>
      <c r="J19" s="20"/>
      <c r="K19" s="20"/>
      <c r="L19" s="20"/>
      <c r="M19" s="20"/>
      <c r="N19" s="20"/>
    </row>
    <row r="20" spans="2:14" ht="13.8" customHeight="1" x14ac:dyDescent="0.25">
      <c r="B20" s="25"/>
      <c r="C20" s="7" t="s">
        <v>15</v>
      </c>
      <c r="D20" s="33">
        <f>D19*F22</f>
        <v>2.8399999999999996E-3</v>
      </c>
      <c r="E20" s="7" t="s">
        <v>2</v>
      </c>
      <c r="F20" s="30" t="s">
        <v>23</v>
      </c>
      <c r="G20" s="30"/>
      <c r="H20" s="20"/>
      <c r="I20" s="20"/>
      <c r="J20" s="20"/>
      <c r="K20" s="20"/>
      <c r="L20" s="20"/>
      <c r="M20" s="20"/>
      <c r="N20" s="20"/>
    </row>
    <row r="21" spans="2:14" x14ac:dyDescent="0.25">
      <c r="B21" s="25"/>
      <c r="C21" s="6" t="s">
        <v>17</v>
      </c>
      <c r="D21" s="29">
        <v>0.43</v>
      </c>
      <c r="E21" s="6" t="s">
        <v>3</v>
      </c>
      <c r="F21" s="30"/>
      <c r="G21" s="30"/>
      <c r="H21" s="20"/>
      <c r="I21" s="20"/>
      <c r="J21" s="20"/>
      <c r="K21" s="20"/>
      <c r="L21" s="20"/>
      <c r="M21" s="20"/>
      <c r="N21" s="20"/>
    </row>
    <row r="22" spans="2:14" x14ac:dyDescent="0.25">
      <c r="B22" s="25"/>
      <c r="C22" s="2" t="s">
        <v>13</v>
      </c>
      <c r="D22" s="14"/>
      <c r="E22" s="2" t="s">
        <v>3</v>
      </c>
      <c r="F22" s="31">
        <f>F9-43%</f>
        <v>0.23666666666666664</v>
      </c>
      <c r="G22" s="32"/>
      <c r="H22" s="20"/>
      <c r="I22" s="20"/>
      <c r="J22" s="20"/>
      <c r="K22" s="20"/>
      <c r="L22" s="20"/>
      <c r="M22" s="20"/>
      <c r="N22" s="20"/>
    </row>
    <row r="23" spans="2:14" x14ac:dyDescent="0.25">
      <c r="B23" s="26"/>
      <c r="C23" s="2" t="s">
        <v>14</v>
      </c>
      <c r="D23" s="14"/>
      <c r="E23" s="2" t="s">
        <v>3</v>
      </c>
      <c r="F23" s="20"/>
      <c r="G23" s="20"/>
      <c r="H23" s="20"/>
      <c r="I23" s="20"/>
      <c r="J23" s="20"/>
      <c r="K23" s="20"/>
      <c r="L23" s="20"/>
      <c r="M23" s="20"/>
      <c r="N23" s="20"/>
    </row>
    <row r="24" spans="2:14" x14ac:dyDescent="0.25">
      <c r="F24" s="20"/>
      <c r="G24" s="20"/>
      <c r="H24" s="20"/>
      <c r="I24" s="20"/>
      <c r="J24" s="20"/>
      <c r="K24" s="20"/>
      <c r="L24" s="20"/>
      <c r="M24" s="20"/>
    </row>
    <row r="25" spans="2:14" x14ac:dyDescent="0.25">
      <c r="F25" s="20"/>
      <c r="G25" s="20"/>
      <c r="H25" s="20"/>
      <c r="I25" s="20"/>
      <c r="J25" s="20"/>
      <c r="K25" s="20"/>
      <c r="L25" s="20"/>
      <c r="M25" s="20"/>
    </row>
    <row r="26" spans="2:14" x14ac:dyDescent="0.25">
      <c r="F26" s="8"/>
    </row>
  </sheetData>
  <mergeCells count="4">
    <mergeCell ref="B4:B11"/>
    <mergeCell ref="B15:B23"/>
    <mergeCell ref="F5:F6"/>
    <mergeCell ref="F20:G21"/>
  </mergeCells>
  <pageMargins left="0.7" right="0.7" top="0.75" bottom="0.75" header="0.3" footer="0.3"/>
  <pageSetup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 car analysis </vt:lpstr>
      <vt:lpstr>New car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Magni</dc:creator>
  <cp:lastModifiedBy>Psematika Kyriaki</cp:lastModifiedBy>
  <cp:lastPrinted>2019-12-06T19:44:44Z</cp:lastPrinted>
  <dcterms:created xsi:type="dcterms:W3CDTF">2019-12-02T20:05:52Z</dcterms:created>
  <dcterms:modified xsi:type="dcterms:W3CDTF">2025-07-17T14:40:48Z</dcterms:modified>
</cp:coreProperties>
</file>