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psematika\Documents\"/>
    </mc:Choice>
  </mc:AlternateContent>
  <xr:revisionPtr revIDLastSave="0" documentId="13_ncr:1_{5B289AFD-584C-4287-9595-365B2AF5A4BF}" xr6:coauthVersionLast="47" xr6:coauthVersionMax="47" xr10:uidLastSave="{00000000-0000-0000-0000-000000000000}"/>
  <bookViews>
    <workbookView xWindow="-108" yWindow="-108" windowWidth="23256" windowHeight="12456" xr2:uid="{89C9CCFA-D3E0-490F-85DE-0A228902E789}"/>
  </bookViews>
  <sheets>
    <sheet name="RV and depreci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" i="1" l="1"/>
  <c r="K12" i="1"/>
  <c r="L12" i="1"/>
  <c r="M12" i="1"/>
  <c r="N12" i="1"/>
  <c r="O12" i="1"/>
  <c r="P12" i="1"/>
  <c r="Q12" i="1"/>
  <c r="R12" i="1"/>
  <c r="S12" i="1"/>
  <c r="J13" i="1"/>
  <c r="K13" i="1"/>
  <c r="L13" i="1"/>
  <c r="M13" i="1"/>
  <c r="N13" i="1"/>
  <c r="O13" i="1"/>
  <c r="P13" i="1"/>
  <c r="Q13" i="1"/>
  <c r="R13" i="1"/>
  <c r="S13" i="1"/>
  <c r="J14" i="1"/>
  <c r="K14" i="1"/>
  <c r="L14" i="1"/>
  <c r="M14" i="1"/>
  <c r="N14" i="1"/>
  <c r="O14" i="1"/>
  <c r="P14" i="1"/>
  <c r="Q14" i="1"/>
  <c r="R14" i="1"/>
  <c r="S14" i="1"/>
  <c r="J15" i="1"/>
  <c r="K15" i="1"/>
  <c r="L15" i="1"/>
  <c r="M15" i="1"/>
  <c r="N15" i="1"/>
  <c r="O15" i="1"/>
  <c r="P15" i="1"/>
  <c r="Q15" i="1"/>
  <c r="R15" i="1"/>
  <c r="S15" i="1"/>
  <c r="J16" i="1"/>
  <c r="K16" i="1"/>
  <c r="L16" i="1"/>
  <c r="M16" i="1"/>
  <c r="N16" i="1"/>
  <c r="O16" i="1"/>
  <c r="P16" i="1"/>
  <c r="Q16" i="1"/>
  <c r="R16" i="1"/>
  <c r="S16" i="1"/>
  <c r="J17" i="1"/>
  <c r="K17" i="1"/>
  <c r="L17" i="1"/>
  <c r="M17" i="1"/>
  <c r="N17" i="1"/>
  <c r="O17" i="1"/>
  <c r="P17" i="1"/>
  <c r="Q17" i="1"/>
  <c r="R17" i="1"/>
  <c r="S17" i="1"/>
  <c r="I12" i="1"/>
  <c r="H12" i="1"/>
  <c r="G12" i="1"/>
  <c r="F12" i="1"/>
  <c r="E12" i="1"/>
  <c r="I17" i="1"/>
  <c r="H17" i="1"/>
  <c r="G17" i="1"/>
  <c r="F17" i="1"/>
  <c r="E17" i="1"/>
  <c r="I16" i="1"/>
  <c r="H16" i="1"/>
  <c r="G16" i="1"/>
  <c r="F16" i="1"/>
  <c r="E16" i="1"/>
  <c r="I15" i="1"/>
  <c r="H15" i="1"/>
  <c r="G15" i="1"/>
  <c r="F15" i="1"/>
  <c r="E15" i="1"/>
  <c r="I14" i="1"/>
  <c r="H14" i="1"/>
  <c r="G14" i="1"/>
  <c r="F14" i="1"/>
  <c r="E14" i="1"/>
  <c r="I13" i="1"/>
  <c r="H13" i="1"/>
  <c r="G13" i="1"/>
  <c r="F13" i="1"/>
  <c r="E13" i="1"/>
</calcChain>
</file>

<file path=xl/sharedStrings.xml><?xml version="1.0" encoding="utf-8"?>
<sst xmlns="http://schemas.openxmlformats.org/spreadsheetml/2006/main" count="39" uniqueCount="28">
  <si>
    <t>New Car</t>
  </si>
  <si>
    <t>make</t>
  </si>
  <si>
    <t>model</t>
  </si>
  <si>
    <t>audi</t>
  </si>
  <si>
    <t>a4</t>
  </si>
  <si>
    <t>bmw</t>
  </si>
  <si>
    <t>citroen</t>
  </si>
  <si>
    <t>c4</t>
  </si>
  <si>
    <t>fiat</t>
  </si>
  <si>
    <t>peugeot</t>
  </si>
  <si>
    <t>Y1</t>
  </si>
  <si>
    <t>Y2</t>
  </si>
  <si>
    <t>Y3</t>
  </si>
  <si>
    <t>Y4</t>
  </si>
  <si>
    <t>Y5</t>
  </si>
  <si>
    <t>Depr. Rates</t>
  </si>
  <si>
    <t>Market Price</t>
  </si>
  <si>
    <t>RVs</t>
  </si>
  <si>
    <t>Y6</t>
  </si>
  <si>
    <t>Y7</t>
  </si>
  <si>
    <t>Y8</t>
  </si>
  <si>
    <t>Y9</t>
  </si>
  <si>
    <t>Y10</t>
  </si>
  <si>
    <t>Y11</t>
  </si>
  <si>
    <t>Y12</t>
  </si>
  <si>
    <t>Y13</t>
  </si>
  <si>
    <t>Y14</t>
  </si>
  <si>
    <t>Y15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</si>
</sst>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61"/>
      <scheme val="minor"/>
    </font>
    <font>
      <sz val="11"/>
      <color theme="1"/>
      <name val="Aptos Narrow"/>
      <family val="2"/>
      <charset val="161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charset val="161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5">
    <xf numFmtId="0" fontId="0" fillId="0" borderId="0" xfId="0"/>
    <xf numFmtId="0" fontId="2" fillId="0" borderId="0" xfId="0" applyFont="1"/>
    <xf numFmtId="0" fontId="2" fillId="3" borderId="1" xfId="0" applyFont="1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 applyAlignment="1">
      <alignment horizontal="right"/>
    </xf>
    <xf numFmtId="0" fontId="0" fillId="3" borderId="0" xfId="0" applyFill="1" applyAlignment="1">
      <alignment horizontal="right"/>
    </xf>
    <xf numFmtId="0" fontId="0" fillId="3" borderId="5" xfId="0" applyFill="1" applyBorder="1" applyAlignment="1">
      <alignment horizontal="right"/>
    </xf>
    <xf numFmtId="3" fontId="0" fillId="3" borderId="4" xfId="0" applyNumberFormat="1" applyFill="1" applyBorder="1" applyAlignment="1">
      <alignment horizontal="right"/>
    </xf>
    <xf numFmtId="3" fontId="0" fillId="3" borderId="0" xfId="0" applyNumberFormat="1" applyFill="1" applyAlignment="1">
      <alignment horizontal="right"/>
    </xf>
    <xf numFmtId="3" fontId="0" fillId="3" borderId="5" xfId="0" applyNumberFormat="1" applyFill="1" applyBorder="1" applyAlignment="1">
      <alignment horizontal="right"/>
    </xf>
    <xf numFmtId="3" fontId="0" fillId="3" borderId="6" xfId="0" applyNumberFormat="1" applyFill="1" applyBorder="1" applyAlignment="1">
      <alignment horizontal="right"/>
    </xf>
    <xf numFmtId="3" fontId="0" fillId="3" borderId="7" xfId="0" applyNumberFormat="1" applyFill="1" applyBorder="1" applyAlignment="1">
      <alignment horizontal="right"/>
    </xf>
    <xf numFmtId="3" fontId="0" fillId="3" borderId="8" xfId="0" applyNumberFormat="1" applyFill="1" applyBorder="1" applyAlignment="1">
      <alignment horizontal="right"/>
    </xf>
    <xf numFmtId="0" fontId="2" fillId="2" borderId="1" xfId="0" applyFont="1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5" xfId="0" applyFill="1" applyBorder="1" applyAlignment="1">
      <alignment horizontal="center"/>
    </xf>
    <xf numFmtId="9" fontId="0" fillId="2" borderId="4" xfId="1" applyFont="1" applyFill="1" applyBorder="1" applyAlignment="1">
      <alignment horizontal="center"/>
    </xf>
    <xf numFmtId="9" fontId="0" fillId="2" borderId="0" xfId="1" applyFont="1" applyFill="1" applyBorder="1" applyAlignment="1">
      <alignment horizontal="center"/>
    </xf>
    <xf numFmtId="9" fontId="0" fillId="2" borderId="5" xfId="1" applyFont="1" applyFill="1" applyBorder="1" applyAlignment="1">
      <alignment horizontal="center"/>
    </xf>
    <xf numFmtId="9" fontId="0" fillId="2" borderId="6" xfId="1" applyFont="1" applyFill="1" applyBorder="1" applyAlignment="1">
      <alignment horizontal="center"/>
    </xf>
    <xf numFmtId="9" fontId="0" fillId="2" borderId="7" xfId="1" applyFont="1" applyFill="1" applyBorder="1" applyAlignment="1">
      <alignment horizontal="center"/>
    </xf>
    <xf numFmtId="9" fontId="0" fillId="2" borderId="8" xfId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3" fontId="0" fillId="0" borderId="0" xfId="0" applyNumberFormat="1" applyAlignment="1">
      <alignment horizontal="center"/>
    </xf>
    <xf numFmtId="0" fontId="0" fillId="4" borderId="0" xfId="0" applyFill="1"/>
    <xf numFmtId="0" fontId="0" fillId="4" borderId="2" xfId="0" applyFill="1" applyBorder="1"/>
    <xf numFmtId="0" fontId="0" fillId="4" borderId="0" xfId="0" applyFill="1" applyAlignment="1">
      <alignment horizontal="center"/>
    </xf>
    <xf numFmtId="9" fontId="0" fillId="4" borderId="0" xfId="1" applyFont="1" applyFill="1" applyBorder="1" applyAlignment="1">
      <alignment horizontal="center"/>
    </xf>
    <xf numFmtId="9" fontId="0" fillId="4" borderId="7" xfId="1" applyFont="1" applyFill="1" applyBorder="1" applyAlignment="1">
      <alignment horizontal="center"/>
    </xf>
    <xf numFmtId="0" fontId="0" fillId="4" borderId="0" xfId="0" applyFill="1" applyAlignment="1">
      <alignment horizontal="right"/>
    </xf>
    <xf numFmtId="3" fontId="0" fillId="4" borderId="0" xfId="0" applyNumberFormat="1" applyFill="1" applyAlignment="1">
      <alignment horizontal="right"/>
    </xf>
    <xf numFmtId="3" fontId="0" fillId="4" borderId="7" xfId="0" applyNumberFormat="1" applyFill="1" applyBorder="1" applyAlignment="1">
      <alignment horizontal="right"/>
    </xf>
    <xf numFmtId="0" fontId="0" fillId="0" borderId="0" xfId="0" applyFill="1"/>
    <xf numFmtId="0" fontId="0" fillId="0" borderId="2" xfId="0" applyFill="1" applyBorder="1"/>
    <xf numFmtId="0" fontId="0" fillId="0" borderId="0" xfId="0" applyFill="1" applyAlignment="1">
      <alignment horizontal="center"/>
    </xf>
    <xf numFmtId="9" fontId="0" fillId="0" borderId="0" xfId="1" applyFont="1" applyFill="1" applyBorder="1" applyAlignment="1">
      <alignment horizontal="center"/>
    </xf>
    <xf numFmtId="9" fontId="0" fillId="0" borderId="7" xfId="1" applyFont="1" applyFill="1" applyBorder="1" applyAlignment="1">
      <alignment horizontal="center"/>
    </xf>
    <xf numFmtId="0" fontId="0" fillId="0" borderId="0" xfId="0" applyFill="1" applyAlignment="1">
      <alignment horizontal="right"/>
    </xf>
    <xf numFmtId="3" fontId="0" fillId="0" borderId="0" xfId="0" applyNumberFormat="1" applyFill="1" applyAlignment="1">
      <alignment horizontal="right"/>
    </xf>
    <xf numFmtId="3" fontId="0" fillId="0" borderId="7" xfId="0" applyNumberFormat="1" applyFill="1" applyBorder="1" applyAlignment="1">
      <alignment horizontal="righ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6B032-D4C8-4CC6-8530-B9ED47D23894}">
  <dimension ref="A1:S17"/>
  <sheetViews>
    <sheetView showGridLines="0" tabSelected="1" zoomScale="80" workbookViewId="0">
      <selection activeCell="I19" sqref="I19"/>
    </sheetView>
  </sheetViews>
  <sheetFormatPr defaultRowHeight="14.4" x14ac:dyDescent="0.3"/>
  <cols>
    <col min="3" max="3" width="8.88671875" style="26"/>
    <col min="4" max="4" width="11.44140625" style="26" bestFit="1" customWidth="1"/>
    <col min="13" max="13" width="8.88671875" style="37"/>
    <col min="14" max="14" width="8.88671875" style="29"/>
  </cols>
  <sheetData>
    <row r="1" spans="1:19" ht="15" thickBot="1" x14ac:dyDescent="0.35"/>
    <row r="2" spans="1:19" x14ac:dyDescent="0.3">
      <c r="B2" s="1" t="s">
        <v>0</v>
      </c>
      <c r="E2" s="14" t="s">
        <v>15</v>
      </c>
      <c r="F2" s="15"/>
      <c r="G2" s="15"/>
      <c r="H2" s="15"/>
      <c r="I2" s="15"/>
      <c r="J2" s="15"/>
      <c r="K2" s="15"/>
      <c r="L2" s="15"/>
      <c r="M2" s="38"/>
      <c r="N2" s="30"/>
      <c r="O2" s="15"/>
      <c r="P2" s="15"/>
      <c r="Q2" s="15"/>
      <c r="R2" s="15"/>
      <c r="S2" s="16"/>
    </row>
    <row r="3" spans="1:19" x14ac:dyDescent="0.3">
      <c r="B3" s="1" t="s">
        <v>1</v>
      </c>
      <c r="C3" s="27" t="s">
        <v>2</v>
      </c>
      <c r="D3" s="27" t="s">
        <v>16</v>
      </c>
      <c r="E3" s="17" t="s">
        <v>10</v>
      </c>
      <c r="F3" s="18" t="s">
        <v>11</v>
      </c>
      <c r="G3" s="18" t="s">
        <v>12</v>
      </c>
      <c r="H3" s="18" t="s">
        <v>13</v>
      </c>
      <c r="I3" s="18" t="s">
        <v>14</v>
      </c>
      <c r="J3" s="18" t="s">
        <v>18</v>
      </c>
      <c r="K3" s="18" t="s">
        <v>19</v>
      </c>
      <c r="L3" s="18" t="s">
        <v>20</v>
      </c>
      <c r="M3" s="39" t="s">
        <v>21</v>
      </c>
      <c r="N3" s="31" t="s">
        <v>22</v>
      </c>
      <c r="O3" s="18" t="s">
        <v>23</v>
      </c>
      <c r="P3" s="18" t="s">
        <v>24</v>
      </c>
      <c r="Q3" s="18" t="s">
        <v>25</v>
      </c>
      <c r="R3" s="18" t="s">
        <v>26</v>
      </c>
      <c r="S3" s="19" t="s">
        <v>27</v>
      </c>
    </row>
    <row r="4" spans="1:19" x14ac:dyDescent="0.3">
      <c r="A4">
        <v>1</v>
      </c>
      <c r="B4" t="s">
        <v>3</v>
      </c>
      <c r="C4" s="26" t="s">
        <v>4</v>
      </c>
      <c r="D4" s="28">
        <v>50000</v>
      </c>
      <c r="E4" s="20">
        <v>-0.12605898240075603</v>
      </c>
      <c r="F4" s="21">
        <v>-0.22367536523524706</v>
      </c>
      <c r="G4" s="21">
        <v>-0.31783260460193696</v>
      </c>
      <c r="H4" s="21">
        <v>-0.39762623903741739</v>
      </c>
      <c r="I4" s="21">
        <v>-0.46475770531835547</v>
      </c>
      <c r="J4" s="21">
        <v>-0.5209284402214186</v>
      </c>
      <c r="K4" s="21">
        <v>-0.56783988052327361</v>
      </c>
      <c r="L4" s="21">
        <v>-0.60719346300058785</v>
      </c>
      <c r="M4" s="40">
        <v>-0.64069062443002878</v>
      </c>
      <c r="N4" s="32">
        <v>-0.67003280158826306</v>
      </c>
      <c r="O4" s="21">
        <v>-0.69692143125195827</v>
      </c>
      <c r="P4" s="21">
        <v>-0.72305795019778163</v>
      </c>
      <c r="Q4" s="21">
        <v>-0.75014379520240004</v>
      </c>
      <c r="R4" s="21">
        <v>-0.77988040304248085</v>
      </c>
      <c r="S4" s="22">
        <v>-0.81396921049469129</v>
      </c>
    </row>
    <row r="5" spans="1:19" x14ac:dyDescent="0.3">
      <c r="A5">
        <v>2</v>
      </c>
      <c r="B5" t="s">
        <v>5</v>
      </c>
      <c r="C5" s="26">
        <v>316</v>
      </c>
      <c r="D5" s="28">
        <v>40000</v>
      </c>
      <c r="E5" s="20">
        <v>-0.11779973677232466</v>
      </c>
      <c r="F5" s="21">
        <v>-0.20816988085487276</v>
      </c>
      <c r="G5" s="21">
        <v>-0.29473339391010511</v>
      </c>
      <c r="H5" s="21">
        <v>-0.36771236988850609</v>
      </c>
      <c r="I5" s="21">
        <v>-0.42910887641779244</v>
      </c>
      <c r="J5" s="21">
        <v>-0.48092498112568133</v>
      </c>
      <c r="K5" s="21">
        <v>-0.52516275163988946</v>
      </c>
      <c r="L5" s="21">
        <v>-0.56382425558813365</v>
      </c>
      <c r="M5" s="40">
        <v>-0.59891156059813089</v>
      </c>
      <c r="N5" s="32">
        <v>-0.63242673429759799</v>
      </c>
      <c r="O5" s="21">
        <v>-0.666371844314252</v>
      </c>
      <c r="P5" s="21">
        <v>-0.70274895827580963</v>
      </c>
      <c r="Q5" s="21">
        <v>-0.74356014380998769</v>
      </c>
      <c r="R5" s="21">
        <v>-0.79080746854450323</v>
      </c>
      <c r="S5" s="22">
        <v>-0.84649300010707274</v>
      </c>
    </row>
    <row r="6" spans="1:19" x14ac:dyDescent="0.3">
      <c r="A6">
        <v>3</v>
      </c>
      <c r="B6" t="s">
        <v>6</v>
      </c>
      <c r="C6" s="26" t="s">
        <v>7</v>
      </c>
      <c r="D6" s="28">
        <v>18000</v>
      </c>
      <c r="E6" s="20">
        <v>-0.13579067114762192</v>
      </c>
      <c r="F6" s="21">
        <v>-0.2415457135914833</v>
      </c>
      <c r="G6" s="21">
        <v>-0.34394651841065782</v>
      </c>
      <c r="H6" s="21">
        <v>-0.430915978149018</v>
      </c>
      <c r="I6" s="21">
        <v>-0.5039560524651987</v>
      </c>
      <c r="J6" s="21">
        <v>-0.56456870101783452</v>
      </c>
      <c r="K6" s="21">
        <v>-0.61425588346556026</v>
      </c>
      <c r="L6" s="21">
        <v>-0.65451955946701079</v>
      </c>
      <c r="M6" s="40">
        <v>-0.68686168868082098</v>
      </c>
      <c r="N6" s="32">
        <v>-0.71278423076562514</v>
      </c>
      <c r="O6" s="21">
        <v>-0.73378914538005824</v>
      </c>
      <c r="P6" s="21">
        <v>-0.75137839218275537</v>
      </c>
      <c r="Q6" s="21">
        <v>-0.76705393083235118</v>
      </c>
      <c r="R6" s="21">
        <v>-0.78231772098747976</v>
      </c>
      <c r="S6" s="22">
        <v>-0.79867172230677652</v>
      </c>
    </row>
    <row r="7" spans="1:19" x14ac:dyDescent="0.3">
      <c r="A7">
        <v>4</v>
      </c>
      <c r="B7" t="s">
        <v>8</v>
      </c>
      <c r="C7" s="26">
        <v>500</v>
      </c>
      <c r="D7" s="28">
        <v>20000</v>
      </c>
      <c r="E7" s="20">
        <v>-0.13559932041987158</v>
      </c>
      <c r="F7" s="21">
        <v>-0.23122739694933742</v>
      </c>
      <c r="G7" s="21">
        <v>-0.314806613568826</v>
      </c>
      <c r="H7" s="21">
        <v>-0.37692938279394383</v>
      </c>
      <c r="I7" s="21">
        <v>-0.42174804918228437</v>
      </c>
      <c r="J7" s="21">
        <v>-0.45341495729144116</v>
      </c>
      <c r="K7" s="21">
        <v>-0.47608245167900776</v>
      </c>
      <c r="L7" s="21">
        <v>-0.49390287690257745</v>
      </c>
      <c r="M7" s="40">
        <v>-0.51102857751974384</v>
      </c>
      <c r="N7" s="32">
        <v>-0.53161189808810072</v>
      </c>
      <c r="O7" s="21">
        <v>-0.5598051831652413</v>
      </c>
      <c r="P7" s="21">
        <v>-0.59976077730875932</v>
      </c>
      <c r="Q7" s="21">
        <v>-0.65563102507624793</v>
      </c>
      <c r="R7" s="21">
        <v>-0.73156827102530164</v>
      </c>
      <c r="S7" s="22">
        <v>-0.83172485971351251</v>
      </c>
    </row>
    <row r="8" spans="1:19" ht="15" thickBot="1" x14ac:dyDescent="0.35">
      <c r="A8">
        <v>5</v>
      </c>
      <c r="B8" t="s">
        <v>9</v>
      </c>
      <c r="C8" s="26">
        <v>208</v>
      </c>
      <c r="D8" s="28">
        <v>16000</v>
      </c>
      <c r="E8" s="23">
        <v>-0.14878327269350047</v>
      </c>
      <c r="F8" s="24">
        <v>-0.25788619352996256</v>
      </c>
      <c r="G8" s="24">
        <v>-0.3573027443627762</v>
      </c>
      <c r="H8" s="24">
        <v>-0.43548027328307276</v>
      </c>
      <c r="I8" s="24">
        <v>-0.49574445565133335</v>
      </c>
      <c r="J8" s="24">
        <v>-0.54142096682803953</v>
      </c>
      <c r="K8" s="24">
        <v>-0.5758354821736722</v>
      </c>
      <c r="L8" s="24">
        <v>-0.60231367704871286</v>
      </c>
      <c r="M8" s="41">
        <v>-0.62418122681364263</v>
      </c>
      <c r="N8" s="33">
        <v>-0.64476380682894274</v>
      </c>
      <c r="O8" s="24">
        <v>-0.66738709245509475</v>
      </c>
      <c r="P8" s="24">
        <v>-0.69537675905257967</v>
      </c>
      <c r="Q8" s="24">
        <v>-0.73205848198187884</v>
      </c>
      <c r="R8" s="24">
        <v>-0.78075793660347337</v>
      </c>
      <c r="S8" s="25">
        <v>-0.84480079827784449</v>
      </c>
    </row>
    <row r="10" spans="1:19" ht="15" thickBot="1" x14ac:dyDescent="0.35"/>
    <row r="11" spans="1:19" x14ac:dyDescent="0.3">
      <c r="B11" s="1" t="s">
        <v>0</v>
      </c>
      <c r="E11" s="2" t="s">
        <v>17</v>
      </c>
      <c r="F11" s="3"/>
      <c r="G11" s="3"/>
      <c r="H11" s="3"/>
      <c r="I11" s="3"/>
      <c r="J11" s="3"/>
      <c r="K11" s="3"/>
      <c r="L11" s="3"/>
      <c r="M11" s="38"/>
      <c r="N11" s="30"/>
      <c r="O11" s="3"/>
      <c r="P11" s="3"/>
      <c r="Q11" s="3"/>
      <c r="R11" s="3"/>
      <c r="S11" s="4"/>
    </row>
    <row r="12" spans="1:19" x14ac:dyDescent="0.3">
      <c r="B12" s="1" t="s">
        <v>1</v>
      </c>
      <c r="C12" s="27" t="s">
        <v>2</v>
      </c>
      <c r="D12" s="27" t="s">
        <v>16</v>
      </c>
      <c r="E12" s="5" t="str">
        <f>+E3</f>
        <v>Y1</v>
      </c>
      <c r="F12" s="6" t="str">
        <f>+F3</f>
        <v>Y2</v>
      </c>
      <c r="G12" s="6" t="str">
        <f>+G3</f>
        <v>Y3</v>
      </c>
      <c r="H12" s="6" t="str">
        <f>+H3</f>
        <v>Y4</v>
      </c>
      <c r="I12" s="6" t="str">
        <f>+I3</f>
        <v>Y5</v>
      </c>
      <c r="J12" s="6" t="str">
        <f t="shared" ref="J12:S12" si="0">+J3</f>
        <v>Y6</v>
      </c>
      <c r="K12" s="6" t="str">
        <f t="shared" si="0"/>
        <v>Y7</v>
      </c>
      <c r="L12" s="6" t="str">
        <f t="shared" si="0"/>
        <v>Y8</v>
      </c>
      <c r="M12" s="42" t="str">
        <f t="shared" si="0"/>
        <v>Y9</v>
      </c>
      <c r="N12" s="34" t="str">
        <f t="shared" si="0"/>
        <v>Y10</v>
      </c>
      <c r="O12" s="6" t="str">
        <f t="shared" si="0"/>
        <v>Y11</v>
      </c>
      <c r="P12" s="6" t="str">
        <f t="shared" si="0"/>
        <v>Y12</v>
      </c>
      <c r="Q12" s="6" t="str">
        <f t="shared" si="0"/>
        <v>Y13</v>
      </c>
      <c r="R12" s="6" t="str">
        <f t="shared" si="0"/>
        <v>Y14</v>
      </c>
      <c r="S12" s="7" t="str">
        <f t="shared" si="0"/>
        <v>Y15</v>
      </c>
    </row>
    <row r="13" spans="1:19" x14ac:dyDescent="0.3">
      <c r="A13">
        <v>1</v>
      </c>
      <c r="B13" t="s">
        <v>3</v>
      </c>
      <c r="C13" s="26" t="s">
        <v>4</v>
      </c>
      <c r="D13" s="28">
        <v>50000</v>
      </c>
      <c r="E13" s="8">
        <f t="shared" ref="E13:I17" si="1">+$D4+($D4*E4)</f>
        <v>43697.050879962197</v>
      </c>
      <c r="F13" s="9">
        <f t="shared" si="1"/>
        <v>38816.23173823765</v>
      </c>
      <c r="G13" s="9">
        <f t="shared" si="1"/>
        <v>34108.369769903155</v>
      </c>
      <c r="H13" s="9">
        <f t="shared" si="1"/>
        <v>30118.68804812913</v>
      </c>
      <c r="I13" s="9">
        <f t="shared" si="1"/>
        <v>26762.114734082228</v>
      </c>
      <c r="J13" s="9">
        <f t="shared" ref="J13:S13" si="2">+$D4+($D4*J4)</f>
        <v>23953.577988929072</v>
      </c>
      <c r="K13" s="9">
        <f t="shared" si="2"/>
        <v>21608.00597383632</v>
      </c>
      <c r="L13" s="9">
        <f t="shared" si="2"/>
        <v>19640.326849970606</v>
      </c>
      <c r="M13" s="43">
        <f t="shared" si="2"/>
        <v>17965.468778498562</v>
      </c>
      <c r="N13" s="35">
        <f t="shared" si="2"/>
        <v>16498.359920586845</v>
      </c>
      <c r="O13" s="9">
        <f t="shared" si="2"/>
        <v>15153.928437402086</v>
      </c>
      <c r="P13" s="9">
        <f t="shared" si="2"/>
        <v>13847.102490110919</v>
      </c>
      <c r="Q13" s="9">
        <f t="shared" si="2"/>
        <v>12492.810239879997</v>
      </c>
      <c r="R13" s="9">
        <f t="shared" si="2"/>
        <v>11005.979847875955</v>
      </c>
      <c r="S13" s="10">
        <f t="shared" si="2"/>
        <v>9301.5394752654393</v>
      </c>
    </row>
    <row r="14" spans="1:19" x14ac:dyDescent="0.3">
      <c r="A14">
        <v>2</v>
      </c>
      <c r="B14" t="s">
        <v>5</v>
      </c>
      <c r="C14" s="26">
        <v>316</v>
      </c>
      <c r="D14" s="28">
        <v>40000</v>
      </c>
      <c r="E14" s="8">
        <f t="shared" si="1"/>
        <v>35288.010529107014</v>
      </c>
      <c r="F14" s="9">
        <f t="shared" si="1"/>
        <v>31673.204765805091</v>
      </c>
      <c r="G14" s="9">
        <f t="shared" si="1"/>
        <v>28210.664243595795</v>
      </c>
      <c r="H14" s="9">
        <f t="shared" si="1"/>
        <v>25291.505204459754</v>
      </c>
      <c r="I14" s="9">
        <f t="shared" si="1"/>
        <v>22835.644943288302</v>
      </c>
      <c r="J14" s="9">
        <f t="shared" ref="J14:S14" si="3">+$D5+($D5*J5)</f>
        <v>20763.000754972745</v>
      </c>
      <c r="K14" s="9">
        <f t="shared" si="3"/>
        <v>18993.489934404421</v>
      </c>
      <c r="L14" s="9">
        <f t="shared" si="3"/>
        <v>17447.029776474654</v>
      </c>
      <c r="M14" s="43">
        <f t="shared" si="3"/>
        <v>16043.537576074763</v>
      </c>
      <c r="N14" s="35">
        <f t="shared" si="3"/>
        <v>14702.930628096081</v>
      </c>
      <c r="O14" s="9">
        <f t="shared" si="3"/>
        <v>13345.126227429919</v>
      </c>
      <c r="P14" s="9">
        <f t="shared" si="3"/>
        <v>11890.041668967613</v>
      </c>
      <c r="Q14" s="9">
        <f t="shared" si="3"/>
        <v>10257.594247600493</v>
      </c>
      <c r="R14" s="9">
        <f t="shared" si="3"/>
        <v>8367.7012582198695</v>
      </c>
      <c r="S14" s="10">
        <f t="shared" si="3"/>
        <v>6140.2799957170937</v>
      </c>
    </row>
    <row r="15" spans="1:19" x14ac:dyDescent="0.3">
      <c r="A15">
        <v>3</v>
      </c>
      <c r="B15" t="s">
        <v>6</v>
      </c>
      <c r="C15" s="26" t="s">
        <v>7</v>
      </c>
      <c r="D15" s="28">
        <v>18000</v>
      </c>
      <c r="E15" s="8">
        <f t="shared" si="1"/>
        <v>15555.767919342805</v>
      </c>
      <c r="F15" s="9">
        <f t="shared" si="1"/>
        <v>13652.1771553533</v>
      </c>
      <c r="G15" s="9">
        <f t="shared" si="1"/>
        <v>11808.962668608159</v>
      </c>
      <c r="H15" s="9">
        <f t="shared" si="1"/>
        <v>10243.512393317676</v>
      </c>
      <c r="I15" s="9">
        <f t="shared" si="1"/>
        <v>8928.7910556264233</v>
      </c>
      <c r="J15" s="9">
        <f t="shared" ref="J15:S15" si="4">+$D6+($D6*J6)</f>
        <v>7837.7633816789785</v>
      </c>
      <c r="K15" s="9">
        <f t="shared" si="4"/>
        <v>6943.3940976199156</v>
      </c>
      <c r="L15" s="9">
        <f t="shared" si="4"/>
        <v>6218.6479295938061</v>
      </c>
      <c r="M15" s="43">
        <f t="shared" si="4"/>
        <v>5636.4896037452218</v>
      </c>
      <c r="N15" s="35">
        <f t="shared" si="4"/>
        <v>5169.8838462187468</v>
      </c>
      <c r="O15" s="9">
        <f t="shared" si="4"/>
        <v>4791.7953831589512</v>
      </c>
      <c r="P15" s="9">
        <f t="shared" si="4"/>
        <v>4475.1889407104027</v>
      </c>
      <c r="Q15" s="9">
        <f t="shared" si="4"/>
        <v>4193.0292450176785</v>
      </c>
      <c r="R15" s="9">
        <f t="shared" si="4"/>
        <v>3918.2810222253647</v>
      </c>
      <c r="S15" s="10">
        <f t="shared" si="4"/>
        <v>3623.9089984780221</v>
      </c>
    </row>
    <row r="16" spans="1:19" x14ac:dyDescent="0.3">
      <c r="A16">
        <v>4</v>
      </c>
      <c r="B16" t="s">
        <v>8</v>
      </c>
      <c r="C16" s="26">
        <v>500</v>
      </c>
      <c r="D16" s="28">
        <v>20000</v>
      </c>
      <c r="E16" s="8">
        <f t="shared" si="1"/>
        <v>17288.013591602568</v>
      </c>
      <c r="F16" s="9">
        <f t="shared" si="1"/>
        <v>15375.452061013251</v>
      </c>
      <c r="G16" s="9">
        <f t="shared" si="1"/>
        <v>13703.86772862348</v>
      </c>
      <c r="H16" s="9">
        <f t="shared" si="1"/>
        <v>12461.412344121123</v>
      </c>
      <c r="I16" s="9">
        <f t="shared" si="1"/>
        <v>11565.039016354312</v>
      </c>
      <c r="J16" s="9">
        <f t="shared" ref="J16:S16" si="5">+$D7+($D7*J7)</f>
        <v>10931.700854171177</v>
      </c>
      <c r="K16" s="9">
        <f t="shared" si="5"/>
        <v>10478.350966419845</v>
      </c>
      <c r="L16" s="9">
        <f t="shared" si="5"/>
        <v>10121.942461948451</v>
      </c>
      <c r="M16" s="43">
        <f t="shared" si="5"/>
        <v>9779.4284496051223</v>
      </c>
      <c r="N16" s="35">
        <f t="shared" si="5"/>
        <v>9367.7620382379864</v>
      </c>
      <c r="O16" s="9">
        <f t="shared" si="5"/>
        <v>8803.8963366951739</v>
      </c>
      <c r="P16" s="9">
        <f t="shared" si="5"/>
        <v>8004.7844538248137</v>
      </c>
      <c r="Q16" s="9">
        <f t="shared" si="5"/>
        <v>6887.3794984750421</v>
      </c>
      <c r="R16" s="9">
        <f t="shared" si="5"/>
        <v>5368.634579493968</v>
      </c>
      <c r="S16" s="10">
        <f t="shared" si="5"/>
        <v>3365.5028057297495</v>
      </c>
    </row>
    <row r="17" spans="1:19" ht="15" thickBot="1" x14ac:dyDescent="0.35">
      <c r="A17">
        <v>5</v>
      </c>
      <c r="B17" t="s">
        <v>9</v>
      </c>
      <c r="C17" s="26">
        <v>208</v>
      </c>
      <c r="D17" s="28">
        <v>16000</v>
      </c>
      <c r="E17" s="11">
        <f t="shared" si="1"/>
        <v>13619.467636903992</v>
      </c>
      <c r="F17" s="12">
        <f t="shared" si="1"/>
        <v>11873.820903520598</v>
      </c>
      <c r="G17" s="12">
        <f t="shared" si="1"/>
        <v>10283.156090195582</v>
      </c>
      <c r="H17" s="12">
        <f t="shared" si="1"/>
        <v>9032.3156274708363</v>
      </c>
      <c r="I17" s="12">
        <f t="shared" si="1"/>
        <v>8068.0887095786666</v>
      </c>
      <c r="J17" s="12">
        <f t="shared" ref="J17:S17" si="6">+$D8+($D8*J8)</f>
        <v>7337.2645307513667</v>
      </c>
      <c r="K17" s="12">
        <f t="shared" si="6"/>
        <v>6786.6322852212452</v>
      </c>
      <c r="L17" s="12">
        <f t="shared" si="6"/>
        <v>6362.9811672205942</v>
      </c>
      <c r="M17" s="44">
        <f t="shared" si="6"/>
        <v>6013.1003709817178</v>
      </c>
      <c r="N17" s="36">
        <f t="shared" si="6"/>
        <v>5683.7790907369163</v>
      </c>
      <c r="O17" s="12">
        <f t="shared" si="6"/>
        <v>5321.8065207184845</v>
      </c>
      <c r="P17" s="12">
        <f t="shared" si="6"/>
        <v>4873.9718551587248</v>
      </c>
      <c r="Q17" s="12">
        <f t="shared" si="6"/>
        <v>4287.0642882899392</v>
      </c>
      <c r="R17" s="12">
        <f t="shared" si="6"/>
        <v>3507.8730143444263</v>
      </c>
      <c r="S17" s="13">
        <f t="shared" si="6"/>
        <v>2483.1872275544883</v>
      </c>
    </row>
  </sheetData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ourceSystemTaxHTField xmlns="http://schemas.microsoft.com/sharepoint/v3">
      <Terms xmlns="http://schemas.microsoft.com/office/infopath/2007/PartnerControls">
        <TermInfo xmlns="http://schemas.microsoft.com/office/infopath/2007/PartnerControls">
          <TermName xmlns="http://schemas.microsoft.com/office/infopath/2007/PartnerControls">SPE</TermName>
          <TermId xmlns="http://schemas.microsoft.com/office/infopath/2007/PartnerControls">e1155322-03d8-4904-a51c-d7d7cbd8ca84</TermId>
        </TermInfo>
      </Terms>
    </SourceSystemTaxHTField>
    <DataSourceTaxHTField xmlns="http://schemas.microsoft.com/sharepoint/v3">
      <Terms xmlns="http://schemas.microsoft.com/office/infopath/2007/PartnerControls">
        <TermInfo xmlns="http://schemas.microsoft.com/office/infopath/2007/PartnerControls">
          <TermName xmlns="http://schemas.microsoft.com/office/infopath/2007/PartnerControls">Internal</TermName>
          <TermId xmlns="http://schemas.microsoft.com/office/infopath/2007/PartnerControls">0b10eabc-00d3-4553-8252-f6efa1cda259</TermId>
        </TermInfo>
      </Terms>
    </DataSourceTaxHTField>
    <TaxCatchAll xmlns="68e55bdf-09da-4615-ad05-ac088d173743">
      <Value>2</Value>
      <Value>1</Value>
    </TaxCatchAll>
    <lcf76f155ced4ddcb4097134ff3c332f xmlns="42e4a2d1-7a9a-46f4-96b1-e49f7be52138">
      <Terms xmlns="http://schemas.microsoft.com/office/infopath/2007/PartnerControls"/>
    </lcf76f155ced4ddcb4097134ff3c332f>
    <_dlc_DocId xmlns="68e55bdf-09da-4615-ad05-ac088d173743">HJESJR6M7V5E-708027023-562</_dlc_DocId>
    <_dlc_DocIdUrl xmlns="68e55bdf-09da-4615-ad05-ac088d173743">
      <Url>https://mckinsey.sharepoint.com/sites/spe-int-g3shlooow/_layouts/15/DocIdRedir.aspx?ID=HJESJR6M7V5E-708027023-562</Url>
      <Description>HJESJR6M7V5E-708027023-562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A8686E0F17B98438C91AA640C188FFD" ma:contentTypeVersion="13" ma:contentTypeDescription="Create a new document." ma:contentTypeScope="" ma:versionID="a00b06ad32e11f95d2cb64f0cbc4564b">
  <xsd:schema xmlns:xsd="http://www.w3.org/2001/XMLSchema" xmlns:xs="http://www.w3.org/2001/XMLSchema" xmlns:p="http://schemas.microsoft.com/office/2006/metadata/properties" xmlns:ns1="http://schemas.microsoft.com/sharepoint/v3" xmlns:ns2="68e55bdf-09da-4615-ad05-ac088d173743" xmlns:ns3="42e4a2d1-7a9a-46f4-96b1-e49f7be52138" targetNamespace="http://schemas.microsoft.com/office/2006/metadata/properties" ma:root="true" ma:fieldsID="6a26cbd4267670edac215513d8ab14d1" ns1:_="" ns2:_="" ns3:_="">
    <xsd:import namespace="http://schemas.microsoft.com/sharepoint/v3"/>
    <xsd:import namespace="68e55bdf-09da-4615-ad05-ac088d173743"/>
    <xsd:import namespace="42e4a2d1-7a9a-46f4-96b1-e49f7be52138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1:SourceSystemTaxHTField" minOccurs="0"/>
                <xsd:element ref="ns2:TaxCatchAll" minOccurs="0"/>
                <xsd:element ref="ns2:TaxCatchAllLabel" minOccurs="0"/>
                <xsd:element ref="ns1:DataSourceTaxHTFiel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SourceSystemTaxHTField" ma:index="11" nillable="true" ma:taxonomy="true" ma:internalName="SourceSystemTaxHTField" ma:taxonomyFieldName="SourceSystem" ma:displayName="SourceSystem" ma:default="1;#SPE|e1155322-03d8-4904-a51c-d7d7cbd8ca84" ma:fieldId="{68c22041-dfe3-4104-9745-475326d7dc19}" ma:sspId="c9369470-76d8-40bb-9f83-c9dbb6c0fac8" ma:termSetId="14dc3a28-f268-42f7-8f59-1ae69d4ade2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DataSourceTaxHTField" ma:index="15" nillable="true" ma:taxonomy="true" ma:internalName="DataSourceTaxHTField" ma:taxonomyFieldName="DataSource" ma:displayName="DataSource" ma:default="2;#Internal|0b10eabc-00d3-4553-8252-f6efa1cda259" ma:fieldId="{e59fb67a-8e6b-4297-9efb-d86ae4d35911}" ma:sspId="c9369470-76d8-40bb-9f83-c9dbb6c0fac8" ma:termSetId="36ddf51e-868c-4a6e-ae2e-8e285ecab479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e55bdf-09da-4615-ad05-ac088d173743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2" nillable="true" ma:displayName="Taxonomy Catch All Column" ma:hidden="true" ma:list="{6b8d952e-3416-4953-abfd-23de153d5f96}" ma:internalName="TaxCatchAll" ma:showField="CatchAllData" ma:web="68e55bdf-09da-4615-ad05-ac088d1737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3" nillable="true" ma:displayName="Taxonomy Catch All Column1" ma:hidden="true" ma:list="{6b8d952e-3416-4953-abfd-23de153d5f96}" ma:internalName="TaxCatchAllLabel" ma:readOnly="true" ma:showField="CatchAllDataLabel" ma:web="68e55bdf-09da-4615-ad05-ac088d1737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e4a2d1-7a9a-46f4-96b1-e49f7be521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7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18eb3a52-a9ad-454e-96a1-46bb4cd16a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70DD107-9B43-40D3-B52D-8CCA084B47AD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68e55bdf-09da-4615-ad05-ac088d173743"/>
    <ds:schemaRef ds:uri="42e4a2d1-7a9a-46f4-96b1-e49f7be52138"/>
  </ds:schemaRefs>
</ds:datastoreItem>
</file>

<file path=customXml/itemProps2.xml><?xml version="1.0" encoding="utf-8"?>
<ds:datastoreItem xmlns:ds="http://schemas.openxmlformats.org/officeDocument/2006/customXml" ds:itemID="{90160B00-3BD5-40DB-9453-009BFB2823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8e55bdf-09da-4615-ad05-ac088d173743"/>
    <ds:schemaRef ds:uri="42e4a2d1-7a9a-46f4-96b1-e49f7be5213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0705D2A-4ED0-44FF-A70A-E47C2A5685DA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FC734A78-B4A7-4DC6-A858-89DBDD934B0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RV and depreciation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Pouloupatis Vassileios</dc:creator>
  <cp:lastModifiedBy>Psematika Kyriaki</cp:lastModifiedBy>
  <dcterms:created xsi:type="dcterms:W3CDTF">2025-07-14T13:33:32Z</dcterms:created>
  <dcterms:modified xsi:type="dcterms:W3CDTF">2025-07-15T16:36:17Z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0x0101008A8686E0F17B98438C91AA640C188FFD</vt:lpwstr>
  </property>
  <property fmtid="{D5CDD505-2E9C-101B-9397-08002B2CF9AE}" pid="3" name="DataSource">
    <vt:i4>2</vt:i4>
  </property>
  <property fmtid="{D5CDD505-2E9C-101B-9397-08002B2CF9AE}" pid="4" name="_dlc_DocIdItemGuid">
    <vt:lpwstr>0c9fbea1-7ed6-4e38-8689-ea2aec238e4e</vt:lpwstr>
  </property>
  <property fmtid="{D5CDD505-2E9C-101B-9397-08002B2CF9AE}" pid="5" name="SourceSystem">
    <vt:i4>1</vt:i4>
  </property>
</Properties>
</file>