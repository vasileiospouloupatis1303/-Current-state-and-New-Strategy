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vpouloupatis\Desktop\"/>
    </mc:Choice>
  </mc:AlternateContent>
  <xr:revisionPtr revIDLastSave="0" documentId="13_ncr:1_{002BCC6B-D185-450C-99F4-1D7A4E84F909}" xr6:coauthVersionLast="47" xr6:coauthVersionMax="47" xr10:uidLastSave="{00000000-0000-0000-0000-000000000000}"/>
  <bookViews>
    <workbookView xWindow="-108" yWindow="-108" windowWidth="23256" windowHeight="12456" activeTab="3" xr2:uid="{6D35250C-2AF7-4DAC-A638-A44B803649BF}"/>
  </bookViews>
  <sheets>
    <sheet name="comments" sheetId="4" r:id="rId1"/>
    <sheet name="examples " sheetId="1" r:id="rId2"/>
    <sheet name="depr. rates" sheetId="2" r:id="rId3"/>
    <sheet name="repossession time plan" sheetId="3" r:id="rId4"/>
  </sheets>
  <definedNames>
    <definedName name="_xlnm._FilterDatabase" localSheetId="2" hidden="1">'depr. rates'!$S$3:$X$408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 i="3" l="1"/>
  <c r="H3" i="1"/>
  <c r="G3" i="1"/>
  <c r="F3" i="1"/>
  <c r="AA408" i="2"/>
  <c r="Z408" i="2"/>
  <c r="Y408" i="2"/>
  <c r="X408" i="2"/>
  <c r="W408" i="2"/>
  <c r="V408" i="2"/>
  <c r="U408" i="2"/>
  <c r="T408" i="2"/>
  <c r="AA407" i="2"/>
  <c r="Z407" i="2"/>
  <c r="Y407" i="2"/>
  <c r="X407" i="2"/>
  <c r="W407" i="2"/>
  <c r="V407" i="2"/>
  <c r="U407" i="2"/>
  <c r="T407" i="2"/>
  <c r="AA406" i="2"/>
  <c r="Z406" i="2"/>
  <c r="Y406" i="2"/>
  <c r="X406" i="2"/>
  <c r="W406" i="2"/>
  <c r="V406" i="2"/>
  <c r="U406" i="2"/>
  <c r="T406" i="2"/>
  <c r="AA405" i="2"/>
  <c r="Z405" i="2"/>
  <c r="Y405" i="2"/>
  <c r="X405" i="2"/>
  <c r="W405" i="2"/>
  <c r="V405" i="2"/>
  <c r="U405" i="2"/>
  <c r="T405" i="2"/>
  <c r="AA404" i="2"/>
  <c r="Z404" i="2"/>
  <c r="Y404" i="2"/>
  <c r="X404" i="2"/>
  <c r="W404" i="2"/>
  <c r="V404" i="2"/>
  <c r="U404" i="2"/>
  <c r="T404" i="2"/>
  <c r="AA403" i="2"/>
  <c r="Z403" i="2"/>
  <c r="Y403" i="2"/>
  <c r="X403" i="2"/>
  <c r="W403" i="2"/>
  <c r="V403" i="2"/>
  <c r="U403" i="2"/>
  <c r="T403" i="2"/>
  <c r="AA402" i="2"/>
  <c r="Z402" i="2"/>
  <c r="Y402" i="2"/>
  <c r="X402" i="2"/>
  <c r="W402" i="2"/>
  <c r="V402" i="2"/>
  <c r="U402" i="2"/>
  <c r="T402" i="2"/>
  <c r="AA401" i="2"/>
  <c r="Z401" i="2"/>
  <c r="Y401" i="2"/>
  <c r="X401" i="2"/>
  <c r="W401" i="2"/>
  <c r="V401" i="2"/>
  <c r="U401" i="2"/>
  <c r="T401" i="2"/>
  <c r="AA400" i="2"/>
  <c r="Z400" i="2"/>
  <c r="Y400" i="2"/>
  <c r="X400" i="2"/>
  <c r="W400" i="2"/>
  <c r="V400" i="2"/>
  <c r="U400" i="2"/>
  <c r="T400" i="2"/>
  <c r="AA399" i="2"/>
  <c r="Z399" i="2"/>
  <c r="Y399" i="2"/>
  <c r="X399" i="2"/>
  <c r="W399" i="2"/>
  <c r="V399" i="2"/>
  <c r="U399" i="2"/>
  <c r="T399" i="2"/>
  <c r="AA398" i="2"/>
  <c r="Z398" i="2"/>
  <c r="Y398" i="2"/>
  <c r="X398" i="2"/>
  <c r="W398" i="2"/>
  <c r="V398" i="2"/>
  <c r="U398" i="2"/>
  <c r="T398" i="2"/>
  <c r="AA397" i="2"/>
  <c r="Z397" i="2"/>
  <c r="Y397" i="2"/>
  <c r="X397" i="2"/>
  <c r="W397" i="2"/>
  <c r="V397" i="2"/>
  <c r="U397" i="2"/>
  <c r="T397" i="2"/>
  <c r="AA396" i="2"/>
  <c r="Z396" i="2"/>
  <c r="Y396" i="2"/>
  <c r="X396" i="2"/>
  <c r="W396" i="2"/>
  <c r="V396" i="2"/>
  <c r="U396" i="2"/>
  <c r="T396" i="2"/>
  <c r="AA395" i="2"/>
  <c r="Z395" i="2"/>
  <c r="Y395" i="2"/>
  <c r="X395" i="2"/>
  <c r="W395" i="2"/>
  <c r="V395" i="2"/>
  <c r="U395" i="2"/>
  <c r="T395" i="2"/>
  <c r="AA394" i="2"/>
  <c r="Z394" i="2"/>
  <c r="Y394" i="2"/>
  <c r="X394" i="2"/>
  <c r="W394" i="2"/>
  <c r="V394" i="2"/>
  <c r="U394" i="2"/>
  <c r="T394" i="2"/>
  <c r="AA393" i="2"/>
  <c r="Z393" i="2"/>
  <c r="Y393" i="2"/>
  <c r="X393" i="2"/>
  <c r="W393" i="2"/>
  <c r="V393" i="2"/>
  <c r="U393" i="2"/>
  <c r="T393" i="2"/>
  <c r="AA392" i="2"/>
  <c r="Z392" i="2"/>
  <c r="Y392" i="2"/>
  <c r="X392" i="2"/>
  <c r="W392" i="2"/>
  <c r="V392" i="2"/>
  <c r="U392" i="2"/>
  <c r="T392" i="2"/>
  <c r="AA391" i="2"/>
  <c r="Z391" i="2"/>
  <c r="Y391" i="2"/>
  <c r="X391" i="2"/>
  <c r="W391" i="2"/>
  <c r="V391" i="2"/>
  <c r="U391" i="2"/>
  <c r="T391" i="2"/>
  <c r="AA390" i="2"/>
  <c r="Z390" i="2"/>
  <c r="Y390" i="2"/>
  <c r="X390" i="2"/>
  <c r="W390" i="2"/>
  <c r="V390" i="2"/>
  <c r="U390" i="2"/>
  <c r="T390" i="2"/>
  <c r="AA389" i="2"/>
  <c r="Z389" i="2"/>
  <c r="Y389" i="2"/>
  <c r="X389" i="2"/>
  <c r="W389" i="2"/>
  <c r="V389" i="2"/>
  <c r="U389" i="2"/>
  <c r="T389" i="2"/>
  <c r="AA388" i="2"/>
  <c r="Z388" i="2"/>
  <c r="Y388" i="2"/>
  <c r="X388" i="2"/>
  <c r="W388" i="2"/>
  <c r="V388" i="2"/>
  <c r="U388" i="2"/>
  <c r="T388" i="2"/>
  <c r="AA387" i="2"/>
  <c r="Z387" i="2"/>
  <c r="Y387" i="2"/>
  <c r="X387" i="2"/>
  <c r="W387" i="2"/>
  <c r="V387" i="2"/>
  <c r="U387" i="2"/>
  <c r="T387" i="2"/>
  <c r="AA386" i="2"/>
  <c r="Z386" i="2"/>
  <c r="Y386" i="2"/>
  <c r="X386" i="2"/>
  <c r="W386" i="2"/>
  <c r="V386" i="2"/>
  <c r="U386" i="2"/>
  <c r="T386" i="2"/>
  <c r="AA385" i="2"/>
  <c r="Z385" i="2"/>
  <c r="Y385" i="2"/>
  <c r="X385" i="2"/>
  <c r="W385" i="2"/>
  <c r="V385" i="2"/>
  <c r="U385" i="2"/>
  <c r="T385" i="2"/>
  <c r="AA384" i="2"/>
  <c r="Z384" i="2"/>
  <c r="Y384" i="2"/>
  <c r="X384" i="2"/>
  <c r="W384" i="2"/>
  <c r="V384" i="2"/>
  <c r="U384" i="2"/>
  <c r="T384" i="2"/>
  <c r="AA383" i="2"/>
  <c r="Z383" i="2"/>
  <c r="Y383" i="2"/>
  <c r="X383" i="2"/>
  <c r="W383" i="2"/>
  <c r="V383" i="2"/>
  <c r="U383" i="2"/>
  <c r="T383" i="2"/>
  <c r="AA382" i="2"/>
  <c r="Z382" i="2"/>
  <c r="Y382" i="2"/>
  <c r="X382" i="2"/>
  <c r="W382" i="2"/>
  <c r="V382" i="2"/>
  <c r="U382" i="2"/>
  <c r="T382" i="2"/>
  <c r="AA381" i="2"/>
  <c r="Z381" i="2"/>
  <c r="Y381" i="2"/>
  <c r="X381" i="2"/>
  <c r="W381" i="2"/>
  <c r="V381" i="2"/>
  <c r="U381" i="2"/>
  <c r="T381" i="2"/>
  <c r="AA380" i="2"/>
  <c r="Z380" i="2"/>
  <c r="Y380" i="2"/>
  <c r="X380" i="2"/>
  <c r="W380" i="2"/>
  <c r="V380" i="2"/>
  <c r="U380" i="2"/>
  <c r="T380" i="2"/>
  <c r="AA379" i="2"/>
  <c r="Z379" i="2"/>
  <c r="Y379" i="2"/>
  <c r="X379" i="2"/>
  <c r="W379" i="2"/>
  <c r="V379" i="2"/>
  <c r="U379" i="2"/>
  <c r="T379" i="2"/>
  <c r="AA378" i="2"/>
  <c r="Z378" i="2"/>
  <c r="Y378" i="2"/>
  <c r="X378" i="2"/>
  <c r="W378" i="2"/>
  <c r="V378" i="2"/>
  <c r="U378" i="2"/>
  <c r="T378" i="2"/>
  <c r="AA377" i="2"/>
  <c r="Z377" i="2"/>
  <c r="Y377" i="2"/>
  <c r="X377" i="2"/>
  <c r="W377" i="2"/>
  <c r="V377" i="2"/>
  <c r="U377" i="2"/>
  <c r="T377" i="2"/>
  <c r="AA376" i="2"/>
  <c r="Z376" i="2"/>
  <c r="Y376" i="2"/>
  <c r="X376" i="2"/>
  <c r="W376" i="2"/>
  <c r="V376" i="2"/>
  <c r="U376" i="2"/>
  <c r="T376" i="2"/>
  <c r="AA375" i="2"/>
  <c r="Z375" i="2"/>
  <c r="Y375" i="2"/>
  <c r="X375" i="2"/>
  <c r="W375" i="2"/>
  <c r="V375" i="2"/>
  <c r="U375" i="2"/>
  <c r="T375" i="2"/>
  <c r="AA374" i="2"/>
  <c r="Z374" i="2"/>
  <c r="Y374" i="2"/>
  <c r="X374" i="2"/>
  <c r="W374" i="2"/>
  <c r="V374" i="2"/>
  <c r="U374" i="2"/>
  <c r="T374" i="2"/>
  <c r="AA373" i="2"/>
  <c r="Z373" i="2"/>
  <c r="Y373" i="2"/>
  <c r="X373" i="2"/>
  <c r="W373" i="2"/>
  <c r="V373" i="2"/>
  <c r="U373" i="2"/>
  <c r="T373" i="2"/>
  <c r="AA372" i="2"/>
  <c r="Z372" i="2"/>
  <c r="Y372" i="2"/>
  <c r="X372" i="2"/>
  <c r="W372" i="2"/>
  <c r="V372" i="2"/>
  <c r="U372" i="2"/>
  <c r="T372" i="2"/>
  <c r="AA371" i="2"/>
  <c r="Z371" i="2"/>
  <c r="Y371" i="2"/>
  <c r="X371" i="2"/>
  <c r="W371" i="2"/>
  <c r="V371" i="2"/>
  <c r="U371" i="2"/>
  <c r="T371" i="2"/>
  <c r="AA370" i="2"/>
  <c r="Z370" i="2"/>
  <c r="Y370" i="2"/>
  <c r="X370" i="2"/>
  <c r="W370" i="2"/>
  <c r="V370" i="2"/>
  <c r="U370" i="2"/>
  <c r="T370" i="2"/>
  <c r="AA369" i="2"/>
  <c r="Z369" i="2"/>
  <c r="Y369" i="2"/>
  <c r="X369" i="2"/>
  <c r="W369" i="2"/>
  <c r="V369" i="2"/>
  <c r="U369" i="2"/>
  <c r="T369" i="2"/>
  <c r="AA368" i="2"/>
  <c r="Z368" i="2"/>
  <c r="Y368" i="2"/>
  <c r="X368" i="2"/>
  <c r="W368" i="2"/>
  <c r="V368" i="2"/>
  <c r="U368" i="2"/>
  <c r="T368" i="2"/>
  <c r="AA367" i="2"/>
  <c r="Z367" i="2"/>
  <c r="Y367" i="2"/>
  <c r="X367" i="2"/>
  <c r="W367" i="2"/>
  <c r="V367" i="2"/>
  <c r="U367" i="2"/>
  <c r="T367" i="2"/>
  <c r="AA366" i="2"/>
  <c r="Z366" i="2"/>
  <c r="Y366" i="2"/>
  <c r="X366" i="2"/>
  <c r="W366" i="2"/>
  <c r="V366" i="2"/>
  <c r="U366" i="2"/>
  <c r="T366" i="2"/>
  <c r="AA365" i="2"/>
  <c r="Z365" i="2"/>
  <c r="Y365" i="2"/>
  <c r="X365" i="2"/>
  <c r="W365" i="2"/>
  <c r="V365" i="2"/>
  <c r="U365" i="2"/>
  <c r="T365" i="2"/>
  <c r="AA364" i="2"/>
  <c r="Z364" i="2"/>
  <c r="Y364" i="2"/>
  <c r="X364" i="2"/>
  <c r="W364" i="2"/>
  <c r="V364" i="2"/>
  <c r="U364" i="2"/>
  <c r="T364" i="2"/>
  <c r="AA363" i="2"/>
  <c r="Z363" i="2"/>
  <c r="Y363" i="2"/>
  <c r="X363" i="2"/>
  <c r="W363" i="2"/>
  <c r="V363" i="2"/>
  <c r="U363" i="2"/>
  <c r="T363" i="2"/>
  <c r="AA362" i="2"/>
  <c r="Z362" i="2"/>
  <c r="Y362" i="2"/>
  <c r="X362" i="2"/>
  <c r="W362" i="2"/>
  <c r="V362" i="2"/>
  <c r="U362" i="2"/>
  <c r="T362" i="2"/>
  <c r="AA361" i="2"/>
  <c r="Z361" i="2"/>
  <c r="Y361" i="2"/>
  <c r="X361" i="2"/>
  <c r="W361" i="2"/>
  <c r="V361" i="2"/>
  <c r="U361" i="2"/>
  <c r="T361" i="2"/>
  <c r="AA360" i="2"/>
  <c r="Z360" i="2"/>
  <c r="Y360" i="2"/>
  <c r="X360" i="2"/>
  <c r="W360" i="2"/>
  <c r="V360" i="2"/>
  <c r="U360" i="2"/>
  <c r="T360" i="2"/>
  <c r="AA359" i="2"/>
  <c r="Z359" i="2"/>
  <c r="Y359" i="2"/>
  <c r="X359" i="2"/>
  <c r="W359" i="2"/>
  <c r="V359" i="2"/>
  <c r="U359" i="2"/>
  <c r="T359" i="2"/>
  <c r="AA358" i="2"/>
  <c r="Z358" i="2"/>
  <c r="Y358" i="2"/>
  <c r="X358" i="2"/>
  <c r="W358" i="2"/>
  <c r="V358" i="2"/>
  <c r="U358" i="2"/>
  <c r="T358" i="2"/>
  <c r="AA357" i="2"/>
  <c r="Z357" i="2"/>
  <c r="Y357" i="2"/>
  <c r="X357" i="2"/>
  <c r="W357" i="2"/>
  <c r="V357" i="2"/>
  <c r="U357" i="2"/>
  <c r="T357" i="2"/>
  <c r="AA356" i="2"/>
  <c r="Z356" i="2"/>
  <c r="Y356" i="2"/>
  <c r="X356" i="2"/>
  <c r="W356" i="2"/>
  <c r="V356" i="2"/>
  <c r="U356" i="2"/>
  <c r="T356" i="2"/>
  <c r="AA355" i="2"/>
  <c r="Z355" i="2"/>
  <c r="Y355" i="2"/>
  <c r="X355" i="2"/>
  <c r="W355" i="2"/>
  <c r="V355" i="2"/>
  <c r="U355" i="2"/>
  <c r="T355" i="2"/>
  <c r="AA354" i="2"/>
  <c r="Z354" i="2"/>
  <c r="Y354" i="2"/>
  <c r="X354" i="2"/>
  <c r="W354" i="2"/>
  <c r="V354" i="2"/>
  <c r="U354" i="2"/>
  <c r="T354" i="2"/>
  <c r="AA353" i="2"/>
  <c r="Z353" i="2"/>
  <c r="Y353" i="2"/>
  <c r="X353" i="2"/>
  <c r="W353" i="2"/>
  <c r="V353" i="2"/>
  <c r="U353" i="2"/>
  <c r="T353" i="2"/>
  <c r="AA352" i="2"/>
  <c r="Z352" i="2"/>
  <c r="Y352" i="2"/>
  <c r="X352" i="2"/>
  <c r="W352" i="2"/>
  <c r="V352" i="2"/>
  <c r="U352" i="2"/>
  <c r="T352" i="2"/>
  <c r="AA351" i="2"/>
  <c r="Z351" i="2"/>
  <c r="Y351" i="2"/>
  <c r="X351" i="2"/>
  <c r="W351" i="2"/>
  <c r="V351" i="2"/>
  <c r="U351" i="2"/>
  <c r="T351" i="2"/>
  <c r="AA350" i="2"/>
  <c r="Z350" i="2"/>
  <c r="Y350" i="2"/>
  <c r="X350" i="2"/>
  <c r="W350" i="2"/>
  <c r="V350" i="2"/>
  <c r="U350" i="2"/>
  <c r="T350" i="2"/>
  <c r="AA349" i="2"/>
  <c r="Z349" i="2"/>
  <c r="Y349" i="2"/>
  <c r="X349" i="2"/>
  <c r="W349" i="2"/>
  <c r="V349" i="2"/>
  <c r="U349" i="2"/>
  <c r="T349" i="2"/>
  <c r="AA348" i="2"/>
  <c r="Z348" i="2"/>
  <c r="Y348" i="2"/>
  <c r="X348" i="2"/>
  <c r="W348" i="2"/>
  <c r="V348" i="2"/>
  <c r="U348" i="2"/>
  <c r="T348" i="2"/>
  <c r="AA347" i="2"/>
  <c r="Z347" i="2"/>
  <c r="Y347" i="2"/>
  <c r="X347" i="2"/>
  <c r="W347" i="2"/>
  <c r="V347" i="2"/>
  <c r="U347" i="2"/>
  <c r="T347" i="2"/>
  <c r="AA346" i="2"/>
  <c r="Z346" i="2"/>
  <c r="Y346" i="2"/>
  <c r="X346" i="2"/>
  <c r="W346" i="2"/>
  <c r="V346" i="2"/>
  <c r="U346" i="2"/>
  <c r="T346" i="2"/>
  <c r="AA345" i="2"/>
  <c r="Z345" i="2"/>
  <c r="Y345" i="2"/>
  <c r="X345" i="2"/>
  <c r="W345" i="2"/>
  <c r="V345" i="2"/>
  <c r="U345" i="2"/>
  <c r="T345" i="2"/>
  <c r="AA344" i="2"/>
  <c r="Z344" i="2"/>
  <c r="Y344" i="2"/>
  <c r="X344" i="2"/>
  <c r="W344" i="2"/>
  <c r="V344" i="2"/>
  <c r="U344" i="2"/>
  <c r="T344" i="2"/>
  <c r="AA343" i="2"/>
  <c r="Z343" i="2"/>
  <c r="Y343" i="2"/>
  <c r="X343" i="2"/>
  <c r="W343" i="2"/>
  <c r="V343" i="2"/>
  <c r="U343" i="2"/>
  <c r="T343" i="2"/>
  <c r="AA342" i="2"/>
  <c r="Z342" i="2"/>
  <c r="Y342" i="2"/>
  <c r="X342" i="2"/>
  <c r="W342" i="2"/>
  <c r="V342" i="2"/>
  <c r="U342" i="2"/>
  <c r="T342" i="2"/>
  <c r="AA341" i="2"/>
  <c r="Z341" i="2"/>
  <c r="Y341" i="2"/>
  <c r="X341" i="2"/>
  <c r="W341" i="2"/>
  <c r="V341" i="2"/>
  <c r="U341" i="2"/>
  <c r="T341" i="2"/>
  <c r="AA340" i="2"/>
  <c r="Z340" i="2"/>
  <c r="Y340" i="2"/>
  <c r="X340" i="2"/>
  <c r="W340" i="2"/>
  <c r="V340" i="2"/>
  <c r="U340" i="2"/>
  <c r="T340" i="2"/>
  <c r="AA339" i="2"/>
  <c r="Z339" i="2"/>
  <c r="Y339" i="2"/>
  <c r="X339" i="2"/>
  <c r="W339" i="2"/>
  <c r="V339" i="2"/>
  <c r="U339" i="2"/>
  <c r="T339" i="2"/>
  <c r="AA338" i="2"/>
  <c r="Z338" i="2"/>
  <c r="Y338" i="2"/>
  <c r="X338" i="2"/>
  <c r="W338" i="2"/>
  <c r="V338" i="2"/>
  <c r="U338" i="2"/>
  <c r="T338" i="2"/>
  <c r="AA337" i="2"/>
  <c r="Z337" i="2"/>
  <c r="Y337" i="2"/>
  <c r="X337" i="2"/>
  <c r="W337" i="2"/>
  <c r="V337" i="2"/>
  <c r="U337" i="2"/>
  <c r="T337" i="2"/>
  <c r="AA336" i="2"/>
  <c r="Z336" i="2"/>
  <c r="Y336" i="2"/>
  <c r="X336" i="2"/>
  <c r="W336" i="2"/>
  <c r="V336" i="2"/>
  <c r="U336" i="2"/>
  <c r="T336" i="2"/>
  <c r="AA335" i="2"/>
  <c r="Z335" i="2"/>
  <c r="Y335" i="2"/>
  <c r="X335" i="2"/>
  <c r="W335" i="2"/>
  <c r="V335" i="2"/>
  <c r="U335" i="2"/>
  <c r="T335" i="2"/>
  <c r="AA334" i="2"/>
  <c r="Z334" i="2"/>
  <c r="Y334" i="2"/>
  <c r="X334" i="2"/>
  <c r="W334" i="2"/>
  <c r="V334" i="2"/>
  <c r="U334" i="2"/>
  <c r="T334" i="2"/>
  <c r="AA333" i="2"/>
  <c r="Z333" i="2"/>
  <c r="Y333" i="2"/>
  <c r="X333" i="2"/>
  <c r="W333" i="2"/>
  <c r="V333" i="2"/>
  <c r="U333" i="2"/>
  <c r="T333" i="2"/>
  <c r="AA332" i="2"/>
  <c r="Z332" i="2"/>
  <c r="Y332" i="2"/>
  <c r="X332" i="2"/>
  <c r="W332" i="2"/>
  <c r="V332" i="2"/>
  <c r="U332" i="2"/>
  <c r="T332" i="2"/>
  <c r="AA331" i="2"/>
  <c r="Z331" i="2"/>
  <c r="Y331" i="2"/>
  <c r="X331" i="2"/>
  <c r="W331" i="2"/>
  <c r="V331" i="2"/>
  <c r="U331" i="2"/>
  <c r="T331" i="2"/>
  <c r="AA330" i="2"/>
  <c r="Z330" i="2"/>
  <c r="Y330" i="2"/>
  <c r="X330" i="2"/>
  <c r="W330" i="2"/>
  <c r="V330" i="2"/>
  <c r="U330" i="2"/>
  <c r="T330" i="2"/>
  <c r="AA329" i="2"/>
  <c r="Z329" i="2"/>
  <c r="Y329" i="2"/>
  <c r="X329" i="2"/>
  <c r="W329" i="2"/>
  <c r="V329" i="2"/>
  <c r="U329" i="2"/>
  <c r="T329" i="2"/>
  <c r="AA328" i="2"/>
  <c r="Z328" i="2"/>
  <c r="Y328" i="2"/>
  <c r="X328" i="2"/>
  <c r="W328" i="2"/>
  <c r="V328" i="2"/>
  <c r="U328" i="2"/>
  <c r="T328" i="2"/>
  <c r="AA327" i="2"/>
  <c r="Z327" i="2"/>
  <c r="Y327" i="2"/>
  <c r="X327" i="2"/>
  <c r="W327" i="2"/>
  <c r="V327" i="2"/>
  <c r="U327" i="2"/>
  <c r="T327" i="2"/>
  <c r="AA326" i="2"/>
  <c r="Z326" i="2"/>
  <c r="Y326" i="2"/>
  <c r="X326" i="2"/>
  <c r="W326" i="2"/>
  <c r="V326" i="2"/>
  <c r="U326" i="2"/>
  <c r="T326" i="2"/>
  <c r="AA325" i="2"/>
  <c r="Z325" i="2"/>
  <c r="Y325" i="2"/>
  <c r="X325" i="2"/>
  <c r="W325" i="2"/>
  <c r="V325" i="2"/>
  <c r="U325" i="2"/>
  <c r="T325" i="2"/>
  <c r="AA324" i="2"/>
  <c r="Z324" i="2"/>
  <c r="Y324" i="2"/>
  <c r="X324" i="2"/>
  <c r="W324" i="2"/>
  <c r="V324" i="2"/>
  <c r="U324" i="2"/>
  <c r="T324" i="2"/>
  <c r="AA323" i="2"/>
  <c r="Z323" i="2"/>
  <c r="Y323" i="2"/>
  <c r="X323" i="2"/>
  <c r="W323" i="2"/>
  <c r="V323" i="2"/>
  <c r="U323" i="2"/>
  <c r="T323" i="2"/>
  <c r="AA322" i="2"/>
  <c r="Z322" i="2"/>
  <c r="Y322" i="2"/>
  <c r="X322" i="2"/>
  <c r="W322" i="2"/>
  <c r="V322" i="2"/>
  <c r="U322" i="2"/>
  <c r="T322" i="2"/>
  <c r="AA321" i="2"/>
  <c r="Z321" i="2"/>
  <c r="Y321" i="2"/>
  <c r="X321" i="2"/>
  <c r="W321" i="2"/>
  <c r="V321" i="2"/>
  <c r="U321" i="2"/>
  <c r="T321" i="2"/>
  <c r="AA320" i="2"/>
  <c r="Z320" i="2"/>
  <c r="Y320" i="2"/>
  <c r="X320" i="2"/>
  <c r="W320" i="2"/>
  <c r="V320" i="2"/>
  <c r="U320" i="2"/>
  <c r="T320" i="2"/>
  <c r="AA319" i="2"/>
  <c r="Z319" i="2"/>
  <c r="Y319" i="2"/>
  <c r="X319" i="2"/>
  <c r="W319" i="2"/>
  <c r="V319" i="2"/>
  <c r="U319" i="2"/>
  <c r="T319" i="2"/>
  <c r="AA318" i="2"/>
  <c r="Z318" i="2"/>
  <c r="Y318" i="2"/>
  <c r="X318" i="2"/>
  <c r="W318" i="2"/>
  <c r="V318" i="2"/>
  <c r="U318" i="2"/>
  <c r="T318" i="2"/>
  <c r="AA317" i="2"/>
  <c r="Z317" i="2"/>
  <c r="Y317" i="2"/>
  <c r="X317" i="2"/>
  <c r="W317" i="2"/>
  <c r="V317" i="2"/>
  <c r="U317" i="2"/>
  <c r="T317" i="2"/>
  <c r="AA316" i="2"/>
  <c r="Z316" i="2"/>
  <c r="Y316" i="2"/>
  <c r="X316" i="2"/>
  <c r="W316" i="2"/>
  <c r="V316" i="2"/>
  <c r="U316" i="2"/>
  <c r="T316" i="2"/>
  <c r="AA315" i="2"/>
  <c r="Z315" i="2"/>
  <c r="Y315" i="2"/>
  <c r="X315" i="2"/>
  <c r="W315" i="2"/>
  <c r="V315" i="2"/>
  <c r="U315" i="2"/>
  <c r="T315" i="2"/>
  <c r="AA314" i="2"/>
  <c r="Z314" i="2"/>
  <c r="Y314" i="2"/>
  <c r="X314" i="2"/>
  <c r="W314" i="2"/>
  <c r="V314" i="2"/>
  <c r="U314" i="2"/>
  <c r="T314" i="2"/>
  <c r="AA313" i="2"/>
  <c r="Z313" i="2"/>
  <c r="Y313" i="2"/>
  <c r="X313" i="2"/>
  <c r="W313" i="2"/>
  <c r="V313" i="2"/>
  <c r="U313" i="2"/>
  <c r="T313" i="2"/>
  <c r="AA312" i="2"/>
  <c r="Z312" i="2"/>
  <c r="Y312" i="2"/>
  <c r="X312" i="2"/>
  <c r="W312" i="2"/>
  <c r="V312" i="2"/>
  <c r="U312" i="2"/>
  <c r="T312" i="2"/>
  <c r="AA311" i="2"/>
  <c r="Z311" i="2"/>
  <c r="Y311" i="2"/>
  <c r="X311" i="2"/>
  <c r="W311" i="2"/>
  <c r="V311" i="2"/>
  <c r="U311" i="2"/>
  <c r="T311" i="2"/>
  <c r="AA310" i="2"/>
  <c r="Z310" i="2"/>
  <c r="Y310" i="2"/>
  <c r="X310" i="2"/>
  <c r="W310" i="2"/>
  <c r="V310" i="2"/>
  <c r="U310" i="2"/>
  <c r="T310" i="2"/>
  <c r="AA309" i="2"/>
  <c r="Z309" i="2"/>
  <c r="Y309" i="2"/>
  <c r="X309" i="2"/>
  <c r="W309" i="2"/>
  <c r="V309" i="2"/>
  <c r="U309" i="2"/>
  <c r="T309" i="2"/>
  <c r="AA308" i="2"/>
  <c r="Z308" i="2"/>
  <c r="Y308" i="2"/>
  <c r="X308" i="2"/>
  <c r="W308" i="2"/>
  <c r="V308" i="2"/>
  <c r="U308" i="2"/>
  <c r="T308" i="2"/>
  <c r="AA307" i="2"/>
  <c r="Z307" i="2"/>
  <c r="Y307" i="2"/>
  <c r="X307" i="2"/>
  <c r="W307" i="2"/>
  <c r="V307" i="2"/>
  <c r="U307" i="2"/>
  <c r="T307" i="2"/>
  <c r="AA306" i="2"/>
  <c r="Z306" i="2"/>
  <c r="Y306" i="2"/>
  <c r="X306" i="2"/>
  <c r="W306" i="2"/>
  <c r="V306" i="2"/>
  <c r="U306" i="2"/>
  <c r="T306" i="2"/>
  <c r="AA305" i="2"/>
  <c r="Z305" i="2"/>
  <c r="Y305" i="2"/>
  <c r="X305" i="2"/>
  <c r="W305" i="2"/>
  <c r="V305" i="2"/>
  <c r="U305" i="2"/>
  <c r="T305" i="2"/>
  <c r="AA304" i="2"/>
  <c r="Z304" i="2"/>
  <c r="Y304" i="2"/>
  <c r="X304" i="2"/>
  <c r="W304" i="2"/>
  <c r="V304" i="2"/>
  <c r="U304" i="2"/>
  <c r="T304" i="2"/>
  <c r="AA303" i="2"/>
  <c r="Z303" i="2"/>
  <c r="Y303" i="2"/>
  <c r="X303" i="2"/>
  <c r="W303" i="2"/>
  <c r="V303" i="2"/>
  <c r="U303" i="2"/>
  <c r="T303" i="2"/>
  <c r="AA302" i="2"/>
  <c r="Z302" i="2"/>
  <c r="Y302" i="2"/>
  <c r="X302" i="2"/>
  <c r="W302" i="2"/>
  <c r="V302" i="2"/>
  <c r="U302" i="2"/>
  <c r="T302" i="2"/>
  <c r="AA301" i="2"/>
  <c r="Z301" i="2"/>
  <c r="Y301" i="2"/>
  <c r="X301" i="2"/>
  <c r="W301" i="2"/>
  <c r="V301" i="2"/>
  <c r="U301" i="2"/>
  <c r="T301" i="2"/>
  <c r="AA300" i="2"/>
  <c r="Z300" i="2"/>
  <c r="Y300" i="2"/>
  <c r="X300" i="2"/>
  <c r="W300" i="2"/>
  <c r="V300" i="2"/>
  <c r="U300" i="2"/>
  <c r="T300" i="2"/>
  <c r="AA299" i="2"/>
  <c r="Z299" i="2"/>
  <c r="Y299" i="2"/>
  <c r="X299" i="2"/>
  <c r="W299" i="2"/>
  <c r="V299" i="2"/>
  <c r="U299" i="2"/>
  <c r="T299" i="2"/>
  <c r="AA298" i="2"/>
  <c r="Z298" i="2"/>
  <c r="Y298" i="2"/>
  <c r="X298" i="2"/>
  <c r="W298" i="2"/>
  <c r="V298" i="2"/>
  <c r="U298" i="2"/>
  <c r="T298" i="2"/>
  <c r="AA297" i="2"/>
  <c r="Z297" i="2"/>
  <c r="Y297" i="2"/>
  <c r="X297" i="2"/>
  <c r="W297" i="2"/>
  <c r="V297" i="2"/>
  <c r="U297" i="2"/>
  <c r="T297" i="2"/>
  <c r="AA296" i="2"/>
  <c r="Z296" i="2"/>
  <c r="Y296" i="2"/>
  <c r="X296" i="2"/>
  <c r="W296" i="2"/>
  <c r="V296" i="2"/>
  <c r="U296" i="2"/>
  <c r="T296" i="2"/>
  <c r="AA295" i="2"/>
  <c r="Z295" i="2"/>
  <c r="Y295" i="2"/>
  <c r="X295" i="2"/>
  <c r="W295" i="2"/>
  <c r="V295" i="2"/>
  <c r="U295" i="2"/>
  <c r="T295" i="2"/>
  <c r="AA294" i="2"/>
  <c r="Z294" i="2"/>
  <c r="Y294" i="2"/>
  <c r="X294" i="2"/>
  <c r="W294" i="2"/>
  <c r="V294" i="2"/>
  <c r="U294" i="2"/>
  <c r="T294" i="2"/>
  <c r="AA293" i="2"/>
  <c r="Z293" i="2"/>
  <c r="Y293" i="2"/>
  <c r="X293" i="2"/>
  <c r="W293" i="2"/>
  <c r="V293" i="2"/>
  <c r="U293" i="2"/>
  <c r="T293" i="2"/>
  <c r="AA292" i="2"/>
  <c r="Z292" i="2"/>
  <c r="Y292" i="2"/>
  <c r="X292" i="2"/>
  <c r="W292" i="2"/>
  <c r="V292" i="2"/>
  <c r="U292" i="2"/>
  <c r="T292" i="2"/>
  <c r="AA291" i="2"/>
  <c r="Z291" i="2"/>
  <c r="Y291" i="2"/>
  <c r="X291" i="2"/>
  <c r="W291" i="2"/>
  <c r="V291" i="2"/>
  <c r="U291" i="2"/>
  <c r="T291" i="2"/>
  <c r="AA290" i="2"/>
  <c r="Z290" i="2"/>
  <c r="Y290" i="2"/>
  <c r="X290" i="2"/>
  <c r="W290" i="2"/>
  <c r="V290" i="2"/>
  <c r="U290" i="2"/>
  <c r="T290" i="2"/>
  <c r="AA289" i="2"/>
  <c r="Z289" i="2"/>
  <c r="Y289" i="2"/>
  <c r="X289" i="2"/>
  <c r="W289" i="2"/>
  <c r="V289" i="2"/>
  <c r="U289" i="2"/>
  <c r="T289" i="2"/>
  <c r="AA288" i="2"/>
  <c r="Z288" i="2"/>
  <c r="Y288" i="2"/>
  <c r="X288" i="2"/>
  <c r="W288" i="2"/>
  <c r="V288" i="2"/>
  <c r="U288" i="2"/>
  <c r="T288" i="2"/>
  <c r="AA287" i="2"/>
  <c r="Z287" i="2"/>
  <c r="Y287" i="2"/>
  <c r="X287" i="2"/>
  <c r="W287" i="2"/>
  <c r="V287" i="2"/>
  <c r="U287" i="2"/>
  <c r="T287" i="2"/>
  <c r="AA286" i="2"/>
  <c r="Z286" i="2"/>
  <c r="Y286" i="2"/>
  <c r="X286" i="2"/>
  <c r="W286" i="2"/>
  <c r="V286" i="2"/>
  <c r="U286" i="2"/>
  <c r="T286" i="2"/>
  <c r="AA285" i="2"/>
  <c r="Z285" i="2"/>
  <c r="Y285" i="2"/>
  <c r="X285" i="2"/>
  <c r="W285" i="2"/>
  <c r="V285" i="2"/>
  <c r="U285" i="2"/>
  <c r="T285" i="2"/>
  <c r="AA284" i="2"/>
  <c r="Z284" i="2"/>
  <c r="Y284" i="2"/>
  <c r="X284" i="2"/>
  <c r="W284" i="2"/>
  <c r="V284" i="2"/>
  <c r="U284" i="2"/>
  <c r="T284" i="2"/>
  <c r="AA283" i="2"/>
  <c r="Z283" i="2"/>
  <c r="Y283" i="2"/>
  <c r="X283" i="2"/>
  <c r="W283" i="2"/>
  <c r="V283" i="2"/>
  <c r="U283" i="2"/>
  <c r="T283" i="2"/>
  <c r="AA282" i="2"/>
  <c r="Z282" i="2"/>
  <c r="Y282" i="2"/>
  <c r="X282" i="2"/>
  <c r="W282" i="2"/>
  <c r="V282" i="2"/>
  <c r="U282" i="2"/>
  <c r="T282" i="2"/>
  <c r="AA281" i="2"/>
  <c r="Z281" i="2"/>
  <c r="Y281" i="2"/>
  <c r="X281" i="2"/>
  <c r="W281" i="2"/>
  <c r="V281" i="2"/>
  <c r="U281" i="2"/>
  <c r="T281" i="2"/>
  <c r="AA280" i="2"/>
  <c r="Z280" i="2"/>
  <c r="Y280" i="2"/>
  <c r="X280" i="2"/>
  <c r="W280" i="2"/>
  <c r="V280" i="2"/>
  <c r="U280" i="2"/>
  <c r="T280" i="2"/>
  <c r="AA279" i="2"/>
  <c r="Z279" i="2"/>
  <c r="Y279" i="2"/>
  <c r="X279" i="2"/>
  <c r="W279" i="2"/>
  <c r="V279" i="2"/>
  <c r="U279" i="2"/>
  <c r="T279" i="2"/>
  <c r="AA278" i="2"/>
  <c r="Z278" i="2"/>
  <c r="Y278" i="2"/>
  <c r="X278" i="2"/>
  <c r="W278" i="2"/>
  <c r="V278" i="2"/>
  <c r="U278" i="2"/>
  <c r="T278" i="2"/>
  <c r="AA277" i="2"/>
  <c r="Z277" i="2"/>
  <c r="Y277" i="2"/>
  <c r="X277" i="2"/>
  <c r="W277" i="2"/>
  <c r="V277" i="2"/>
  <c r="U277" i="2"/>
  <c r="T277" i="2"/>
  <c r="AA276" i="2"/>
  <c r="Z276" i="2"/>
  <c r="Y276" i="2"/>
  <c r="X276" i="2"/>
  <c r="W276" i="2"/>
  <c r="V276" i="2"/>
  <c r="U276" i="2"/>
  <c r="T276" i="2"/>
  <c r="AA275" i="2"/>
  <c r="Z275" i="2"/>
  <c r="Y275" i="2"/>
  <c r="X275" i="2"/>
  <c r="W275" i="2"/>
  <c r="V275" i="2"/>
  <c r="U275" i="2"/>
  <c r="T275" i="2"/>
  <c r="AA274" i="2"/>
  <c r="Z274" i="2"/>
  <c r="Y274" i="2"/>
  <c r="X274" i="2"/>
  <c r="W274" i="2"/>
  <c r="V274" i="2"/>
  <c r="U274" i="2"/>
  <c r="T274" i="2"/>
  <c r="AA273" i="2"/>
  <c r="Z273" i="2"/>
  <c r="Y273" i="2"/>
  <c r="X273" i="2"/>
  <c r="W273" i="2"/>
  <c r="V273" i="2"/>
  <c r="U273" i="2"/>
  <c r="T273" i="2"/>
  <c r="AA272" i="2"/>
  <c r="Z272" i="2"/>
  <c r="Y272" i="2"/>
  <c r="X272" i="2"/>
  <c r="W272" i="2"/>
  <c r="V272" i="2"/>
  <c r="U272" i="2"/>
  <c r="T272" i="2"/>
  <c r="AA271" i="2"/>
  <c r="Z271" i="2"/>
  <c r="Y271" i="2"/>
  <c r="X271" i="2"/>
  <c r="W271" i="2"/>
  <c r="V271" i="2"/>
  <c r="U271" i="2"/>
  <c r="T271" i="2"/>
  <c r="AA270" i="2"/>
  <c r="Z270" i="2"/>
  <c r="Y270" i="2"/>
  <c r="X270" i="2"/>
  <c r="W270" i="2"/>
  <c r="V270" i="2"/>
  <c r="U270" i="2"/>
  <c r="T270" i="2"/>
  <c r="AA269" i="2"/>
  <c r="Z269" i="2"/>
  <c r="Y269" i="2"/>
  <c r="X269" i="2"/>
  <c r="W269" i="2"/>
  <c r="V269" i="2"/>
  <c r="U269" i="2"/>
  <c r="T269" i="2"/>
  <c r="AA268" i="2"/>
  <c r="Z268" i="2"/>
  <c r="Y268" i="2"/>
  <c r="X268" i="2"/>
  <c r="W268" i="2"/>
  <c r="V268" i="2"/>
  <c r="U268" i="2"/>
  <c r="T268" i="2"/>
  <c r="AA267" i="2"/>
  <c r="Z267" i="2"/>
  <c r="Y267" i="2"/>
  <c r="X267" i="2"/>
  <c r="W267" i="2"/>
  <c r="V267" i="2"/>
  <c r="U267" i="2"/>
  <c r="T267" i="2"/>
  <c r="AA266" i="2"/>
  <c r="Z266" i="2"/>
  <c r="Y266" i="2"/>
  <c r="X266" i="2"/>
  <c r="W266" i="2"/>
  <c r="V266" i="2"/>
  <c r="U266" i="2"/>
  <c r="T266" i="2"/>
  <c r="AA265" i="2"/>
  <c r="Z265" i="2"/>
  <c r="Y265" i="2"/>
  <c r="X265" i="2"/>
  <c r="W265" i="2"/>
  <c r="V265" i="2"/>
  <c r="U265" i="2"/>
  <c r="T265" i="2"/>
  <c r="AA264" i="2"/>
  <c r="Z264" i="2"/>
  <c r="Y264" i="2"/>
  <c r="X264" i="2"/>
  <c r="W264" i="2"/>
  <c r="V264" i="2"/>
  <c r="U264" i="2"/>
  <c r="T264" i="2"/>
  <c r="AA263" i="2"/>
  <c r="Z263" i="2"/>
  <c r="Y263" i="2"/>
  <c r="X263" i="2"/>
  <c r="W263" i="2"/>
  <c r="V263" i="2"/>
  <c r="U263" i="2"/>
  <c r="T263" i="2"/>
  <c r="AA262" i="2"/>
  <c r="Z262" i="2"/>
  <c r="Y262" i="2"/>
  <c r="X262" i="2"/>
  <c r="W262" i="2"/>
  <c r="V262" i="2"/>
  <c r="U262" i="2"/>
  <c r="T262" i="2"/>
  <c r="AA261" i="2"/>
  <c r="Z261" i="2"/>
  <c r="Y261" i="2"/>
  <c r="X261" i="2"/>
  <c r="W261" i="2"/>
  <c r="V261" i="2"/>
  <c r="U261" i="2"/>
  <c r="T261" i="2"/>
  <c r="AA260" i="2"/>
  <c r="Z260" i="2"/>
  <c r="Y260" i="2"/>
  <c r="X260" i="2"/>
  <c r="W260" i="2"/>
  <c r="V260" i="2"/>
  <c r="U260" i="2"/>
  <c r="T260" i="2"/>
  <c r="AA259" i="2"/>
  <c r="Z259" i="2"/>
  <c r="Y259" i="2"/>
  <c r="X259" i="2"/>
  <c r="W259" i="2"/>
  <c r="V259" i="2"/>
  <c r="U259" i="2"/>
  <c r="T259" i="2"/>
  <c r="AA258" i="2"/>
  <c r="Z258" i="2"/>
  <c r="Y258" i="2"/>
  <c r="X258" i="2"/>
  <c r="W258" i="2"/>
  <c r="V258" i="2"/>
  <c r="U258" i="2"/>
  <c r="T258" i="2"/>
  <c r="AA257" i="2"/>
  <c r="Z257" i="2"/>
  <c r="Y257" i="2"/>
  <c r="X257" i="2"/>
  <c r="W257" i="2"/>
  <c r="V257" i="2"/>
  <c r="U257" i="2"/>
  <c r="T257" i="2"/>
  <c r="AA256" i="2"/>
  <c r="Z256" i="2"/>
  <c r="Y256" i="2"/>
  <c r="X256" i="2"/>
  <c r="W256" i="2"/>
  <c r="V256" i="2"/>
  <c r="U256" i="2"/>
  <c r="T256" i="2"/>
  <c r="AA255" i="2"/>
  <c r="Z255" i="2"/>
  <c r="Y255" i="2"/>
  <c r="X255" i="2"/>
  <c r="W255" i="2"/>
  <c r="V255" i="2"/>
  <c r="U255" i="2"/>
  <c r="T255" i="2"/>
  <c r="AA254" i="2"/>
  <c r="Z254" i="2"/>
  <c r="Y254" i="2"/>
  <c r="X254" i="2"/>
  <c r="W254" i="2"/>
  <c r="V254" i="2"/>
  <c r="U254" i="2"/>
  <c r="T254" i="2"/>
  <c r="AA253" i="2"/>
  <c r="Z253" i="2"/>
  <c r="Y253" i="2"/>
  <c r="X253" i="2"/>
  <c r="W253" i="2"/>
  <c r="V253" i="2"/>
  <c r="U253" i="2"/>
  <c r="T253" i="2"/>
  <c r="AA252" i="2"/>
  <c r="Z252" i="2"/>
  <c r="Y252" i="2"/>
  <c r="X252" i="2"/>
  <c r="W252" i="2"/>
  <c r="V252" i="2"/>
  <c r="U252" i="2"/>
  <c r="T252" i="2"/>
  <c r="AA251" i="2"/>
  <c r="Z251" i="2"/>
  <c r="Y251" i="2"/>
  <c r="X251" i="2"/>
  <c r="W251" i="2"/>
  <c r="V251" i="2"/>
  <c r="U251" i="2"/>
  <c r="T251" i="2"/>
  <c r="AA250" i="2"/>
  <c r="Z250" i="2"/>
  <c r="Y250" i="2"/>
  <c r="X250" i="2"/>
  <c r="W250" i="2"/>
  <c r="V250" i="2"/>
  <c r="U250" i="2"/>
  <c r="T250" i="2"/>
  <c r="AA249" i="2"/>
  <c r="Z249" i="2"/>
  <c r="Y249" i="2"/>
  <c r="X249" i="2"/>
  <c r="W249" i="2"/>
  <c r="V249" i="2"/>
  <c r="U249" i="2"/>
  <c r="T249" i="2"/>
  <c r="AA248" i="2"/>
  <c r="Z248" i="2"/>
  <c r="Y248" i="2"/>
  <c r="X248" i="2"/>
  <c r="W248" i="2"/>
  <c r="V248" i="2"/>
  <c r="U248" i="2"/>
  <c r="T248" i="2"/>
  <c r="AA247" i="2"/>
  <c r="Z247" i="2"/>
  <c r="Y247" i="2"/>
  <c r="X247" i="2"/>
  <c r="W247" i="2"/>
  <c r="V247" i="2"/>
  <c r="U247" i="2"/>
  <c r="T247" i="2"/>
  <c r="AA246" i="2"/>
  <c r="Z246" i="2"/>
  <c r="Y246" i="2"/>
  <c r="X246" i="2"/>
  <c r="W246" i="2"/>
  <c r="V246" i="2"/>
  <c r="U246" i="2"/>
  <c r="T246" i="2"/>
  <c r="AA245" i="2"/>
  <c r="Z245" i="2"/>
  <c r="Y245" i="2"/>
  <c r="X245" i="2"/>
  <c r="W245" i="2"/>
  <c r="V245" i="2"/>
  <c r="U245" i="2"/>
  <c r="T245" i="2"/>
  <c r="AA244" i="2"/>
  <c r="Z244" i="2"/>
  <c r="Y244" i="2"/>
  <c r="X244" i="2"/>
  <c r="W244" i="2"/>
  <c r="V244" i="2"/>
  <c r="U244" i="2"/>
  <c r="T244" i="2"/>
  <c r="AA243" i="2"/>
  <c r="Z243" i="2"/>
  <c r="Y243" i="2"/>
  <c r="X243" i="2"/>
  <c r="W243" i="2"/>
  <c r="V243" i="2"/>
  <c r="U243" i="2"/>
  <c r="T243" i="2"/>
  <c r="AA242" i="2"/>
  <c r="Z242" i="2"/>
  <c r="Y242" i="2"/>
  <c r="X242" i="2"/>
  <c r="W242" i="2"/>
  <c r="V242" i="2"/>
  <c r="U242" i="2"/>
  <c r="T242" i="2"/>
  <c r="AA241" i="2"/>
  <c r="Z241" i="2"/>
  <c r="Y241" i="2"/>
  <c r="X241" i="2"/>
  <c r="W241" i="2"/>
  <c r="V241" i="2"/>
  <c r="U241" i="2"/>
  <c r="T241" i="2"/>
  <c r="AA240" i="2"/>
  <c r="Z240" i="2"/>
  <c r="Y240" i="2"/>
  <c r="X240" i="2"/>
  <c r="W240" i="2"/>
  <c r="V240" i="2"/>
  <c r="U240" i="2"/>
  <c r="T240" i="2"/>
  <c r="AA239" i="2"/>
  <c r="Z239" i="2"/>
  <c r="Y239" i="2"/>
  <c r="X239" i="2"/>
  <c r="W239" i="2"/>
  <c r="V239" i="2"/>
  <c r="U239" i="2"/>
  <c r="T239" i="2"/>
  <c r="AA238" i="2"/>
  <c r="Z238" i="2"/>
  <c r="Y238" i="2"/>
  <c r="X238" i="2"/>
  <c r="W238" i="2"/>
  <c r="V238" i="2"/>
  <c r="U238" i="2"/>
  <c r="T238" i="2"/>
  <c r="AA237" i="2"/>
  <c r="Z237" i="2"/>
  <c r="Y237" i="2"/>
  <c r="X237" i="2"/>
  <c r="W237" i="2"/>
  <c r="V237" i="2"/>
  <c r="U237" i="2"/>
  <c r="T237" i="2"/>
  <c r="AA236" i="2"/>
  <c r="Z236" i="2"/>
  <c r="Y236" i="2"/>
  <c r="X236" i="2"/>
  <c r="W236" i="2"/>
  <c r="V236" i="2"/>
  <c r="U236" i="2"/>
  <c r="T236" i="2"/>
  <c r="AA235" i="2"/>
  <c r="Z235" i="2"/>
  <c r="Y235" i="2"/>
  <c r="X235" i="2"/>
  <c r="W235" i="2"/>
  <c r="V235" i="2"/>
  <c r="U235" i="2"/>
  <c r="T235" i="2"/>
  <c r="AA234" i="2"/>
  <c r="Z234" i="2"/>
  <c r="Y234" i="2"/>
  <c r="X234" i="2"/>
  <c r="W234" i="2"/>
  <c r="V234" i="2"/>
  <c r="U234" i="2"/>
  <c r="T234" i="2"/>
  <c r="AA233" i="2"/>
  <c r="Z233" i="2"/>
  <c r="Y233" i="2"/>
  <c r="X233" i="2"/>
  <c r="W233" i="2"/>
  <c r="V233" i="2"/>
  <c r="U233" i="2"/>
  <c r="T233" i="2"/>
  <c r="AA232" i="2"/>
  <c r="Z232" i="2"/>
  <c r="Y232" i="2"/>
  <c r="X232" i="2"/>
  <c r="W232" i="2"/>
  <c r="V232" i="2"/>
  <c r="U232" i="2"/>
  <c r="T232" i="2"/>
  <c r="AA231" i="2"/>
  <c r="Z231" i="2"/>
  <c r="Y231" i="2"/>
  <c r="X231" i="2"/>
  <c r="W231" i="2"/>
  <c r="V231" i="2"/>
  <c r="U231" i="2"/>
  <c r="T231" i="2"/>
  <c r="AA230" i="2"/>
  <c r="Z230" i="2"/>
  <c r="Y230" i="2"/>
  <c r="X230" i="2"/>
  <c r="W230" i="2"/>
  <c r="V230" i="2"/>
  <c r="U230" i="2"/>
  <c r="T230" i="2"/>
  <c r="AA229" i="2"/>
  <c r="Z229" i="2"/>
  <c r="Y229" i="2"/>
  <c r="X229" i="2"/>
  <c r="W229" i="2"/>
  <c r="V229" i="2"/>
  <c r="U229" i="2"/>
  <c r="T229" i="2"/>
  <c r="AA228" i="2"/>
  <c r="Z228" i="2"/>
  <c r="Y228" i="2"/>
  <c r="X228" i="2"/>
  <c r="W228" i="2"/>
  <c r="V228" i="2"/>
  <c r="U228" i="2"/>
  <c r="T228" i="2"/>
  <c r="AA227" i="2"/>
  <c r="Z227" i="2"/>
  <c r="Y227" i="2"/>
  <c r="X227" i="2"/>
  <c r="W227" i="2"/>
  <c r="V227" i="2"/>
  <c r="U227" i="2"/>
  <c r="T227" i="2"/>
  <c r="AA226" i="2"/>
  <c r="Z226" i="2"/>
  <c r="Y226" i="2"/>
  <c r="X226" i="2"/>
  <c r="W226" i="2"/>
  <c r="V226" i="2"/>
  <c r="U226" i="2"/>
  <c r="T226" i="2"/>
  <c r="AA225" i="2"/>
  <c r="Z225" i="2"/>
  <c r="Y225" i="2"/>
  <c r="X225" i="2"/>
  <c r="W225" i="2"/>
  <c r="V225" i="2"/>
  <c r="U225" i="2"/>
  <c r="T225" i="2"/>
  <c r="AA224" i="2"/>
  <c r="Z224" i="2"/>
  <c r="Y224" i="2"/>
  <c r="X224" i="2"/>
  <c r="W224" i="2"/>
  <c r="V224" i="2"/>
  <c r="U224" i="2"/>
  <c r="T224" i="2"/>
  <c r="AA223" i="2"/>
  <c r="Z223" i="2"/>
  <c r="Y223" i="2"/>
  <c r="X223" i="2"/>
  <c r="W223" i="2"/>
  <c r="V223" i="2"/>
  <c r="U223" i="2"/>
  <c r="T223" i="2"/>
  <c r="AA222" i="2"/>
  <c r="Z222" i="2"/>
  <c r="Y222" i="2"/>
  <c r="X222" i="2"/>
  <c r="W222" i="2"/>
  <c r="V222" i="2"/>
  <c r="U222" i="2"/>
  <c r="T222" i="2"/>
  <c r="AA221" i="2"/>
  <c r="Z221" i="2"/>
  <c r="Y221" i="2"/>
  <c r="X221" i="2"/>
  <c r="W221" i="2"/>
  <c r="V221" i="2"/>
  <c r="U221" i="2"/>
  <c r="T221" i="2"/>
  <c r="AA220" i="2"/>
  <c r="Z220" i="2"/>
  <c r="Y220" i="2"/>
  <c r="X220" i="2"/>
  <c r="W220" i="2"/>
  <c r="V220" i="2"/>
  <c r="U220" i="2"/>
  <c r="T220" i="2"/>
  <c r="AA219" i="2"/>
  <c r="Z219" i="2"/>
  <c r="Y219" i="2"/>
  <c r="X219" i="2"/>
  <c r="W219" i="2"/>
  <c r="V219" i="2"/>
  <c r="U219" i="2"/>
  <c r="T219" i="2"/>
  <c r="AA218" i="2"/>
  <c r="Z218" i="2"/>
  <c r="Y218" i="2"/>
  <c r="X218" i="2"/>
  <c r="W218" i="2"/>
  <c r="V218" i="2"/>
  <c r="U218" i="2"/>
  <c r="T218" i="2"/>
  <c r="AA217" i="2"/>
  <c r="Z217" i="2"/>
  <c r="Y217" i="2"/>
  <c r="X217" i="2"/>
  <c r="W217" i="2"/>
  <c r="V217" i="2"/>
  <c r="U217" i="2"/>
  <c r="T217" i="2"/>
  <c r="AA216" i="2"/>
  <c r="Z216" i="2"/>
  <c r="Y216" i="2"/>
  <c r="X216" i="2"/>
  <c r="W216" i="2"/>
  <c r="V216" i="2"/>
  <c r="U216" i="2"/>
  <c r="T216" i="2"/>
  <c r="AA215" i="2"/>
  <c r="Z215" i="2"/>
  <c r="Y215" i="2"/>
  <c r="X215" i="2"/>
  <c r="W215" i="2"/>
  <c r="V215" i="2"/>
  <c r="U215" i="2"/>
  <c r="T215" i="2"/>
  <c r="AA214" i="2"/>
  <c r="Z214" i="2"/>
  <c r="Y214" i="2"/>
  <c r="X214" i="2"/>
  <c r="W214" i="2"/>
  <c r="V214" i="2"/>
  <c r="U214" i="2"/>
  <c r="T214" i="2"/>
  <c r="AA213" i="2"/>
  <c r="Z213" i="2"/>
  <c r="Y213" i="2"/>
  <c r="X213" i="2"/>
  <c r="W213" i="2"/>
  <c r="V213" i="2"/>
  <c r="U213" i="2"/>
  <c r="T213" i="2"/>
  <c r="AA212" i="2"/>
  <c r="Z212" i="2"/>
  <c r="Y212" i="2"/>
  <c r="X212" i="2"/>
  <c r="W212" i="2"/>
  <c r="V212" i="2"/>
  <c r="U212" i="2"/>
  <c r="T212" i="2"/>
  <c r="AA211" i="2"/>
  <c r="Z211" i="2"/>
  <c r="Y211" i="2"/>
  <c r="X211" i="2"/>
  <c r="W211" i="2"/>
  <c r="V211" i="2"/>
  <c r="U211" i="2"/>
  <c r="T211" i="2"/>
  <c r="AA210" i="2"/>
  <c r="Z210" i="2"/>
  <c r="Y210" i="2"/>
  <c r="X210" i="2"/>
  <c r="W210" i="2"/>
  <c r="V210" i="2"/>
  <c r="U210" i="2"/>
  <c r="T210" i="2"/>
  <c r="AA209" i="2"/>
  <c r="Z209" i="2"/>
  <c r="Y209" i="2"/>
  <c r="X209" i="2"/>
  <c r="W209" i="2"/>
  <c r="V209" i="2"/>
  <c r="U209" i="2"/>
  <c r="T209" i="2"/>
  <c r="AA208" i="2"/>
  <c r="Z208" i="2"/>
  <c r="Y208" i="2"/>
  <c r="X208" i="2"/>
  <c r="W208" i="2"/>
  <c r="V208" i="2"/>
  <c r="U208" i="2"/>
  <c r="T208" i="2"/>
  <c r="AA207" i="2"/>
  <c r="Z207" i="2"/>
  <c r="Y207" i="2"/>
  <c r="X207" i="2"/>
  <c r="W207" i="2"/>
  <c r="V207" i="2"/>
  <c r="U207" i="2"/>
  <c r="T207" i="2"/>
  <c r="AA206" i="2"/>
  <c r="Z206" i="2"/>
  <c r="Y206" i="2"/>
  <c r="X206" i="2"/>
  <c r="W206" i="2"/>
  <c r="V206" i="2"/>
  <c r="U206" i="2"/>
  <c r="T206" i="2"/>
  <c r="AA205" i="2"/>
  <c r="Z205" i="2"/>
  <c r="Y205" i="2"/>
  <c r="X205" i="2"/>
  <c r="W205" i="2"/>
  <c r="V205" i="2"/>
  <c r="U205" i="2"/>
  <c r="T205" i="2"/>
  <c r="AA204" i="2"/>
  <c r="Z204" i="2"/>
  <c r="Y204" i="2"/>
  <c r="X204" i="2"/>
  <c r="W204" i="2"/>
  <c r="V204" i="2"/>
  <c r="U204" i="2"/>
  <c r="T204" i="2"/>
  <c r="AA203" i="2"/>
  <c r="Z203" i="2"/>
  <c r="Y203" i="2"/>
  <c r="X203" i="2"/>
  <c r="W203" i="2"/>
  <c r="V203" i="2"/>
  <c r="U203" i="2"/>
  <c r="T203" i="2"/>
  <c r="AA202" i="2"/>
  <c r="Z202" i="2"/>
  <c r="Y202" i="2"/>
  <c r="X202" i="2"/>
  <c r="W202" i="2"/>
  <c r="V202" i="2"/>
  <c r="U202" i="2"/>
  <c r="T202" i="2"/>
  <c r="AA201" i="2"/>
  <c r="Z201" i="2"/>
  <c r="Y201" i="2"/>
  <c r="X201" i="2"/>
  <c r="W201" i="2"/>
  <c r="V201" i="2"/>
  <c r="U201" i="2"/>
  <c r="T201" i="2"/>
  <c r="AA200" i="2"/>
  <c r="Z200" i="2"/>
  <c r="Y200" i="2"/>
  <c r="X200" i="2"/>
  <c r="W200" i="2"/>
  <c r="V200" i="2"/>
  <c r="U200" i="2"/>
  <c r="T200" i="2"/>
  <c r="AA199" i="2"/>
  <c r="Z199" i="2"/>
  <c r="Y199" i="2"/>
  <c r="X199" i="2"/>
  <c r="W199" i="2"/>
  <c r="V199" i="2"/>
  <c r="U199" i="2"/>
  <c r="T199" i="2"/>
  <c r="AA198" i="2"/>
  <c r="Z198" i="2"/>
  <c r="Y198" i="2"/>
  <c r="X198" i="2"/>
  <c r="W198" i="2"/>
  <c r="V198" i="2"/>
  <c r="U198" i="2"/>
  <c r="T198" i="2"/>
  <c r="AA197" i="2"/>
  <c r="Z197" i="2"/>
  <c r="Y197" i="2"/>
  <c r="X197" i="2"/>
  <c r="W197" i="2"/>
  <c r="V197" i="2"/>
  <c r="U197" i="2"/>
  <c r="T197" i="2"/>
  <c r="AA196" i="2"/>
  <c r="Z196" i="2"/>
  <c r="Y196" i="2"/>
  <c r="X196" i="2"/>
  <c r="W196" i="2"/>
  <c r="V196" i="2"/>
  <c r="U196" i="2"/>
  <c r="T196" i="2"/>
  <c r="AA195" i="2"/>
  <c r="Z195" i="2"/>
  <c r="Y195" i="2"/>
  <c r="X195" i="2"/>
  <c r="W195" i="2"/>
  <c r="V195" i="2"/>
  <c r="U195" i="2"/>
  <c r="T195" i="2"/>
  <c r="AA194" i="2"/>
  <c r="Z194" i="2"/>
  <c r="Y194" i="2"/>
  <c r="X194" i="2"/>
  <c r="W194" i="2"/>
  <c r="V194" i="2"/>
  <c r="U194" i="2"/>
  <c r="T194" i="2"/>
  <c r="AA193" i="2"/>
  <c r="Z193" i="2"/>
  <c r="Y193" i="2"/>
  <c r="X193" i="2"/>
  <c r="W193" i="2"/>
  <c r="V193" i="2"/>
  <c r="U193" i="2"/>
  <c r="T193" i="2"/>
  <c r="AA192" i="2"/>
  <c r="Z192" i="2"/>
  <c r="Y192" i="2"/>
  <c r="X192" i="2"/>
  <c r="W192" i="2"/>
  <c r="V192" i="2"/>
  <c r="U192" i="2"/>
  <c r="T192" i="2"/>
  <c r="AA191" i="2"/>
  <c r="Z191" i="2"/>
  <c r="Y191" i="2"/>
  <c r="X191" i="2"/>
  <c r="W191" i="2"/>
  <c r="V191" i="2"/>
  <c r="U191" i="2"/>
  <c r="T191" i="2"/>
  <c r="AA190" i="2"/>
  <c r="Z190" i="2"/>
  <c r="Y190" i="2"/>
  <c r="X190" i="2"/>
  <c r="W190" i="2"/>
  <c r="V190" i="2"/>
  <c r="U190" i="2"/>
  <c r="T190" i="2"/>
  <c r="AA189" i="2"/>
  <c r="Z189" i="2"/>
  <c r="Y189" i="2"/>
  <c r="X189" i="2"/>
  <c r="W189" i="2"/>
  <c r="V189" i="2"/>
  <c r="U189" i="2"/>
  <c r="T189" i="2"/>
  <c r="AA188" i="2"/>
  <c r="Z188" i="2"/>
  <c r="Y188" i="2"/>
  <c r="X188" i="2"/>
  <c r="W188" i="2"/>
  <c r="V188" i="2"/>
  <c r="U188" i="2"/>
  <c r="T188" i="2"/>
  <c r="AA187" i="2"/>
  <c r="Z187" i="2"/>
  <c r="Y187" i="2"/>
  <c r="X187" i="2"/>
  <c r="W187" i="2"/>
  <c r="V187" i="2"/>
  <c r="U187" i="2"/>
  <c r="T187" i="2"/>
  <c r="AA186" i="2"/>
  <c r="Z186" i="2"/>
  <c r="Y186" i="2"/>
  <c r="X186" i="2"/>
  <c r="W186" i="2"/>
  <c r="V186" i="2"/>
  <c r="U186" i="2"/>
  <c r="T186" i="2"/>
  <c r="AA185" i="2"/>
  <c r="Z185" i="2"/>
  <c r="Y185" i="2"/>
  <c r="X185" i="2"/>
  <c r="W185" i="2"/>
  <c r="V185" i="2"/>
  <c r="U185" i="2"/>
  <c r="T185" i="2"/>
  <c r="AA184" i="2"/>
  <c r="Z184" i="2"/>
  <c r="Y184" i="2"/>
  <c r="X184" i="2"/>
  <c r="W184" i="2"/>
  <c r="V184" i="2"/>
  <c r="U184" i="2"/>
  <c r="T184" i="2"/>
  <c r="AA183" i="2"/>
  <c r="Z183" i="2"/>
  <c r="Y183" i="2"/>
  <c r="X183" i="2"/>
  <c r="W183" i="2"/>
  <c r="V183" i="2"/>
  <c r="U183" i="2"/>
  <c r="T183" i="2"/>
  <c r="AA182" i="2"/>
  <c r="Z182" i="2"/>
  <c r="Y182" i="2"/>
  <c r="X182" i="2"/>
  <c r="W182" i="2"/>
  <c r="V182" i="2"/>
  <c r="U182" i="2"/>
  <c r="T182" i="2"/>
  <c r="AA181" i="2"/>
  <c r="Z181" i="2"/>
  <c r="Y181" i="2"/>
  <c r="X181" i="2"/>
  <c r="W181" i="2"/>
  <c r="V181" i="2"/>
  <c r="U181" i="2"/>
  <c r="T181" i="2"/>
  <c r="AA180" i="2"/>
  <c r="Z180" i="2"/>
  <c r="Y180" i="2"/>
  <c r="X180" i="2"/>
  <c r="W180" i="2"/>
  <c r="V180" i="2"/>
  <c r="U180" i="2"/>
  <c r="T180" i="2"/>
  <c r="AA179" i="2"/>
  <c r="Z179" i="2"/>
  <c r="Y179" i="2"/>
  <c r="X179" i="2"/>
  <c r="W179" i="2"/>
  <c r="V179" i="2"/>
  <c r="U179" i="2"/>
  <c r="T179" i="2"/>
  <c r="AA178" i="2"/>
  <c r="Z178" i="2"/>
  <c r="Y178" i="2"/>
  <c r="X178" i="2"/>
  <c r="W178" i="2"/>
  <c r="V178" i="2"/>
  <c r="U178" i="2"/>
  <c r="T178" i="2"/>
  <c r="AA177" i="2"/>
  <c r="Z177" i="2"/>
  <c r="Y177" i="2"/>
  <c r="X177" i="2"/>
  <c r="W177" i="2"/>
  <c r="V177" i="2"/>
  <c r="U177" i="2"/>
  <c r="T177" i="2"/>
  <c r="AA176" i="2"/>
  <c r="Z176" i="2"/>
  <c r="Y176" i="2"/>
  <c r="X176" i="2"/>
  <c r="W176" i="2"/>
  <c r="V176" i="2"/>
  <c r="U176" i="2"/>
  <c r="T176" i="2"/>
  <c r="AA175" i="2"/>
  <c r="Z175" i="2"/>
  <c r="Y175" i="2"/>
  <c r="X175" i="2"/>
  <c r="W175" i="2"/>
  <c r="V175" i="2"/>
  <c r="U175" i="2"/>
  <c r="T175" i="2"/>
  <c r="AA174" i="2"/>
  <c r="Z174" i="2"/>
  <c r="Y174" i="2"/>
  <c r="X174" i="2"/>
  <c r="W174" i="2"/>
  <c r="V174" i="2"/>
  <c r="U174" i="2"/>
  <c r="T174" i="2"/>
  <c r="AA173" i="2"/>
  <c r="Z173" i="2"/>
  <c r="Y173" i="2"/>
  <c r="X173" i="2"/>
  <c r="W173" i="2"/>
  <c r="V173" i="2"/>
  <c r="U173" i="2"/>
  <c r="T173" i="2"/>
  <c r="AA172" i="2"/>
  <c r="Z172" i="2"/>
  <c r="Y172" i="2"/>
  <c r="X172" i="2"/>
  <c r="W172" i="2"/>
  <c r="V172" i="2"/>
  <c r="U172" i="2"/>
  <c r="T172" i="2"/>
  <c r="AA171" i="2"/>
  <c r="Z171" i="2"/>
  <c r="Y171" i="2"/>
  <c r="X171" i="2"/>
  <c r="W171" i="2"/>
  <c r="V171" i="2"/>
  <c r="U171" i="2"/>
  <c r="T171" i="2"/>
  <c r="AA170" i="2"/>
  <c r="Z170" i="2"/>
  <c r="Y170" i="2"/>
  <c r="X170" i="2"/>
  <c r="W170" i="2"/>
  <c r="V170" i="2"/>
  <c r="U170" i="2"/>
  <c r="T170" i="2"/>
  <c r="AA169" i="2"/>
  <c r="Z169" i="2"/>
  <c r="Y169" i="2"/>
  <c r="X169" i="2"/>
  <c r="W169" i="2"/>
  <c r="V169" i="2"/>
  <c r="U169" i="2"/>
  <c r="T169" i="2"/>
  <c r="AA168" i="2"/>
  <c r="Z168" i="2"/>
  <c r="Y168" i="2"/>
  <c r="X168" i="2"/>
  <c r="W168" i="2"/>
  <c r="V168" i="2"/>
  <c r="U168" i="2"/>
  <c r="T168" i="2"/>
  <c r="AA167" i="2"/>
  <c r="Z167" i="2"/>
  <c r="Y167" i="2"/>
  <c r="X167" i="2"/>
  <c r="W167" i="2"/>
  <c r="V167" i="2"/>
  <c r="U167" i="2"/>
  <c r="T167" i="2"/>
  <c r="AA166" i="2"/>
  <c r="Z166" i="2"/>
  <c r="Y166" i="2"/>
  <c r="X166" i="2"/>
  <c r="W166" i="2"/>
  <c r="V166" i="2"/>
  <c r="U166" i="2"/>
  <c r="T166" i="2"/>
  <c r="AA165" i="2"/>
  <c r="Z165" i="2"/>
  <c r="Y165" i="2"/>
  <c r="X165" i="2"/>
  <c r="W165" i="2"/>
  <c r="V165" i="2"/>
  <c r="U165" i="2"/>
  <c r="T165" i="2"/>
  <c r="AA164" i="2"/>
  <c r="Z164" i="2"/>
  <c r="Y164" i="2"/>
  <c r="X164" i="2"/>
  <c r="W164" i="2"/>
  <c r="V164" i="2"/>
  <c r="U164" i="2"/>
  <c r="T164" i="2"/>
  <c r="AA163" i="2"/>
  <c r="Z163" i="2"/>
  <c r="Y163" i="2"/>
  <c r="X163" i="2"/>
  <c r="W163" i="2"/>
  <c r="V163" i="2"/>
  <c r="U163" i="2"/>
  <c r="T163" i="2"/>
  <c r="AA162" i="2"/>
  <c r="Z162" i="2"/>
  <c r="Y162" i="2"/>
  <c r="X162" i="2"/>
  <c r="W162" i="2"/>
  <c r="V162" i="2"/>
  <c r="U162" i="2"/>
  <c r="T162" i="2"/>
  <c r="AA161" i="2"/>
  <c r="Z161" i="2"/>
  <c r="Y161" i="2"/>
  <c r="X161" i="2"/>
  <c r="W161" i="2"/>
  <c r="V161" i="2"/>
  <c r="U161" i="2"/>
  <c r="T161" i="2"/>
  <c r="AA160" i="2"/>
  <c r="Z160" i="2"/>
  <c r="Y160" i="2"/>
  <c r="X160" i="2"/>
  <c r="W160" i="2"/>
  <c r="V160" i="2"/>
  <c r="U160" i="2"/>
  <c r="T160" i="2"/>
  <c r="AA159" i="2"/>
  <c r="Z159" i="2"/>
  <c r="Y159" i="2"/>
  <c r="X159" i="2"/>
  <c r="W159" i="2"/>
  <c r="V159" i="2"/>
  <c r="U159" i="2"/>
  <c r="T159" i="2"/>
  <c r="AA158" i="2"/>
  <c r="Z158" i="2"/>
  <c r="Y158" i="2"/>
  <c r="X158" i="2"/>
  <c r="W158" i="2"/>
  <c r="V158" i="2"/>
  <c r="U158" i="2"/>
  <c r="T158" i="2"/>
  <c r="AA157" i="2"/>
  <c r="Z157" i="2"/>
  <c r="Y157" i="2"/>
  <c r="X157" i="2"/>
  <c r="W157" i="2"/>
  <c r="V157" i="2"/>
  <c r="U157" i="2"/>
  <c r="T157" i="2"/>
  <c r="AA156" i="2"/>
  <c r="Z156" i="2"/>
  <c r="Y156" i="2"/>
  <c r="X156" i="2"/>
  <c r="W156" i="2"/>
  <c r="V156" i="2"/>
  <c r="U156" i="2"/>
  <c r="T156" i="2"/>
  <c r="AA155" i="2"/>
  <c r="Z155" i="2"/>
  <c r="Y155" i="2"/>
  <c r="X155" i="2"/>
  <c r="W155" i="2"/>
  <c r="V155" i="2"/>
  <c r="U155" i="2"/>
  <c r="T155" i="2"/>
  <c r="AA154" i="2"/>
  <c r="Z154" i="2"/>
  <c r="Y154" i="2"/>
  <c r="X154" i="2"/>
  <c r="W154" i="2"/>
  <c r="V154" i="2"/>
  <c r="U154" i="2"/>
  <c r="T154" i="2"/>
  <c r="AA153" i="2"/>
  <c r="Z153" i="2"/>
  <c r="Y153" i="2"/>
  <c r="X153" i="2"/>
  <c r="W153" i="2"/>
  <c r="V153" i="2"/>
  <c r="U153" i="2"/>
  <c r="T153" i="2"/>
  <c r="AA152" i="2"/>
  <c r="Z152" i="2"/>
  <c r="Y152" i="2"/>
  <c r="X152" i="2"/>
  <c r="W152" i="2"/>
  <c r="V152" i="2"/>
  <c r="U152" i="2"/>
  <c r="T152" i="2"/>
  <c r="AA151" i="2"/>
  <c r="Z151" i="2"/>
  <c r="Y151" i="2"/>
  <c r="X151" i="2"/>
  <c r="W151" i="2"/>
  <c r="V151" i="2"/>
  <c r="U151" i="2"/>
  <c r="T151" i="2"/>
  <c r="AA150" i="2"/>
  <c r="Z150" i="2"/>
  <c r="Y150" i="2"/>
  <c r="X150" i="2"/>
  <c r="W150" i="2"/>
  <c r="V150" i="2"/>
  <c r="U150" i="2"/>
  <c r="T150" i="2"/>
  <c r="AA149" i="2"/>
  <c r="Z149" i="2"/>
  <c r="Y149" i="2"/>
  <c r="X149" i="2"/>
  <c r="W149" i="2"/>
  <c r="V149" i="2"/>
  <c r="U149" i="2"/>
  <c r="T149" i="2"/>
  <c r="AA148" i="2"/>
  <c r="Z148" i="2"/>
  <c r="Y148" i="2"/>
  <c r="X148" i="2"/>
  <c r="W148" i="2"/>
  <c r="V148" i="2"/>
  <c r="U148" i="2"/>
  <c r="T148" i="2"/>
  <c r="AA147" i="2"/>
  <c r="Z147" i="2"/>
  <c r="Y147" i="2"/>
  <c r="X147" i="2"/>
  <c r="W147" i="2"/>
  <c r="V147" i="2"/>
  <c r="U147" i="2"/>
  <c r="T147" i="2"/>
  <c r="AA146" i="2"/>
  <c r="Z146" i="2"/>
  <c r="Y146" i="2"/>
  <c r="X146" i="2"/>
  <c r="W146" i="2"/>
  <c r="V146" i="2"/>
  <c r="U146" i="2"/>
  <c r="T146" i="2"/>
  <c r="AA145" i="2"/>
  <c r="Z145" i="2"/>
  <c r="Y145" i="2"/>
  <c r="X145" i="2"/>
  <c r="W145" i="2"/>
  <c r="V145" i="2"/>
  <c r="U145" i="2"/>
  <c r="T145" i="2"/>
  <c r="AA144" i="2"/>
  <c r="Z144" i="2"/>
  <c r="Y144" i="2"/>
  <c r="X144" i="2"/>
  <c r="W144" i="2"/>
  <c r="V144" i="2"/>
  <c r="U144" i="2"/>
  <c r="T144" i="2"/>
  <c r="AA143" i="2"/>
  <c r="Z143" i="2"/>
  <c r="Y143" i="2"/>
  <c r="X143" i="2"/>
  <c r="W143" i="2"/>
  <c r="V143" i="2"/>
  <c r="U143" i="2"/>
  <c r="T143" i="2"/>
  <c r="AA142" i="2"/>
  <c r="Z142" i="2"/>
  <c r="Y142" i="2"/>
  <c r="X142" i="2"/>
  <c r="W142" i="2"/>
  <c r="V142" i="2"/>
  <c r="U142" i="2"/>
  <c r="T142" i="2"/>
  <c r="AA141" i="2"/>
  <c r="Z141" i="2"/>
  <c r="Y141" i="2"/>
  <c r="X141" i="2"/>
  <c r="W141" i="2"/>
  <c r="V141" i="2"/>
  <c r="U141" i="2"/>
  <c r="T141" i="2"/>
  <c r="AA140" i="2"/>
  <c r="Z140" i="2"/>
  <c r="Y140" i="2"/>
  <c r="X140" i="2"/>
  <c r="W140" i="2"/>
  <c r="V140" i="2"/>
  <c r="U140" i="2"/>
  <c r="T140" i="2"/>
  <c r="AA139" i="2"/>
  <c r="Z139" i="2"/>
  <c r="Y139" i="2"/>
  <c r="X139" i="2"/>
  <c r="W139" i="2"/>
  <c r="V139" i="2"/>
  <c r="U139" i="2"/>
  <c r="T139" i="2"/>
  <c r="AA138" i="2"/>
  <c r="Z138" i="2"/>
  <c r="Y138" i="2"/>
  <c r="X138" i="2"/>
  <c r="W138" i="2"/>
  <c r="V138" i="2"/>
  <c r="U138" i="2"/>
  <c r="T138" i="2"/>
  <c r="AA137" i="2"/>
  <c r="Z137" i="2"/>
  <c r="Y137" i="2"/>
  <c r="X137" i="2"/>
  <c r="W137" i="2"/>
  <c r="V137" i="2"/>
  <c r="U137" i="2"/>
  <c r="T137" i="2"/>
  <c r="AA136" i="2"/>
  <c r="Z136" i="2"/>
  <c r="Y136" i="2"/>
  <c r="X136" i="2"/>
  <c r="W136" i="2"/>
  <c r="V136" i="2"/>
  <c r="U136" i="2"/>
  <c r="T136" i="2"/>
  <c r="AA135" i="2"/>
  <c r="Z135" i="2"/>
  <c r="Y135" i="2"/>
  <c r="X135" i="2"/>
  <c r="W135" i="2"/>
  <c r="V135" i="2"/>
  <c r="U135" i="2"/>
  <c r="T135" i="2"/>
  <c r="AA134" i="2"/>
  <c r="Z134" i="2"/>
  <c r="Y134" i="2"/>
  <c r="X134" i="2"/>
  <c r="W134" i="2"/>
  <c r="V134" i="2"/>
  <c r="U134" i="2"/>
  <c r="T134" i="2"/>
  <c r="AA133" i="2"/>
  <c r="Z133" i="2"/>
  <c r="Y133" i="2"/>
  <c r="X133" i="2"/>
  <c r="W133" i="2"/>
  <c r="V133" i="2"/>
  <c r="U133" i="2"/>
  <c r="T133" i="2"/>
  <c r="AA132" i="2"/>
  <c r="Z132" i="2"/>
  <c r="Y132" i="2"/>
  <c r="X132" i="2"/>
  <c r="W132" i="2"/>
  <c r="V132" i="2"/>
  <c r="U132" i="2"/>
  <c r="T132" i="2"/>
  <c r="AA131" i="2"/>
  <c r="Z131" i="2"/>
  <c r="Y131" i="2"/>
  <c r="X131" i="2"/>
  <c r="W131" i="2"/>
  <c r="V131" i="2"/>
  <c r="U131" i="2"/>
  <c r="T131" i="2"/>
  <c r="AA130" i="2"/>
  <c r="Z130" i="2"/>
  <c r="Y130" i="2"/>
  <c r="X130" i="2"/>
  <c r="W130" i="2"/>
  <c r="V130" i="2"/>
  <c r="U130" i="2"/>
  <c r="T130" i="2"/>
  <c r="AA129" i="2"/>
  <c r="Z129" i="2"/>
  <c r="Y129" i="2"/>
  <c r="X129" i="2"/>
  <c r="W129" i="2"/>
  <c r="V129" i="2"/>
  <c r="U129" i="2"/>
  <c r="T129" i="2"/>
  <c r="AA128" i="2"/>
  <c r="Z128" i="2"/>
  <c r="Y128" i="2"/>
  <c r="X128" i="2"/>
  <c r="W128" i="2"/>
  <c r="V128" i="2"/>
  <c r="U128" i="2"/>
  <c r="T128" i="2"/>
  <c r="AA127" i="2"/>
  <c r="Z127" i="2"/>
  <c r="Y127" i="2"/>
  <c r="X127" i="2"/>
  <c r="W127" i="2"/>
  <c r="V127" i="2"/>
  <c r="U127" i="2"/>
  <c r="T127" i="2"/>
  <c r="AA126" i="2"/>
  <c r="Z126" i="2"/>
  <c r="Y126" i="2"/>
  <c r="X126" i="2"/>
  <c r="W126" i="2"/>
  <c r="V126" i="2"/>
  <c r="U126" i="2"/>
  <c r="T126" i="2"/>
  <c r="AA125" i="2"/>
  <c r="Z125" i="2"/>
  <c r="Y125" i="2"/>
  <c r="X125" i="2"/>
  <c r="W125" i="2"/>
  <c r="V125" i="2"/>
  <c r="U125" i="2"/>
  <c r="T125" i="2"/>
  <c r="AA124" i="2"/>
  <c r="Z124" i="2"/>
  <c r="Y124" i="2"/>
  <c r="X124" i="2"/>
  <c r="W124" i="2"/>
  <c r="V124" i="2"/>
  <c r="U124" i="2"/>
  <c r="T124" i="2"/>
  <c r="AA123" i="2"/>
  <c r="Z123" i="2"/>
  <c r="Y123" i="2"/>
  <c r="X123" i="2"/>
  <c r="W123" i="2"/>
  <c r="V123" i="2"/>
  <c r="U123" i="2"/>
  <c r="T123" i="2"/>
  <c r="AA122" i="2"/>
  <c r="Z122" i="2"/>
  <c r="Y122" i="2"/>
  <c r="X122" i="2"/>
  <c r="W122" i="2"/>
  <c r="V122" i="2"/>
  <c r="U122" i="2"/>
  <c r="T122" i="2"/>
  <c r="AA121" i="2"/>
  <c r="Z121" i="2"/>
  <c r="Y121" i="2"/>
  <c r="X121" i="2"/>
  <c r="W121" i="2"/>
  <c r="V121" i="2"/>
  <c r="U121" i="2"/>
  <c r="T121" i="2"/>
  <c r="AA120" i="2"/>
  <c r="Z120" i="2"/>
  <c r="Y120" i="2"/>
  <c r="X120" i="2"/>
  <c r="W120" i="2"/>
  <c r="V120" i="2"/>
  <c r="U120" i="2"/>
  <c r="T120" i="2"/>
  <c r="AA119" i="2"/>
  <c r="Z119" i="2"/>
  <c r="Y119" i="2"/>
  <c r="X119" i="2"/>
  <c r="W119" i="2"/>
  <c r="V119" i="2"/>
  <c r="U119" i="2"/>
  <c r="T119" i="2"/>
  <c r="AA118" i="2"/>
  <c r="Z118" i="2"/>
  <c r="Y118" i="2"/>
  <c r="X118" i="2"/>
  <c r="W118" i="2"/>
  <c r="V118" i="2"/>
  <c r="U118" i="2"/>
  <c r="T118" i="2"/>
  <c r="AA117" i="2"/>
  <c r="Z117" i="2"/>
  <c r="Y117" i="2"/>
  <c r="X117" i="2"/>
  <c r="W117" i="2"/>
  <c r="V117" i="2"/>
  <c r="U117" i="2"/>
  <c r="T117" i="2"/>
  <c r="AA116" i="2"/>
  <c r="Z116" i="2"/>
  <c r="Y116" i="2"/>
  <c r="X116" i="2"/>
  <c r="W116" i="2"/>
  <c r="V116" i="2"/>
  <c r="U116" i="2"/>
  <c r="T116" i="2"/>
  <c r="AA115" i="2"/>
  <c r="Z115" i="2"/>
  <c r="Y115" i="2"/>
  <c r="X115" i="2"/>
  <c r="W115" i="2"/>
  <c r="V115" i="2"/>
  <c r="U115" i="2"/>
  <c r="T115" i="2"/>
  <c r="AA114" i="2"/>
  <c r="Z114" i="2"/>
  <c r="Y114" i="2"/>
  <c r="X114" i="2"/>
  <c r="W114" i="2"/>
  <c r="V114" i="2"/>
  <c r="U114" i="2"/>
  <c r="T114" i="2"/>
  <c r="AA113" i="2"/>
  <c r="Z113" i="2"/>
  <c r="Y113" i="2"/>
  <c r="X113" i="2"/>
  <c r="W113" i="2"/>
  <c r="V113" i="2"/>
  <c r="U113" i="2"/>
  <c r="T113" i="2"/>
  <c r="AA112" i="2"/>
  <c r="Z112" i="2"/>
  <c r="Y112" i="2"/>
  <c r="X112" i="2"/>
  <c r="W112" i="2"/>
  <c r="V112" i="2"/>
  <c r="U112" i="2"/>
  <c r="T112" i="2"/>
  <c r="AA111" i="2"/>
  <c r="Z111" i="2"/>
  <c r="Y111" i="2"/>
  <c r="X111" i="2"/>
  <c r="W111" i="2"/>
  <c r="V111" i="2"/>
  <c r="U111" i="2"/>
  <c r="T111" i="2"/>
  <c r="AA110" i="2"/>
  <c r="Z110" i="2"/>
  <c r="Y110" i="2"/>
  <c r="X110" i="2"/>
  <c r="W110" i="2"/>
  <c r="V110" i="2"/>
  <c r="U110" i="2"/>
  <c r="T110" i="2"/>
  <c r="AA109" i="2"/>
  <c r="Z109" i="2"/>
  <c r="Y109" i="2"/>
  <c r="X109" i="2"/>
  <c r="W109" i="2"/>
  <c r="V109" i="2"/>
  <c r="U109" i="2"/>
  <c r="T109" i="2"/>
  <c r="AA108" i="2"/>
  <c r="Z108" i="2"/>
  <c r="Y108" i="2"/>
  <c r="X108" i="2"/>
  <c r="W108" i="2"/>
  <c r="V108" i="2"/>
  <c r="U108" i="2"/>
  <c r="T108" i="2"/>
  <c r="AA107" i="2"/>
  <c r="Z107" i="2"/>
  <c r="Y107" i="2"/>
  <c r="X107" i="2"/>
  <c r="W107" i="2"/>
  <c r="V107" i="2"/>
  <c r="U107" i="2"/>
  <c r="T107" i="2"/>
  <c r="AA106" i="2"/>
  <c r="Z106" i="2"/>
  <c r="Y106" i="2"/>
  <c r="X106" i="2"/>
  <c r="W106" i="2"/>
  <c r="V106" i="2"/>
  <c r="U106" i="2"/>
  <c r="T106" i="2"/>
  <c r="AA105" i="2"/>
  <c r="Z105" i="2"/>
  <c r="Y105" i="2"/>
  <c r="X105" i="2"/>
  <c r="W105" i="2"/>
  <c r="V105" i="2"/>
  <c r="U105" i="2"/>
  <c r="T105" i="2"/>
  <c r="AA104" i="2"/>
  <c r="Z104" i="2"/>
  <c r="Y104" i="2"/>
  <c r="X104" i="2"/>
  <c r="W104" i="2"/>
  <c r="V104" i="2"/>
  <c r="U104" i="2"/>
  <c r="T104" i="2"/>
  <c r="AA103" i="2"/>
  <c r="Z103" i="2"/>
  <c r="Y103" i="2"/>
  <c r="X103" i="2"/>
  <c r="W103" i="2"/>
  <c r="V103" i="2"/>
  <c r="U103" i="2"/>
  <c r="T103" i="2"/>
  <c r="AA102" i="2"/>
  <c r="Z102" i="2"/>
  <c r="Y102" i="2"/>
  <c r="X102" i="2"/>
  <c r="W102" i="2"/>
  <c r="V102" i="2"/>
  <c r="U102" i="2"/>
  <c r="T102" i="2"/>
  <c r="AA101" i="2"/>
  <c r="Z101" i="2"/>
  <c r="Y101" i="2"/>
  <c r="X101" i="2"/>
  <c r="W101" i="2"/>
  <c r="V101" i="2"/>
  <c r="U101" i="2"/>
  <c r="T101" i="2"/>
  <c r="AA100" i="2"/>
  <c r="Z100" i="2"/>
  <c r="Y100" i="2"/>
  <c r="X100" i="2"/>
  <c r="W100" i="2"/>
  <c r="V100" i="2"/>
  <c r="U100" i="2"/>
  <c r="T100" i="2"/>
  <c r="AA99" i="2"/>
  <c r="Z99" i="2"/>
  <c r="Y99" i="2"/>
  <c r="X99" i="2"/>
  <c r="W99" i="2"/>
  <c r="V99" i="2"/>
  <c r="U99" i="2"/>
  <c r="T99" i="2"/>
  <c r="AA98" i="2"/>
  <c r="Z98" i="2"/>
  <c r="Y98" i="2"/>
  <c r="X98" i="2"/>
  <c r="W98" i="2"/>
  <c r="V98" i="2"/>
  <c r="U98" i="2"/>
  <c r="T98" i="2"/>
  <c r="AA97" i="2"/>
  <c r="Z97" i="2"/>
  <c r="Y97" i="2"/>
  <c r="X97" i="2"/>
  <c r="W97" i="2"/>
  <c r="V97" i="2"/>
  <c r="U97" i="2"/>
  <c r="T97" i="2"/>
  <c r="AA96" i="2"/>
  <c r="Z96" i="2"/>
  <c r="Y96" i="2"/>
  <c r="X96" i="2"/>
  <c r="W96" i="2"/>
  <c r="V96" i="2"/>
  <c r="U96" i="2"/>
  <c r="T96" i="2"/>
  <c r="AA95" i="2"/>
  <c r="Z95" i="2"/>
  <c r="Y95" i="2"/>
  <c r="X95" i="2"/>
  <c r="W95" i="2"/>
  <c r="V95" i="2"/>
  <c r="U95" i="2"/>
  <c r="T95" i="2"/>
  <c r="AA94" i="2"/>
  <c r="Z94" i="2"/>
  <c r="Y94" i="2"/>
  <c r="X94" i="2"/>
  <c r="W94" i="2"/>
  <c r="V94" i="2"/>
  <c r="U94" i="2"/>
  <c r="T94" i="2"/>
  <c r="AA93" i="2"/>
  <c r="Z93" i="2"/>
  <c r="Y93" i="2"/>
  <c r="X93" i="2"/>
  <c r="W93" i="2"/>
  <c r="V93" i="2"/>
  <c r="U93" i="2"/>
  <c r="T93" i="2"/>
  <c r="AA92" i="2"/>
  <c r="Z92" i="2"/>
  <c r="Y92" i="2"/>
  <c r="X92" i="2"/>
  <c r="W92" i="2"/>
  <c r="V92" i="2"/>
  <c r="U92" i="2"/>
  <c r="T92" i="2"/>
  <c r="AA91" i="2"/>
  <c r="Z91" i="2"/>
  <c r="Y91" i="2"/>
  <c r="X91" i="2"/>
  <c r="W91" i="2"/>
  <c r="V91" i="2"/>
  <c r="U91" i="2"/>
  <c r="T91" i="2"/>
  <c r="AA90" i="2"/>
  <c r="Z90" i="2"/>
  <c r="Y90" i="2"/>
  <c r="X90" i="2"/>
  <c r="W90" i="2"/>
  <c r="V90" i="2"/>
  <c r="U90" i="2"/>
  <c r="T90" i="2"/>
  <c r="AA89" i="2"/>
  <c r="Z89" i="2"/>
  <c r="Y89" i="2"/>
  <c r="X89" i="2"/>
  <c r="W89" i="2"/>
  <c r="V89" i="2"/>
  <c r="U89" i="2"/>
  <c r="T89" i="2"/>
  <c r="AA88" i="2"/>
  <c r="Z88" i="2"/>
  <c r="Y88" i="2"/>
  <c r="X88" i="2"/>
  <c r="W88" i="2"/>
  <c r="V88" i="2"/>
  <c r="U88" i="2"/>
  <c r="T88" i="2"/>
  <c r="AA87" i="2"/>
  <c r="Z87" i="2"/>
  <c r="Y87" i="2"/>
  <c r="X87" i="2"/>
  <c r="W87" i="2"/>
  <c r="V87" i="2"/>
  <c r="U87" i="2"/>
  <c r="T87" i="2"/>
  <c r="AA86" i="2"/>
  <c r="Z86" i="2"/>
  <c r="Y86" i="2"/>
  <c r="X86" i="2"/>
  <c r="W86" i="2"/>
  <c r="V86" i="2"/>
  <c r="U86" i="2"/>
  <c r="T86" i="2"/>
  <c r="AA85" i="2"/>
  <c r="Z85" i="2"/>
  <c r="Y85" i="2"/>
  <c r="X85" i="2"/>
  <c r="W85" i="2"/>
  <c r="V85" i="2"/>
  <c r="U85" i="2"/>
  <c r="T85" i="2"/>
  <c r="AA84" i="2"/>
  <c r="Z84" i="2"/>
  <c r="Y84" i="2"/>
  <c r="X84" i="2"/>
  <c r="W84" i="2"/>
  <c r="V84" i="2"/>
  <c r="U84" i="2"/>
  <c r="T84" i="2"/>
  <c r="AA83" i="2"/>
  <c r="Z83" i="2"/>
  <c r="Y83" i="2"/>
  <c r="X83" i="2"/>
  <c r="W83" i="2"/>
  <c r="V83" i="2"/>
  <c r="U83" i="2"/>
  <c r="T83" i="2"/>
  <c r="AA82" i="2"/>
  <c r="Z82" i="2"/>
  <c r="Y82" i="2"/>
  <c r="X82" i="2"/>
  <c r="W82" i="2"/>
  <c r="V82" i="2"/>
  <c r="U82" i="2"/>
  <c r="T82" i="2"/>
  <c r="AA81" i="2"/>
  <c r="Z81" i="2"/>
  <c r="Y81" i="2"/>
  <c r="X81" i="2"/>
  <c r="W81" i="2"/>
  <c r="V81" i="2"/>
  <c r="U81" i="2"/>
  <c r="T81" i="2"/>
  <c r="AA80" i="2"/>
  <c r="Z80" i="2"/>
  <c r="Y80" i="2"/>
  <c r="X80" i="2"/>
  <c r="W80" i="2"/>
  <c r="V80" i="2"/>
  <c r="U80" i="2"/>
  <c r="T80" i="2"/>
  <c r="AA79" i="2"/>
  <c r="Z79" i="2"/>
  <c r="Y79" i="2"/>
  <c r="X79" i="2"/>
  <c r="W79" i="2"/>
  <c r="V79" i="2"/>
  <c r="U79" i="2"/>
  <c r="T79" i="2"/>
  <c r="AA78" i="2"/>
  <c r="Z78" i="2"/>
  <c r="Y78" i="2"/>
  <c r="X78" i="2"/>
  <c r="W78" i="2"/>
  <c r="V78" i="2"/>
  <c r="U78" i="2"/>
  <c r="T78" i="2"/>
  <c r="AA77" i="2"/>
  <c r="Z77" i="2"/>
  <c r="Y77" i="2"/>
  <c r="X77" i="2"/>
  <c r="W77" i="2"/>
  <c r="V77" i="2"/>
  <c r="U77" i="2"/>
  <c r="T77" i="2"/>
  <c r="AA76" i="2"/>
  <c r="Z76" i="2"/>
  <c r="Y76" i="2"/>
  <c r="X76" i="2"/>
  <c r="W76" i="2"/>
  <c r="V76" i="2"/>
  <c r="U76" i="2"/>
  <c r="T76" i="2"/>
  <c r="AA75" i="2"/>
  <c r="Z75" i="2"/>
  <c r="Y75" i="2"/>
  <c r="X75" i="2"/>
  <c r="W75" i="2"/>
  <c r="V75" i="2"/>
  <c r="U75" i="2"/>
  <c r="T75" i="2"/>
  <c r="AA74" i="2"/>
  <c r="Z74" i="2"/>
  <c r="Y74" i="2"/>
  <c r="X74" i="2"/>
  <c r="W74" i="2"/>
  <c r="V74" i="2"/>
  <c r="U74" i="2"/>
  <c r="T74" i="2"/>
  <c r="AA73" i="2"/>
  <c r="Z73" i="2"/>
  <c r="Y73" i="2"/>
  <c r="X73" i="2"/>
  <c r="W73" i="2"/>
  <c r="V73" i="2"/>
  <c r="U73" i="2"/>
  <c r="T73" i="2"/>
  <c r="AA72" i="2"/>
  <c r="Z72" i="2"/>
  <c r="Y72" i="2"/>
  <c r="X72" i="2"/>
  <c r="W72" i="2"/>
  <c r="V72" i="2"/>
  <c r="U72" i="2"/>
  <c r="T72" i="2"/>
  <c r="AA71" i="2"/>
  <c r="Z71" i="2"/>
  <c r="Y71" i="2"/>
  <c r="X71" i="2"/>
  <c r="W71" i="2"/>
  <c r="V71" i="2"/>
  <c r="U71" i="2"/>
  <c r="T71" i="2"/>
  <c r="AA70" i="2"/>
  <c r="Z70" i="2"/>
  <c r="Y70" i="2"/>
  <c r="X70" i="2"/>
  <c r="W70" i="2"/>
  <c r="V70" i="2"/>
  <c r="U70" i="2"/>
  <c r="T70" i="2"/>
  <c r="AA69" i="2"/>
  <c r="Z69" i="2"/>
  <c r="Y69" i="2"/>
  <c r="X69" i="2"/>
  <c r="W69" i="2"/>
  <c r="V69" i="2"/>
  <c r="U69" i="2"/>
  <c r="T69" i="2"/>
  <c r="AA68" i="2"/>
  <c r="Z68" i="2"/>
  <c r="Y68" i="2"/>
  <c r="X68" i="2"/>
  <c r="W68" i="2"/>
  <c r="V68" i="2"/>
  <c r="U68" i="2"/>
  <c r="T68" i="2"/>
  <c r="AA67" i="2"/>
  <c r="Z67" i="2"/>
  <c r="Y67" i="2"/>
  <c r="X67" i="2"/>
  <c r="W67" i="2"/>
  <c r="V67" i="2"/>
  <c r="U67" i="2"/>
  <c r="T67" i="2"/>
  <c r="AA66" i="2"/>
  <c r="Z66" i="2"/>
  <c r="Y66" i="2"/>
  <c r="X66" i="2"/>
  <c r="W66" i="2"/>
  <c r="V66" i="2"/>
  <c r="U66" i="2"/>
  <c r="T66" i="2"/>
  <c r="AA65" i="2"/>
  <c r="Z65" i="2"/>
  <c r="Y65" i="2"/>
  <c r="X65" i="2"/>
  <c r="W65" i="2"/>
  <c r="V65" i="2"/>
  <c r="U65" i="2"/>
  <c r="T65" i="2"/>
  <c r="AA64" i="2"/>
  <c r="Z64" i="2"/>
  <c r="Y64" i="2"/>
  <c r="X64" i="2"/>
  <c r="W64" i="2"/>
  <c r="V64" i="2"/>
  <c r="U64" i="2"/>
  <c r="T64" i="2"/>
  <c r="AA63" i="2"/>
  <c r="Z63" i="2"/>
  <c r="Y63" i="2"/>
  <c r="X63" i="2"/>
  <c r="W63" i="2"/>
  <c r="V63" i="2"/>
  <c r="U63" i="2"/>
  <c r="T63" i="2"/>
  <c r="AA62" i="2"/>
  <c r="Z62" i="2"/>
  <c r="Y62" i="2"/>
  <c r="X62" i="2"/>
  <c r="W62" i="2"/>
  <c r="V62" i="2"/>
  <c r="U62" i="2"/>
  <c r="T62" i="2"/>
  <c r="AA61" i="2"/>
  <c r="Z61" i="2"/>
  <c r="Y61" i="2"/>
  <c r="X61" i="2"/>
  <c r="W61" i="2"/>
  <c r="V61" i="2"/>
  <c r="U61" i="2"/>
  <c r="T61" i="2"/>
  <c r="AA60" i="2"/>
  <c r="Z60" i="2"/>
  <c r="Y60" i="2"/>
  <c r="X60" i="2"/>
  <c r="W60" i="2"/>
  <c r="V60" i="2"/>
  <c r="U60" i="2"/>
  <c r="T60" i="2"/>
  <c r="AA59" i="2"/>
  <c r="Z59" i="2"/>
  <c r="Y59" i="2"/>
  <c r="X59" i="2"/>
  <c r="W59" i="2"/>
  <c r="V59" i="2"/>
  <c r="U59" i="2"/>
  <c r="T59" i="2"/>
  <c r="AA58" i="2"/>
  <c r="Z58" i="2"/>
  <c r="Y58" i="2"/>
  <c r="X58" i="2"/>
  <c r="W58" i="2"/>
  <c r="V58" i="2"/>
  <c r="U58" i="2"/>
  <c r="T58" i="2"/>
  <c r="AA57" i="2"/>
  <c r="Z57" i="2"/>
  <c r="Y57" i="2"/>
  <c r="X57" i="2"/>
  <c r="W57" i="2"/>
  <c r="V57" i="2"/>
  <c r="U57" i="2"/>
  <c r="T57" i="2"/>
  <c r="AA56" i="2"/>
  <c r="Z56" i="2"/>
  <c r="Y56" i="2"/>
  <c r="X56" i="2"/>
  <c r="W56" i="2"/>
  <c r="V56" i="2"/>
  <c r="U56" i="2"/>
  <c r="T56" i="2"/>
  <c r="AA55" i="2"/>
  <c r="Z55" i="2"/>
  <c r="Y55" i="2"/>
  <c r="X55" i="2"/>
  <c r="W55" i="2"/>
  <c r="V55" i="2"/>
  <c r="U55" i="2"/>
  <c r="T55" i="2"/>
  <c r="AA54" i="2"/>
  <c r="Z54" i="2"/>
  <c r="Y54" i="2"/>
  <c r="X54" i="2"/>
  <c r="W54" i="2"/>
  <c r="V54" i="2"/>
  <c r="U54" i="2"/>
  <c r="T54" i="2"/>
  <c r="AA53" i="2"/>
  <c r="Z53" i="2"/>
  <c r="Y53" i="2"/>
  <c r="X53" i="2"/>
  <c r="W53" i="2"/>
  <c r="V53" i="2"/>
  <c r="U53" i="2"/>
  <c r="T53" i="2"/>
  <c r="AA52" i="2"/>
  <c r="Z52" i="2"/>
  <c r="Y52" i="2"/>
  <c r="X52" i="2"/>
  <c r="W52" i="2"/>
  <c r="V52" i="2"/>
  <c r="U52" i="2"/>
  <c r="T52" i="2"/>
  <c r="AA51" i="2"/>
  <c r="Z51" i="2"/>
  <c r="Y51" i="2"/>
  <c r="X51" i="2"/>
  <c r="W51" i="2"/>
  <c r="V51" i="2"/>
  <c r="U51" i="2"/>
  <c r="T51" i="2"/>
  <c r="AA50" i="2"/>
  <c r="Z50" i="2"/>
  <c r="Y50" i="2"/>
  <c r="X50" i="2"/>
  <c r="W50" i="2"/>
  <c r="V50" i="2"/>
  <c r="U50" i="2"/>
  <c r="T50" i="2"/>
  <c r="AA49" i="2"/>
  <c r="Z49" i="2"/>
  <c r="Y49" i="2"/>
  <c r="X49" i="2"/>
  <c r="W49" i="2"/>
  <c r="V49" i="2"/>
  <c r="U49" i="2"/>
  <c r="T49" i="2"/>
  <c r="AA48" i="2"/>
  <c r="Z48" i="2"/>
  <c r="Y48" i="2"/>
  <c r="X48" i="2"/>
  <c r="W48" i="2"/>
  <c r="V48" i="2"/>
  <c r="U48" i="2"/>
  <c r="T48" i="2"/>
  <c r="AA47" i="2"/>
  <c r="Z47" i="2"/>
  <c r="Y47" i="2"/>
  <c r="X47" i="2"/>
  <c r="W47" i="2"/>
  <c r="V47" i="2"/>
  <c r="U47" i="2"/>
  <c r="T47" i="2"/>
  <c r="AA46" i="2"/>
  <c r="Z46" i="2"/>
  <c r="Y46" i="2"/>
  <c r="X46" i="2"/>
  <c r="W46" i="2"/>
  <c r="V46" i="2"/>
  <c r="U46" i="2"/>
  <c r="T46" i="2"/>
  <c r="AA45" i="2"/>
  <c r="Z45" i="2"/>
  <c r="Y45" i="2"/>
  <c r="X45" i="2"/>
  <c r="W45" i="2"/>
  <c r="V45" i="2"/>
  <c r="U45" i="2"/>
  <c r="T45" i="2"/>
  <c r="AA44" i="2"/>
  <c r="Z44" i="2"/>
  <c r="Y44" i="2"/>
  <c r="X44" i="2"/>
  <c r="W44" i="2"/>
  <c r="V44" i="2"/>
  <c r="U44" i="2"/>
  <c r="T44" i="2"/>
  <c r="AA43" i="2"/>
  <c r="Z43" i="2"/>
  <c r="Y43" i="2"/>
  <c r="X43" i="2"/>
  <c r="W43" i="2"/>
  <c r="V43" i="2"/>
  <c r="U43" i="2"/>
  <c r="T43" i="2"/>
  <c r="AA42" i="2"/>
  <c r="Z42" i="2"/>
  <c r="Y42" i="2"/>
  <c r="X42" i="2"/>
  <c r="W42" i="2"/>
  <c r="V42" i="2"/>
  <c r="U42" i="2"/>
  <c r="T42" i="2"/>
  <c r="AA41" i="2"/>
  <c r="Z41" i="2"/>
  <c r="Y41" i="2"/>
  <c r="X41" i="2"/>
  <c r="W41" i="2"/>
  <c r="V41" i="2"/>
  <c r="U41" i="2"/>
  <c r="T41" i="2"/>
  <c r="AA40" i="2"/>
  <c r="Z40" i="2"/>
  <c r="Y40" i="2"/>
  <c r="X40" i="2"/>
  <c r="W40" i="2"/>
  <c r="V40" i="2"/>
  <c r="U40" i="2"/>
  <c r="T40" i="2"/>
  <c r="AA39" i="2"/>
  <c r="Z39" i="2"/>
  <c r="Y39" i="2"/>
  <c r="X39" i="2"/>
  <c r="W39" i="2"/>
  <c r="V39" i="2"/>
  <c r="U39" i="2"/>
  <c r="T39" i="2"/>
  <c r="AA38" i="2"/>
  <c r="Z38" i="2"/>
  <c r="Y38" i="2"/>
  <c r="X38" i="2"/>
  <c r="W38" i="2"/>
  <c r="V38" i="2"/>
  <c r="U38" i="2"/>
  <c r="T38" i="2"/>
  <c r="AA37" i="2"/>
  <c r="Z37" i="2"/>
  <c r="Y37" i="2"/>
  <c r="X37" i="2"/>
  <c r="W37" i="2"/>
  <c r="V37" i="2"/>
  <c r="U37" i="2"/>
  <c r="T37" i="2"/>
  <c r="AA36" i="2"/>
  <c r="Z36" i="2"/>
  <c r="Y36" i="2"/>
  <c r="X36" i="2"/>
  <c r="W36" i="2"/>
  <c r="V36" i="2"/>
  <c r="U36" i="2"/>
  <c r="T36" i="2"/>
  <c r="AA35" i="2"/>
  <c r="Z35" i="2"/>
  <c r="Y35" i="2"/>
  <c r="X35" i="2"/>
  <c r="W35" i="2"/>
  <c r="V35" i="2"/>
  <c r="U35" i="2"/>
  <c r="T35" i="2"/>
  <c r="AA34" i="2"/>
  <c r="Z34" i="2"/>
  <c r="Y34" i="2"/>
  <c r="X34" i="2"/>
  <c r="W34" i="2"/>
  <c r="V34" i="2"/>
  <c r="U34" i="2"/>
  <c r="T34" i="2"/>
  <c r="AA33" i="2"/>
  <c r="Z33" i="2"/>
  <c r="Y33" i="2"/>
  <c r="X33" i="2"/>
  <c r="W33" i="2"/>
  <c r="V33" i="2"/>
  <c r="U33" i="2"/>
  <c r="T33" i="2"/>
  <c r="AA32" i="2"/>
  <c r="Z32" i="2"/>
  <c r="Y32" i="2"/>
  <c r="X32" i="2"/>
  <c r="W32" i="2"/>
  <c r="V32" i="2"/>
  <c r="U32" i="2"/>
  <c r="T32" i="2"/>
  <c r="AA31" i="2"/>
  <c r="Z31" i="2"/>
  <c r="Y31" i="2"/>
  <c r="X31" i="2"/>
  <c r="W31" i="2"/>
  <c r="V31" i="2"/>
  <c r="U31" i="2"/>
  <c r="T31" i="2"/>
  <c r="AA30" i="2"/>
  <c r="Z30" i="2"/>
  <c r="Y30" i="2"/>
  <c r="X30" i="2"/>
  <c r="W30" i="2"/>
  <c r="V30" i="2"/>
  <c r="U30" i="2"/>
  <c r="T30" i="2"/>
  <c r="AA29" i="2"/>
  <c r="Z29" i="2"/>
  <c r="Y29" i="2"/>
  <c r="X29" i="2"/>
  <c r="W29" i="2"/>
  <c r="V29" i="2"/>
  <c r="U29" i="2"/>
  <c r="T29" i="2"/>
  <c r="AA28" i="2"/>
  <c r="Z28" i="2"/>
  <c r="Y28" i="2"/>
  <c r="X28" i="2"/>
  <c r="W28" i="2"/>
  <c r="V28" i="2"/>
  <c r="U28" i="2"/>
  <c r="T28" i="2"/>
  <c r="AA27" i="2"/>
  <c r="Z27" i="2"/>
  <c r="Y27" i="2"/>
  <c r="X27" i="2"/>
  <c r="W27" i="2"/>
  <c r="V27" i="2"/>
  <c r="U27" i="2"/>
  <c r="T27" i="2"/>
  <c r="AA26" i="2"/>
  <c r="Z26" i="2"/>
  <c r="Y26" i="2"/>
  <c r="X26" i="2"/>
  <c r="W26" i="2"/>
  <c r="V26" i="2"/>
  <c r="U26" i="2"/>
  <c r="T26" i="2"/>
  <c r="AA25" i="2"/>
  <c r="Z25" i="2"/>
  <c r="Y25" i="2"/>
  <c r="X25" i="2"/>
  <c r="W25" i="2"/>
  <c r="V25" i="2"/>
  <c r="U25" i="2"/>
  <c r="T25" i="2"/>
  <c r="AA24" i="2"/>
  <c r="Z24" i="2"/>
  <c r="Y24" i="2"/>
  <c r="X24" i="2"/>
  <c r="W24" i="2"/>
  <c r="V24" i="2"/>
  <c r="U24" i="2"/>
  <c r="T24" i="2"/>
  <c r="AA23" i="2"/>
  <c r="Z23" i="2"/>
  <c r="Y23" i="2"/>
  <c r="X23" i="2"/>
  <c r="W23" i="2"/>
  <c r="V23" i="2"/>
  <c r="U23" i="2"/>
  <c r="T23" i="2"/>
  <c r="AA22" i="2"/>
  <c r="Z22" i="2"/>
  <c r="Y22" i="2"/>
  <c r="X22" i="2"/>
  <c r="W22" i="2"/>
  <c r="V22" i="2"/>
  <c r="U22" i="2"/>
  <c r="T22" i="2"/>
  <c r="AA21" i="2"/>
  <c r="Z21" i="2"/>
  <c r="Y21" i="2"/>
  <c r="X21" i="2"/>
  <c r="W21" i="2"/>
  <c r="V21" i="2"/>
  <c r="U21" i="2"/>
  <c r="T21" i="2"/>
  <c r="AA20" i="2"/>
  <c r="Z20" i="2"/>
  <c r="Y20" i="2"/>
  <c r="X20" i="2"/>
  <c r="W20" i="2"/>
  <c r="V20" i="2"/>
  <c r="U20" i="2"/>
  <c r="T20" i="2"/>
  <c r="AA19" i="2"/>
  <c r="Z19" i="2"/>
  <c r="Y19" i="2"/>
  <c r="X19" i="2"/>
  <c r="W19" i="2"/>
  <c r="V19" i="2"/>
  <c r="U19" i="2"/>
  <c r="T19" i="2"/>
  <c r="AA18" i="2"/>
  <c r="Z18" i="2"/>
  <c r="Y18" i="2"/>
  <c r="X18" i="2"/>
  <c r="W18" i="2"/>
  <c r="V18" i="2"/>
  <c r="U18" i="2"/>
  <c r="T18" i="2"/>
  <c r="AA17" i="2"/>
  <c r="Z17" i="2"/>
  <c r="Y17" i="2"/>
  <c r="X17" i="2"/>
  <c r="W17" i="2"/>
  <c r="V17" i="2"/>
  <c r="U17" i="2"/>
  <c r="T17" i="2"/>
  <c r="AA16" i="2"/>
  <c r="Z16" i="2"/>
  <c r="Y16" i="2"/>
  <c r="X16" i="2"/>
  <c r="W16" i="2"/>
  <c r="V16" i="2"/>
  <c r="U16" i="2"/>
  <c r="T16" i="2"/>
  <c r="AA15" i="2"/>
  <c r="Z15" i="2"/>
  <c r="Y15" i="2"/>
  <c r="X15" i="2"/>
  <c r="W15" i="2"/>
  <c r="V15" i="2"/>
  <c r="U15" i="2"/>
  <c r="T15" i="2"/>
  <c r="AA14" i="2"/>
  <c r="Z14" i="2"/>
  <c r="Y14" i="2"/>
  <c r="X14" i="2"/>
  <c r="W14" i="2"/>
  <c r="V14" i="2"/>
  <c r="U14" i="2"/>
  <c r="T14" i="2"/>
  <c r="AA13" i="2"/>
  <c r="Z13" i="2"/>
  <c r="Y13" i="2"/>
  <c r="X13" i="2"/>
  <c r="W13" i="2"/>
  <c r="V13" i="2"/>
  <c r="U13" i="2"/>
  <c r="T13" i="2"/>
  <c r="AA12" i="2"/>
  <c r="Z12" i="2"/>
  <c r="Y12" i="2"/>
  <c r="X12" i="2"/>
  <c r="W12" i="2"/>
  <c r="V12" i="2"/>
  <c r="U12" i="2"/>
  <c r="T12" i="2"/>
  <c r="AA11" i="2"/>
  <c r="Z11" i="2"/>
  <c r="Y11" i="2"/>
  <c r="X11" i="2"/>
  <c r="W11" i="2"/>
  <c r="V11" i="2"/>
  <c r="U11" i="2"/>
  <c r="T11" i="2"/>
  <c r="AA10" i="2"/>
  <c r="Z10" i="2"/>
  <c r="Y10" i="2"/>
  <c r="X10" i="2"/>
  <c r="W10" i="2"/>
  <c r="V10" i="2"/>
  <c r="U10" i="2"/>
  <c r="T10" i="2"/>
  <c r="AA9" i="2"/>
  <c r="Z9" i="2"/>
  <c r="Y9" i="2"/>
  <c r="X9" i="2"/>
  <c r="W9" i="2"/>
  <c r="V9" i="2"/>
  <c r="U9" i="2"/>
  <c r="T9" i="2"/>
  <c r="AA8" i="2"/>
  <c r="Z8" i="2"/>
  <c r="Y8" i="2"/>
  <c r="X8" i="2"/>
  <c r="W8" i="2"/>
  <c r="V8" i="2"/>
  <c r="U8" i="2"/>
  <c r="T8" i="2"/>
  <c r="AA7" i="2"/>
  <c r="Z7" i="2"/>
  <c r="Y7" i="2"/>
  <c r="X7" i="2"/>
  <c r="W7" i="2"/>
  <c r="V7" i="2"/>
  <c r="U7" i="2"/>
  <c r="T7" i="2"/>
  <c r="AA6" i="2"/>
  <c r="Z6" i="2"/>
  <c r="Y6" i="2"/>
  <c r="X6" i="2"/>
  <c r="W6" i="2"/>
  <c r="V6" i="2"/>
  <c r="U6" i="2"/>
  <c r="T6" i="2"/>
  <c r="AA5" i="2"/>
  <c r="Z5" i="2"/>
  <c r="Y5" i="2"/>
  <c r="X5" i="2"/>
  <c r="W5" i="2"/>
  <c r="V5" i="2"/>
  <c r="U5" i="2"/>
  <c r="T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5" i="2"/>
  <c r="H8" i="1"/>
  <c r="D8" i="1"/>
  <c r="F13" i="1"/>
  <c r="F14" i="1" s="1"/>
  <c r="H12" i="1"/>
  <c r="H13" i="1" s="1"/>
  <c r="H14" i="1" s="1"/>
  <c r="G12" i="1"/>
  <c r="G13" i="1" s="1"/>
  <c r="G14" i="1" s="1"/>
  <c r="F12" i="1"/>
  <c r="F4" i="1"/>
  <c r="F5" i="1" s="1"/>
  <c r="F6" i="1" s="1"/>
  <c r="F7" i="1" s="1"/>
  <c r="F8" i="1" s="1"/>
  <c r="F9" i="1" s="1"/>
  <c r="F10" i="1" s="1"/>
  <c r="H4" i="1"/>
  <c r="H5" i="1" s="1"/>
  <c r="H6" i="1" s="1"/>
  <c r="H7" i="1" s="1"/>
  <c r="G4" i="1"/>
  <c r="G5" i="1" s="1"/>
  <c r="G6" i="1" s="1"/>
  <c r="G7" i="1" s="1"/>
  <c r="G8" i="1" s="1"/>
  <c r="G9" i="1" s="1"/>
  <c r="G10" i="1" s="1"/>
  <c r="B12" i="1"/>
  <c r="M5" i="3"/>
  <c r="M11" i="3"/>
  <c r="M12" i="3" s="1"/>
  <c r="M6" i="3"/>
  <c r="M7" i="3" s="1"/>
  <c r="D12" i="1"/>
  <c r="D13" i="1" s="1"/>
  <c r="D14" i="1" s="1"/>
  <c r="C12" i="1"/>
  <c r="C13" i="1" s="1"/>
  <c r="C14" i="1" s="1"/>
  <c r="B13" i="1"/>
  <c r="B14" i="1" s="1"/>
  <c r="D3" i="1"/>
  <c r="D4" i="1" s="1"/>
  <c r="D5" i="1" s="1"/>
  <c r="D6" i="1" s="1"/>
  <c r="D7" i="1" s="1"/>
  <c r="D9" i="1" s="1"/>
  <c r="D10" i="1" s="1"/>
  <c r="C3" i="1"/>
  <c r="C4" i="1" s="1"/>
  <c r="C5" i="1" s="1"/>
  <c r="C6" i="1" s="1"/>
  <c r="C7" i="1" s="1"/>
  <c r="C8" i="1" s="1"/>
  <c r="C9" i="1" s="1"/>
  <c r="C10" i="1" s="1"/>
  <c r="B3" i="1"/>
  <c r="B4" i="1" s="1"/>
  <c r="B5" i="1" s="1"/>
  <c r="B6" i="1" s="1"/>
  <c r="B7" i="1" s="1"/>
  <c r="H9" i="1" l="1"/>
  <c r="H10" i="1" s="1"/>
  <c r="S3" i="2"/>
  <c r="AA3" i="2"/>
  <c r="V3" i="2"/>
  <c r="Z3" i="2"/>
  <c r="Y3" i="2"/>
  <c r="T3" i="2"/>
  <c r="X3" i="2"/>
  <c r="U3" i="2"/>
  <c r="W3" i="2"/>
  <c r="B8" i="1"/>
  <c r="B9" i="1" s="1"/>
  <c r="B10" i="1" s="1"/>
</calcChain>
</file>

<file path=xl/sharedStrings.xml><?xml version="1.0" encoding="utf-8"?>
<sst xmlns="http://schemas.openxmlformats.org/spreadsheetml/2006/main" count="849" uniqueCount="437">
  <si>
    <t>Downpayment</t>
  </si>
  <si>
    <t>Car value at origination</t>
  </si>
  <si>
    <t>Car value following 2.5y of depreciation (35%)</t>
  </si>
  <si>
    <t>Additional 20% depreciation</t>
  </si>
  <si>
    <r>
      <t>Repossession value minus fixed expenses (</t>
    </r>
    <r>
      <rPr>
        <sz val="11"/>
        <color theme="1"/>
        <rFont val="Aptos Narrow"/>
        <family val="2"/>
      </rPr>
      <t>€</t>
    </r>
    <r>
      <rPr>
        <sz val="11"/>
        <color theme="1"/>
        <rFont val="Aptos Narrow"/>
        <family val="2"/>
        <charset val="161"/>
        <scheme val="minor"/>
      </rPr>
      <t>1500)</t>
    </r>
  </si>
  <si>
    <t>Minus dealer sales margin (8%)</t>
  </si>
  <si>
    <t>Adjusted for 85% repossession success rate</t>
  </si>
  <si>
    <t>Recovery over EAD</t>
  </si>
  <si>
    <t>EAD</t>
  </si>
  <si>
    <t>14 months loan principal amortization</t>
  </si>
  <si>
    <t>Outstanding principal at 14th month since origination</t>
  </si>
  <si>
    <t>Discounted recovery rate</t>
  </si>
  <si>
    <t>Discounted LGL</t>
  </si>
  <si>
    <t>Depr. rates by age</t>
  </si>
  <si>
    <t>Final Depreciation Rates</t>
  </si>
  <si>
    <t>Years</t>
  </si>
  <si>
    <t>alfa-romeo</t>
  </si>
  <si>
    <t>brera</t>
  </si>
  <si>
    <t>giulia</t>
  </si>
  <si>
    <t>giulietta</t>
  </si>
  <si>
    <t>gt</t>
  </si>
  <si>
    <t>mito</t>
  </si>
  <si>
    <t>spider</t>
  </si>
  <si>
    <t>stelvio</t>
  </si>
  <si>
    <t>audi</t>
  </si>
  <si>
    <t>a1</t>
  </si>
  <si>
    <t>a3</t>
  </si>
  <si>
    <t>a4</t>
  </si>
  <si>
    <t>a4-allroad</t>
  </si>
  <si>
    <t>a5</t>
  </si>
  <si>
    <t>a6</t>
  </si>
  <si>
    <t>a6-allroad</t>
  </si>
  <si>
    <t>a7</t>
  </si>
  <si>
    <t>a8</t>
  </si>
  <si>
    <t>q2</t>
  </si>
  <si>
    <t>q3</t>
  </si>
  <si>
    <t>q5</t>
  </si>
  <si>
    <t>q7</t>
  </si>
  <si>
    <t>s3</t>
  </si>
  <si>
    <t>s4</t>
  </si>
  <si>
    <t>s5</t>
  </si>
  <si>
    <t>s8</t>
  </si>
  <si>
    <t>tt</t>
  </si>
  <si>
    <t>bmw</t>
  </si>
  <si>
    <t>216-active-tourer</t>
  </si>
  <si>
    <t>218-active-tourer</t>
  </si>
  <si>
    <t>218-gran-tourer</t>
  </si>
  <si>
    <t>225-active-tourer</t>
  </si>
  <si>
    <t>630-gran-turismo</t>
  </si>
  <si>
    <t>i3</t>
  </si>
  <si>
    <t>i8</t>
  </si>
  <si>
    <t>m3</t>
  </si>
  <si>
    <t>x1</t>
  </si>
  <si>
    <t>x2</t>
  </si>
  <si>
    <t>x3</t>
  </si>
  <si>
    <t>x4</t>
  </si>
  <si>
    <t>x5</t>
  </si>
  <si>
    <t>x6</t>
  </si>
  <si>
    <t>z4</t>
  </si>
  <si>
    <t>chevrolet</t>
  </si>
  <si>
    <t>aveo</t>
  </si>
  <si>
    <t/>
  </si>
  <si>
    <t>captiva</t>
  </si>
  <si>
    <t>cruze</t>
  </si>
  <si>
    <t>lacetti</t>
  </si>
  <si>
    <t>matiz</t>
  </si>
  <si>
    <t>orlando</t>
  </si>
  <si>
    <t>spark</t>
  </si>
  <si>
    <t>trax</t>
  </si>
  <si>
    <t>citroen</t>
  </si>
  <si>
    <t>berlingo</t>
  </si>
  <si>
    <t>c-elysee</t>
  </si>
  <si>
    <t>c1</t>
  </si>
  <si>
    <t>c2</t>
  </si>
  <si>
    <t>c3</t>
  </si>
  <si>
    <t>c3-aircross</t>
  </si>
  <si>
    <t>c3-picasso</t>
  </si>
  <si>
    <t>c4</t>
  </si>
  <si>
    <t>c4-cactus</t>
  </si>
  <si>
    <t>c4-picasso</t>
  </si>
  <si>
    <t>c5</t>
  </si>
  <si>
    <t>c5-aircross</t>
  </si>
  <si>
    <t>ds-3</t>
  </si>
  <si>
    <t>ds4</t>
  </si>
  <si>
    <t>grand-c4-picasso</t>
  </si>
  <si>
    <t>nemo</t>
  </si>
  <si>
    <t>xsara-picasso</t>
  </si>
  <si>
    <t>dacia</t>
  </si>
  <si>
    <t>duster</t>
  </si>
  <si>
    <t>logan</t>
  </si>
  <si>
    <t>sandero</t>
  </si>
  <si>
    <t>fiat</t>
  </si>
  <si>
    <t>124-spider</t>
  </si>
  <si>
    <t>500l</t>
  </si>
  <si>
    <t>500l-living</t>
  </si>
  <si>
    <t>500x</t>
  </si>
  <si>
    <t>bravo</t>
  </si>
  <si>
    <t>doblo</t>
  </si>
  <si>
    <t>freemont</t>
  </si>
  <si>
    <t>linea</t>
  </si>
  <si>
    <t>panda</t>
  </si>
  <si>
    <t>punto</t>
  </si>
  <si>
    <t>punto-evo</t>
  </si>
  <si>
    <t>qubo</t>
  </si>
  <si>
    <t>sedici</t>
  </si>
  <si>
    <t>tipo</t>
  </si>
  <si>
    <t>ford</t>
  </si>
  <si>
    <t>b-max</t>
  </si>
  <si>
    <t>c-max</t>
  </si>
  <si>
    <t>ecosport</t>
  </si>
  <si>
    <t>edge</t>
  </si>
  <si>
    <t>fiesta</t>
  </si>
  <si>
    <t>focus</t>
  </si>
  <si>
    <t>fusion</t>
  </si>
  <si>
    <t>galaxy</t>
  </si>
  <si>
    <t>grand-c-max</t>
  </si>
  <si>
    <t>ka</t>
  </si>
  <si>
    <t>kuga</t>
  </si>
  <si>
    <t>maverick</t>
  </si>
  <si>
    <t>mondeo</t>
  </si>
  <si>
    <t>mustang</t>
  </si>
  <si>
    <t>s-max</t>
  </si>
  <si>
    <t>tourneo-connect</t>
  </si>
  <si>
    <t>tourneo-courier</t>
  </si>
  <si>
    <t>honda</t>
  </si>
  <si>
    <t>accord</t>
  </si>
  <si>
    <t>civic</t>
  </si>
  <si>
    <t>cr-v</t>
  </si>
  <si>
    <t>hr-v</t>
  </si>
  <si>
    <t>jazz</t>
  </si>
  <si>
    <t>hyundai</t>
  </si>
  <si>
    <t>accent</t>
  </si>
  <si>
    <t>atos</t>
  </si>
  <si>
    <t>getz</t>
  </si>
  <si>
    <t>i-10</t>
  </si>
  <si>
    <t>i-20</t>
  </si>
  <si>
    <t>i-30</t>
  </si>
  <si>
    <t>ix-35</t>
  </si>
  <si>
    <t>kona</t>
  </si>
  <si>
    <t>matrix</t>
  </si>
  <si>
    <t>santa-fe</t>
  </si>
  <si>
    <t>tucson</t>
  </si>
  <si>
    <t>jeep</t>
  </si>
  <si>
    <t>cherokee</t>
  </si>
  <si>
    <t>compass</t>
  </si>
  <si>
    <t>grand-cherokee</t>
  </si>
  <si>
    <t>patriot</t>
  </si>
  <si>
    <t>renegade</t>
  </si>
  <si>
    <t>wrangler</t>
  </si>
  <si>
    <t>kia</t>
  </si>
  <si>
    <t>ceed</t>
  </si>
  <si>
    <t>picanto</t>
  </si>
  <si>
    <t>proceed</t>
  </si>
  <si>
    <t>rio</t>
  </si>
  <si>
    <t>sorento</t>
  </si>
  <si>
    <t>soul</t>
  </si>
  <si>
    <t>sportage</t>
  </si>
  <si>
    <t>stonic</t>
  </si>
  <si>
    <t>venga</t>
  </si>
  <si>
    <t>land-rover</t>
  </si>
  <si>
    <t>discovery</t>
  </si>
  <si>
    <t>discovery-sport</t>
  </si>
  <si>
    <t>freelander</t>
  </si>
  <si>
    <t>range-rover</t>
  </si>
  <si>
    <t>range-rover-evoque</t>
  </si>
  <si>
    <t>range-rover-sport</t>
  </si>
  <si>
    <t>range-rover-velar</t>
  </si>
  <si>
    <t>mazda</t>
  </si>
  <si>
    <t>cx-7</t>
  </si>
  <si>
    <t>mx-5</t>
  </si>
  <si>
    <t>mercedes-benz</t>
  </si>
  <si>
    <t>a-150</t>
  </si>
  <si>
    <t>a-160</t>
  </si>
  <si>
    <t>a-170</t>
  </si>
  <si>
    <t>a-180</t>
  </si>
  <si>
    <t>a-200</t>
  </si>
  <si>
    <t>a-220</t>
  </si>
  <si>
    <t>a-45-amg</t>
  </si>
  <si>
    <t>amg-gt</t>
  </si>
  <si>
    <t>b-150</t>
  </si>
  <si>
    <t>b-160</t>
  </si>
  <si>
    <t>b-170</t>
  </si>
  <si>
    <t>b-180</t>
  </si>
  <si>
    <t>b-200</t>
  </si>
  <si>
    <t>c-160</t>
  </si>
  <si>
    <t>c-180</t>
  </si>
  <si>
    <t>c-200</t>
  </si>
  <si>
    <t>c-220</t>
  </si>
  <si>
    <t>c-250</t>
  </si>
  <si>
    <t>c-280</t>
  </si>
  <si>
    <t>c-350</t>
  </si>
  <si>
    <t>c-63-amg</t>
  </si>
  <si>
    <t>cl-500</t>
  </si>
  <si>
    <t>cla-180</t>
  </si>
  <si>
    <t>cla-180-shooting-brake</t>
  </si>
  <si>
    <t>cla-200</t>
  </si>
  <si>
    <t>cla-220</t>
  </si>
  <si>
    <t>cla-250</t>
  </si>
  <si>
    <t>cla-45-amg</t>
  </si>
  <si>
    <t>clc-160</t>
  </si>
  <si>
    <t>clc-180</t>
  </si>
  <si>
    <t>cls-250</t>
  </si>
  <si>
    <t>cls-350</t>
  </si>
  <si>
    <t>cls-500</t>
  </si>
  <si>
    <t>cls-63-amg</t>
  </si>
  <si>
    <t>e-180</t>
  </si>
  <si>
    <t>e-200</t>
  </si>
  <si>
    <t>e-220</t>
  </si>
  <si>
    <t>e-250</t>
  </si>
  <si>
    <t>e-280</t>
  </si>
  <si>
    <t>e-300</t>
  </si>
  <si>
    <t>e-350</t>
  </si>
  <si>
    <t>g-350</t>
  </si>
  <si>
    <t>gla-180</t>
  </si>
  <si>
    <t>gla-200</t>
  </si>
  <si>
    <t>gla-220</t>
  </si>
  <si>
    <t>gla-250</t>
  </si>
  <si>
    <t>gla-45amg</t>
  </si>
  <si>
    <t>glc-220</t>
  </si>
  <si>
    <t>glc-250</t>
  </si>
  <si>
    <t>glc-coupe</t>
  </si>
  <si>
    <t>gle-250</t>
  </si>
  <si>
    <t>gle-350</t>
  </si>
  <si>
    <t>gle-63amg</t>
  </si>
  <si>
    <t>glk-220</t>
  </si>
  <si>
    <t>glk-280</t>
  </si>
  <si>
    <t>glk-300</t>
  </si>
  <si>
    <t>glk-350</t>
  </si>
  <si>
    <t>r-350</t>
  </si>
  <si>
    <t>s-300</t>
  </si>
  <si>
    <t>s-350</t>
  </si>
  <si>
    <t>s-400</t>
  </si>
  <si>
    <t>s-500</t>
  </si>
  <si>
    <t>sl-280</t>
  </si>
  <si>
    <t>sl-350</t>
  </si>
  <si>
    <t>slk-200</t>
  </si>
  <si>
    <t>slk-250</t>
  </si>
  <si>
    <t>v-250</t>
  </si>
  <si>
    <t>viano</t>
  </si>
  <si>
    <t>mini</t>
  </si>
  <si>
    <t>clubman</t>
  </si>
  <si>
    <t>cooper</t>
  </si>
  <si>
    <t>countryman</t>
  </si>
  <si>
    <t>one</t>
  </si>
  <si>
    <t>paceman</t>
  </si>
  <si>
    <t>mitsubishi</t>
  </si>
  <si>
    <t>asx</t>
  </si>
  <si>
    <t>colt</t>
  </si>
  <si>
    <t>eclipse-cross</t>
  </si>
  <si>
    <t>lancer</t>
  </si>
  <si>
    <t>outlander</t>
  </si>
  <si>
    <t>pajero</t>
  </si>
  <si>
    <t>space-star</t>
  </si>
  <si>
    <t>nissan</t>
  </si>
  <si>
    <t>350z</t>
  </si>
  <si>
    <t>370z</t>
  </si>
  <si>
    <t>evalia</t>
  </si>
  <si>
    <t>juke</t>
  </si>
  <si>
    <t>leaf</t>
  </si>
  <si>
    <t>micra</t>
  </si>
  <si>
    <t>note</t>
  </si>
  <si>
    <t>pathfinder</t>
  </si>
  <si>
    <t>pixo</t>
  </si>
  <si>
    <t>pulsar</t>
  </si>
  <si>
    <t>qashqai</t>
  </si>
  <si>
    <t>tiida</t>
  </si>
  <si>
    <t>x-trail</t>
  </si>
  <si>
    <t>opel</t>
  </si>
  <si>
    <t>adam</t>
  </si>
  <si>
    <t>agila</t>
  </si>
  <si>
    <t>antara</t>
  </si>
  <si>
    <t>astra</t>
  </si>
  <si>
    <t>combo</t>
  </si>
  <si>
    <t>corsa</t>
  </si>
  <si>
    <t>crossland-x</t>
  </si>
  <si>
    <t>grandland-x</t>
  </si>
  <si>
    <t>insignia</t>
  </si>
  <si>
    <t>meriva</t>
  </si>
  <si>
    <t>mokka</t>
  </si>
  <si>
    <t>tigra</t>
  </si>
  <si>
    <t>vectra</t>
  </si>
  <si>
    <t>zafira</t>
  </si>
  <si>
    <t>zafira-tourer</t>
  </si>
  <si>
    <t>peugeot</t>
  </si>
  <si>
    <t>partner</t>
  </si>
  <si>
    <t>rcz</t>
  </si>
  <si>
    <t>rifter</t>
  </si>
  <si>
    <t>traveller</t>
  </si>
  <si>
    <t>porsche</t>
  </si>
  <si>
    <t>boxster</t>
  </si>
  <si>
    <t>cayenne</t>
  </si>
  <si>
    <t>cayman</t>
  </si>
  <si>
    <t>panamera</t>
  </si>
  <si>
    <t>renault</t>
  </si>
  <si>
    <t>captur</t>
  </si>
  <si>
    <t>clio</t>
  </si>
  <si>
    <t>grand-scenic</t>
  </si>
  <si>
    <t>kadjar</t>
  </si>
  <si>
    <t>kangoo</t>
  </si>
  <si>
    <t>laguna</t>
  </si>
  <si>
    <t>megane</t>
  </si>
  <si>
    <t>scenic</t>
  </si>
  <si>
    <t>twingo</t>
  </si>
  <si>
    <t>seat</t>
  </si>
  <si>
    <t>altea</t>
  </si>
  <si>
    <t>arona</t>
  </si>
  <si>
    <t>ateca</t>
  </si>
  <si>
    <t>cordoba</t>
  </si>
  <si>
    <t>ibiza</t>
  </si>
  <si>
    <t>leon</t>
  </si>
  <si>
    <t>mii</t>
  </si>
  <si>
    <t>toledo</t>
  </si>
  <si>
    <t>skoda</t>
  </si>
  <si>
    <t>citigo</t>
  </si>
  <si>
    <t>fabia</t>
  </si>
  <si>
    <t>karoq</t>
  </si>
  <si>
    <t>kodiaq</t>
  </si>
  <si>
    <t>octavia</t>
  </si>
  <si>
    <t>rapid</t>
  </si>
  <si>
    <t>roomster</t>
  </si>
  <si>
    <t>scala</t>
  </si>
  <si>
    <t>superb</t>
  </si>
  <si>
    <t>yeti</t>
  </si>
  <si>
    <t>smart</t>
  </si>
  <si>
    <t>forfour</t>
  </si>
  <si>
    <t>fortwo</t>
  </si>
  <si>
    <t>subaru</t>
  </si>
  <si>
    <t>forester</t>
  </si>
  <si>
    <t>impreza</t>
  </si>
  <si>
    <t>justy</t>
  </si>
  <si>
    <t>legacy</t>
  </si>
  <si>
    <t>outback</t>
  </si>
  <si>
    <t>trezia</t>
  </si>
  <si>
    <t>tribeca</t>
  </si>
  <si>
    <t>xv</t>
  </si>
  <si>
    <t>suzuki</t>
  </si>
  <si>
    <t>alto</t>
  </si>
  <si>
    <t>baleno</t>
  </si>
  <si>
    <t>celerio</t>
  </si>
  <si>
    <t>grand-vitara</t>
  </si>
  <si>
    <t>ignis</t>
  </si>
  <si>
    <t>jimny</t>
  </si>
  <si>
    <t>splash</t>
  </si>
  <si>
    <t>swift</t>
  </si>
  <si>
    <t>sx4</t>
  </si>
  <si>
    <t>sx4-s-cross</t>
  </si>
  <si>
    <t>vitara</t>
  </si>
  <si>
    <t>toyota</t>
  </si>
  <si>
    <t>auris</t>
  </si>
  <si>
    <t>avensis</t>
  </si>
  <si>
    <t>aygo</t>
  </si>
  <si>
    <t>c-hr</t>
  </si>
  <si>
    <t>corolla</t>
  </si>
  <si>
    <t>corolla-verso</t>
  </si>
  <si>
    <t>gt86</t>
  </si>
  <si>
    <t>iq</t>
  </si>
  <si>
    <t>land-cruiser</t>
  </si>
  <si>
    <t>prius</t>
  </si>
  <si>
    <t>proace</t>
  </si>
  <si>
    <t>rav-4</t>
  </si>
  <si>
    <t>urban-cruiser</t>
  </si>
  <si>
    <t>verso</t>
  </si>
  <si>
    <t>verso-s</t>
  </si>
  <si>
    <t>yaris</t>
  </si>
  <si>
    <t>volkswagen</t>
  </si>
  <si>
    <t>arteon</t>
  </si>
  <si>
    <t>beetle-new</t>
  </si>
  <si>
    <t>cc</t>
  </si>
  <si>
    <t>eos</t>
  </si>
  <si>
    <t>fox</t>
  </si>
  <si>
    <t>golf</t>
  </si>
  <si>
    <t>golf-plus</t>
  </si>
  <si>
    <t>golf-sportsvan</t>
  </si>
  <si>
    <t>jetta</t>
  </si>
  <si>
    <t>passat</t>
  </si>
  <si>
    <t>passat-cc</t>
  </si>
  <si>
    <t>polo</t>
  </si>
  <si>
    <t>scirocco</t>
  </si>
  <si>
    <t>sharan</t>
  </si>
  <si>
    <t>t-cross</t>
  </si>
  <si>
    <t>t-roc</t>
  </si>
  <si>
    <t>tiguan</t>
  </si>
  <si>
    <t>touareg</t>
  </si>
  <si>
    <t>touran</t>
  </si>
  <si>
    <t>up</t>
  </si>
  <si>
    <t>volvo</t>
  </si>
  <si>
    <t>c30</t>
  </si>
  <si>
    <t>s40</t>
  </si>
  <si>
    <t>s60</t>
  </si>
  <si>
    <t>s80</t>
  </si>
  <si>
    <t>s90</t>
  </si>
  <si>
    <t>v40</t>
  </si>
  <si>
    <t>v40-cross-country</t>
  </si>
  <si>
    <t>v50</t>
  </si>
  <si>
    <t>v60</t>
  </si>
  <si>
    <t>v60-cross-country</t>
  </si>
  <si>
    <t>v90</t>
  </si>
  <si>
    <t>v90-cross-country</t>
  </si>
  <si>
    <t>xc-60</t>
  </si>
  <si>
    <t>xc-70</t>
  </si>
  <si>
    <t>xc-90</t>
  </si>
  <si>
    <t>xc40</t>
  </si>
  <si>
    <t>2y old car</t>
  </si>
  <si>
    <t>Avg. depr. Rate</t>
  </si>
  <si>
    <t>3y old car</t>
  </si>
  <si>
    <t>4y old car</t>
  </si>
  <si>
    <t>5y old car</t>
  </si>
  <si>
    <t>6y old car</t>
  </si>
  <si>
    <t>7y old car</t>
  </si>
  <si>
    <t>8y old car</t>
  </si>
  <si>
    <t>9y old car</t>
  </si>
  <si>
    <t>10y old car</t>
  </si>
  <si>
    <t>worst case scenario</t>
  </si>
  <si>
    <t>days</t>
  </si>
  <si>
    <t>weeks</t>
  </si>
  <si>
    <t>months</t>
  </si>
  <si>
    <t>best case scenario</t>
  </si>
  <si>
    <t>Car value following 2.5y of depreciation (16%)</t>
  </si>
  <si>
    <t>The current model assumes a total depreciation of 48% within 2.5 years for a used vehicle originally valued at €12,000. However, Greek market data shows that 2-4 years old used vehicles depreciate only 18%–13% in 2.5 years’ time period.</t>
  </si>
  <si>
    <t>It is argued that dealers may default on pre-agreed buy-back commitments, creating uncertainty. While this is a valid concern:</t>
  </si>
  <si>
    <t>If the dealer refuses or fails to buy the car, it can still be sold through alternative remarketing channels, potentially with a discount, so it does not invalidate the recovery strategy, it simply adjusts the expected recovery value.</t>
  </si>
  <si>
    <t>Scenario Comparison from Updated Excel Model</t>
  </si>
  <si>
    <t>Scenario</t>
  </si>
  <si>
    <t>Final Net Recovery (€)</t>
  </si>
  <si>
    <t>Dealer Buyback (Base Case)</t>
  </si>
  <si>
    <t>Alternative Sale (Adverse Case)</t>
  </si>
  <si>
    <t>The difference is €219, which is a further discount of 5% already accounted for in the residual value. The asset retains strong collateral value even under dealer default.</t>
  </si>
  <si>
    <t>Contrary to the argument that residual values are volatile and declining:</t>
  </si>
  <si>
    <t>In Greece, used ICE vehicle prices have increased steadily over the past 10 years, so there is no evidence, not in Greece but in all EU, that the rapidly evolving electric vehicle segment or for any other reason we should expect a downturn in used car prices.</t>
  </si>
  <si>
    <t>Between 2014 and 2024, average used car prices rose from €7k to over €11k.</t>
  </si>
  <si>
    <t>Restricted imports (due to taxation), supply shortages, and high domestic demand have created a resilient and appreciating used car market.</t>
  </si>
  <si>
    <t>B</t>
  </si>
  <si>
    <t>A</t>
  </si>
  <si>
    <r>
      <rPr>
        <b/>
        <sz val="11"/>
        <color theme="1"/>
        <rFont val="Aptos Narrow"/>
        <family val="2"/>
        <scheme val="minor"/>
      </rPr>
      <t>Dealer Counterparty Risk</t>
    </r>
    <r>
      <rPr>
        <sz val="11"/>
        <color theme="1"/>
        <rFont val="Aptos Narrow"/>
        <family val="2"/>
        <charset val="161"/>
        <scheme val="minor"/>
      </rPr>
      <t xml:space="preserve"> – valid concern, but manageable and not a core part of the initial loan underwriting risk assessment, which primarily focuses on the borrower's creditworthiness and ability to repay. </t>
    </r>
  </si>
  <si>
    <r>
      <t xml:space="preserve">Depreciation Rate </t>
    </r>
    <r>
      <rPr>
        <sz val="11"/>
        <color theme="1"/>
        <rFont val="Aptos Narrow"/>
        <family val="2"/>
        <scheme val="minor"/>
      </rPr>
      <t>- Overestimated</t>
    </r>
  </si>
  <si>
    <r>
      <rPr>
        <b/>
        <sz val="11"/>
        <color theme="1"/>
        <rFont val="Aptos Narrow"/>
        <family val="2"/>
        <scheme val="minor"/>
      </rPr>
      <t xml:space="preserve">Residual Value Risk </t>
    </r>
    <r>
      <rPr>
        <sz val="11"/>
        <color theme="1"/>
        <rFont val="Aptos Narrow"/>
        <family val="2"/>
        <charset val="161"/>
        <scheme val="minor"/>
      </rPr>
      <t>– Market Reality Contradicts the Claim</t>
    </r>
  </si>
  <si>
    <t>depr. Rates in  2,5 years'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</si>
</sst>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4" formatCode="0.0%"/>
    <numFmt numFmtId="175" formatCode="[$€-2]\ #,##0.00;[Red]\-[$€-2]\ #,##0.00"/>
  </numFmts>
  <fonts count="8" x14ac:knownFonts="1">
    <font>
      <sz val="11"/>
      <color theme="1"/>
      <name val="Aptos Narrow"/>
      <family val="2"/>
      <charset val="161"/>
      <scheme val="minor"/>
    </font>
    <font>
      <sz val="11"/>
      <color theme="1"/>
      <name val="Aptos Narrow"/>
      <family val="2"/>
      <charset val="161"/>
      <scheme val="minor"/>
    </font>
    <font>
      <b/>
      <sz val="11"/>
      <color theme="1"/>
      <name val="Aptos Narrow"/>
      <family val="2"/>
      <scheme val="minor"/>
    </font>
    <font>
      <sz val="11"/>
      <color theme="1"/>
      <name val="Aptos Narrow"/>
      <family val="2"/>
    </font>
    <font>
      <sz val="10"/>
      <color theme="1"/>
      <name val="Aptos Narrow"/>
      <family val="2"/>
      <charset val="161"/>
      <scheme val="minor"/>
    </font>
    <font>
      <b/>
      <sz val="10"/>
      <color theme="1"/>
      <name val="Aptos Narrow"/>
      <family val="2"/>
      <charset val="161"/>
      <scheme val="minor"/>
    </font>
    <font>
      <sz val="10"/>
      <name val="Arial"/>
      <family val="2"/>
      <charset val="161"/>
    </font>
    <font>
      <sz val="11"/>
      <color theme="1"/>
      <name val="Aptos Narrow"/>
      <family val="2"/>
      <scheme val="minor"/>
    </font>
  </fonts>
  <fills count="6">
    <fill>
      <patternFill patternType="none"/>
    </fill>
    <fill>
      <patternFill patternType="gray125"/>
    </fill>
    <fill>
      <patternFill patternType="solid">
        <fgColor rgb="FFB6D7A8"/>
        <bgColor rgb="FFB6D7A8"/>
      </patternFill>
    </fill>
    <fill>
      <patternFill patternType="solid">
        <fgColor rgb="FFFF9900"/>
        <bgColor rgb="FFFF9900"/>
      </patternFill>
    </fill>
    <fill>
      <patternFill patternType="solid">
        <fgColor theme="5" tint="0.79998168889431442"/>
        <bgColor indexed="64"/>
      </patternFill>
    </fill>
    <fill>
      <patternFill patternType="solid">
        <fgColor theme="1"/>
        <bgColor indexed="64"/>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50">
    <xf numFmtId="0" fontId="0" fillId="0" borderId="0" xfId="0"/>
    <xf numFmtId="0" fontId="2" fillId="0" borderId="0" xfId="0" applyFont="1"/>
    <xf numFmtId="9" fontId="2" fillId="0" borderId="0" xfId="0" applyNumberFormat="1" applyFont="1"/>
    <xf numFmtId="3" fontId="0" fillId="0" borderId="0" xfId="0" applyNumberFormat="1"/>
    <xf numFmtId="9" fontId="0" fillId="0" borderId="0" xfId="1" applyFont="1"/>
    <xf numFmtId="9" fontId="2" fillId="0" borderId="0" xfId="1" applyFont="1"/>
    <xf numFmtId="0" fontId="4" fillId="0" borderId="0" xfId="0" applyFont="1" applyAlignment="1">
      <alignment horizontal="left"/>
    </xf>
    <xf numFmtId="0" fontId="5" fillId="2" borderId="1" xfId="0" applyFont="1" applyFill="1" applyBorder="1" applyAlignment="1">
      <alignment horizontal="center"/>
    </xf>
    <xf numFmtId="0" fontId="6" fillId="0" borderId="2" xfId="0" applyFont="1" applyBorder="1"/>
    <xf numFmtId="0" fontId="6" fillId="0" borderId="3" xfId="0" applyFont="1" applyBorder="1"/>
    <xf numFmtId="0" fontId="4" fillId="2" borderId="1" xfId="0" applyFont="1" applyFill="1" applyBorder="1"/>
    <xf numFmtId="0" fontId="4" fillId="2" borderId="1" xfId="0" applyFont="1" applyFill="1" applyBorder="1" applyAlignment="1">
      <alignment horizontal="center"/>
    </xf>
    <xf numFmtId="0" fontId="4" fillId="2" borderId="4" xfId="0" applyFont="1" applyFill="1" applyBorder="1"/>
    <xf numFmtId="0" fontId="4" fillId="0" borderId="4" xfId="0" applyFont="1" applyBorder="1"/>
    <xf numFmtId="0" fontId="4" fillId="0" borderId="4" xfId="0" applyFont="1" applyBorder="1" applyAlignment="1">
      <alignment horizontal="left"/>
    </xf>
    <xf numFmtId="10" fontId="4" fillId="3" borderId="0" xfId="0" applyNumberFormat="1" applyFont="1" applyFill="1"/>
    <xf numFmtId="0" fontId="0" fillId="0" borderId="0" xfId="0" applyAlignment="1">
      <alignment horizontal="center"/>
    </xf>
    <xf numFmtId="10" fontId="0" fillId="0" borderId="0" xfId="0" applyNumberFormat="1" applyAlignment="1">
      <alignment horizontal="center"/>
    </xf>
    <xf numFmtId="0" fontId="2" fillId="0" borderId="0" xfId="0" applyFont="1" applyAlignment="1">
      <alignment horizontal="center"/>
    </xf>
    <xf numFmtId="0" fontId="0" fillId="4" borderId="0" xfId="0" applyFill="1"/>
    <xf numFmtId="0" fontId="2" fillId="4" borderId="0" xfId="0" applyFont="1" applyFill="1" applyAlignment="1">
      <alignment horizontal="center"/>
    </xf>
    <xf numFmtId="0" fontId="0" fillId="0" borderId="0" xfId="0" applyAlignment="1">
      <alignment horizontal="center"/>
    </xf>
    <xf numFmtId="0" fontId="0" fillId="4" borderId="5" xfId="0" applyFill="1" applyBorder="1"/>
    <xf numFmtId="9" fontId="2" fillId="4" borderId="7" xfId="0" applyNumberFormat="1" applyFont="1" applyFill="1" applyBorder="1" applyAlignment="1">
      <alignment horizontal="center"/>
    </xf>
    <xf numFmtId="174" fontId="0" fillId="0" borderId="0" xfId="1" applyNumberFormat="1" applyFont="1"/>
    <xf numFmtId="0" fontId="0" fillId="4" borderId="10" xfId="0" applyFill="1" applyBorder="1"/>
    <xf numFmtId="175" fontId="0" fillId="4" borderId="11" xfId="0" applyNumberFormat="1" applyFill="1" applyBorder="1"/>
    <xf numFmtId="0" fontId="0" fillId="4" borderId="12" xfId="0" applyFill="1" applyBorder="1"/>
    <xf numFmtId="175" fontId="0" fillId="4" borderId="13" xfId="0" applyNumberFormat="1" applyFill="1" applyBorder="1"/>
    <xf numFmtId="0" fontId="2" fillId="4" borderId="5" xfId="0" applyFont="1" applyFill="1" applyBorder="1"/>
    <xf numFmtId="0" fontId="2" fillId="4" borderId="7" xfId="0" applyFont="1" applyFill="1" applyBorder="1"/>
    <xf numFmtId="9" fontId="2" fillId="4" borderId="0" xfId="0" applyNumberFormat="1" applyFont="1" applyFill="1"/>
    <xf numFmtId="3" fontId="0" fillId="4" borderId="0" xfId="0" applyNumberFormat="1" applyFill="1"/>
    <xf numFmtId="9" fontId="0" fillId="4" borderId="0" xfId="1" applyFont="1" applyFill="1"/>
    <xf numFmtId="3" fontId="2" fillId="4" borderId="6" xfId="0" applyNumberFormat="1" applyFont="1" applyFill="1" applyBorder="1"/>
    <xf numFmtId="3" fontId="2" fillId="4" borderId="7" xfId="0" applyNumberFormat="1" applyFont="1" applyFill="1" applyBorder="1"/>
    <xf numFmtId="0" fontId="2" fillId="4" borderId="9" xfId="0" applyFont="1" applyFill="1" applyBorder="1"/>
    <xf numFmtId="0" fontId="0" fillId="4" borderId="11" xfId="0" applyFill="1" applyBorder="1"/>
    <xf numFmtId="1" fontId="0" fillId="4" borderId="10" xfId="0" applyNumberFormat="1" applyFill="1" applyBorder="1"/>
    <xf numFmtId="0" fontId="2" fillId="4" borderId="11" xfId="0" applyFont="1" applyFill="1" applyBorder="1"/>
    <xf numFmtId="1" fontId="0" fillId="4" borderId="12" xfId="0" applyNumberFormat="1" applyFill="1" applyBorder="1"/>
    <xf numFmtId="0" fontId="0" fillId="4" borderId="13" xfId="0" applyFill="1" applyBorder="1"/>
    <xf numFmtId="0" fontId="2" fillId="4" borderId="10" xfId="0" applyFont="1" applyFill="1" applyBorder="1"/>
    <xf numFmtId="0" fontId="2" fillId="4" borderId="8" xfId="0" applyFont="1" applyFill="1" applyBorder="1"/>
    <xf numFmtId="0" fontId="0" fillId="5" borderId="10" xfId="0" applyFill="1" applyBorder="1"/>
    <xf numFmtId="0" fontId="0" fillId="5" borderId="11" xfId="0" applyFill="1" applyBorder="1"/>
    <xf numFmtId="9" fontId="2" fillId="4" borderId="5" xfId="1" applyFont="1" applyFill="1" applyBorder="1"/>
    <xf numFmtId="9" fontId="2" fillId="4" borderId="6" xfId="1" applyFont="1" applyFill="1" applyBorder="1"/>
    <xf numFmtId="9" fontId="2" fillId="4" borderId="7" xfId="1" applyFont="1" applyFill="1" applyBorder="1"/>
    <xf numFmtId="0" fontId="7"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274320</xdr:colOff>
      <xdr:row>0</xdr:row>
      <xdr:rowOff>83821</xdr:rowOff>
    </xdr:from>
    <xdr:to>
      <xdr:col>9</xdr:col>
      <xdr:colOff>106779</xdr:colOff>
      <xdr:row>24</xdr:row>
      <xdr:rowOff>7621</xdr:rowOff>
    </xdr:to>
    <xdr:pic>
      <xdr:nvPicPr>
        <xdr:cNvPr id="3" name="Picture 2">
          <a:extLst>
            <a:ext uri="{FF2B5EF4-FFF2-40B4-BE49-F238E27FC236}">
              <a16:creationId xmlns:a16="http://schemas.microsoft.com/office/drawing/2014/main" id="{5081442C-38B2-78A9-E587-2215E894C6AF}"/>
            </a:ext>
          </a:extLst>
        </xdr:cNvPr>
        <xdr:cNvPicPr>
          <a:picLocks noChangeAspect="1"/>
        </xdr:cNvPicPr>
      </xdr:nvPicPr>
      <xdr:blipFill>
        <a:blip xmlns:r="http://schemas.openxmlformats.org/officeDocument/2006/relationships" r:embed="rId1"/>
        <a:stretch>
          <a:fillRect/>
        </a:stretch>
      </xdr:blipFill>
      <xdr:spPr>
        <a:xfrm>
          <a:off x="274320" y="83821"/>
          <a:ext cx="5318859" cy="43281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CB89F-3B73-4E8B-8B24-EF64370BA935}">
  <dimension ref="A1:B17"/>
  <sheetViews>
    <sheetView workbookViewId="0">
      <selection activeCell="A13" sqref="A13"/>
    </sheetView>
  </sheetViews>
  <sheetFormatPr defaultRowHeight="14.4" x14ac:dyDescent="0.3"/>
  <cols>
    <col min="1" max="1" width="31.44140625" customWidth="1"/>
    <col min="2" max="2" width="19.33203125" customWidth="1"/>
  </cols>
  <sheetData>
    <row r="1" spans="1:2" x14ac:dyDescent="0.3">
      <c r="A1" s="1" t="s">
        <v>434</v>
      </c>
    </row>
    <row r="2" spans="1:2" x14ac:dyDescent="0.3">
      <c r="A2" t="s">
        <v>418</v>
      </c>
    </row>
    <row r="4" spans="1:2" x14ac:dyDescent="0.3">
      <c r="A4" s="49" t="s">
        <v>433</v>
      </c>
    </row>
    <row r="5" spans="1:2" x14ac:dyDescent="0.3">
      <c r="A5" t="s">
        <v>419</v>
      </c>
    </row>
    <row r="6" spans="1:2" x14ac:dyDescent="0.3">
      <c r="A6" t="s">
        <v>420</v>
      </c>
    </row>
    <row r="7" spans="1:2" ht="15" thickBot="1" x14ac:dyDescent="0.35">
      <c r="A7" t="s">
        <v>421</v>
      </c>
    </row>
    <row r="8" spans="1:2" ht="15" thickBot="1" x14ac:dyDescent="0.35">
      <c r="A8" s="29" t="s">
        <v>422</v>
      </c>
      <c r="B8" s="30" t="s">
        <v>423</v>
      </c>
    </row>
    <row r="9" spans="1:2" x14ac:dyDescent="0.3">
      <c r="A9" s="25" t="s">
        <v>424</v>
      </c>
      <c r="B9" s="26">
        <v>4.3609999999999998</v>
      </c>
    </row>
    <row r="10" spans="1:2" ht="15" thickBot="1" x14ac:dyDescent="0.35">
      <c r="A10" s="27" t="s">
        <v>425</v>
      </c>
      <c r="B10" s="28">
        <v>4.1420000000000003</v>
      </c>
    </row>
    <row r="11" spans="1:2" x14ac:dyDescent="0.3">
      <c r="A11" t="s">
        <v>426</v>
      </c>
    </row>
    <row r="13" spans="1:2" x14ac:dyDescent="0.3">
      <c r="A13" s="49" t="s">
        <v>435</v>
      </c>
    </row>
    <row r="14" spans="1:2" x14ac:dyDescent="0.3">
      <c r="A14" t="s">
        <v>427</v>
      </c>
    </row>
    <row r="15" spans="1:2" x14ac:dyDescent="0.3">
      <c r="A15" t="s">
        <v>428</v>
      </c>
    </row>
    <row r="16" spans="1:2" x14ac:dyDescent="0.3">
      <c r="A16" t="s">
        <v>429</v>
      </c>
    </row>
    <row r="17" spans="1:1" x14ac:dyDescent="0.3">
      <c r="A17" t="s">
        <v>430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0E10A-6922-44B2-9F4E-079A63EA6B72}">
  <dimension ref="A1:H21"/>
  <sheetViews>
    <sheetView workbookViewId="0">
      <selection activeCell="A11" sqref="A11"/>
    </sheetView>
  </sheetViews>
  <sheetFormatPr defaultRowHeight="14.4" x14ac:dyDescent="0.3"/>
  <cols>
    <col min="1" max="1" width="49.33203125" bestFit="1" customWidth="1"/>
    <col min="2" max="4" width="11.33203125" bestFit="1" customWidth="1"/>
    <col min="5" max="5" width="39.109375" bestFit="1" customWidth="1"/>
    <col min="6" max="8" width="11.33203125" bestFit="1" customWidth="1"/>
  </cols>
  <sheetData>
    <row r="1" spans="1:8" x14ac:dyDescent="0.3">
      <c r="A1" s="1" t="s">
        <v>0</v>
      </c>
      <c r="B1" s="2">
        <v>0.25</v>
      </c>
      <c r="C1" s="2">
        <v>0</v>
      </c>
      <c r="D1" s="2">
        <v>0.15</v>
      </c>
      <c r="E1" s="19"/>
      <c r="F1" s="31">
        <v>0.25</v>
      </c>
      <c r="G1" s="31">
        <v>0</v>
      </c>
      <c r="H1" s="31">
        <v>0.15</v>
      </c>
    </row>
    <row r="2" spans="1:8" ht="15" thickBot="1" x14ac:dyDescent="0.35">
      <c r="A2" t="s">
        <v>1</v>
      </c>
      <c r="B2" s="3">
        <v>12000</v>
      </c>
      <c r="C2" s="3">
        <v>12000</v>
      </c>
      <c r="D2" s="3">
        <v>12000</v>
      </c>
      <c r="E2" s="19"/>
      <c r="F2" s="32">
        <v>12000</v>
      </c>
      <c r="G2" s="32">
        <v>12000</v>
      </c>
      <c r="H2" s="32">
        <v>12000</v>
      </c>
    </row>
    <row r="3" spans="1:8" ht="15" thickBot="1" x14ac:dyDescent="0.35">
      <c r="A3" t="s">
        <v>2</v>
      </c>
      <c r="B3" s="3">
        <f>B2*0.65</f>
        <v>7800</v>
      </c>
      <c r="C3" s="3">
        <f>C2*0.65</f>
        <v>7800</v>
      </c>
      <c r="D3" s="3">
        <f>D2*0.65</f>
        <v>7800</v>
      </c>
      <c r="E3" s="29" t="s">
        <v>417</v>
      </c>
      <c r="F3" s="34">
        <f>F2*0.84</f>
        <v>10080</v>
      </c>
      <c r="G3" s="34">
        <f>G2*0.84</f>
        <v>10080</v>
      </c>
      <c r="H3" s="35">
        <f>H2*0.84</f>
        <v>10080</v>
      </c>
    </row>
    <row r="4" spans="1:8" x14ac:dyDescent="0.3">
      <c r="A4" t="s">
        <v>3</v>
      </c>
      <c r="B4" s="3">
        <f>B3*0.8</f>
        <v>6240</v>
      </c>
      <c r="C4" s="3">
        <f>C3*0.8</f>
        <v>6240</v>
      </c>
      <c r="D4" s="3">
        <f>D3*0.8</f>
        <v>6240</v>
      </c>
      <c r="E4" s="19"/>
      <c r="F4" s="32">
        <f>F3*0.8</f>
        <v>8064</v>
      </c>
      <c r="G4" s="32">
        <f>G3*0.8</f>
        <v>8064</v>
      </c>
      <c r="H4" s="32">
        <f>H3*0.8</f>
        <v>8064</v>
      </c>
    </row>
    <row r="5" spans="1:8" x14ac:dyDescent="0.3">
      <c r="A5" t="s">
        <v>4</v>
      </c>
      <c r="B5" s="3">
        <f>B4-1500</f>
        <v>4740</v>
      </c>
      <c r="C5" s="3">
        <f>C4-1500</f>
        <v>4740</v>
      </c>
      <c r="D5" s="3">
        <f>D4-1500</f>
        <v>4740</v>
      </c>
      <c r="E5" s="19"/>
      <c r="F5" s="32">
        <f>F4-1500</f>
        <v>6564</v>
      </c>
      <c r="G5" s="32">
        <f>G4-1500</f>
        <v>6564</v>
      </c>
      <c r="H5" s="32">
        <f>H4-1500</f>
        <v>6564</v>
      </c>
    </row>
    <row r="6" spans="1:8" x14ac:dyDescent="0.3">
      <c r="A6" t="s">
        <v>5</v>
      </c>
      <c r="B6" s="3">
        <f>B5*0.92</f>
        <v>4360.8</v>
      </c>
      <c r="C6" s="3">
        <f t="shared" ref="C6:D6" si="0">C5*0.92</f>
        <v>4360.8</v>
      </c>
      <c r="D6" s="3">
        <f t="shared" si="0"/>
        <v>4360.8</v>
      </c>
      <c r="E6" s="19"/>
      <c r="F6" s="32">
        <f>F5*0.92</f>
        <v>6038.88</v>
      </c>
      <c r="G6" s="32">
        <f t="shared" ref="G6:H6" si="1">G5*0.92</f>
        <v>6038.88</v>
      </c>
      <c r="H6" s="32">
        <f t="shared" si="1"/>
        <v>6038.88</v>
      </c>
    </row>
    <row r="7" spans="1:8" x14ac:dyDescent="0.3">
      <c r="A7" t="s">
        <v>6</v>
      </c>
      <c r="B7" s="3">
        <f>B6*0.85</f>
        <v>3706.68</v>
      </c>
      <c r="C7" s="3">
        <f>C6*0.85</f>
        <v>3706.68</v>
      </c>
      <c r="D7" s="3">
        <f>D6*0.85</f>
        <v>3706.68</v>
      </c>
      <c r="E7" s="19"/>
      <c r="F7" s="32">
        <f>F6*0.85</f>
        <v>5133.0479999999998</v>
      </c>
      <c r="G7" s="32">
        <f>G6*0.85</f>
        <v>5133.0479999999998</v>
      </c>
      <c r="H7" s="32">
        <f>H6*0.85</f>
        <v>5133.0479999999998</v>
      </c>
    </row>
    <row r="8" spans="1:8" x14ac:dyDescent="0.3">
      <c r="A8" t="s">
        <v>7</v>
      </c>
      <c r="B8" s="4">
        <f>B7/B14</f>
        <v>0.49668232188886324</v>
      </c>
      <c r="C8" s="4">
        <f>C7/C2</f>
        <v>0.30889</v>
      </c>
      <c r="D8" s="4">
        <f>D7/D14</f>
        <v>0.43824910754899704</v>
      </c>
      <c r="E8" s="19"/>
      <c r="F8" s="33">
        <f>F7/F14</f>
        <v>0.68781070904609676</v>
      </c>
      <c r="G8" s="33">
        <f>G7/G2</f>
        <v>0.42775399999999997</v>
      </c>
      <c r="H8" s="33">
        <f>H7/H14</f>
        <v>0.60689180209949722</v>
      </c>
    </row>
    <row r="9" spans="1:8" ht="15" thickBot="1" x14ac:dyDescent="0.35">
      <c r="A9" t="s">
        <v>11</v>
      </c>
      <c r="B9" s="4">
        <f>B8/(1+2%)^2</f>
        <v>0.47739554199237144</v>
      </c>
      <c r="C9" s="4">
        <f>C8/(1+2%)^2</f>
        <v>0.29689542483660131</v>
      </c>
      <c r="D9" s="4">
        <f>D8/(1+2%)^2</f>
        <v>0.42123136058150429</v>
      </c>
      <c r="E9" s="19"/>
      <c r="F9" s="33">
        <f>F8/(1+2%)^2</f>
        <v>0.66110218093627138</v>
      </c>
      <c r="G9" s="33">
        <f>G8/(1+2%)^2</f>
        <v>0.41114379084967317</v>
      </c>
      <c r="H9" s="33">
        <f>H8/(1+2%)^2</f>
        <v>0.58332545376729839</v>
      </c>
    </row>
    <row r="10" spans="1:8" ht="15" thickBot="1" x14ac:dyDescent="0.35">
      <c r="A10" s="1" t="s">
        <v>12</v>
      </c>
      <c r="B10" s="5">
        <f>1-B9</f>
        <v>0.52260445800762856</v>
      </c>
      <c r="C10" s="5">
        <f>1-C9</f>
        <v>0.70310457516339864</v>
      </c>
      <c r="D10" s="5">
        <f>1-D9</f>
        <v>0.57876863941849566</v>
      </c>
      <c r="E10" s="19"/>
      <c r="F10" s="46">
        <f>1-F9</f>
        <v>0.33889781906372862</v>
      </c>
      <c r="G10" s="47">
        <f>1-G9</f>
        <v>0.58885620915032688</v>
      </c>
      <c r="H10" s="48">
        <f>1-H9</f>
        <v>0.41667454623270161</v>
      </c>
    </row>
    <row r="11" spans="1:8" x14ac:dyDescent="0.3">
      <c r="B11" s="3"/>
      <c r="C11" s="3"/>
      <c r="D11" s="3"/>
      <c r="E11" s="19"/>
      <c r="F11" s="32"/>
      <c r="G11" s="32"/>
      <c r="H11" s="32"/>
    </row>
    <row r="12" spans="1:8" x14ac:dyDescent="0.3">
      <c r="A12" t="s">
        <v>9</v>
      </c>
      <c r="B12" s="3">
        <f>CUMPRINC(9%/12,60,12000*0.75,1,14,0)</f>
        <v>-1754.4865440022966</v>
      </c>
      <c r="C12" s="3">
        <f>CUMPRINC(9%/12,60,12000,1,14,0)</f>
        <v>-2339.3153920030622</v>
      </c>
      <c r="D12" s="3">
        <f>CUMPRINC(9%/12,60,12000*0.85,1,14,0)</f>
        <v>-1988.4180832026027</v>
      </c>
      <c r="E12" s="19"/>
      <c r="F12" s="32">
        <f>CUMPRINC(9%/12,60,12000*0.75,1,14,0)</f>
        <v>-1754.4865440022966</v>
      </c>
      <c r="G12" s="32">
        <f>CUMPRINC(9%/12,60,12000,1,14,0)</f>
        <v>-2339.3153920030622</v>
      </c>
      <c r="H12" s="32">
        <f>CUMPRINC(9%/12,60,12000*0.85,1,14,0)</f>
        <v>-1988.4180832026027</v>
      </c>
    </row>
    <row r="13" spans="1:8" x14ac:dyDescent="0.3">
      <c r="A13" t="s">
        <v>10</v>
      </c>
      <c r="B13" s="3">
        <f>12000*0.75+B12</f>
        <v>7245.5134559977032</v>
      </c>
      <c r="C13" s="3">
        <f>12000+C12</f>
        <v>9660.6846079969382</v>
      </c>
      <c r="D13" s="3">
        <f>12000*0.85+D12</f>
        <v>8211.5819167973968</v>
      </c>
      <c r="E13" s="19"/>
      <c r="F13" s="32">
        <f>12000*0.75+F12</f>
        <v>7245.5134559977032</v>
      </c>
      <c r="G13" s="32">
        <f>12000+G12</f>
        <v>9660.6846079969382</v>
      </c>
      <c r="H13" s="32">
        <f>12000*0.85+H12</f>
        <v>8211.5819167973968</v>
      </c>
    </row>
    <row r="14" spans="1:8" x14ac:dyDescent="0.3">
      <c r="A14" t="s">
        <v>8</v>
      </c>
      <c r="B14" s="3">
        <f>B13*(1+3%)</f>
        <v>7462.8788596776349</v>
      </c>
      <c r="C14" s="3">
        <f>C13*(1+3%)</f>
        <v>9950.5051462368465</v>
      </c>
      <c r="D14" s="3">
        <f>D13*(1+3%)</f>
        <v>8457.9293743013186</v>
      </c>
      <c r="E14" s="19"/>
      <c r="F14" s="32">
        <f>F13*(1+3%)</f>
        <v>7462.8788596776349</v>
      </c>
      <c r="G14" s="32">
        <f>G13*(1+3%)</f>
        <v>9950.5051462368465</v>
      </c>
      <c r="H14" s="32">
        <f>H13*(1+3%)</f>
        <v>8457.9293743013186</v>
      </c>
    </row>
    <row r="20" spans="5:6" x14ac:dyDescent="0.3">
      <c r="F20" s="3"/>
    </row>
    <row r="21" spans="5:6" x14ac:dyDescent="0.3">
      <c r="E21" s="24"/>
    </row>
  </sheetData>
  <pageMargins left="0.7" right="0.7" top="0.75" bottom="0.75" header="0.3" footer="0.3"/>
  <ignoredErrors>
    <ignoredError sqref="G8 C8"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146D2-3F03-48B7-87C2-A0EFACC3E0BB}">
  <dimension ref="A1:AA908"/>
  <sheetViews>
    <sheetView topLeftCell="H1" workbookViewId="0">
      <selection activeCell="S6" sqref="S6"/>
    </sheetView>
  </sheetViews>
  <sheetFormatPr defaultColWidth="12.6640625" defaultRowHeight="14.4" x14ac:dyDescent="0.3"/>
  <cols>
    <col min="1" max="1" width="12.6640625" bestFit="1" customWidth="1"/>
    <col min="2" max="2" width="19.109375" bestFit="1" customWidth="1"/>
    <col min="3" max="3" width="8.77734375" customWidth="1"/>
    <col min="4" max="17" width="7.6640625" customWidth="1"/>
    <col min="18" max="18" width="12.88671875" bestFit="1" customWidth="1"/>
    <col min="19" max="19" width="12.6640625" style="16"/>
  </cols>
  <sheetData>
    <row r="1" spans="1:27" ht="15" thickBot="1" x14ac:dyDescent="0.35">
      <c r="B1" s="6"/>
      <c r="C1" s="7" t="s">
        <v>13</v>
      </c>
      <c r="D1" s="8"/>
      <c r="E1" s="8"/>
      <c r="F1" s="8"/>
      <c r="G1" s="8"/>
      <c r="H1" s="8"/>
      <c r="I1" s="8"/>
      <c r="J1" s="8"/>
      <c r="K1" s="8"/>
      <c r="L1" s="8"/>
      <c r="M1" s="8"/>
      <c r="N1" s="8"/>
      <c r="O1" s="8"/>
      <c r="P1" s="8"/>
      <c r="Q1" s="9"/>
      <c r="R1" s="19"/>
      <c r="S1" s="20" t="s">
        <v>436</v>
      </c>
      <c r="T1" s="21"/>
      <c r="U1" s="21"/>
      <c r="V1" s="21"/>
      <c r="W1" s="19"/>
      <c r="X1" s="19"/>
      <c r="Y1" s="19"/>
      <c r="Z1" s="19"/>
      <c r="AA1" s="19"/>
    </row>
    <row r="2" spans="1:27" ht="15" hidden="1" thickBot="1" x14ac:dyDescent="0.35">
      <c r="B2" s="6"/>
      <c r="C2" s="10" t="s">
        <v>14</v>
      </c>
      <c r="D2" s="8"/>
      <c r="E2" s="8"/>
      <c r="F2" s="8"/>
      <c r="G2" s="8"/>
      <c r="H2" s="8"/>
      <c r="I2" s="8"/>
      <c r="J2" s="8"/>
      <c r="K2" s="8"/>
      <c r="L2" s="8"/>
      <c r="M2" s="8"/>
      <c r="N2" s="8"/>
      <c r="O2" s="8"/>
      <c r="P2" s="8"/>
      <c r="Q2" s="9"/>
    </row>
    <row r="3" spans="1:27" ht="15" thickBot="1" x14ac:dyDescent="0.35">
      <c r="B3" s="6"/>
      <c r="C3" s="11" t="s">
        <v>15</v>
      </c>
      <c r="D3" s="8"/>
      <c r="E3" s="8"/>
      <c r="F3" s="8"/>
      <c r="G3" s="8"/>
      <c r="H3" s="8"/>
      <c r="I3" s="8"/>
      <c r="J3" s="8"/>
      <c r="K3" s="8"/>
      <c r="L3" s="8"/>
      <c r="M3" s="8"/>
      <c r="N3" s="8"/>
      <c r="O3" s="8"/>
      <c r="P3" s="8"/>
      <c r="Q3" s="8"/>
      <c r="R3" s="22" t="s">
        <v>403</v>
      </c>
      <c r="S3" s="23">
        <f>+AVERAGE(S5:S408)</f>
        <v>-0.18377490147253864</v>
      </c>
      <c r="T3" s="23">
        <f t="shared" ref="T3:V3" si="0">+AVERAGE(T5:T408)</f>
        <v>-0.16739513506709452</v>
      </c>
      <c r="U3" s="23">
        <f t="shared" si="0"/>
        <v>-0.1274262640091319</v>
      </c>
      <c r="V3" s="23">
        <f t="shared" si="0"/>
        <v>-0.11666173138390863</v>
      </c>
      <c r="W3" s="23">
        <f t="shared" ref="W3:AA3" si="1">+AVERAGE(W5:W408)</f>
        <v>-0.10266221984898061</v>
      </c>
      <c r="X3" s="23">
        <f t="shared" si="1"/>
        <v>-0.10111863777776865</v>
      </c>
      <c r="Y3" s="23">
        <f t="shared" si="1"/>
        <v>-8.8920349654551326E-2</v>
      </c>
      <c r="Z3" s="23">
        <f t="shared" si="1"/>
        <v>-7.0190189667019162E-2</v>
      </c>
      <c r="AA3" s="23">
        <f t="shared" si="1"/>
        <v>-6.1865281740368455E-2</v>
      </c>
    </row>
    <row r="4" spans="1:27" x14ac:dyDescent="0.3">
      <c r="B4" s="6"/>
      <c r="C4" s="12">
        <v>1</v>
      </c>
      <c r="D4" s="12">
        <v>2</v>
      </c>
      <c r="E4" s="12">
        <v>3</v>
      </c>
      <c r="F4" s="12">
        <v>4</v>
      </c>
      <c r="G4" s="12">
        <v>5</v>
      </c>
      <c r="H4" s="12">
        <v>6</v>
      </c>
      <c r="I4" s="12">
        <v>7</v>
      </c>
      <c r="J4" s="12">
        <v>8</v>
      </c>
      <c r="K4" s="12">
        <v>9</v>
      </c>
      <c r="L4" s="12">
        <v>10</v>
      </c>
      <c r="M4" s="12">
        <v>11</v>
      </c>
      <c r="N4" s="12">
        <v>12</v>
      </c>
      <c r="O4" s="12">
        <v>13</v>
      </c>
      <c r="P4" s="12">
        <v>14</v>
      </c>
      <c r="Q4" s="12">
        <v>15</v>
      </c>
      <c r="S4" s="18" t="s">
        <v>402</v>
      </c>
      <c r="T4" s="18" t="s">
        <v>404</v>
      </c>
      <c r="U4" s="18" t="s">
        <v>405</v>
      </c>
      <c r="V4" s="18" t="s">
        <v>406</v>
      </c>
      <c r="W4" s="18" t="s">
        <v>407</v>
      </c>
      <c r="X4" s="18" t="s">
        <v>408</v>
      </c>
      <c r="Y4" s="18" t="s">
        <v>409</v>
      </c>
      <c r="Z4" s="18" t="s">
        <v>410</v>
      </c>
      <c r="AA4" s="18" t="s">
        <v>411</v>
      </c>
    </row>
    <row r="5" spans="1:27" x14ac:dyDescent="0.3">
      <c r="A5" s="13" t="s">
        <v>16</v>
      </c>
      <c r="B5" s="14">
        <v>147</v>
      </c>
      <c r="C5" s="15">
        <v>-0.12761867064334756</v>
      </c>
      <c r="D5" s="15">
        <v>-0.22595301856042571</v>
      </c>
      <c r="E5" s="15">
        <v>-0.3204933303826043</v>
      </c>
      <c r="F5" s="15">
        <v>-0.40048038450063939</v>
      </c>
      <c r="G5" s="15">
        <v>-0.46791682636962195</v>
      </c>
      <c r="H5" s="15">
        <v>-0.5248053014446431</v>
      </c>
      <c r="I5" s="15">
        <v>-0.57314845518079371</v>
      </c>
      <c r="J5" s="15">
        <v>-0.61494893303316456</v>
      </c>
      <c r="K5" s="15">
        <v>-0.65220938045684684</v>
      </c>
      <c r="L5" s="15">
        <v>-0.68693244290693134</v>
      </c>
      <c r="M5" s="15">
        <v>-0.72112076583850926</v>
      </c>
      <c r="N5" s="15">
        <v>-0.75677699470667137</v>
      </c>
      <c r="O5" s="15">
        <v>-0.79590377496650822</v>
      </c>
      <c r="P5" s="15">
        <v>-0.84050375207311168</v>
      </c>
      <c r="Q5" s="15">
        <v>-0.89257957148157185</v>
      </c>
      <c r="S5" s="17">
        <f>+(G5-D5)/3*2.5</f>
        <v>-0.20163650650766352</v>
      </c>
      <c r="T5" s="17">
        <f t="shared" ref="T5:AA20" si="2">+(H5-E5)/3*2.5</f>
        <v>-0.17025997588503233</v>
      </c>
      <c r="U5" s="17">
        <f t="shared" si="2"/>
        <v>-0.1438900589001286</v>
      </c>
      <c r="V5" s="17">
        <f t="shared" si="2"/>
        <v>-0.12252675555295217</v>
      </c>
      <c r="W5" s="17">
        <f t="shared" si="2"/>
        <v>-0.10617006584350311</v>
      </c>
      <c r="X5" s="17">
        <f t="shared" si="2"/>
        <v>-9.4819989771781354E-2</v>
      </c>
      <c r="Y5" s="17">
        <f t="shared" si="2"/>
        <v>-8.8476527337787242E-2</v>
      </c>
      <c r="Z5" s="17">
        <f t="shared" si="2"/>
        <v>-8.7139678541520438E-2</v>
      </c>
      <c r="AA5" s="17">
        <f t="shared" si="2"/>
        <v>-9.080944338298072E-2</v>
      </c>
    </row>
    <row r="6" spans="1:27" x14ac:dyDescent="0.3">
      <c r="A6" s="13" t="s">
        <v>16</v>
      </c>
      <c r="B6" s="14">
        <v>159</v>
      </c>
      <c r="C6" s="15">
        <v>-0.12765568175341166</v>
      </c>
      <c r="D6" s="15">
        <v>-0.2262276110720095</v>
      </c>
      <c r="E6" s="15">
        <v>-0.32119250546194467</v>
      </c>
      <c r="F6" s="15">
        <v>-0.40173892201438149</v>
      </c>
      <c r="G6" s="15">
        <v>-0.46982098599582511</v>
      </c>
      <c r="H6" s="15">
        <v>-0.52739282267278076</v>
      </c>
      <c r="I6" s="15">
        <v>-0.57640855731175389</v>
      </c>
      <c r="J6" s="15">
        <v>-0.61882231517924968</v>
      </c>
      <c r="K6" s="15">
        <v>-0.65658822154177332</v>
      </c>
      <c r="L6" s="15">
        <v>-0.69166040166583043</v>
      </c>
      <c r="M6" s="15">
        <v>-0.72599298081792629</v>
      </c>
      <c r="N6" s="15">
        <v>-0.76154008426456543</v>
      </c>
      <c r="O6" s="15">
        <v>-0.80025583727225402</v>
      </c>
      <c r="P6" s="15">
        <v>-0.84409436510749702</v>
      </c>
      <c r="Q6" s="15">
        <v>-0.89500979303679984</v>
      </c>
      <c r="S6" s="17">
        <f t="shared" ref="S6:S69" si="3">+(G6-D6)/3*2.5</f>
        <v>-0.20299447910317969</v>
      </c>
      <c r="T6" s="17">
        <f t="shared" si="2"/>
        <v>-0.17183359767569673</v>
      </c>
      <c r="U6" s="17">
        <f t="shared" si="2"/>
        <v>-0.14555802941447699</v>
      </c>
      <c r="V6" s="17">
        <f t="shared" si="2"/>
        <v>-0.12416777431952047</v>
      </c>
      <c r="W6" s="17">
        <f t="shared" si="2"/>
        <v>-0.10766283239082713</v>
      </c>
      <c r="X6" s="17">
        <f t="shared" si="2"/>
        <v>-9.6043203628397106E-2</v>
      </c>
      <c r="Y6" s="17">
        <f t="shared" si="2"/>
        <v>-8.9308888032230499E-2</v>
      </c>
      <c r="Z6" s="17">
        <f t="shared" si="2"/>
        <v>-8.7459885602326759E-2</v>
      </c>
      <c r="AA6" s="17">
        <f t="shared" si="2"/>
        <v>-9.049619633868633E-2</v>
      </c>
    </row>
    <row r="7" spans="1:27" x14ac:dyDescent="0.3">
      <c r="A7" s="13" t="s">
        <v>16</v>
      </c>
      <c r="B7" s="14" t="s">
        <v>17</v>
      </c>
      <c r="C7" s="15">
        <v>-0.13281386339622883</v>
      </c>
      <c r="D7" s="15">
        <v>-0.23307210774437634</v>
      </c>
      <c r="E7" s="15">
        <v>-0.32750668727187798</v>
      </c>
      <c r="F7" s="15">
        <v>-0.40540373003937824</v>
      </c>
      <c r="G7" s="15">
        <v>-0.46933075044714462</v>
      </c>
      <c r="H7" s="15">
        <v>-0.52185526289544437</v>
      </c>
      <c r="I7" s="15">
        <v>-0.56554478178454515</v>
      </c>
      <c r="J7" s="15">
        <v>-0.60296682151471392</v>
      </c>
      <c r="K7" s="15">
        <v>-0.63668889648621851</v>
      </c>
      <c r="L7" s="15">
        <v>-0.66927852109932606</v>
      </c>
      <c r="M7" s="15">
        <v>-0.70330320975430416</v>
      </c>
      <c r="N7" s="15">
        <v>-0.74133047685141995</v>
      </c>
      <c r="O7" s="15">
        <v>-0.78592783679094103</v>
      </c>
      <c r="P7" s="15">
        <v>-0.83966280397313497</v>
      </c>
      <c r="Q7" s="15">
        <v>-0.90510289279826861</v>
      </c>
      <c r="S7" s="17">
        <f t="shared" si="3"/>
        <v>-0.1968822022523069</v>
      </c>
      <c r="T7" s="17">
        <f t="shared" si="2"/>
        <v>-0.16195714635297201</v>
      </c>
      <c r="U7" s="17">
        <f t="shared" si="2"/>
        <v>-0.13345087645430576</v>
      </c>
      <c r="V7" s="17">
        <f t="shared" si="2"/>
        <v>-0.11136339255630776</v>
      </c>
      <c r="W7" s="17">
        <f t="shared" si="2"/>
        <v>-9.5694694658978452E-2</v>
      </c>
      <c r="X7" s="17">
        <f t="shared" si="2"/>
        <v>-8.6444782762317429E-2</v>
      </c>
      <c r="Y7" s="17">
        <f t="shared" si="2"/>
        <v>-8.3613656866325187E-2</v>
      </c>
      <c r="Z7" s="17">
        <f t="shared" si="2"/>
        <v>-8.7201316971001197E-2</v>
      </c>
      <c r="AA7" s="17">
        <f t="shared" si="2"/>
        <v>-9.7207763076345793E-2</v>
      </c>
    </row>
    <row r="8" spans="1:27" x14ac:dyDescent="0.3">
      <c r="A8" s="13" t="s">
        <v>16</v>
      </c>
      <c r="B8" s="14" t="s">
        <v>18</v>
      </c>
      <c r="C8" s="15">
        <v>-0.13281386339622883</v>
      </c>
      <c r="D8" s="15">
        <v>-0.23307210774437634</v>
      </c>
      <c r="E8" s="15">
        <v>-0.32750668727187798</v>
      </c>
      <c r="F8" s="15">
        <v>-0.40540373003937824</v>
      </c>
      <c r="G8" s="15">
        <v>-0.46933075044714462</v>
      </c>
      <c r="H8" s="15">
        <v>-0.52185526289544437</v>
      </c>
      <c r="I8" s="15">
        <v>-0.56554478178454515</v>
      </c>
      <c r="J8" s="15">
        <v>-0.60296682151471392</v>
      </c>
      <c r="K8" s="15">
        <v>-0.63668889648621851</v>
      </c>
      <c r="L8" s="15">
        <v>-0.66927852109932606</v>
      </c>
      <c r="M8" s="15">
        <v>-0.70330320975430416</v>
      </c>
      <c r="N8" s="15">
        <v>-0.74133047685141995</v>
      </c>
      <c r="O8" s="15">
        <v>-0.78592783679094103</v>
      </c>
      <c r="P8" s="15">
        <v>-0.83966280397313497</v>
      </c>
      <c r="Q8" s="15">
        <v>-0.90510289279826861</v>
      </c>
      <c r="S8" s="17">
        <f t="shared" si="3"/>
        <v>-0.1968822022523069</v>
      </c>
      <c r="T8" s="17">
        <f t="shared" si="2"/>
        <v>-0.16195714635297201</v>
      </c>
      <c r="U8" s="17">
        <f t="shared" si="2"/>
        <v>-0.13345087645430576</v>
      </c>
      <c r="V8" s="17">
        <f t="shared" si="2"/>
        <v>-0.11136339255630776</v>
      </c>
      <c r="W8" s="17">
        <f t="shared" si="2"/>
        <v>-9.5694694658978452E-2</v>
      </c>
      <c r="X8" s="17">
        <f t="shared" si="2"/>
        <v>-8.6444782762317429E-2</v>
      </c>
      <c r="Y8" s="17">
        <f t="shared" si="2"/>
        <v>-8.3613656866325187E-2</v>
      </c>
      <c r="Z8" s="17">
        <f t="shared" si="2"/>
        <v>-8.7201316971001197E-2</v>
      </c>
      <c r="AA8" s="17">
        <f t="shared" si="2"/>
        <v>-9.7207763076345793E-2</v>
      </c>
    </row>
    <row r="9" spans="1:27" x14ac:dyDescent="0.3">
      <c r="A9" s="13" t="s">
        <v>16</v>
      </c>
      <c r="B9" s="14" t="s">
        <v>19</v>
      </c>
      <c r="C9" s="15">
        <v>-0.13720002868443942</v>
      </c>
      <c r="D9" s="15">
        <v>-0.2394769201002836</v>
      </c>
      <c r="E9" s="15">
        <v>-0.33455582362632724</v>
      </c>
      <c r="F9" s="15">
        <v>-0.41165123357651068</v>
      </c>
      <c r="G9" s="15">
        <v>-0.47369764713321827</v>
      </c>
      <c r="H9" s="15">
        <v>-0.5236295614788341</v>
      </c>
      <c r="I9" s="15">
        <v>-0.56438147379574266</v>
      </c>
      <c r="J9" s="15">
        <v>-0.59888788126632808</v>
      </c>
      <c r="K9" s="15">
        <v>-0.63008328107297495</v>
      </c>
      <c r="L9" s="15">
        <v>-0.66090217039806698</v>
      </c>
      <c r="M9" s="15">
        <v>-0.69427904642398885</v>
      </c>
      <c r="N9" s="15">
        <v>-0.73314840633312461</v>
      </c>
      <c r="O9" s="15">
        <v>-0.78044474730785884</v>
      </c>
      <c r="P9" s="15">
        <v>-0.83910256653057547</v>
      </c>
      <c r="Q9" s="15">
        <v>-0.91205636118365951</v>
      </c>
      <c r="S9" s="17">
        <f t="shared" si="3"/>
        <v>-0.19518393919411223</v>
      </c>
      <c r="T9" s="17">
        <f t="shared" si="2"/>
        <v>-0.15756144821042237</v>
      </c>
      <c r="U9" s="17">
        <f t="shared" si="2"/>
        <v>-0.12727520018269331</v>
      </c>
      <c r="V9" s="17">
        <f t="shared" si="2"/>
        <v>-0.10432519511092483</v>
      </c>
      <c r="W9" s="17">
        <f t="shared" si="2"/>
        <v>-8.8711432995117384E-2</v>
      </c>
      <c r="X9" s="17">
        <f t="shared" si="2"/>
        <v>-8.0433913835270265E-2</v>
      </c>
      <c r="Y9" s="17">
        <f t="shared" si="2"/>
        <v>-7.9492637631383978E-2</v>
      </c>
      <c r="Z9" s="17">
        <f t="shared" si="2"/>
        <v>-8.5887604383458049E-2</v>
      </c>
      <c r="AA9" s="17">
        <f t="shared" si="2"/>
        <v>-9.961881409149323E-2</v>
      </c>
    </row>
    <row r="10" spans="1:27" x14ac:dyDescent="0.3">
      <c r="A10" s="13" t="s">
        <v>16</v>
      </c>
      <c r="B10" s="14" t="s">
        <v>20</v>
      </c>
      <c r="C10" s="15">
        <v>-0.13045992895823155</v>
      </c>
      <c r="D10" s="15">
        <v>-0.22950619079371498</v>
      </c>
      <c r="E10" s="15">
        <v>-0.32340837055018778</v>
      </c>
      <c r="F10" s="15">
        <v>-0.40158542193623997</v>
      </c>
      <c r="G10" s="15">
        <v>-0.4665022915562847</v>
      </c>
      <c r="H10" s="15">
        <v>-0.52062392601473484</v>
      </c>
      <c r="I10" s="15">
        <v>-0.5664152719160036</v>
      </c>
      <c r="J10" s="15">
        <v>-0.60634127586450415</v>
      </c>
      <c r="K10" s="15">
        <v>-0.64286688446464946</v>
      </c>
      <c r="L10" s="15">
        <v>-0.67845704432085285</v>
      </c>
      <c r="M10" s="15">
        <v>-0.71557670203752688</v>
      </c>
      <c r="N10" s="15">
        <v>-0.75669080421908474</v>
      </c>
      <c r="O10" s="15">
        <v>-0.80426429746994033</v>
      </c>
      <c r="P10" s="15">
        <v>-0.86076212839450594</v>
      </c>
      <c r="Q10" s="15">
        <v>-0.92864924359719481</v>
      </c>
      <c r="S10" s="17">
        <f t="shared" si="3"/>
        <v>-0.19749675063547478</v>
      </c>
      <c r="T10" s="17">
        <f t="shared" si="2"/>
        <v>-0.16434629622045588</v>
      </c>
      <c r="U10" s="17">
        <f t="shared" si="2"/>
        <v>-0.13735820831646969</v>
      </c>
      <c r="V10" s="17">
        <f t="shared" si="2"/>
        <v>-0.1165324869235162</v>
      </c>
      <c r="W10" s="17">
        <f t="shared" si="2"/>
        <v>-0.10186913204159551</v>
      </c>
      <c r="X10" s="17">
        <f t="shared" si="2"/>
        <v>-9.3368143670707698E-2</v>
      </c>
      <c r="Y10" s="17">
        <f t="shared" si="2"/>
        <v>-9.1029521810852276E-2</v>
      </c>
      <c r="Z10" s="17">
        <f t="shared" si="2"/>
        <v>-9.4853266462029406E-2</v>
      </c>
      <c r="AA10" s="17">
        <f t="shared" si="2"/>
        <v>-0.10483937762423956</v>
      </c>
    </row>
    <row r="11" spans="1:27" x14ac:dyDescent="0.3">
      <c r="A11" s="13" t="s">
        <v>16</v>
      </c>
      <c r="B11" s="14" t="s">
        <v>21</v>
      </c>
      <c r="C11" s="15">
        <v>-0.13622116684011534</v>
      </c>
      <c r="D11" s="15">
        <v>-0.2377496080904605</v>
      </c>
      <c r="E11" s="15">
        <v>-0.33211816820027062</v>
      </c>
      <c r="F11" s="15">
        <v>-0.40862671920611043</v>
      </c>
      <c r="G11" s="15">
        <v>-0.47019724982855615</v>
      </c>
      <c r="H11" s="15">
        <v>-0.51975174878818409</v>
      </c>
      <c r="I11" s="15">
        <v>-0.56021220480557021</v>
      </c>
      <c r="J11" s="15">
        <v>-0.59450060660129112</v>
      </c>
      <c r="K11" s="15">
        <v>-0.62553894289592282</v>
      </c>
      <c r="L11" s="15">
        <v>-0.65624920241004148</v>
      </c>
      <c r="M11" s="15">
        <v>-0.68955337386422377</v>
      </c>
      <c r="N11" s="15">
        <v>-0.72837344597904552</v>
      </c>
      <c r="O11" s="15">
        <v>-0.77563140747508275</v>
      </c>
      <c r="P11" s="15">
        <v>-0.83424924707291237</v>
      </c>
      <c r="Q11" s="15">
        <v>-0.90714895349311009</v>
      </c>
      <c r="S11" s="17">
        <f t="shared" si="3"/>
        <v>-0.19370636811507971</v>
      </c>
      <c r="T11" s="17">
        <f t="shared" si="2"/>
        <v>-0.15636131715659457</v>
      </c>
      <c r="U11" s="17">
        <f t="shared" si="2"/>
        <v>-0.12632123799954981</v>
      </c>
      <c r="V11" s="17">
        <f t="shared" si="2"/>
        <v>-0.10358613064394581</v>
      </c>
      <c r="W11" s="17">
        <f t="shared" si="2"/>
        <v>-8.815599508978228E-2</v>
      </c>
      <c r="X11" s="17">
        <f t="shared" si="2"/>
        <v>-8.0030831337059377E-2</v>
      </c>
      <c r="Y11" s="17">
        <f t="shared" si="2"/>
        <v>-7.9210639385777215E-2</v>
      </c>
      <c r="Z11" s="17">
        <f t="shared" si="2"/>
        <v>-8.5695419235935572E-2</v>
      </c>
      <c r="AA11" s="17">
        <f t="shared" si="2"/>
        <v>-9.9485170887534391E-2</v>
      </c>
    </row>
    <row r="12" spans="1:27" x14ac:dyDescent="0.3">
      <c r="A12" s="13" t="s">
        <v>16</v>
      </c>
      <c r="B12" s="14" t="s">
        <v>22</v>
      </c>
      <c r="C12" s="15">
        <v>-0.13281386339622883</v>
      </c>
      <c r="D12" s="15">
        <v>-0.23307210774437634</v>
      </c>
      <c r="E12" s="15">
        <v>-0.32750668727187798</v>
      </c>
      <c r="F12" s="15">
        <v>-0.40540373003937824</v>
      </c>
      <c r="G12" s="15">
        <v>-0.46933075044714462</v>
      </c>
      <c r="H12" s="15">
        <v>-0.52185526289544437</v>
      </c>
      <c r="I12" s="15">
        <v>-0.56554478178454515</v>
      </c>
      <c r="J12" s="15">
        <v>-0.60296682151471392</v>
      </c>
      <c r="K12" s="15">
        <v>-0.63668889648621851</v>
      </c>
      <c r="L12" s="15">
        <v>-0.66927852109932606</v>
      </c>
      <c r="M12" s="15">
        <v>-0.70330320975430416</v>
      </c>
      <c r="N12" s="15">
        <v>-0.74133047685141995</v>
      </c>
      <c r="O12" s="15">
        <v>-0.78592783679094103</v>
      </c>
      <c r="P12" s="15">
        <v>-0.83966280397313497</v>
      </c>
      <c r="Q12" s="15">
        <v>-0.90510289279826861</v>
      </c>
      <c r="S12" s="17">
        <f t="shared" si="3"/>
        <v>-0.1968822022523069</v>
      </c>
      <c r="T12" s="17">
        <f t="shared" si="2"/>
        <v>-0.16195714635297201</v>
      </c>
      <c r="U12" s="17">
        <f t="shared" si="2"/>
        <v>-0.13345087645430576</v>
      </c>
      <c r="V12" s="17">
        <f t="shared" si="2"/>
        <v>-0.11136339255630776</v>
      </c>
      <c r="W12" s="17">
        <f t="shared" si="2"/>
        <v>-9.5694694658978452E-2</v>
      </c>
      <c r="X12" s="17">
        <f t="shared" si="2"/>
        <v>-8.6444782762317429E-2</v>
      </c>
      <c r="Y12" s="17">
        <f t="shared" si="2"/>
        <v>-8.3613656866325187E-2</v>
      </c>
      <c r="Z12" s="17">
        <f t="shared" si="2"/>
        <v>-8.7201316971001197E-2</v>
      </c>
      <c r="AA12" s="17">
        <f t="shared" si="2"/>
        <v>-9.7207763076345793E-2</v>
      </c>
    </row>
    <row r="13" spans="1:27" x14ac:dyDescent="0.3">
      <c r="A13" s="13" t="s">
        <v>16</v>
      </c>
      <c r="B13" s="14" t="s">
        <v>23</v>
      </c>
      <c r="C13" s="15">
        <v>-0.13281386339622883</v>
      </c>
      <c r="D13" s="15">
        <v>-0.23307210774437634</v>
      </c>
      <c r="E13" s="15">
        <v>-0.32750668727187798</v>
      </c>
      <c r="F13" s="15">
        <v>-0.40540373003937824</v>
      </c>
      <c r="G13" s="15">
        <v>-0.46933075044714462</v>
      </c>
      <c r="H13" s="15">
        <v>-0.52185526289544437</v>
      </c>
      <c r="I13" s="15">
        <v>-0.56554478178454515</v>
      </c>
      <c r="J13" s="15">
        <v>-0.60296682151471392</v>
      </c>
      <c r="K13" s="15">
        <v>-0.63668889648621851</v>
      </c>
      <c r="L13" s="15">
        <v>-0.66927852109932606</v>
      </c>
      <c r="M13" s="15">
        <v>-0.70330320975430416</v>
      </c>
      <c r="N13" s="15">
        <v>-0.74133047685141995</v>
      </c>
      <c r="O13" s="15">
        <v>-0.78592783679094103</v>
      </c>
      <c r="P13" s="15">
        <v>-0.83966280397313497</v>
      </c>
      <c r="Q13" s="15">
        <v>-0.90510289279826861</v>
      </c>
      <c r="S13" s="17">
        <f t="shared" si="3"/>
        <v>-0.1968822022523069</v>
      </c>
      <c r="T13" s="17">
        <f t="shared" si="2"/>
        <v>-0.16195714635297201</v>
      </c>
      <c r="U13" s="17">
        <f t="shared" si="2"/>
        <v>-0.13345087645430576</v>
      </c>
      <c r="V13" s="17">
        <f t="shared" si="2"/>
        <v>-0.11136339255630776</v>
      </c>
      <c r="W13" s="17">
        <f t="shared" si="2"/>
        <v>-9.5694694658978452E-2</v>
      </c>
      <c r="X13" s="17">
        <f t="shared" si="2"/>
        <v>-8.6444782762317429E-2</v>
      </c>
      <c r="Y13" s="17">
        <f t="shared" si="2"/>
        <v>-8.3613656866325187E-2</v>
      </c>
      <c r="Z13" s="17">
        <f t="shared" si="2"/>
        <v>-8.7201316971001197E-2</v>
      </c>
      <c r="AA13" s="17">
        <f t="shared" si="2"/>
        <v>-9.7207763076345793E-2</v>
      </c>
    </row>
    <row r="14" spans="1:27" x14ac:dyDescent="0.3">
      <c r="A14" s="13" t="s">
        <v>24</v>
      </c>
      <c r="B14" s="14" t="s">
        <v>25</v>
      </c>
      <c r="C14" s="15">
        <v>-0.10768790775089906</v>
      </c>
      <c r="D14" s="15">
        <v>-0.19275583630003756</v>
      </c>
      <c r="E14" s="15">
        <v>-0.27660891118555642</v>
      </c>
      <c r="F14" s="15">
        <v>-0.34979427796796059</v>
      </c>
      <c r="G14" s="15">
        <v>-0.41362787298284531</v>
      </c>
      <c r="H14" s="15">
        <v>-0.46942563256580566</v>
      </c>
      <c r="I14" s="15">
        <v>-0.51850349305243659</v>
      </c>
      <c r="J14" s="15">
        <v>-0.56217739077833306</v>
      </c>
      <c r="K14" s="15">
        <v>-0.60176326207909037</v>
      </c>
      <c r="L14" s="15">
        <v>-0.6385770432903034</v>
      </c>
      <c r="M14" s="15">
        <v>-0.67393467074756741</v>
      </c>
      <c r="N14" s="15">
        <v>-0.70915208078647729</v>
      </c>
      <c r="O14" s="15">
        <v>-0.74554520974262806</v>
      </c>
      <c r="P14" s="15">
        <v>-0.78442999395161483</v>
      </c>
      <c r="Q14" s="15">
        <v>-0.82712236974903253</v>
      </c>
      <c r="S14" s="17">
        <f t="shared" si="3"/>
        <v>-0.18406003056900644</v>
      </c>
      <c r="T14" s="17">
        <f t="shared" si="2"/>
        <v>-0.16068060115020769</v>
      </c>
      <c r="U14" s="17">
        <f t="shared" si="2"/>
        <v>-0.14059101257039666</v>
      </c>
      <c r="V14" s="17">
        <f t="shared" si="2"/>
        <v>-0.12379126482957312</v>
      </c>
      <c r="W14" s="17">
        <f t="shared" si="2"/>
        <v>-0.11028135792773724</v>
      </c>
      <c r="X14" s="17">
        <f t="shared" si="2"/>
        <v>-0.10006129186488902</v>
      </c>
      <c r="Y14" s="17">
        <f t="shared" si="2"/>
        <v>-9.3131066641028631E-2</v>
      </c>
      <c r="Z14" s="17">
        <f t="shared" si="2"/>
        <v>-8.9490682256155779E-2</v>
      </c>
      <c r="AA14" s="17">
        <f t="shared" si="2"/>
        <v>-8.9140138710270544E-2</v>
      </c>
    </row>
    <row r="15" spans="1:27" x14ac:dyDescent="0.3">
      <c r="A15" s="13" t="s">
        <v>24</v>
      </c>
      <c r="B15" s="14" t="s">
        <v>26</v>
      </c>
      <c r="C15" s="15">
        <v>-0.12416207625522156</v>
      </c>
      <c r="D15" s="15">
        <v>-0.21898722215940047</v>
      </c>
      <c r="E15" s="15">
        <v>-0.30927972490702099</v>
      </c>
      <c r="F15" s="15">
        <v>-0.38468110159064506</v>
      </c>
      <c r="G15" s="15">
        <v>-0.4472490769283568</v>
      </c>
      <c r="H15" s="15">
        <v>-0.49904137563824019</v>
      </c>
      <c r="I15" s="15">
        <v>-0.54211572243837935</v>
      </c>
      <c r="J15" s="15">
        <v>-0.57852984204685831</v>
      </c>
      <c r="K15" s="15">
        <v>-0.61034145918176086</v>
      </c>
      <c r="L15" s="15">
        <v>-0.63960829856117163</v>
      </c>
      <c r="M15" s="15">
        <v>-0.66838808490317436</v>
      </c>
      <c r="N15" s="15">
        <v>-0.69873854292585291</v>
      </c>
      <c r="O15" s="15">
        <v>-0.73271739734729147</v>
      </c>
      <c r="P15" s="15">
        <v>-0.77238237288557454</v>
      </c>
      <c r="Q15" s="15">
        <v>-0.81979119425878555</v>
      </c>
      <c r="S15" s="17">
        <f t="shared" si="3"/>
        <v>-0.19021821230746361</v>
      </c>
      <c r="T15" s="17">
        <f t="shared" si="2"/>
        <v>-0.15813470894268267</v>
      </c>
      <c r="U15" s="17">
        <f t="shared" si="2"/>
        <v>-0.13119551737311191</v>
      </c>
      <c r="V15" s="17">
        <f t="shared" si="2"/>
        <v>-0.10940063759875127</v>
      </c>
      <c r="W15" s="17">
        <f t="shared" si="2"/>
        <v>-9.2750069619600556E-2</v>
      </c>
      <c r="X15" s="17">
        <f t="shared" si="2"/>
        <v>-8.1243813435660228E-2</v>
      </c>
      <c r="Y15" s="17">
        <f t="shared" si="2"/>
        <v>-7.4881869046930047E-2</v>
      </c>
      <c r="Z15" s="17">
        <f t="shared" si="2"/>
        <v>-7.366423645341004E-2</v>
      </c>
      <c r="AA15" s="17">
        <f t="shared" si="2"/>
        <v>-7.759091565509986E-2</v>
      </c>
    </row>
    <row r="16" spans="1:27" x14ac:dyDescent="0.3">
      <c r="A16" s="13" t="s">
        <v>24</v>
      </c>
      <c r="B16" s="14" t="s">
        <v>27</v>
      </c>
      <c r="C16" s="15">
        <v>-0.12605898240075603</v>
      </c>
      <c r="D16" s="15">
        <v>-0.22367536523524706</v>
      </c>
      <c r="E16" s="15">
        <v>-0.31783260460193696</v>
      </c>
      <c r="F16" s="15">
        <v>-0.39762623903741739</v>
      </c>
      <c r="G16" s="15">
        <v>-0.46475770531835547</v>
      </c>
      <c r="H16" s="15">
        <v>-0.5209284402214186</v>
      </c>
      <c r="I16" s="15">
        <v>-0.56783988052327361</v>
      </c>
      <c r="J16" s="15">
        <v>-0.60719346300058785</v>
      </c>
      <c r="K16" s="15">
        <v>-0.64069062443002878</v>
      </c>
      <c r="L16" s="15">
        <v>-0.67003280158826306</v>
      </c>
      <c r="M16" s="15">
        <v>-0.69692143125195827</v>
      </c>
      <c r="N16" s="15">
        <v>-0.72305795019778163</v>
      </c>
      <c r="O16" s="15">
        <v>-0.75014379520240004</v>
      </c>
      <c r="P16" s="15">
        <v>-0.77988040304248085</v>
      </c>
      <c r="Q16" s="15">
        <v>-0.81396921049469129</v>
      </c>
      <c r="S16" s="17">
        <f t="shared" si="3"/>
        <v>-0.20090195006925701</v>
      </c>
      <c r="T16" s="17">
        <f t="shared" si="2"/>
        <v>-0.16924652968290138</v>
      </c>
      <c r="U16" s="17">
        <f t="shared" si="2"/>
        <v>-0.14184470123821352</v>
      </c>
      <c r="V16" s="17">
        <f t="shared" si="2"/>
        <v>-0.11869646473519366</v>
      </c>
      <c r="W16" s="17">
        <f t="shared" si="2"/>
        <v>-9.9801820173841815E-2</v>
      </c>
      <c r="X16" s="17">
        <f t="shared" si="2"/>
        <v>-8.5160767554157885E-2</v>
      </c>
      <c r="Y16" s="17">
        <f t="shared" si="2"/>
        <v>-7.4773306876142018E-2</v>
      </c>
      <c r="Z16" s="17">
        <f t="shared" si="2"/>
        <v>-6.8639438139794048E-2</v>
      </c>
      <c r="AA16" s="17">
        <f t="shared" si="2"/>
        <v>-6.6759161345114157E-2</v>
      </c>
    </row>
    <row r="17" spans="1:27" x14ac:dyDescent="0.3">
      <c r="A17" s="13" t="s">
        <v>24</v>
      </c>
      <c r="B17" s="14" t="s">
        <v>28</v>
      </c>
      <c r="C17" s="15">
        <v>-0.11303413170058518</v>
      </c>
      <c r="D17" s="15">
        <v>-0.20196629547909628</v>
      </c>
      <c r="E17" s="15">
        <v>-0.28921196746371997</v>
      </c>
      <c r="F17" s="15">
        <v>-0.3648351916257116</v>
      </c>
      <c r="G17" s="15">
        <v>-0.43020342510638493</v>
      </c>
      <c r="H17" s="15">
        <v>-0.48668412504705394</v>
      </c>
      <c r="I17" s="15">
        <v>-0.53564474858903233</v>
      </c>
      <c r="J17" s="15">
        <v>-0.57845275287363429</v>
      </c>
      <c r="K17" s="15">
        <v>-0.61647559504217331</v>
      </c>
      <c r="L17" s="15">
        <v>-0.6510807322359633</v>
      </c>
      <c r="M17" s="15">
        <v>-0.6836356215963183</v>
      </c>
      <c r="N17" s="15">
        <v>-0.71550772026455189</v>
      </c>
      <c r="O17" s="15">
        <v>-0.74806448538197823</v>
      </c>
      <c r="P17" s="15">
        <v>-0.782673374089911</v>
      </c>
      <c r="Q17" s="15">
        <v>-0.82070184352966391</v>
      </c>
      <c r="S17" s="17">
        <f t="shared" si="3"/>
        <v>-0.19019760802274052</v>
      </c>
      <c r="T17" s="17">
        <f t="shared" si="2"/>
        <v>-0.164560131319445</v>
      </c>
      <c r="U17" s="17">
        <f t="shared" si="2"/>
        <v>-0.14234129746943394</v>
      </c>
      <c r="V17" s="17">
        <f t="shared" si="2"/>
        <v>-0.1235411064727078</v>
      </c>
      <c r="W17" s="17">
        <f t="shared" si="2"/>
        <v>-0.10815955832926613</v>
      </c>
      <c r="X17" s="17">
        <f t="shared" si="2"/>
        <v>-9.6196653039109153E-2</v>
      </c>
      <c r="Y17" s="17">
        <f t="shared" si="2"/>
        <v>-8.7652390602236674E-2</v>
      </c>
      <c r="Z17" s="17">
        <f t="shared" si="2"/>
        <v>-8.2526771018648831E-2</v>
      </c>
      <c r="AA17" s="17">
        <f t="shared" si="2"/>
        <v>-8.0819794288345764E-2</v>
      </c>
    </row>
    <row r="18" spans="1:27" x14ac:dyDescent="0.3">
      <c r="A18" s="13" t="s">
        <v>24</v>
      </c>
      <c r="B18" s="14" t="s">
        <v>29</v>
      </c>
      <c r="C18" s="15">
        <v>-0.11477770329409608</v>
      </c>
      <c r="D18" s="15">
        <v>-0.20420801208747164</v>
      </c>
      <c r="E18" s="15">
        <v>-0.29114047794434272</v>
      </c>
      <c r="F18" s="15">
        <v>-0.36569186415503824</v>
      </c>
      <c r="G18" s="15">
        <v>-0.42945670433929678</v>
      </c>
      <c r="H18" s="15">
        <v>-0.48402953211685706</v>
      </c>
      <c r="I18" s="15">
        <v>-0.53100488110745736</v>
      </c>
      <c r="J18" s="15">
        <v>-0.57197728493083655</v>
      </c>
      <c r="K18" s="15">
        <v>-0.60854127720673312</v>
      </c>
      <c r="L18" s="15">
        <v>-0.64229139155488546</v>
      </c>
      <c r="M18" s="15">
        <v>-0.6748221615950325</v>
      </c>
      <c r="N18" s="15">
        <v>-0.70772812094691251</v>
      </c>
      <c r="O18" s="15">
        <v>-0.74260380323026387</v>
      </c>
      <c r="P18" s="15">
        <v>-0.78104374206482585</v>
      </c>
      <c r="Q18" s="15">
        <v>-0.82464247107033628</v>
      </c>
      <c r="S18" s="17">
        <f t="shared" si="3"/>
        <v>-0.1877072435431876</v>
      </c>
      <c r="T18" s="17">
        <f t="shared" si="2"/>
        <v>-0.16074087847709528</v>
      </c>
      <c r="U18" s="17">
        <f t="shared" si="2"/>
        <v>-0.13776084746034928</v>
      </c>
      <c r="V18" s="17">
        <f t="shared" si="2"/>
        <v>-0.11876715049294981</v>
      </c>
      <c r="W18" s="17">
        <f t="shared" si="2"/>
        <v>-0.10375978757489671</v>
      </c>
      <c r="X18" s="17">
        <f t="shared" si="2"/>
        <v>-9.2738758706190083E-2</v>
      </c>
      <c r="Y18" s="17">
        <f t="shared" si="2"/>
        <v>-8.5704063886829968E-2</v>
      </c>
      <c r="Z18" s="17">
        <f t="shared" si="2"/>
        <v>-8.2655703116816165E-2</v>
      </c>
      <c r="AA18" s="17">
        <f t="shared" si="2"/>
        <v>-8.3593676396148675E-2</v>
      </c>
    </row>
    <row r="19" spans="1:27" x14ac:dyDescent="0.3">
      <c r="A19" s="13" t="s">
        <v>24</v>
      </c>
      <c r="B19" s="14" t="s">
        <v>30</v>
      </c>
      <c r="C19" s="15">
        <v>-0.1041077964810266</v>
      </c>
      <c r="D19" s="15">
        <v>-0.19015649239463683</v>
      </c>
      <c r="E19" s="15">
        <v>-0.27841455866839721</v>
      </c>
      <c r="F19" s="15">
        <v>-0.3588009101729166</v>
      </c>
      <c r="G19" s="15">
        <v>-0.43164524142690686</v>
      </c>
      <c r="H19" s="15">
        <v>-0.49727724694907977</v>
      </c>
      <c r="I19" s="15">
        <v>-0.55602662125814661</v>
      </c>
      <c r="J19" s="15">
        <v>-0.60822305887281924</v>
      </c>
      <c r="K19" s="15">
        <v>-0.65419625431180961</v>
      </c>
      <c r="L19" s="15">
        <v>-0.69427590209382894</v>
      </c>
      <c r="M19" s="15">
        <v>-0.72879169673758926</v>
      </c>
      <c r="N19" s="15">
        <v>-0.758073332761802</v>
      </c>
      <c r="O19" s="15">
        <v>-0.78245050468517874</v>
      </c>
      <c r="P19" s="15">
        <v>-0.80225290702643148</v>
      </c>
      <c r="Q19" s="15">
        <v>-0.81781023430427158</v>
      </c>
      <c r="S19" s="17">
        <f t="shared" si="3"/>
        <v>-0.20124062419355837</v>
      </c>
      <c r="T19" s="17">
        <f t="shared" si="2"/>
        <v>-0.18238557356723545</v>
      </c>
      <c r="U19" s="17">
        <f t="shared" si="2"/>
        <v>-0.16435475923769166</v>
      </c>
      <c r="V19" s="17">
        <f t="shared" si="2"/>
        <v>-0.14714818120492698</v>
      </c>
      <c r="W19" s="17">
        <f t="shared" si="2"/>
        <v>-0.13076583946894155</v>
      </c>
      <c r="X19" s="17">
        <f t="shared" si="2"/>
        <v>-0.11520773402973528</v>
      </c>
      <c r="Y19" s="17">
        <f t="shared" si="2"/>
        <v>-0.10047386488730833</v>
      </c>
      <c r="Z19" s="17">
        <f t="shared" si="2"/>
        <v>-8.6564232041660333E-2</v>
      </c>
      <c r="AA19" s="17">
        <f t="shared" si="2"/>
        <v>-7.3478835492791494E-2</v>
      </c>
    </row>
    <row r="20" spans="1:27" x14ac:dyDescent="0.3">
      <c r="A20" s="13" t="s">
        <v>24</v>
      </c>
      <c r="B20" s="14" t="s">
        <v>31</v>
      </c>
      <c r="C20" s="15">
        <v>-0.11303413170058518</v>
      </c>
      <c r="D20" s="15">
        <v>-0.20196629547909628</v>
      </c>
      <c r="E20" s="15">
        <v>-0.28921196746371997</v>
      </c>
      <c r="F20" s="15">
        <v>-0.3648351916257116</v>
      </c>
      <c r="G20" s="15">
        <v>-0.43020342510638493</v>
      </c>
      <c r="H20" s="15">
        <v>-0.48668412504705394</v>
      </c>
      <c r="I20" s="15">
        <v>-0.53564474858903233</v>
      </c>
      <c r="J20" s="15">
        <v>-0.57845275287363429</v>
      </c>
      <c r="K20" s="15">
        <v>-0.61647559504217331</v>
      </c>
      <c r="L20" s="15">
        <v>-0.6510807322359633</v>
      </c>
      <c r="M20" s="15">
        <v>-0.6836356215963183</v>
      </c>
      <c r="N20" s="15">
        <v>-0.71550772026455189</v>
      </c>
      <c r="O20" s="15">
        <v>-0.74806448538197823</v>
      </c>
      <c r="P20" s="15">
        <v>-0.782673374089911</v>
      </c>
      <c r="Q20" s="15">
        <v>-0.82070184352966391</v>
      </c>
      <c r="S20" s="17">
        <f t="shared" si="3"/>
        <v>-0.19019760802274052</v>
      </c>
      <c r="T20" s="17">
        <f t="shared" si="2"/>
        <v>-0.164560131319445</v>
      </c>
      <c r="U20" s="17">
        <f t="shared" si="2"/>
        <v>-0.14234129746943394</v>
      </c>
      <c r="V20" s="17">
        <f t="shared" si="2"/>
        <v>-0.1235411064727078</v>
      </c>
      <c r="W20" s="17">
        <f t="shared" si="2"/>
        <v>-0.10815955832926613</v>
      </c>
      <c r="X20" s="17">
        <f t="shared" si="2"/>
        <v>-9.6196653039109153E-2</v>
      </c>
      <c r="Y20" s="17">
        <f t="shared" si="2"/>
        <v>-8.7652390602236674E-2</v>
      </c>
      <c r="Z20" s="17">
        <f t="shared" si="2"/>
        <v>-8.2526771018648831E-2</v>
      </c>
      <c r="AA20" s="17">
        <f t="shared" si="2"/>
        <v>-8.0819794288345764E-2</v>
      </c>
    </row>
    <row r="21" spans="1:27" x14ac:dyDescent="0.3">
      <c r="A21" s="13" t="s">
        <v>24</v>
      </c>
      <c r="B21" s="14" t="s">
        <v>32</v>
      </c>
      <c r="C21" s="15">
        <v>-0.11303413170058518</v>
      </c>
      <c r="D21" s="15">
        <v>-0.20196629547909628</v>
      </c>
      <c r="E21" s="15">
        <v>-0.28921196746371997</v>
      </c>
      <c r="F21" s="15">
        <v>-0.3648351916257116</v>
      </c>
      <c r="G21" s="15">
        <v>-0.43020342510638493</v>
      </c>
      <c r="H21" s="15">
        <v>-0.48668412504705394</v>
      </c>
      <c r="I21" s="15">
        <v>-0.53564474858903233</v>
      </c>
      <c r="J21" s="15">
        <v>-0.57845275287363429</v>
      </c>
      <c r="K21" s="15">
        <v>-0.61647559504217331</v>
      </c>
      <c r="L21" s="15">
        <v>-0.6510807322359633</v>
      </c>
      <c r="M21" s="15">
        <v>-0.6836356215963183</v>
      </c>
      <c r="N21" s="15">
        <v>-0.71550772026455189</v>
      </c>
      <c r="O21" s="15">
        <v>-0.74806448538197823</v>
      </c>
      <c r="P21" s="15">
        <v>-0.782673374089911</v>
      </c>
      <c r="Q21" s="15">
        <v>-0.82070184352966391</v>
      </c>
      <c r="S21" s="17">
        <f t="shared" si="3"/>
        <v>-0.19019760802274052</v>
      </c>
      <c r="T21" s="17">
        <f t="shared" ref="T21:T84" si="4">+(H21-E21)/3*2.5</f>
        <v>-0.164560131319445</v>
      </c>
      <c r="U21" s="17">
        <f t="shared" ref="U21:U84" si="5">+(I21-F21)/3*2.5</f>
        <v>-0.14234129746943394</v>
      </c>
      <c r="V21" s="17">
        <f t="shared" ref="V21:V84" si="6">+(J21-G21)/3*2.5</f>
        <v>-0.1235411064727078</v>
      </c>
      <c r="W21" s="17">
        <f t="shared" ref="W21:W84" si="7">+(K21-H21)/3*2.5</f>
        <v>-0.10815955832926613</v>
      </c>
      <c r="X21" s="17">
        <f t="shared" ref="X21:X84" si="8">+(L21-I21)/3*2.5</f>
        <v>-9.6196653039109153E-2</v>
      </c>
      <c r="Y21" s="17">
        <f t="shared" ref="Y21:Y84" si="9">+(M21-J21)/3*2.5</f>
        <v>-8.7652390602236674E-2</v>
      </c>
      <c r="Z21" s="17">
        <f t="shared" ref="Z21:Z84" si="10">+(N21-K21)/3*2.5</f>
        <v>-8.2526771018648831E-2</v>
      </c>
      <c r="AA21" s="17">
        <f t="shared" ref="AA21:AA84" si="11">+(O21-L21)/3*2.5</f>
        <v>-8.0819794288345764E-2</v>
      </c>
    </row>
    <row r="22" spans="1:27" x14ac:dyDescent="0.3">
      <c r="A22" s="13" t="s">
        <v>24</v>
      </c>
      <c r="B22" s="14" t="s">
        <v>33</v>
      </c>
      <c r="C22" s="15">
        <v>-0.11303413170058518</v>
      </c>
      <c r="D22" s="15">
        <v>-0.20196629547909628</v>
      </c>
      <c r="E22" s="15">
        <v>-0.28921196746371997</v>
      </c>
      <c r="F22" s="15">
        <v>-0.3648351916257116</v>
      </c>
      <c r="G22" s="15">
        <v>-0.43020342510638493</v>
      </c>
      <c r="H22" s="15">
        <v>-0.48668412504705394</v>
      </c>
      <c r="I22" s="15">
        <v>-0.53564474858903233</v>
      </c>
      <c r="J22" s="15">
        <v>-0.57845275287363429</v>
      </c>
      <c r="K22" s="15">
        <v>-0.61647559504217331</v>
      </c>
      <c r="L22" s="15">
        <v>-0.6510807322359633</v>
      </c>
      <c r="M22" s="15">
        <v>-0.6836356215963183</v>
      </c>
      <c r="N22" s="15">
        <v>-0.71550772026455189</v>
      </c>
      <c r="O22" s="15">
        <v>-0.74806448538197823</v>
      </c>
      <c r="P22" s="15">
        <v>-0.782673374089911</v>
      </c>
      <c r="Q22" s="15">
        <v>-0.82070184352966391</v>
      </c>
      <c r="S22" s="17">
        <f t="shared" si="3"/>
        <v>-0.19019760802274052</v>
      </c>
      <c r="T22" s="17">
        <f t="shared" si="4"/>
        <v>-0.164560131319445</v>
      </c>
      <c r="U22" s="17">
        <f t="shared" si="5"/>
        <v>-0.14234129746943394</v>
      </c>
      <c r="V22" s="17">
        <f t="shared" si="6"/>
        <v>-0.1235411064727078</v>
      </c>
      <c r="W22" s="17">
        <f t="shared" si="7"/>
        <v>-0.10815955832926613</v>
      </c>
      <c r="X22" s="17">
        <f t="shared" si="8"/>
        <v>-9.6196653039109153E-2</v>
      </c>
      <c r="Y22" s="17">
        <f t="shared" si="9"/>
        <v>-8.7652390602236674E-2</v>
      </c>
      <c r="Z22" s="17">
        <f t="shared" si="10"/>
        <v>-8.2526771018648831E-2</v>
      </c>
      <c r="AA22" s="17">
        <f t="shared" si="11"/>
        <v>-8.0819794288345764E-2</v>
      </c>
    </row>
    <row r="23" spans="1:27" x14ac:dyDescent="0.3">
      <c r="A23" s="13" t="s">
        <v>24</v>
      </c>
      <c r="B23" s="14" t="s">
        <v>34</v>
      </c>
      <c r="C23" s="15">
        <v>-0.10938845862218978</v>
      </c>
      <c r="D23" s="15">
        <v>-0.1963596382439298</v>
      </c>
      <c r="E23" s="15">
        <v>-0.28254231579926425</v>
      </c>
      <c r="F23" s="15">
        <v>-0.35813816394754072</v>
      </c>
      <c r="G23" s="15">
        <v>-0.42428770121032539</v>
      </c>
      <c r="H23" s="15">
        <v>-0.48213144610918479</v>
      </c>
      <c r="I23" s="15">
        <v>-0.53280991716568515</v>
      </c>
      <c r="J23" s="15">
        <v>-0.5774636329013928</v>
      </c>
      <c r="K23" s="15">
        <v>-0.61723311183787422</v>
      </c>
      <c r="L23" s="15">
        <v>-0.6532588724966959</v>
      </c>
      <c r="M23" s="15">
        <v>-0.68668143339942411</v>
      </c>
      <c r="N23" s="15">
        <v>-0.71864131306762513</v>
      </c>
      <c r="O23" s="15">
        <v>-0.75027903002286533</v>
      </c>
      <c r="P23" s="15">
        <v>-0.78273510278671121</v>
      </c>
      <c r="Q23" s="15">
        <v>-0.81715004988072903</v>
      </c>
      <c r="S23" s="17">
        <f t="shared" si="3"/>
        <v>-0.18994005247199633</v>
      </c>
      <c r="T23" s="17">
        <f t="shared" si="4"/>
        <v>-0.1663242752582671</v>
      </c>
      <c r="U23" s="17">
        <f t="shared" si="5"/>
        <v>-0.1455597943484537</v>
      </c>
      <c r="V23" s="17">
        <f t="shared" si="6"/>
        <v>-0.12764660974255618</v>
      </c>
      <c r="W23" s="17">
        <f t="shared" si="7"/>
        <v>-0.11258472144057452</v>
      </c>
      <c r="X23" s="17">
        <f t="shared" si="8"/>
        <v>-0.10037412944250895</v>
      </c>
      <c r="Y23" s="17">
        <f t="shared" si="9"/>
        <v>-9.1014833748359419E-2</v>
      </c>
      <c r="Z23" s="17">
        <f t="shared" si="10"/>
        <v>-8.4506834358125754E-2</v>
      </c>
      <c r="AA23" s="17">
        <f t="shared" si="11"/>
        <v>-8.0850131271807874E-2</v>
      </c>
    </row>
    <row r="24" spans="1:27" x14ac:dyDescent="0.3">
      <c r="A24" s="13" t="s">
        <v>24</v>
      </c>
      <c r="B24" s="14" t="s">
        <v>35</v>
      </c>
      <c r="C24" s="15">
        <v>-8.9486430430577177E-2</v>
      </c>
      <c r="D24" s="15">
        <v>-0.1647325458906212</v>
      </c>
      <c r="E24" s="15">
        <v>-0.24322319243286927</v>
      </c>
      <c r="F24" s="15">
        <v>-0.31620475314106267</v>
      </c>
      <c r="G24" s="15">
        <v>-0.38387225414200021</v>
      </c>
      <c r="H24" s="15">
        <v>-0.44642072156248086</v>
      </c>
      <c r="I24" s="15">
        <v>-0.50404518152930367</v>
      </c>
      <c r="J24" s="15">
        <v>-0.55694066016926724</v>
      </c>
      <c r="K24" s="15">
        <v>-0.60530218360917065</v>
      </c>
      <c r="L24" s="15">
        <v>-0.64932477797581312</v>
      </c>
      <c r="M24" s="15">
        <v>-0.68920346939599342</v>
      </c>
      <c r="N24" s="15">
        <v>-0.72513328399651011</v>
      </c>
      <c r="O24" s="15">
        <v>-0.75730924790416243</v>
      </c>
      <c r="P24" s="15">
        <v>-0.78592638724574948</v>
      </c>
      <c r="Q24" s="15">
        <v>-0.81117972814806982</v>
      </c>
      <c r="S24" s="17">
        <f t="shared" si="3"/>
        <v>-0.18261642354281585</v>
      </c>
      <c r="T24" s="17">
        <f t="shared" si="4"/>
        <v>-0.16933127427467634</v>
      </c>
      <c r="U24" s="17">
        <f t="shared" si="5"/>
        <v>-0.15653369032353415</v>
      </c>
      <c r="V24" s="17">
        <f t="shared" si="6"/>
        <v>-0.14422367168938918</v>
      </c>
      <c r="W24" s="17">
        <f t="shared" si="7"/>
        <v>-0.1324012183722415</v>
      </c>
      <c r="X24" s="17">
        <f t="shared" si="8"/>
        <v>-0.12106633037209122</v>
      </c>
      <c r="Y24" s="17">
        <f t="shared" si="9"/>
        <v>-0.11021900768893847</v>
      </c>
      <c r="Z24" s="17">
        <f t="shared" si="10"/>
        <v>-9.9859250322782894E-2</v>
      </c>
      <c r="AA24" s="17">
        <f t="shared" si="11"/>
        <v>-8.9987058273624437E-2</v>
      </c>
    </row>
    <row r="25" spans="1:27" x14ac:dyDescent="0.3">
      <c r="A25" s="13" t="s">
        <v>24</v>
      </c>
      <c r="B25" s="14" t="s">
        <v>36</v>
      </c>
      <c r="C25" s="15">
        <v>-0.11373338364913316</v>
      </c>
      <c r="D25" s="15">
        <v>-0.20303540804350517</v>
      </c>
      <c r="E25" s="15">
        <v>-0.29047170372556247</v>
      </c>
      <c r="F25" s="15">
        <v>-0.36607987124439489</v>
      </c>
      <c r="G25" s="15">
        <v>-0.43127084951400563</v>
      </c>
      <c r="H25" s="15">
        <v>-0.48745557744839785</v>
      </c>
      <c r="I25" s="15">
        <v>-0.53604499396157479</v>
      </c>
      <c r="J25" s="15">
        <v>-0.57845003796753947</v>
      </c>
      <c r="K25" s="15">
        <v>-0.61608164838029522</v>
      </c>
      <c r="L25" s="15">
        <v>-0.65035076411384518</v>
      </c>
      <c r="M25" s="15">
        <v>-0.68266832408219247</v>
      </c>
      <c r="N25" s="15">
        <v>-0.71444526719934021</v>
      </c>
      <c r="O25" s="15">
        <v>-0.74709253237929174</v>
      </c>
      <c r="P25" s="15">
        <v>-0.78202105853605031</v>
      </c>
      <c r="Q25" s="15">
        <v>-0.82064178458361858</v>
      </c>
      <c r="S25" s="17">
        <f t="shared" si="3"/>
        <v>-0.19019620122541703</v>
      </c>
      <c r="T25" s="17">
        <f t="shared" si="4"/>
        <v>-0.1641532281023628</v>
      </c>
      <c r="U25" s="17">
        <f t="shared" si="5"/>
        <v>-0.14163760226431657</v>
      </c>
      <c r="V25" s="17">
        <f t="shared" si="6"/>
        <v>-0.12264932371127821</v>
      </c>
      <c r="W25" s="17">
        <f t="shared" si="7"/>
        <v>-0.10718839244324782</v>
      </c>
      <c r="X25" s="17">
        <f t="shared" si="8"/>
        <v>-9.5254808460225326E-2</v>
      </c>
      <c r="Y25" s="17">
        <f t="shared" si="9"/>
        <v>-8.6848571762210836E-2</v>
      </c>
      <c r="Z25" s="17">
        <f t="shared" si="10"/>
        <v>-8.1969682349204154E-2</v>
      </c>
      <c r="AA25" s="17">
        <f t="shared" si="11"/>
        <v>-8.0618140221205475E-2</v>
      </c>
    </row>
    <row r="26" spans="1:27" x14ac:dyDescent="0.3">
      <c r="A26" s="13" t="s">
        <v>24</v>
      </c>
      <c r="B26" s="14" t="s">
        <v>37</v>
      </c>
      <c r="C26" s="15">
        <v>-0.11648249021915168</v>
      </c>
      <c r="D26" s="15">
        <v>-0.20700322768217916</v>
      </c>
      <c r="E26" s="15">
        <v>-0.29471775225032548</v>
      </c>
      <c r="F26" s="15">
        <v>-0.36958829392524634</v>
      </c>
      <c r="G26" s="15">
        <v>-0.43322533173051275</v>
      </c>
      <c r="H26" s="15">
        <v>-0.48723934468969526</v>
      </c>
      <c r="I26" s="15">
        <v>-0.53324081182636507</v>
      </c>
      <c r="J26" s="15">
        <v>-0.57284021216409275</v>
      </c>
      <c r="K26" s="15">
        <v>-0.6076480247264493</v>
      </c>
      <c r="L26" s="15">
        <v>-0.63927472853700584</v>
      </c>
      <c r="M26" s="15">
        <v>-0.66933080261933264</v>
      </c>
      <c r="N26" s="15">
        <v>-0.69942672599700084</v>
      </c>
      <c r="O26" s="15">
        <v>-0.73117297769358169</v>
      </c>
      <c r="P26" s="15">
        <v>-0.76618003673264534</v>
      </c>
      <c r="Q26" s="15">
        <v>-0.80605838213776315</v>
      </c>
      <c r="S26" s="17">
        <f t="shared" si="3"/>
        <v>-0.188518420040278</v>
      </c>
      <c r="T26" s="17">
        <f t="shared" si="4"/>
        <v>-0.16043466036614148</v>
      </c>
      <c r="U26" s="17">
        <f t="shared" si="5"/>
        <v>-0.13637709825093228</v>
      </c>
      <c r="V26" s="17">
        <f t="shared" si="6"/>
        <v>-0.11634573369465001</v>
      </c>
      <c r="W26" s="17">
        <f t="shared" si="7"/>
        <v>-0.10034056669729502</v>
      </c>
      <c r="X26" s="17">
        <f t="shared" si="8"/>
        <v>-8.8361597258867303E-2</v>
      </c>
      <c r="Y26" s="17">
        <f t="shared" si="9"/>
        <v>-8.0408825379366583E-2</v>
      </c>
      <c r="Z26" s="17">
        <f t="shared" si="10"/>
        <v>-7.6482251058792958E-2</v>
      </c>
      <c r="AA26" s="17">
        <f t="shared" si="11"/>
        <v>-7.6581874297146538E-2</v>
      </c>
    </row>
    <row r="27" spans="1:27" x14ac:dyDescent="0.3">
      <c r="A27" s="13" t="s">
        <v>24</v>
      </c>
      <c r="B27" s="14" t="s">
        <v>38</v>
      </c>
      <c r="C27" s="15">
        <v>-0.1201211943712284</v>
      </c>
      <c r="D27" s="15">
        <v>-0.21186790050493515</v>
      </c>
      <c r="E27" s="15">
        <v>-0.2992886163357078</v>
      </c>
      <c r="F27" s="15">
        <v>-0.37241822246882822</v>
      </c>
      <c r="G27" s="15">
        <v>-0.43330371894670061</v>
      </c>
      <c r="H27" s="15">
        <v>-0.48399210581172969</v>
      </c>
      <c r="I27" s="15">
        <v>-0.52653038310631983</v>
      </c>
      <c r="J27" s="15">
        <v>-0.56296555087287559</v>
      </c>
      <c r="K27" s="15">
        <v>-0.59534460915380139</v>
      </c>
      <c r="L27" s="15">
        <v>-0.62571455799150189</v>
      </c>
      <c r="M27" s="15">
        <v>-0.65612239742838152</v>
      </c>
      <c r="N27" s="15">
        <v>-0.6886151275068445</v>
      </c>
      <c r="O27" s="15">
        <v>-0.72523974826929549</v>
      </c>
      <c r="P27" s="15">
        <v>-0.76804325975813925</v>
      </c>
      <c r="Q27" s="15">
        <v>-0.81907266201578011</v>
      </c>
      <c r="S27" s="17">
        <f t="shared" si="3"/>
        <v>-0.18452984870147124</v>
      </c>
      <c r="T27" s="17">
        <f t="shared" si="4"/>
        <v>-0.15391957456335156</v>
      </c>
      <c r="U27" s="17">
        <f t="shared" si="5"/>
        <v>-0.128426800531243</v>
      </c>
      <c r="V27" s="17">
        <f t="shared" si="6"/>
        <v>-0.1080515266051458</v>
      </c>
      <c r="W27" s="17">
        <f t="shared" si="7"/>
        <v>-9.2793752785059747E-2</v>
      </c>
      <c r="X27" s="17">
        <f t="shared" si="8"/>
        <v>-8.2653479070985053E-2</v>
      </c>
      <c r="Y27" s="17">
        <f t="shared" si="9"/>
        <v>-7.7630705462921612E-2</v>
      </c>
      <c r="Z27" s="17">
        <f t="shared" si="10"/>
        <v>-7.7725431960869271E-2</v>
      </c>
      <c r="AA27" s="17">
        <f t="shared" si="11"/>
        <v>-8.2937658564828015E-2</v>
      </c>
    </row>
    <row r="28" spans="1:27" x14ac:dyDescent="0.3">
      <c r="A28" s="13" t="s">
        <v>24</v>
      </c>
      <c r="B28" s="14" t="s">
        <v>39</v>
      </c>
      <c r="C28" s="15">
        <v>-0.11303413170058518</v>
      </c>
      <c r="D28" s="15">
        <v>-0.20196629547909628</v>
      </c>
      <c r="E28" s="15">
        <v>-0.28921196746371997</v>
      </c>
      <c r="F28" s="15">
        <v>-0.3648351916257116</v>
      </c>
      <c r="G28" s="15">
        <v>-0.43020342510638493</v>
      </c>
      <c r="H28" s="15">
        <v>-0.48668412504705394</v>
      </c>
      <c r="I28" s="15">
        <v>-0.53564474858903233</v>
      </c>
      <c r="J28" s="15">
        <v>-0.57845275287363429</v>
      </c>
      <c r="K28" s="15">
        <v>-0.61647559504217331</v>
      </c>
      <c r="L28" s="15">
        <v>-0.6510807322359633</v>
      </c>
      <c r="M28" s="15">
        <v>-0.6836356215963183</v>
      </c>
      <c r="N28" s="15">
        <v>-0.71550772026455189</v>
      </c>
      <c r="O28" s="15">
        <v>-0.74806448538197823</v>
      </c>
      <c r="P28" s="15">
        <v>-0.782673374089911</v>
      </c>
      <c r="Q28" s="15">
        <v>-0.82070184352966391</v>
      </c>
      <c r="S28" s="17">
        <f t="shared" si="3"/>
        <v>-0.19019760802274052</v>
      </c>
      <c r="T28" s="17">
        <f t="shared" si="4"/>
        <v>-0.164560131319445</v>
      </c>
      <c r="U28" s="17">
        <f t="shared" si="5"/>
        <v>-0.14234129746943394</v>
      </c>
      <c r="V28" s="17">
        <f t="shared" si="6"/>
        <v>-0.1235411064727078</v>
      </c>
      <c r="W28" s="17">
        <f t="shared" si="7"/>
        <v>-0.10815955832926613</v>
      </c>
      <c r="X28" s="17">
        <f t="shared" si="8"/>
        <v>-9.6196653039109153E-2</v>
      </c>
      <c r="Y28" s="17">
        <f t="shared" si="9"/>
        <v>-8.7652390602236674E-2</v>
      </c>
      <c r="Z28" s="17">
        <f t="shared" si="10"/>
        <v>-8.2526771018648831E-2</v>
      </c>
      <c r="AA28" s="17">
        <f t="shared" si="11"/>
        <v>-8.0819794288345764E-2</v>
      </c>
    </row>
    <row r="29" spans="1:27" x14ac:dyDescent="0.3">
      <c r="A29" s="13" t="s">
        <v>24</v>
      </c>
      <c r="B29" s="14" t="s">
        <v>40</v>
      </c>
      <c r="C29" s="15">
        <v>-0.11228239996001363</v>
      </c>
      <c r="D29" s="15">
        <v>-0.20093383121568881</v>
      </c>
      <c r="E29" s="15">
        <v>-0.28819308644524066</v>
      </c>
      <c r="F29" s="15">
        <v>-0.36412125193467387</v>
      </c>
      <c r="G29" s="15">
        <v>-0.43000765396599433</v>
      </c>
      <c r="H29" s="15">
        <v>-0.48714161882120816</v>
      </c>
      <c r="I29" s="15">
        <v>-0.53681247278232125</v>
      </c>
      <c r="J29" s="15">
        <v>-0.58030954213133956</v>
      </c>
      <c r="K29" s="15">
        <v>-0.61892215315026922</v>
      </c>
      <c r="L29" s="15">
        <v>-0.65393963212111617</v>
      </c>
      <c r="M29" s="15">
        <v>-0.68665130532588647</v>
      </c>
      <c r="N29" s="15">
        <v>-0.71834649904658598</v>
      </c>
      <c r="O29" s="15">
        <v>-0.75031453956522065</v>
      </c>
      <c r="P29" s="15">
        <v>-0.78384475316379665</v>
      </c>
      <c r="Q29" s="15">
        <v>-0.82022646612432004</v>
      </c>
      <c r="S29" s="17">
        <f t="shared" si="3"/>
        <v>-0.19089485229192127</v>
      </c>
      <c r="T29" s="17">
        <f t="shared" si="4"/>
        <v>-0.16579044364663956</v>
      </c>
      <c r="U29" s="17">
        <f t="shared" si="5"/>
        <v>-0.14390935070637281</v>
      </c>
      <c r="V29" s="17">
        <f t="shared" si="6"/>
        <v>-0.12525157347112104</v>
      </c>
      <c r="W29" s="17">
        <f t="shared" si="7"/>
        <v>-0.10981711194088423</v>
      </c>
      <c r="X29" s="17">
        <f t="shared" si="8"/>
        <v>-9.760596611566244E-2</v>
      </c>
      <c r="Y29" s="17">
        <f t="shared" si="9"/>
        <v>-8.861813599545576E-2</v>
      </c>
      <c r="Z29" s="17">
        <f t="shared" si="10"/>
        <v>-8.2853621580263964E-2</v>
      </c>
      <c r="AA29" s="17">
        <f t="shared" si="11"/>
        <v>-8.031242287008708E-2</v>
      </c>
    </row>
    <row r="30" spans="1:27" x14ac:dyDescent="0.3">
      <c r="A30" s="13" t="s">
        <v>24</v>
      </c>
      <c r="B30" s="14" t="s">
        <v>41</v>
      </c>
      <c r="C30" s="15">
        <v>-0.11303413170058518</v>
      </c>
      <c r="D30" s="15">
        <v>-0.20196629547909628</v>
      </c>
      <c r="E30" s="15">
        <v>-0.28921196746371997</v>
      </c>
      <c r="F30" s="15">
        <v>-0.3648351916257116</v>
      </c>
      <c r="G30" s="15">
        <v>-0.43020342510638493</v>
      </c>
      <c r="H30" s="15">
        <v>-0.48668412504705394</v>
      </c>
      <c r="I30" s="15">
        <v>-0.53564474858903233</v>
      </c>
      <c r="J30" s="15">
        <v>-0.57845275287363429</v>
      </c>
      <c r="K30" s="15">
        <v>-0.61647559504217331</v>
      </c>
      <c r="L30" s="15">
        <v>-0.6510807322359633</v>
      </c>
      <c r="M30" s="15">
        <v>-0.6836356215963183</v>
      </c>
      <c r="N30" s="15">
        <v>-0.71550772026455189</v>
      </c>
      <c r="O30" s="15">
        <v>-0.74806448538197823</v>
      </c>
      <c r="P30" s="15">
        <v>-0.782673374089911</v>
      </c>
      <c r="Q30" s="15">
        <v>-0.82070184352966391</v>
      </c>
      <c r="S30" s="17">
        <f t="shared" si="3"/>
        <v>-0.19019760802274052</v>
      </c>
      <c r="T30" s="17">
        <f t="shared" si="4"/>
        <v>-0.164560131319445</v>
      </c>
      <c r="U30" s="17">
        <f t="shared" si="5"/>
        <v>-0.14234129746943394</v>
      </c>
      <c r="V30" s="17">
        <f t="shared" si="6"/>
        <v>-0.1235411064727078</v>
      </c>
      <c r="W30" s="17">
        <f t="shared" si="7"/>
        <v>-0.10815955832926613</v>
      </c>
      <c r="X30" s="17">
        <f t="shared" si="8"/>
        <v>-9.6196653039109153E-2</v>
      </c>
      <c r="Y30" s="17">
        <f t="shared" si="9"/>
        <v>-8.7652390602236674E-2</v>
      </c>
      <c r="Z30" s="17">
        <f t="shared" si="10"/>
        <v>-8.2526771018648831E-2</v>
      </c>
      <c r="AA30" s="17">
        <f t="shared" si="11"/>
        <v>-8.0819794288345764E-2</v>
      </c>
    </row>
    <row r="31" spans="1:27" x14ac:dyDescent="0.3">
      <c r="A31" s="13" t="s">
        <v>24</v>
      </c>
      <c r="B31" s="14" t="s">
        <v>42</v>
      </c>
      <c r="C31" s="15">
        <v>-0.11636730040671764</v>
      </c>
      <c r="D31" s="15">
        <v>-0.20634988890712502</v>
      </c>
      <c r="E31" s="15">
        <v>-0.29325491891258004</v>
      </c>
      <c r="F31" s="15">
        <v>-0.36730383591769072</v>
      </c>
      <c r="G31" s="15">
        <v>-0.43035481545773707</v>
      </c>
      <c r="H31" s="15">
        <v>-0.4842660330679992</v>
      </c>
      <c r="I31" s="15">
        <v>-0.53089566428375679</v>
      </c>
      <c r="J31" s="15">
        <v>-0.57210188464028977</v>
      </c>
      <c r="K31" s="15">
        <v>-0.60974286967287816</v>
      </c>
      <c r="L31" s="15">
        <v>-0.64567679491680197</v>
      </c>
      <c r="M31" s="15">
        <v>-0.68176183590734118</v>
      </c>
      <c r="N31" s="15">
        <v>-0.71985616817977538</v>
      </c>
      <c r="O31" s="15">
        <v>-0.76181796726938478</v>
      </c>
      <c r="P31" s="15">
        <v>-0.80950540871144916</v>
      </c>
      <c r="Q31" s="15">
        <v>-0.86477666804124853</v>
      </c>
      <c r="S31" s="17">
        <f t="shared" si="3"/>
        <v>-0.18667077212551006</v>
      </c>
      <c r="T31" s="17">
        <f t="shared" si="4"/>
        <v>-0.15917592846284928</v>
      </c>
      <c r="U31" s="17">
        <f t="shared" si="5"/>
        <v>-0.13632652363838837</v>
      </c>
      <c r="V31" s="17">
        <f t="shared" si="6"/>
        <v>-0.11812255765212726</v>
      </c>
      <c r="W31" s="17">
        <f t="shared" si="7"/>
        <v>-0.10456403050406579</v>
      </c>
      <c r="X31" s="17">
        <f t="shared" si="8"/>
        <v>-9.5650942194204308E-2</v>
      </c>
      <c r="Y31" s="17">
        <f t="shared" si="9"/>
        <v>-9.1383292722542836E-2</v>
      </c>
      <c r="Z31" s="17">
        <f t="shared" si="10"/>
        <v>-9.1761082089081014E-2</v>
      </c>
      <c r="AA31" s="17">
        <f t="shared" si="11"/>
        <v>-9.6784310293819009E-2</v>
      </c>
    </row>
    <row r="32" spans="1:27" x14ac:dyDescent="0.3">
      <c r="A32" s="13" t="s">
        <v>43</v>
      </c>
      <c r="B32" s="14">
        <v>114</v>
      </c>
      <c r="C32" s="15">
        <v>-0.11532062075848666</v>
      </c>
      <c r="D32" s="15">
        <v>-0.20602557608908426</v>
      </c>
      <c r="E32" s="15">
        <v>-0.29503415605889038</v>
      </c>
      <c r="F32" s="15">
        <v>-0.37226863150448131</v>
      </c>
      <c r="G32" s="15">
        <v>-0.43918333533828219</v>
      </c>
      <c r="H32" s="15">
        <v>-0.49723260047271794</v>
      </c>
      <c r="I32" s="15">
        <v>-0.54787075982021372</v>
      </c>
      <c r="J32" s="15">
        <v>-0.5925521462931943</v>
      </c>
      <c r="K32" s="15">
        <v>-0.63273109280408502</v>
      </c>
      <c r="L32" s="15">
        <v>-0.66986193226531054</v>
      </c>
      <c r="M32" s="15">
        <v>-0.70539899758929603</v>
      </c>
      <c r="N32" s="15">
        <v>-0.74079662168846672</v>
      </c>
      <c r="O32" s="15">
        <v>-0.77750913747524741</v>
      </c>
      <c r="P32" s="15">
        <v>-0.81699087786206293</v>
      </c>
      <c r="Q32" s="15">
        <v>-0.86069617576133872</v>
      </c>
      <c r="S32" s="17">
        <f t="shared" si="3"/>
        <v>-0.19429813270766494</v>
      </c>
      <c r="T32" s="17">
        <f t="shared" si="4"/>
        <v>-0.16849870367818962</v>
      </c>
      <c r="U32" s="17">
        <f t="shared" si="5"/>
        <v>-0.146335106929777</v>
      </c>
      <c r="V32" s="17">
        <f t="shared" si="6"/>
        <v>-0.12780734246242675</v>
      </c>
      <c r="W32" s="17">
        <f t="shared" si="7"/>
        <v>-0.11291541027613922</v>
      </c>
      <c r="X32" s="17">
        <f t="shared" si="8"/>
        <v>-0.10165931037091402</v>
      </c>
      <c r="Y32" s="17">
        <f t="shared" si="9"/>
        <v>-9.4039042746751428E-2</v>
      </c>
      <c r="Z32" s="17">
        <f t="shared" si="10"/>
        <v>-9.0054607403651427E-2</v>
      </c>
      <c r="AA32" s="17">
        <f t="shared" si="11"/>
        <v>-8.9706004341614048E-2</v>
      </c>
    </row>
    <row r="33" spans="1:27" x14ac:dyDescent="0.3">
      <c r="A33" s="13" t="s">
        <v>43</v>
      </c>
      <c r="B33" s="14">
        <v>116</v>
      </c>
      <c r="C33" s="15">
        <v>-0.13287899546521703</v>
      </c>
      <c r="D33" s="15">
        <v>-0.23341818469893327</v>
      </c>
      <c r="E33" s="15">
        <v>-0.32809083833921182</v>
      </c>
      <c r="F33" s="15">
        <v>-0.40584722357905662</v>
      </c>
      <c r="G33" s="15">
        <v>-0.46892550715799292</v>
      </c>
      <c r="H33" s="15">
        <v>-0.51956385581554643</v>
      </c>
      <c r="I33" s="15">
        <v>-0.56000043629124252</v>
      </c>
      <c r="J33" s="15">
        <v>-0.59247341532460673</v>
      </c>
      <c r="K33" s="15">
        <v>-0.61922095965516455</v>
      </c>
      <c r="L33" s="15">
        <v>-0.64248123602244156</v>
      </c>
      <c r="M33" s="15">
        <v>-0.66449241116596325</v>
      </c>
      <c r="N33" s="15">
        <v>-0.68749265182525499</v>
      </c>
      <c r="O33" s="15">
        <v>-0.71372012473984225</v>
      </c>
      <c r="P33" s="15">
        <v>-0.74541299664925054</v>
      </c>
      <c r="Q33" s="15">
        <v>-0.78480943429300531</v>
      </c>
      <c r="S33" s="17">
        <f t="shared" si="3"/>
        <v>-0.19625610204921637</v>
      </c>
      <c r="T33" s="17">
        <f t="shared" si="4"/>
        <v>-0.15956084789694552</v>
      </c>
      <c r="U33" s="17">
        <f t="shared" si="5"/>
        <v>-0.12846101059348825</v>
      </c>
      <c r="V33" s="17">
        <f t="shared" si="6"/>
        <v>-0.10295659013884484</v>
      </c>
      <c r="W33" s="17">
        <f t="shared" si="7"/>
        <v>-8.3047586533015111E-2</v>
      </c>
      <c r="X33" s="17">
        <f t="shared" si="8"/>
        <v>-6.8733999775999199E-2</v>
      </c>
      <c r="Y33" s="17">
        <f t="shared" si="9"/>
        <v>-6.0015829867797091E-2</v>
      </c>
      <c r="Z33" s="17">
        <f t="shared" si="10"/>
        <v>-5.6893076808408702E-2</v>
      </c>
      <c r="AA33" s="17">
        <f t="shared" si="11"/>
        <v>-5.9365740597833908E-2</v>
      </c>
    </row>
    <row r="34" spans="1:27" x14ac:dyDescent="0.3">
      <c r="A34" s="13" t="s">
        <v>43</v>
      </c>
      <c r="B34" s="14">
        <v>118</v>
      </c>
      <c r="C34" s="15">
        <v>-0.11595496284819805</v>
      </c>
      <c r="D34" s="15">
        <v>-0.2070043130702377</v>
      </c>
      <c r="E34" s="15">
        <v>-0.29620373930069982</v>
      </c>
      <c r="F34" s="15">
        <v>-0.37345063178881505</v>
      </c>
      <c r="G34" s="15">
        <v>-0.44023787706863404</v>
      </c>
      <c r="H34" s="15">
        <v>-0.49805836167420736</v>
      </c>
      <c r="I34" s="15">
        <v>-0.54840497213958528</v>
      </c>
      <c r="J34" s="15">
        <v>-0.59277059499881879</v>
      </c>
      <c r="K34" s="15">
        <v>-0.632648116785958</v>
      </c>
      <c r="L34" s="15">
        <v>-0.66953042403505381</v>
      </c>
      <c r="M34" s="15">
        <v>-0.70491040328015675</v>
      </c>
      <c r="N34" s="15">
        <v>-0.74028094105531705</v>
      </c>
      <c r="O34" s="15">
        <v>-0.77713492389458561</v>
      </c>
      <c r="P34" s="15">
        <v>-0.81696523833201262</v>
      </c>
      <c r="Q34" s="15">
        <v>-0.86126477090164888</v>
      </c>
      <c r="S34" s="17">
        <f t="shared" si="3"/>
        <v>-0.19436130333199697</v>
      </c>
      <c r="T34" s="17">
        <f t="shared" si="4"/>
        <v>-0.16821218531125628</v>
      </c>
      <c r="U34" s="17">
        <f t="shared" si="5"/>
        <v>-0.14579528362564187</v>
      </c>
      <c r="V34" s="17">
        <f t="shared" si="6"/>
        <v>-0.12711059827515395</v>
      </c>
      <c r="W34" s="17">
        <f t="shared" si="7"/>
        <v>-0.11215812925979221</v>
      </c>
      <c r="X34" s="17">
        <f t="shared" si="8"/>
        <v>-0.10093787657955711</v>
      </c>
      <c r="Y34" s="17">
        <f t="shared" si="9"/>
        <v>-9.34498402344483E-2</v>
      </c>
      <c r="Z34" s="17">
        <f t="shared" si="10"/>
        <v>-8.9694020224465876E-2</v>
      </c>
      <c r="AA34" s="17">
        <f t="shared" si="11"/>
        <v>-8.9670416549609833E-2</v>
      </c>
    </row>
    <row r="35" spans="1:27" x14ac:dyDescent="0.3">
      <c r="A35" s="13" t="s">
        <v>43</v>
      </c>
      <c r="B35" s="14">
        <v>120</v>
      </c>
      <c r="C35" s="15">
        <v>-0.11595496284819805</v>
      </c>
      <c r="D35" s="15">
        <v>-0.2070043130702377</v>
      </c>
      <c r="E35" s="15">
        <v>-0.29620373930069982</v>
      </c>
      <c r="F35" s="15">
        <v>-0.37345063178881505</v>
      </c>
      <c r="G35" s="15">
        <v>-0.44023787706863404</v>
      </c>
      <c r="H35" s="15">
        <v>-0.49805836167420736</v>
      </c>
      <c r="I35" s="15">
        <v>-0.54840497213958528</v>
      </c>
      <c r="J35" s="15">
        <v>-0.59277059499881879</v>
      </c>
      <c r="K35" s="15">
        <v>-0.632648116785958</v>
      </c>
      <c r="L35" s="15">
        <v>-0.66953042403505381</v>
      </c>
      <c r="M35" s="15">
        <v>-0.70491040328015675</v>
      </c>
      <c r="N35" s="15">
        <v>-0.74028094105531705</v>
      </c>
      <c r="O35" s="15">
        <v>-0.77713492389458561</v>
      </c>
      <c r="P35" s="15">
        <v>-0.81696523833201262</v>
      </c>
      <c r="Q35" s="15">
        <v>-0.86126477090164888</v>
      </c>
      <c r="S35" s="17">
        <f t="shared" si="3"/>
        <v>-0.19436130333199697</v>
      </c>
      <c r="T35" s="17">
        <f t="shared" si="4"/>
        <v>-0.16821218531125628</v>
      </c>
      <c r="U35" s="17">
        <f t="shared" si="5"/>
        <v>-0.14579528362564187</v>
      </c>
      <c r="V35" s="17">
        <f t="shared" si="6"/>
        <v>-0.12711059827515395</v>
      </c>
      <c r="W35" s="17">
        <f t="shared" si="7"/>
        <v>-0.11215812925979221</v>
      </c>
      <c r="X35" s="17">
        <f t="shared" si="8"/>
        <v>-0.10093787657955711</v>
      </c>
      <c r="Y35" s="17">
        <f t="shared" si="9"/>
        <v>-9.34498402344483E-2</v>
      </c>
      <c r="Z35" s="17">
        <f t="shared" si="10"/>
        <v>-8.9694020224465876E-2</v>
      </c>
      <c r="AA35" s="17">
        <f t="shared" si="11"/>
        <v>-8.9670416549609833E-2</v>
      </c>
    </row>
    <row r="36" spans="1:27" x14ac:dyDescent="0.3">
      <c r="A36" s="13" t="s">
        <v>43</v>
      </c>
      <c r="B36" s="14">
        <v>123</v>
      </c>
      <c r="C36" s="15">
        <v>-0.11595496284819805</v>
      </c>
      <c r="D36" s="15">
        <v>-0.2070043130702377</v>
      </c>
      <c r="E36" s="15">
        <v>-0.29620373930069982</v>
      </c>
      <c r="F36" s="15">
        <v>-0.37345063178881505</v>
      </c>
      <c r="G36" s="15">
        <v>-0.44023787706863404</v>
      </c>
      <c r="H36" s="15">
        <v>-0.49805836167420736</v>
      </c>
      <c r="I36" s="15">
        <v>-0.54840497213958528</v>
      </c>
      <c r="J36" s="15">
        <v>-0.59277059499881879</v>
      </c>
      <c r="K36" s="15">
        <v>-0.632648116785958</v>
      </c>
      <c r="L36" s="15">
        <v>-0.66953042403505381</v>
      </c>
      <c r="M36" s="15">
        <v>-0.70491040328015675</v>
      </c>
      <c r="N36" s="15">
        <v>-0.74028094105531705</v>
      </c>
      <c r="O36" s="15">
        <v>-0.77713492389458561</v>
      </c>
      <c r="P36" s="15">
        <v>-0.81696523833201262</v>
      </c>
      <c r="Q36" s="15">
        <v>-0.86126477090164888</v>
      </c>
      <c r="S36" s="17">
        <f t="shared" si="3"/>
        <v>-0.19436130333199697</v>
      </c>
      <c r="T36" s="17">
        <f t="shared" si="4"/>
        <v>-0.16821218531125628</v>
      </c>
      <c r="U36" s="17">
        <f t="shared" si="5"/>
        <v>-0.14579528362564187</v>
      </c>
      <c r="V36" s="17">
        <f t="shared" si="6"/>
        <v>-0.12711059827515395</v>
      </c>
      <c r="W36" s="17">
        <f t="shared" si="7"/>
        <v>-0.11215812925979221</v>
      </c>
      <c r="X36" s="17">
        <f t="shared" si="8"/>
        <v>-0.10093787657955711</v>
      </c>
      <c r="Y36" s="17">
        <f t="shared" si="9"/>
        <v>-9.34498402344483E-2</v>
      </c>
      <c r="Z36" s="17">
        <f t="shared" si="10"/>
        <v>-8.9694020224465876E-2</v>
      </c>
      <c r="AA36" s="17">
        <f t="shared" si="11"/>
        <v>-8.9670416549609833E-2</v>
      </c>
    </row>
    <row r="37" spans="1:27" x14ac:dyDescent="0.3">
      <c r="A37" s="13" t="s">
        <v>43</v>
      </c>
      <c r="B37" s="14">
        <v>216</v>
      </c>
      <c r="C37" s="15">
        <v>-0.11595496284819805</v>
      </c>
      <c r="D37" s="15">
        <v>-0.2070043130702377</v>
      </c>
      <c r="E37" s="15">
        <v>-0.29620373930069982</v>
      </c>
      <c r="F37" s="15">
        <v>-0.37345063178881505</v>
      </c>
      <c r="G37" s="15">
        <v>-0.44023787706863404</v>
      </c>
      <c r="H37" s="15">
        <v>-0.49805836167420736</v>
      </c>
      <c r="I37" s="15">
        <v>-0.54840497213958528</v>
      </c>
      <c r="J37" s="15">
        <v>-0.59277059499881879</v>
      </c>
      <c r="K37" s="15">
        <v>-0.632648116785958</v>
      </c>
      <c r="L37" s="15">
        <v>-0.66953042403505381</v>
      </c>
      <c r="M37" s="15">
        <v>-0.70491040328015675</v>
      </c>
      <c r="N37" s="15">
        <v>-0.74028094105531705</v>
      </c>
      <c r="O37" s="15">
        <v>-0.77713492389458561</v>
      </c>
      <c r="P37" s="15">
        <v>-0.81696523833201262</v>
      </c>
      <c r="Q37" s="15">
        <v>-0.86126477090164888</v>
      </c>
      <c r="S37" s="17">
        <f t="shared" si="3"/>
        <v>-0.19436130333199697</v>
      </c>
      <c r="T37" s="17">
        <f t="shared" si="4"/>
        <v>-0.16821218531125628</v>
      </c>
      <c r="U37" s="17">
        <f t="shared" si="5"/>
        <v>-0.14579528362564187</v>
      </c>
      <c r="V37" s="17">
        <f t="shared" si="6"/>
        <v>-0.12711059827515395</v>
      </c>
      <c r="W37" s="17">
        <f t="shared" si="7"/>
        <v>-0.11215812925979221</v>
      </c>
      <c r="X37" s="17">
        <f t="shared" si="8"/>
        <v>-0.10093787657955711</v>
      </c>
      <c r="Y37" s="17">
        <f t="shared" si="9"/>
        <v>-9.34498402344483E-2</v>
      </c>
      <c r="Z37" s="17">
        <f t="shared" si="10"/>
        <v>-8.9694020224465876E-2</v>
      </c>
      <c r="AA37" s="17">
        <f t="shared" si="11"/>
        <v>-8.9670416549609833E-2</v>
      </c>
    </row>
    <row r="38" spans="1:27" x14ac:dyDescent="0.3">
      <c r="A38" s="13" t="s">
        <v>43</v>
      </c>
      <c r="B38" s="14" t="s">
        <v>44</v>
      </c>
      <c r="C38" s="15">
        <v>-0.1296679663486604</v>
      </c>
      <c r="D38" s="15">
        <v>-0.22830779312641139</v>
      </c>
      <c r="E38" s="15">
        <v>-0.32190192490572977</v>
      </c>
      <c r="F38" s="15">
        <v>-0.39976763970122431</v>
      </c>
      <c r="G38" s="15">
        <v>-0.4641890121623698</v>
      </c>
      <c r="H38" s="15">
        <v>-0.51745011693864129</v>
      </c>
      <c r="I38" s="15">
        <v>-0.56183502867951318</v>
      </c>
      <c r="J38" s="15">
        <v>-0.59962782203446063</v>
      </c>
      <c r="K38" s="15">
        <v>-0.63311257165295831</v>
      </c>
      <c r="L38" s="15">
        <v>-0.66457335218448099</v>
      </c>
      <c r="M38" s="15">
        <v>-0.69629423827850379</v>
      </c>
      <c r="N38" s="15">
        <v>-0.73055930458450102</v>
      </c>
      <c r="O38" s="15">
        <v>-0.76965262575194782</v>
      </c>
      <c r="P38" s="15">
        <v>-0.81585827643031905</v>
      </c>
      <c r="Q38" s="15">
        <v>-0.87146033126908951</v>
      </c>
      <c r="S38" s="17">
        <f t="shared" si="3"/>
        <v>-0.19656768252996534</v>
      </c>
      <c r="T38" s="17">
        <f t="shared" si="4"/>
        <v>-0.16295682669409295</v>
      </c>
      <c r="U38" s="17">
        <f t="shared" si="5"/>
        <v>-0.13505615748190739</v>
      </c>
      <c r="V38" s="17">
        <f t="shared" si="6"/>
        <v>-0.11286567489340904</v>
      </c>
      <c r="W38" s="17">
        <f t="shared" si="7"/>
        <v>-9.6385378928597526E-2</v>
      </c>
      <c r="X38" s="17">
        <f t="shared" si="8"/>
        <v>-8.5615269587473175E-2</v>
      </c>
      <c r="Y38" s="17">
        <f t="shared" si="9"/>
        <v>-8.055534687003596E-2</v>
      </c>
      <c r="Z38" s="17">
        <f t="shared" si="10"/>
        <v>-8.1205610776285603E-2</v>
      </c>
      <c r="AA38" s="17">
        <f t="shared" si="11"/>
        <v>-8.7566061306222354E-2</v>
      </c>
    </row>
    <row r="39" spans="1:27" x14ac:dyDescent="0.3">
      <c r="A39" s="13" t="s">
        <v>43</v>
      </c>
      <c r="B39" s="14">
        <v>218</v>
      </c>
      <c r="C39" s="15">
        <v>-0.11595496284819805</v>
      </c>
      <c r="D39" s="15">
        <v>-0.2070043130702377</v>
      </c>
      <c r="E39" s="15">
        <v>-0.29620373930069982</v>
      </c>
      <c r="F39" s="15">
        <v>-0.37345063178881505</v>
      </c>
      <c r="G39" s="15">
        <v>-0.44023787706863404</v>
      </c>
      <c r="H39" s="15">
        <v>-0.49805836167420736</v>
      </c>
      <c r="I39" s="15">
        <v>-0.54840497213958528</v>
      </c>
      <c r="J39" s="15">
        <v>-0.59277059499881879</v>
      </c>
      <c r="K39" s="15">
        <v>-0.632648116785958</v>
      </c>
      <c r="L39" s="15">
        <v>-0.66953042403505381</v>
      </c>
      <c r="M39" s="15">
        <v>-0.70491040328015675</v>
      </c>
      <c r="N39" s="15">
        <v>-0.74028094105531705</v>
      </c>
      <c r="O39" s="15">
        <v>-0.77713492389458561</v>
      </c>
      <c r="P39" s="15">
        <v>-0.81696523833201262</v>
      </c>
      <c r="Q39" s="15">
        <v>-0.86126477090164888</v>
      </c>
      <c r="S39" s="17">
        <f t="shared" si="3"/>
        <v>-0.19436130333199697</v>
      </c>
      <c r="T39" s="17">
        <f t="shared" si="4"/>
        <v>-0.16821218531125628</v>
      </c>
      <c r="U39" s="17">
        <f t="shared" si="5"/>
        <v>-0.14579528362564187</v>
      </c>
      <c r="V39" s="17">
        <f t="shared" si="6"/>
        <v>-0.12711059827515395</v>
      </c>
      <c r="W39" s="17">
        <f t="shared" si="7"/>
        <v>-0.11215812925979221</v>
      </c>
      <c r="X39" s="17">
        <f t="shared" si="8"/>
        <v>-0.10093787657955711</v>
      </c>
      <c r="Y39" s="17">
        <f t="shared" si="9"/>
        <v>-9.34498402344483E-2</v>
      </c>
      <c r="Z39" s="17">
        <f t="shared" si="10"/>
        <v>-8.9694020224465876E-2</v>
      </c>
      <c r="AA39" s="17">
        <f t="shared" si="11"/>
        <v>-8.9670416549609833E-2</v>
      </c>
    </row>
    <row r="40" spans="1:27" x14ac:dyDescent="0.3">
      <c r="A40" s="13" t="s">
        <v>43</v>
      </c>
      <c r="B40" s="14" t="s">
        <v>45</v>
      </c>
      <c r="C40" s="15">
        <v>-0.12463856027076466</v>
      </c>
      <c r="D40" s="15">
        <v>-0.22063055099352247</v>
      </c>
      <c r="E40" s="15">
        <v>-0.31286464138366943</v>
      </c>
      <c r="F40" s="15">
        <v>-0.3908314603489586</v>
      </c>
      <c r="G40" s="15">
        <v>-0.45648549282421935</v>
      </c>
      <c r="H40" s="15">
        <v>-0.51178122374428103</v>
      </c>
      <c r="I40" s="15">
        <v>-0.55867313804397312</v>
      </c>
      <c r="J40" s="15">
        <v>-0.59911572065812502</v>
      </c>
      <c r="K40" s="15">
        <v>-0.63506345652156615</v>
      </c>
      <c r="L40" s="15">
        <v>-0.66847083056912604</v>
      </c>
      <c r="M40" s="15">
        <v>-0.7012923277356341</v>
      </c>
      <c r="N40" s="15">
        <v>-0.73548243295591942</v>
      </c>
      <c r="O40" s="15">
        <v>-0.77299563116481196</v>
      </c>
      <c r="P40" s="15">
        <v>-0.81578640729714069</v>
      </c>
      <c r="Q40" s="15">
        <v>-0.86580924628773515</v>
      </c>
      <c r="S40" s="17">
        <f t="shared" si="3"/>
        <v>-0.19654578485891405</v>
      </c>
      <c r="T40" s="17">
        <f t="shared" si="4"/>
        <v>-0.16576381863384299</v>
      </c>
      <c r="U40" s="17">
        <f t="shared" si="5"/>
        <v>-0.13986806474584543</v>
      </c>
      <c r="V40" s="17">
        <f t="shared" si="6"/>
        <v>-0.11885852319492138</v>
      </c>
      <c r="W40" s="17">
        <f t="shared" si="7"/>
        <v>-0.10273519398107092</v>
      </c>
      <c r="X40" s="17">
        <f t="shared" si="8"/>
        <v>-9.1498077104294112E-2</v>
      </c>
      <c r="Y40" s="17">
        <f t="shared" si="9"/>
        <v>-8.5147172564590895E-2</v>
      </c>
      <c r="Z40" s="17">
        <f t="shared" si="10"/>
        <v>-8.3682480361961048E-2</v>
      </c>
      <c r="AA40" s="17">
        <f t="shared" si="11"/>
        <v>-8.7104000496404932E-2</v>
      </c>
    </row>
    <row r="41" spans="1:27" x14ac:dyDescent="0.3">
      <c r="A41" s="13" t="s">
        <v>43</v>
      </c>
      <c r="B41" s="14" t="s">
        <v>46</v>
      </c>
      <c r="C41" s="15">
        <v>-0.11595496284819805</v>
      </c>
      <c r="D41" s="15">
        <v>-0.2070043130702377</v>
      </c>
      <c r="E41" s="15">
        <v>-0.29620373930069982</v>
      </c>
      <c r="F41" s="15">
        <v>-0.37345063178881505</v>
      </c>
      <c r="G41" s="15">
        <v>-0.44023787706863404</v>
      </c>
      <c r="H41" s="15">
        <v>-0.49805836167420736</v>
      </c>
      <c r="I41" s="15">
        <v>-0.54840497213958528</v>
      </c>
      <c r="J41" s="15">
        <v>-0.59277059499881879</v>
      </c>
      <c r="K41" s="15">
        <v>-0.632648116785958</v>
      </c>
      <c r="L41" s="15">
        <v>-0.66953042403505381</v>
      </c>
      <c r="M41" s="15">
        <v>-0.70491040328015675</v>
      </c>
      <c r="N41" s="15">
        <v>-0.74028094105531705</v>
      </c>
      <c r="O41" s="15">
        <v>-0.77713492389458561</v>
      </c>
      <c r="P41" s="15">
        <v>-0.81696523833201262</v>
      </c>
      <c r="Q41" s="15">
        <v>-0.86126477090164888</v>
      </c>
      <c r="S41" s="17">
        <f t="shared" si="3"/>
        <v>-0.19436130333199697</v>
      </c>
      <c r="T41" s="17">
        <f t="shared" si="4"/>
        <v>-0.16821218531125628</v>
      </c>
      <c r="U41" s="17">
        <f t="shared" si="5"/>
        <v>-0.14579528362564187</v>
      </c>
      <c r="V41" s="17">
        <f t="shared" si="6"/>
        <v>-0.12711059827515395</v>
      </c>
      <c r="W41" s="17">
        <f t="shared" si="7"/>
        <v>-0.11215812925979221</v>
      </c>
      <c r="X41" s="17">
        <f t="shared" si="8"/>
        <v>-0.10093787657955711</v>
      </c>
      <c r="Y41" s="17">
        <f t="shared" si="9"/>
        <v>-9.34498402344483E-2</v>
      </c>
      <c r="Z41" s="17">
        <f t="shared" si="10"/>
        <v>-8.9694020224465876E-2</v>
      </c>
      <c r="AA41" s="17">
        <f t="shared" si="11"/>
        <v>-8.9670416549609833E-2</v>
      </c>
    </row>
    <row r="42" spans="1:27" x14ac:dyDescent="0.3">
      <c r="A42" s="13" t="s">
        <v>43</v>
      </c>
      <c r="B42" s="14" t="s">
        <v>47</v>
      </c>
      <c r="C42" s="15">
        <v>-0.11595496284819805</v>
      </c>
      <c r="D42" s="15">
        <v>-0.2070043130702377</v>
      </c>
      <c r="E42" s="15">
        <v>-0.29620373930069982</v>
      </c>
      <c r="F42" s="15">
        <v>-0.37345063178881505</v>
      </c>
      <c r="G42" s="15">
        <v>-0.44023787706863404</v>
      </c>
      <c r="H42" s="15">
        <v>-0.49805836167420736</v>
      </c>
      <c r="I42" s="15">
        <v>-0.54840497213958528</v>
      </c>
      <c r="J42" s="15">
        <v>-0.59277059499881879</v>
      </c>
      <c r="K42" s="15">
        <v>-0.632648116785958</v>
      </c>
      <c r="L42" s="15">
        <v>-0.66953042403505381</v>
      </c>
      <c r="M42" s="15">
        <v>-0.70491040328015675</v>
      </c>
      <c r="N42" s="15">
        <v>-0.74028094105531705</v>
      </c>
      <c r="O42" s="15">
        <v>-0.77713492389458561</v>
      </c>
      <c r="P42" s="15">
        <v>-0.81696523833201262</v>
      </c>
      <c r="Q42" s="15">
        <v>-0.86126477090164888</v>
      </c>
      <c r="S42" s="17">
        <f t="shared" si="3"/>
        <v>-0.19436130333199697</v>
      </c>
      <c r="T42" s="17">
        <f t="shared" si="4"/>
        <v>-0.16821218531125628</v>
      </c>
      <c r="U42" s="17">
        <f t="shared" si="5"/>
        <v>-0.14579528362564187</v>
      </c>
      <c r="V42" s="17">
        <f t="shared" si="6"/>
        <v>-0.12711059827515395</v>
      </c>
      <c r="W42" s="17">
        <f t="shared" si="7"/>
        <v>-0.11215812925979221</v>
      </c>
      <c r="X42" s="17">
        <f t="shared" si="8"/>
        <v>-0.10093787657955711</v>
      </c>
      <c r="Y42" s="17">
        <f t="shared" si="9"/>
        <v>-9.34498402344483E-2</v>
      </c>
      <c r="Z42" s="17">
        <f t="shared" si="10"/>
        <v>-8.9694020224465876E-2</v>
      </c>
      <c r="AA42" s="17">
        <f t="shared" si="11"/>
        <v>-8.9670416549609833E-2</v>
      </c>
    </row>
    <row r="43" spans="1:27" x14ac:dyDescent="0.3">
      <c r="A43" s="13" t="s">
        <v>43</v>
      </c>
      <c r="B43" s="14">
        <v>316</v>
      </c>
      <c r="C43" s="15">
        <v>-0.11779973677232466</v>
      </c>
      <c r="D43" s="15">
        <v>-0.20816988085487276</v>
      </c>
      <c r="E43" s="15">
        <v>-0.29473339391010511</v>
      </c>
      <c r="F43" s="15">
        <v>-0.36771236988850609</v>
      </c>
      <c r="G43" s="15">
        <v>-0.42910887641779244</v>
      </c>
      <c r="H43" s="15">
        <v>-0.48092498112568133</v>
      </c>
      <c r="I43" s="15">
        <v>-0.52516275163988946</v>
      </c>
      <c r="J43" s="15">
        <v>-0.56382425558813365</v>
      </c>
      <c r="K43" s="15">
        <v>-0.59891156059813089</v>
      </c>
      <c r="L43" s="15">
        <v>-0.63242673429759799</v>
      </c>
      <c r="M43" s="15">
        <v>-0.666371844314252</v>
      </c>
      <c r="N43" s="15">
        <v>-0.70274895827580963</v>
      </c>
      <c r="O43" s="15">
        <v>-0.74356014380998769</v>
      </c>
      <c r="P43" s="15">
        <v>-0.79080746854450323</v>
      </c>
      <c r="Q43" s="15">
        <v>-0.84649300010707274</v>
      </c>
      <c r="S43" s="17">
        <f t="shared" si="3"/>
        <v>-0.18411582963576642</v>
      </c>
      <c r="T43" s="17">
        <f t="shared" si="4"/>
        <v>-0.15515965601298018</v>
      </c>
      <c r="U43" s="17">
        <f t="shared" si="5"/>
        <v>-0.13120865145948615</v>
      </c>
      <c r="V43" s="17">
        <f t="shared" si="6"/>
        <v>-0.11226281597528434</v>
      </c>
      <c r="W43" s="17">
        <f t="shared" si="7"/>
        <v>-9.8322149560374633E-2</v>
      </c>
      <c r="X43" s="17">
        <f t="shared" si="8"/>
        <v>-8.9386652214757112E-2</v>
      </c>
      <c r="Y43" s="17">
        <f t="shared" si="9"/>
        <v>-8.5456323938431972E-2</v>
      </c>
      <c r="Z43" s="17">
        <f t="shared" si="10"/>
        <v>-8.6531164731398963E-2</v>
      </c>
      <c r="AA43" s="17">
        <f t="shared" si="11"/>
        <v>-9.2611174593658085E-2</v>
      </c>
    </row>
    <row r="44" spans="1:27" x14ac:dyDescent="0.3">
      <c r="A44" s="13" t="s">
        <v>43</v>
      </c>
      <c r="B44" s="14">
        <v>318</v>
      </c>
      <c r="C44" s="15">
        <v>-0.13040575713628688</v>
      </c>
      <c r="D44" s="15">
        <v>-0.22929986996141644</v>
      </c>
      <c r="E44" s="15">
        <v>-0.3228623971539416</v>
      </c>
      <c r="F44" s="15">
        <v>-0.40044303878531873</v>
      </c>
      <c r="G44" s="15">
        <v>-0.4644320706406328</v>
      </c>
      <c r="H44" s="15">
        <v>-0.51721976850496887</v>
      </c>
      <c r="I44" s="15">
        <v>-0.56119640816341188</v>
      </c>
      <c r="J44" s="15">
        <v>-0.59875226540104687</v>
      </c>
      <c r="K44" s="15">
        <v>-0.63227761600295895</v>
      </c>
      <c r="L44" s="15">
        <v>-0.6641627357542329</v>
      </c>
      <c r="M44" s="15">
        <v>-0.69679790043995382</v>
      </c>
      <c r="N44" s="15">
        <v>-0.73257338584520715</v>
      </c>
      <c r="O44" s="15">
        <v>-0.77387946775507754</v>
      </c>
      <c r="P44" s="15">
        <v>-0.82310642195464967</v>
      </c>
      <c r="Q44" s="15">
        <v>-0.88264452422900885</v>
      </c>
      <c r="S44" s="17">
        <f t="shared" si="3"/>
        <v>-0.19594350056601362</v>
      </c>
      <c r="T44" s="17">
        <f t="shared" si="4"/>
        <v>-0.16196447612585607</v>
      </c>
      <c r="U44" s="17">
        <f t="shared" si="5"/>
        <v>-0.13396114114841096</v>
      </c>
      <c r="V44" s="17">
        <f t="shared" si="6"/>
        <v>-0.11193349563367838</v>
      </c>
      <c r="W44" s="17">
        <f t="shared" si="7"/>
        <v>-9.5881539581658404E-2</v>
      </c>
      <c r="X44" s="17">
        <f t="shared" si="8"/>
        <v>-8.5805272992350856E-2</v>
      </c>
      <c r="Y44" s="17">
        <f t="shared" si="9"/>
        <v>-8.1704695865755794E-2</v>
      </c>
      <c r="Z44" s="17">
        <f t="shared" si="10"/>
        <v>-8.3579808201873496E-2</v>
      </c>
      <c r="AA44" s="17">
        <f t="shared" si="11"/>
        <v>-9.1430610000703877E-2</v>
      </c>
    </row>
    <row r="45" spans="1:27" x14ac:dyDescent="0.3">
      <c r="A45" s="13" t="s">
        <v>43</v>
      </c>
      <c r="B45" s="14">
        <v>320</v>
      </c>
      <c r="C45" s="15">
        <v>-0.13002344195305979</v>
      </c>
      <c r="D45" s="15">
        <v>-0.2311386189454015</v>
      </c>
      <c r="E45" s="15">
        <v>-0.32914294459694438</v>
      </c>
      <c r="F45" s="15">
        <v>-0.41276746333326841</v>
      </c>
      <c r="G45" s="15">
        <v>-0.48374556377525979</v>
      </c>
      <c r="H45" s="15">
        <v>-0.54381063454380463</v>
      </c>
      <c r="I45" s="15">
        <v>-0.59469606425978905</v>
      </c>
      <c r="J45" s="15">
        <v>-0.63813524154409895</v>
      </c>
      <c r="K45" s="15">
        <v>-0.67586155501762057</v>
      </c>
      <c r="L45" s="15">
        <v>-0.70960839330124015</v>
      </c>
      <c r="M45" s="15">
        <v>-0.74110914501584368</v>
      </c>
      <c r="N45" s="15">
        <v>-0.77209719878231697</v>
      </c>
      <c r="O45" s="15">
        <v>-0.80430594322154658</v>
      </c>
      <c r="P45" s="15">
        <v>-0.83946876695441819</v>
      </c>
      <c r="Q45" s="15">
        <v>-0.87931905860181858</v>
      </c>
      <c r="S45" s="17">
        <f t="shared" si="3"/>
        <v>-0.21050578735821526</v>
      </c>
      <c r="T45" s="17">
        <f t="shared" si="4"/>
        <v>-0.17888974162238352</v>
      </c>
      <c r="U45" s="17">
        <f t="shared" si="5"/>
        <v>-0.1516071674387672</v>
      </c>
      <c r="V45" s="17">
        <f t="shared" si="6"/>
        <v>-0.12865806480736597</v>
      </c>
      <c r="W45" s="17">
        <f t="shared" si="7"/>
        <v>-0.11004243372817996</v>
      </c>
      <c r="X45" s="17">
        <f t="shared" si="8"/>
        <v>-9.576027420120925E-2</v>
      </c>
      <c r="Y45" s="17">
        <f t="shared" si="9"/>
        <v>-8.5811586226453934E-2</v>
      </c>
      <c r="Z45" s="17">
        <f t="shared" si="10"/>
        <v>-8.0196369803913675E-2</v>
      </c>
      <c r="AA45" s="17">
        <f t="shared" si="11"/>
        <v>-7.8914624933588695E-2</v>
      </c>
    </row>
    <row r="46" spans="1:27" x14ac:dyDescent="0.3">
      <c r="A46" s="13" t="s">
        <v>43</v>
      </c>
      <c r="B46" s="14">
        <v>325</v>
      </c>
      <c r="C46" s="15">
        <v>-0.11279645981886244</v>
      </c>
      <c r="D46" s="15">
        <v>-0.20275215950986758</v>
      </c>
      <c r="E46" s="15">
        <v>-0.29216370706656697</v>
      </c>
      <c r="F46" s="15">
        <v>-0.37088688347176346</v>
      </c>
      <c r="G46" s="15">
        <v>-0.44005711569014644</v>
      </c>
      <c r="H46" s="15">
        <v>-0.50080983068640494</v>
      </c>
      <c r="I46" s="15">
        <v>-0.55428045542522819</v>
      </c>
      <c r="J46" s="15">
        <v>-0.6016044168713055</v>
      </c>
      <c r="K46" s="15">
        <v>-0.64391714198932593</v>
      </c>
      <c r="L46" s="15">
        <v>-0.68235405774397873</v>
      </c>
      <c r="M46" s="15">
        <v>-0.71805059109995306</v>
      </c>
      <c r="N46" s="15">
        <v>-0.75214216902193831</v>
      </c>
      <c r="O46" s="15">
        <v>-0.78576421847462341</v>
      </c>
      <c r="P46" s="15">
        <v>-0.82005216642269763</v>
      </c>
      <c r="Q46" s="15">
        <v>-0.85614143983085034</v>
      </c>
      <c r="S46" s="17">
        <f t="shared" si="3"/>
        <v>-0.19775413015023238</v>
      </c>
      <c r="T46" s="17">
        <f t="shared" si="4"/>
        <v>-0.17387176968319831</v>
      </c>
      <c r="U46" s="17">
        <f t="shared" si="5"/>
        <v>-0.15282797662788727</v>
      </c>
      <c r="V46" s="17">
        <f t="shared" si="6"/>
        <v>-0.13462275098429921</v>
      </c>
      <c r="W46" s="17">
        <f t="shared" si="7"/>
        <v>-0.11925609275243415</v>
      </c>
      <c r="X46" s="17">
        <f t="shared" si="8"/>
        <v>-0.10672800193229212</v>
      </c>
      <c r="Y46" s="17">
        <f t="shared" si="9"/>
        <v>-9.7038478523872956E-2</v>
      </c>
      <c r="Z46" s="17">
        <f t="shared" si="10"/>
        <v>-9.0187522527176989E-2</v>
      </c>
      <c r="AA46" s="17">
        <f t="shared" si="11"/>
        <v>-8.6175133942203913E-2</v>
      </c>
    </row>
    <row r="47" spans="1:27" x14ac:dyDescent="0.3">
      <c r="A47" s="13" t="s">
        <v>43</v>
      </c>
      <c r="B47" s="14">
        <v>328</v>
      </c>
      <c r="C47" s="15">
        <v>-0.11595496284819805</v>
      </c>
      <c r="D47" s="15">
        <v>-0.2070043130702377</v>
      </c>
      <c r="E47" s="15">
        <v>-0.29620373930069982</v>
      </c>
      <c r="F47" s="15">
        <v>-0.37345063178881505</v>
      </c>
      <c r="G47" s="15">
        <v>-0.44023787706863404</v>
      </c>
      <c r="H47" s="15">
        <v>-0.49805836167420736</v>
      </c>
      <c r="I47" s="15">
        <v>-0.54840497213958528</v>
      </c>
      <c r="J47" s="15">
        <v>-0.59277059499881879</v>
      </c>
      <c r="K47" s="15">
        <v>-0.632648116785958</v>
      </c>
      <c r="L47" s="15">
        <v>-0.66953042403505381</v>
      </c>
      <c r="M47" s="15">
        <v>-0.70491040328015675</v>
      </c>
      <c r="N47" s="15">
        <v>-0.74028094105531705</v>
      </c>
      <c r="O47" s="15">
        <v>-0.77713492389458561</v>
      </c>
      <c r="P47" s="15">
        <v>-0.81696523833201262</v>
      </c>
      <c r="Q47" s="15">
        <v>-0.86126477090164888</v>
      </c>
      <c r="S47" s="17">
        <f t="shared" si="3"/>
        <v>-0.19436130333199697</v>
      </c>
      <c r="T47" s="17">
        <f t="shared" si="4"/>
        <v>-0.16821218531125628</v>
      </c>
      <c r="U47" s="17">
        <f t="shared" si="5"/>
        <v>-0.14579528362564187</v>
      </c>
      <c r="V47" s="17">
        <f t="shared" si="6"/>
        <v>-0.12711059827515395</v>
      </c>
      <c r="W47" s="17">
        <f t="shared" si="7"/>
        <v>-0.11215812925979221</v>
      </c>
      <c r="X47" s="17">
        <f t="shared" si="8"/>
        <v>-0.10093787657955711</v>
      </c>
      <c r="Y47" s="17">
        <f t="shared" si="9"/>
        <v>-9.34498402344483E-2</v>
      </c>
      <c r="Z47" s="17">
        <f t="shared" si="10"/>
        <v>-8.9694020224465876E-2</v>
      </c>
      <c r="AA47" s="17">
        <f t="shared" si="11"/>
        <v>-8.9670416549609833E-2</v>
      </c>
    </row>
    <row r="48" spans="1:27" x14ac:dyDescent="0.3">
      <c r="A48" s="13" t="s">
        <v>43</v>
      </c>
      <c r="B48" s="14">
        <v>330</v>
      </c>
      <c r="C48" s="15">
        <v>-0.11595496284819805</v>
      </c>
      <c r="D48" s="15">
        <v>-0.2070043130702377</v>
      </c>
      <c r="E48" s="15">
        <v>-0.29620373930069982</v>
      </c>
      <c r="F48" s="15">
        <v>-0.37345063178881505</v>
      </c>
      <c r="G48" s="15">
        <v>-0.44023787706863404</v>
      </c>
      <c r="H48" s="15">
        <v>-0.49805836167420736</v>
      </c>
      <c r="I48" s="15">
        <v>-0.54840497213958528</v>
      </c>
      <c r="J48" s="15">
        <v>-0.59277059499881879</v>
      </c>
      <c r="K48" s="15">
        <v>-0.632648116785958</v>
      </c>
      <c r="L48" s="15">
        <v>-0.66953042403505381</v>
      </c>
      <c r="M48" s="15">
        <v>-0.70491040328015675</v>
      </c>
      <c r="N48" s="15">
        <v>-0.74028094105531705</v>
      </c>
      <c r="O48" s="15">
        <v>-0.77713492389458561</v>
      </c>
      <c r="P48" s="15">
        <v>-0.81696523833201262</v>
      </c>
      <c r="Q48" s="15">
        <v>-0.86126477090164888</v>
      </c>
      <c r="S48" s="17">
        <f t="shared" si="3"/>
        <v>-0.19436130333199697</v>
      </c>
      <c r="T48" s="17">
        <f t="shared" si="4"/>
        <v>-0.16821218531125628</v>
      </c>
      <c r="U48" s="17">
        <f t="shared" si="5"/>
        <v>-0.14579528362564187</v>
      </c>
      <c r="V48" s="17">
        <f t="shared" si="6"/>
        <v>-0.12711059827515395</v>
      </c>
      <c r="W48" s="17">
        <f t="shared" si="7"/>
        <v>-0.11215812925979221</v>
      </c>
      <c r="X48" s="17">
        <f t="shared" si="8"/>
        <v>-0.10093787657955711</v>
      </c>
      <c r="Y48" s="17">
        <f t="shared" si="9"/>
        <v>-9.34498402344483E-2</v>
      </c>
      <c r="Z48" s="17">
        <f t="shared" si="10"/>
        <v>-8.9694020224465876E-2</v>
      </c>
      <c r="AA48" s="17">
        <f t="shared" si="11"/>
        <v>-8.9670416549609833E-2</v>
      </c>
    </row>
    <row r="49" spans="1:27" x14ac:dyDescent="0.3">
      <c r="A49" s="13" t="s">
        <v>43</v>
      </c>
      <c r="B49" s="14">
        <v>335</v>
      </c>
      <c r="C49" s="15">
        <v>-0.11595496284819805</v>
      </c>
      <c r="D49" s="15">
        <v>-0.2070043130702377</v>
      </c>
      <c r="E49" s="15">
        <v>-0.29620373930069982</v>
      </c>
      <c r="F49" s="15">
        <v>-0.37345063178881505</v>
      </c>
      <c r="G49" s="15">
        <v>-0.44023787706863404</v>
      </c>
      <c r="H49" s="15">
        <v>-0.49805836167420736</v>
      </c>
      <c r="I49" s="15">
        <v>-0.54840497213958528</v>
      </c>
      <c r="J49" s="15">
        <v>-0.59277059499881879</v>
      </c>
      <c r="K49" s="15">
        <v>-0.632648116785958</v>
      </c>
      <c r="L49" s="15">
        <v>-0.66953042403505381</v>
      </c>
      <c r="M49" s="15">
        <v>-0.70491040328015675</v>
      </c>
      <c r="N49" s="15">
        <v>-0.74028094105531705</v>
      </c>
      <c r="O49" s="15">
        <v>-0.77713492389458561</v>
      </c>
      <c r="P49" s="15">
        <v>-0.81696523833201262</v>
      </c>
      <c r="Q49" s="15">
        <v>-0.86126477090164888</v>
      </c>
      <c r="S49" s="17">
        <f t="shared" si="3"/>
        <v>-0.19436130333199697</v>
      </c>
      <c r="T49" s="17">
        <f t="shared" si="4"/>
        <v>-0.16821218531125628</v>
      </c>
      <c r="U49" s="17">
        <f t="shared" si="5"/>
        <v>-0.14579528362564187</v>
      </c>
      <c r="V49" s="17">
        <f t="shared" si="6"/>
        <v>-0.12711059827515395</v>
      </c>
      <c r="W49" s="17">
        <f t="shared" si="7"/>
        <v>-0.11215812925979221</v>
      </c>
      <c r="X49" s="17">
        <f t="shared" si="8"/>
        <v>-0.10093787657955711</v>
      </c>
      <c r="Y49" s="17">
        <f t="shared" si="9"/>
        <v>-9.34498402344483E-2</v>
      </c>
      <c r="Z49" s="17">
        <f t="shared" si="10"/>
        <v>-8.9694020224465876E-2</v>
      </c>
      <c r="AA49" s="17">
        <f t="shared" si="11"/>
        <v>-8.9670416549609833E-2</v>
      </c>
    </row>
    <row r="50" spans="1:27" x14ac:dyDescent="0.3">
      <c r="A50" s="13" t="s">
        <v>43</v>
      </c>
      <c r="B50" s="14">
        <v>418</v>
      </c>
      <c r="C50" s="15">
        <v>-0.11595496284819805</v>
      </c>
      <c r="D50" s="15">
        <v>-0.2070043130702377</v>
      </c>
      <c r="E50" s="15">
        <v>-0.29620373930069982</v>
      </c>
      <c r="F50" s="15">
        <v>-0.37345063178881505</v>
      </c>
      <c r="G50" s="15">
        <v>-0.44023787706863404</v>
      </c>
      <c r="H50" s="15">
        <v>-0.49805836167420736</v>
      </c>
      <c r="I50" s="15">
        <v>-0.54840497213958528</v>
      </c>
      <c r="J50" s="15">
        <v>-0.59277059499881879</v>
      </c>
      <c r="K50" s="15">
        <v>-0.632648116785958</v>
      </c>
      <c r="L50" s="15">
        <v>-0.66953042403505381</v>
      </c>
      <c r="M50" s="15">
        <v>-0.70491040328015675</v>
      </c>
      <c r="N50" s="15">
        <v>-0.74028094105531705</v>
      </c>
      <c r="O50" s="15">
        <v>-0.77713492389458561</v>
      </c>
      <c r="P50" s="15">
        <v>-0.81696523833201262</v>
      </c>
      <c r="Q50" s="15">
        <v>-0.86126477090164888</v>
      </c>
      <c r="S50" s="17">
        <f t="shared" si="3"/>
        <v>-0.19436130333199697</v>
      </c>
      <c r="T50" s="17">
        <f t="shared" si="4"/>
        <v>-0.16821218531125628</v>
      </c>
      <c r="U50" s="17">
        <f t="shared" si="5"/>
        <v>-0.14579528362564187</v>
      </c>
      <c r="V50" s="17">
        <f t="shared" si="6"/>
        <v>-0.12711059827515395</v>
      </c>
      <c r="W50" s="17">
        <f t="shared" si="7"/>
        <v>-0.11215812925979221</v>
      </c>
      <c r="X50" s="17">
        <f t="shared" si="8"/>
        <v>-0.10093787657955711</v>
      </c>
      <c r="Y50" s="17">
        <f t="shared" si="9"/>
        <v>-9.34498402344483E-2</v>
      </c>
      <c r="Z50" s="17">
        <f t="shared" si="10"/>
        <v>-8.9694020224465876E-2</v>
      </c>
      <c r="AA50" s="17">
        <f t="shared" si="11"/>
        <v>-8.9670416549609833E-2</v>
      </c>
    </row>
    <row r="51" spans="1:27" x14ac:dyDescent="0.3">
      <c r="A51" s="13" t="s">
        <v>43</v>
      </c>
      <c r="B51" s="14">
        <v>420</v>
      </c>
      <c r="C51" s="15">
        <v>-0.11595496284819805</v>
      </c>
      <c r="D51" s="15">
        <v>-0.2070043130702377</v>
      </c>
      <c r="E51" s="15">
        <v>-0.29620373930069982</v>
      </c>
      <c r="F51" s="15">
        <v>-0.37345063178881505</v>
      </c>
      <c r="G51" s="15">
        <v>-0.44023787706863404</v>
      </c>
      <c r="H51" s="15">
        <v>-0.49805836167420736</v>
      </c>
      <c r="I51" s="15">
        <v>-0.54840497213958528</v>
      </c>
      <c r="J51" s="15">
        <v>-0.59277059499881879</v>
      </c>
      <c r="K51" s="15">
        <v>-0.632648116785958</v>
      </c>
      <c r="L51" s="15">
        <v>-0.66953042403505381</v>
      </c>
      <c r="M51" s="15">
        <v>-0.70491040328015675</v>
      </c>
      <c r="N51" s="15">
        <v>-0.74028094105531705</v>
      </c>
      <c r="O51" s="15">
        <v>-0.77713492389458561</v>
      </c>
      <c r="P51" s="15">
        <v>-0.81696523833201262</v>
      </c>
      <c r="Q51" s="15">
        <v>-0.86126477090164888</v>
      </c>
      <c r="S51" s="17">
        <f t="shared" si="3"/>
        <v>-0.19436130333199697</v>
      </c>
      <c r="T51" s="17">
        <f t="shared" si="4"/>
        <v>-0.16821218531125628</v>
      </c>
      <c r="U51" s="17">
        <f t="shared" si="5"/>
        <v>-0.14579528362564187</v>
      </c>
      <c r="V51" s="17">
        <f t="shared" si="6"/>
        <v>-0.12711059827515395</v>
      </c>
      <c r="W51" s="17">
        <f t="shared" si="7"/>
        <v>-0.11215812925979221</v>
      </c>
      <c r="X51" s="17">
        <f t="shared" si="8"/>
        <v>-0.10093787657955711</v>
      </c>
      <c r="Y51" s="17">
        <f t="shared" si="9"/>
        <v>-9.34498402344483E-2</v>
      </c>
      <c r="Z51" s="17">
        <f t="shared" si="10"/>
        <v>-8.9694020224465876E-2</v>
      </c>
      <c r="AA51" s="17">
        <f t="shared" si="11"/>
        <v>-8.9670416549609833E-2</v>
      </c>
    </row>
    <row r="52" spans="1:27" x14ac:dyDescent="0.3">
      <c r="A52" s="13" t="s">
        <v>43</v>
      </c>
      <c r="B52" s="14">
        <v>428</v>
      </c>
      <c r="C52" s="15">
        <v>-0.11595496284819805</v>
      </c>
      <c r="D52" s="15">
        <v>-0.2070043130702377</v>
      </c>
      <c r="E52" s="15">
        <v>-0.29620373930069982</v>
      </c>
      <c r="F52" s="15">
        <v>-0.37345063178881505</v>
      </c>
      <c r="G52" s="15">
        <v>-0.44023787706863404</v>
      </c>
      <c r="H52" s="15">
        <v>-0.49805836167420736</v>
      </c>
      <c r="I52" s="15">
        <v>-0.54840497213958528</v>
      </c>
      <c r="J52" s="15">
        <v>-0.59277059499881879</v>
      </c>
      <c r="K52" s="15">
        <v>-0.632648116785958</v>
      </c>
      <c r="L52" s="15">
        <v>-0.66953042403505381</v>
      </c>
      <c r="M52" s="15">
        <v>-0.70491040328015675</v>
      </c>
      <c r="N52" s="15">
        <v>-0.74028094105531705</v>
      </c>
      <c r="O52" s="15">
        <v>-0.77713492389458561</v>
      </c>
      <c r="P52" s="15">
        <v>-0.81696523833201262</v>
      </c>
      <c r="Q52" s="15">
        <v>-0.86126477090164888</v>
      </c>
      <c r="S52" s="17">
        <f t="shared" si="3"/>
        <v>-0.19436130333199697</v>
      </c>
      <c r="T52" s="17">
        <f t="shared" si="4"/>
        <v>-0.16821218531125628</v>
      </c>
      <c r="U52" s="17">
        <f t="shared" si="5"/>
        <v>-0.14579528362564187</v>
      </c>
      <c r="V52" s="17">
        <f t="shared" si="6"/>
        <v>-0.12711059827515395</v>
      </c>
      <c r="W52" s="17">
        <f t="shared" si="7"/>
        <v>-0.11215812925979221</v>
      </c>
      <c r="X52" s="17">
        <f t="shared" si="8"/>
        <v>-0.10093787657955711</v>
      </c>
      <c r="Y52" s="17">
        <f t="shared" si="9"/>
        <v>-9.34498402344483E-2</v>
      </c>
      <c r="Z52" s="17">
        <f t="shared" si="10"/>
        <v>-8.9694020224465876E-2</v>
      </c>
      <c r="AA52" s="17">
        <f t="shared" si="11"/>
        <v>-8.9670416549609833E-2</v>
      </c>
    </row>
    <row r="53" spans="1:27" x14ac:dyDescent="0.3">
      <c r="A53" s="13" t="s">
        <v>43</v>
      </c>
      <c r="B53" s="14">
        <v>520</v>
      </c>
      <c r="C53" s="15">
        <v>-0.12909080328278427</v>
      </c>
      <c r="D53" s="15">
        <v>-0.22810020986252938</v>
      </c>
      <c r="E53" s="15">
        <v>-0.32279357253920016</v>
      </c>
      <c r="F53" s="15">
        <v>-0.40232317464691758</v>
      </c>
      <c r="G53" s="15">
        <v>-0.46875037984808077</v>
      </c>
      <c r="H53" s="15">
        <v>-0.52413655180508889</v>
      </c>
      <c r="I53" s="15">
        <v>-0.57054305418034135</v>
      </c>
      <c r="J53" s="15">
        <v>-0.6100312506362372</v>
      </c>
      <c r="K53" s="15">
        <v>-0.64466250483517595</v>
      </c>
      <c r="L53" s="15">
        <v>-0.67649818043955623</v>
      </c>
      <c r="M53" s="15">
        <v>-0.70759964111177787</v>
      </c>
      <c r="N53" s="15">
        <v>-0.74002825051423982</v>
      </c>
      <c r="O53" s="15">
        <v>-0.77584537230934136</v>
      </c>
      <c r="P53" s="15">
        <v>-0.81711237015948202</v>
      </c>
      <c r="Q53" s="15">
        <v>-0.8658906077270605</v>
      </c>
      <c r="S53" s="17">
        <f t="shared" si="3"/>
        <v>-0.20054180832129284</v>
      </c>
      <c r="T53" s="17">
        <f t="shared" si="4"/>
        <v>-0.16778581605490728</v>
      </c>
      <c r="U53" s="17">
        <f t="shared" si="5"/>
        <v>-0.14018323294451981</v>
      </c>
      <c r="V53" s="17">
        <f t="shared" si="6"/>
        <v>-0.11773405899013037</v>
      </c>
      <c r="W53" s="17">
        <f t="shared" si="7"/>
        <v>-0.10043829419173922</v>
      </c>
      <c r="X53" s="17">
        <f t="shared" si="8"/>
        <v>-8.8295938549345726E-2</v>
      </c>
      <c r="Y53" s="17">
        <f t="shared" si="9"/>
        <v>-8.1306992062950556E-2</v>
      </c>
      <c r="Z53" s="17">
        <f t="shared" si="10"/>
        <v>-7.9471454732553209E-2</v>
      </c>
      <c r="AA53" s="17">
        <f t="shared" si="11"/>
        <v>-8.2789326558154269E-2</v>
      </c>
    </row>
    <row r="54" spans="1:27" x14ac:dyDescent="0.3">
      <c r="A54" s="13" t="s">
        <v>43</v>
      </c>
      <c r="B54" s="14">
        <v>525</v>
      </c>
      <c r="C54" s="15">
        <v>-0.11595496284819805</v>
      </c>
      <c r="D54" s="15">
        <v>-0.2070043130702377</v>
      </c>
      <c r="E54" s="15">
        <v>-0.29620373930069982</v>
      </c>
      <c r="F54" s="15">
        <v>-0.37345063178881505</v>
      </c>
      <c r="G54" s="15">
        <v>-0.44023787706863404</v>
      </c>
      <c r="H54" s="15">
        <v>-0.49805836167420736</v>
      </c>
      <c r="I54" s="15">
        <v>-0.54840497213958528</v>
      </c>
      <c r="J54" s="15">
        <v>-0.59277059499881879</v>
      </c>
      <c r="K54" s="15">
        <v>-0.632648116785958</v>
      </c>
      <c r="L54" s="15">
        <v>-0.66953042403505381</v>
      </c>
      <c r="M54" s="15">
        <v>-0.70491040328015675</v>
      </c>
      <c r="N54" s="15">
        <v>-0.74028094105531705</v>
      </c>
      <c r="O54" s="15">
        <v>-0.77713492389458561</v>
      </c>
      <c r="P54" s="15">
        <v>-0.81696523833201262</v>
      </c>
      <c r="Q54" s="15">
        <v>-0.86126477090164888</v>
      </c>
      <c r="S54" s="17">
        <f t="shared" si="3"/>
        <v>-0.19436130333199697</v>
      </c>
      <c r="T54" s="17">
        <f t="shared" si="4"/>
        <v>-0.16821218531125628</v>
      </c>
      <c r="U54" s="17">
        <f t="shared" si="5"/>
        <v>-0.14579528362564187</v>
      </c>
      <c r="V54" s="17">
        <f t="shared" si="6"/>
        <v>-0.12711059827515395</v>
      </c>
      <c r="W54" s="17">
        <f t="shared" si="7"/>
        <v>-0.11215812925979221</v>
      </c>
      <c r="X54" s="17">
        <f t="shared" si="8"/>
        <v>-0.10093787657955711</v>
      </c>
      <c r="Y54" s="17">
        <f t="shared" si="9"/>
        <v>-9.34498402344483E-2</v>
      </c>
      <c r="Z54" s="17">
        <f t="shared" si="10"/>
        <v>-8.9694020224465876E-2</v>
      </c>
      <c r="AA54" s="17">
        <f t="shared" si="11"/>
        <v>-8.9670416549609833E-2</v>
      </c>
    </row>
    <row r="55" spans="1:27" x14ac:dyDescent="0.3">
      <c r="A55" s="13" t="s">
        <v>43</v>
      </c>
      <c r="B55" s="14">
        <v>528</v>
      </c>
      <c r="C55" s="15">
        <v>-0.11595496284819805</v>
      </c>
      <c r="D55" s="15">
        <v>-0.2070043130702377</v>
      </c>
      <c r="E55" s="15">
        <v>-0.29620373930069982</v>
      </c>
      <c r="F55" s="15">
        <v>-0.37345063178881505</v>
      </c>
      <c r="G55" s="15">
        <v>-0.44023787706863404</v>
      </c>
      <c r="H55" s="15">
        <v>-0.49805836167420736</v>
      </c>
      <c r="I55" s="15">
        <v>-0.54840497213958528</v>
      </c>
      <c r="J55" s="15">
        <v>-0.59277059499881879</v>
      </c>
      <c r="K55" s="15">
        <v>-0.632648116785958</v>
      </c>
      <c r="L55" s="15">
        <v>-0.66953042403505381</v>
      </c>
      <c r="M55" s="15">
        <v>-0.70491040328015675</v>
      </c>
      <c r="N55" s="15">
        <v>-0.74028094105531705</v>
      </c>
      <c r="O55" s="15">
        <v>-0.77713492389458561</v>
      </c>
      <c r="P55" s="15">
        <v>-0.81696523833201262</v>
      </c>
      <c r="Q55" s="15">
        <v>-0.86126477090164888</v>
      </c>
      <c r="S55" s="17">
        <f t="shared" si="3"/>
        <v>-0.19436130333199697</v>
      </c>
      <c r="T55" s="17">
        <f t="shared" si="4"/>
        <v>-0.16821218531125628</v>
      </c>
      <c r="U55" s="17">
        <f t="shared" si="5"/>
        <v>-0.14579528362564187</v>
      </c>
      <c r="V55" s="17">
        <f t="shared" si="6"/>
        <v>-0.12711059827515395</v>
      </c>
      <c r="W55" s="17">
        <f t="shared" si="7"/>
        <v>-0.11215812925979221</v>
      </c>
      <c r="X55" s="17">
        <f t="shared" si="8"/>
        <v>-0.10093787657955711</v>
      </c>
      <c r="Y55" s="17">
        <f t="shared" si="9"/>
        <v>-9.34498402344483E-2</v>
      </c>
      <c r="Z55" s="17">
        <f t="shared" si="10"/>
        <v>-8.9694020224465876E-2</v>
      </c>
      <c r="AA55" s="17">
        <f t="shared" si="11"/>
        <v>-8.9670416549609833E-2</v>
      </c>
    </row>
    <row r="56" spans="1:27" x14ac:dyDescent="0.3">
      <c r="A56" s="13" t="s">
        <v>43</v>
      </c>
      <c r="B56" s="14">
        <v>530</v>
      </c>
      <c r="C56" s="15">
        <v>-0.11595496284819805</v>
      </c>
      <c r="D56" s="15">
        <v>-0.2070043130702377</v>
      </c>
      <c r="E56" s="15">
        <v>-0.29620373930069982</v>
      </c>
      <c r="F56" s="15">
        <v>-0.37345063178881505</v>
      </c>
      <c r="G56" s="15">
        <v>-0.44023787706863404</v>
      </c>
      <c r="H56" s="15">
        <v>-0.49805836167420736</v>
      </c>
      <c r="I56" s="15">
        <v>-0.54840497213958528</v>
      </c>
      <c r="J56" s="15">
        <v>-0.59277059499881879</v>
      </c>
      <c r="K56" s="15">
        <v>-0.632648116785958</v>
      </c>
      <c r="L56" s="15">
        <v>-0.66953042403505381</v>
      </c>
      <c r="M56" s="15">
        <v>-0.70491040328015675</v>
      </c>
      <c r="N56" s="15">
        <v>-0.74028094105531705</v>
      </c>
      <c r="O56" s="15">
        <v>-0.77713492389458561</v>
      </c>
      <c r="P56" s="15">
        <v>-0.81696523833201262</v>
      </c>
      <c r="Q56" s="15">
        <v>-0.86126477090164888</v>
      </c>
      <c r="S56" s="17">
        <f t="shared" si="3"/>
        <v>-0.19436130333199697</v>
      </c>
      <c r="T56" s="17">
        <f t="shared" si="4"/>
        <v>-0.16821218531125628</v>
      </c>
      <c r="U56" s="17">
        <f t="shared" si="5"/>
        <v>-0.14579528362564187</v>
      </c>
      <c r="V56" s="17">
        <f t="shared" si="6"/>
        <v>-0.12711059827515395</v>
      </c>
      <c r="W56" s="17">
        <f t="shared" si="7"/>
        <v>-0.11215812925979221</v>
      </c>
      <c r="X56" s="17">
        <f t="shared" si="8"/>
        <v>-0.10093787657955711</v>
      </c>
      <c r="Y56" s="17">
        <f t="shared" si="9"/>
        <v>-9.34498402344483E-2</v>
      </c>
      <c r="Z56" s="17">
        <f t="shared" si="10"/>
        <v>-8.9694020224465876E-2</v>
      </c>
      <c r="AA56" s="17">
        <f t="shared" si="11"/>
        <v>-8.9670416549609833E-2</v>
      </c>
    </row>
    <row r="57" spans="1:27" x14ac:dyDescent="0.3">
      <c r="A57" s="13" t="s">
        <v>43</v>
      </c>
      <c r="B57" s="14">
        <v>535</v>
      </c>
      <c r="C57" s="15">
        <v>-0.11595496284819805</v>
      </c>
      <c r="D57" s="15">
        <v>-0.2070043130702377</v>
      </c>
      <c r="E57" s="15">
        <v>-0.29620373930069982</v>
      </c>
      <c r="F57" s="15">
        <v>-0.37345063178881505</v>
      </c>
      <c r="G57" s="15">
        <v>-0.44023787706863404</v>
      </c>
      <c r="H57" s="15">
        <v>-0.49805836167420736</v>
      </c>
      <c r="I57" s="15">
        <v>-0.54840497213958528</v>
      </c>
      <c r="J57" s="15">
        <v>-0.59277059499881879</v>
      </c>
      <c r="K57" s="15">
        <v>-0.632648116785958</v>
      </c>
      <c r="L57" s="15">
        <v>-0.66953042403505381</v>
      </c>
      <c r="M57" s="15">
        <v>-0.70491040328015675</v>
      </c>
      <c r="N57" s="15">
        <v>-0.74028094105531705</v>
      </c>
      <c r="O57" s="15">
        <v>-0.77713492389458561</v>
      </c>
      <c r="P57" s="15">
        <v>-0.81696523833201262</v>
      </c>
      <c r="Q57" s="15">
        <v>-0.86126477090164888</v>
      </c>
      <c r="S57" s="17">
        <f t="shared" si="3"/>
        <v>-0.19436130333199697</v>
      </c>
      <c r="T57" s="17">
        <f t="shared" si="4"/>
        <v>-0.16821218531125628</v>
      </c>
      <c r="U57" s="17">
        <f t="shared" si="5"/>
        <v>-0.14579528362564187</v>
      </c>
      <c r="V57" s="17">
        <f t="shared" si="6"/>
        <v>-0.12711059827515395</v>
      </c>
      <c r="W57" s="17">
        <f t="shared" si="7"/>
        <v>-0.11215812925979221</v>
      </c>
      <c r="X57" s="17">
        <f t="shared" si="8"/>
        <v>-0.10093787657955711</v>
      </c>
      <c r="Y57" s="17">
        <f t="shared" si="9"/>
        <v>-9.34498402344483E-2</v>
      </c>
      <c r="Z57" s="17">
        <f t="shared" si="10"/>
        <v>-8.9694020224465876E-2</v>
      </c>
      <c r="AA57" s="17">
        <f t="shared" si="11"/>
        <v>-8.9670416549609833E-2</v>
      </c>
    </row>
    <row r="58" spans="1:27" x14ac:dyDescent="0.3">
      <c r="A58" s="13" t="s">
        <v>43</v>
      </c>
      <c r="B58" s="14" t="s">
        <v>48</v>
      </c>
      <c r="C58" s="15">
        <v>-0.11595496284819805</v>
      </c>
      <c r="D58" s="15">
        <v>-0.2070043130702377</v>
      </c>
      <c r="E58" s="15">
        <v>-0.29620373930069982</v>
      </c>
      <c r="F58" s="15">
        <v>-0.37345063178881505</v>
      </c>
      <c r="G58" s="15">
        <v>-0.44023787706863404</v>
      </c>
      <c r="H58" s="15">
        <v>-0.49805836167420736</v>
      </c>
      <c r="I58" s="15">
        <v>-0.54840497213958528</v>
      </c>
      <c r="J58" s="15">
        <v>-0.59277059499881879</v>
      </c>
      <c r="K58" s="15">
        <v>-0.632648116785958</v>
      </c>
      <c r="L58" s="15">
        <v>-0.66953042403505381</v>
      </c>
      <c r="M58" s="15">
        <v>-0.70491040328015675</v>
      </c>
      <c r="N58" s="15">
        <v>-0.74028094105531705</v>
      </c>
      <c r="O58" s="15">
        <v>-0.77713492389458561</v>
      </c>
      <c r="P58" s="15">
        <v>-0.81696523833201262</v>
      </c>
      <c r="Q58" s="15">
        <v>-0.86126477090164888</v>
      </c>
      <c r="S58" s="17">
        <f t="shared" si="3"/>
        <v>-0.19436130333199697</v>
      </c>
      <c r="T58" s="17">
        <f t="shared" si="4"/>
        <v>-0.16821218531125628</v>
      </c>
      <c r="U58" s="17">
        <f t="shared" si="5"/>
        <v>-0.14579528362564187</v>
      </c>
      <c r="V58" s="17">
        <f t="shared" si="6"/>
        <v>-0.12711059827515395</v>
      </c>
      <c r="W58" s="17">
        <f t="shared" si="7"/>
        <v>-0.11215812925979221</v>
      </c>
      <c r="X58" s="17">
        <f t="shared" si="8"/>
        <v>-0.10093787657955711</v>
      </c>
      <c r="Y58" s="17">
        <f t="shared" si="9"/>
        <v>-9.34498402344483E-2</v>
      </c>
      <c r="Z58" s="17">
        <f t="shared" si="10"/>
        <v>-8.9694020224465876E-2</v>
      </c>
      <c r="AA58" s="17">
        <f t="shared" si="11"/>
        <v>-8.9670416549609833E-2</v>
      </c>
    </row>
    <row r="59" spans="1:27" x14ac:dyDescent="0.3">
      <c r="A59" s="13" t="s">
        <v>43</v>
      </c>
      <c r="B59" s="14">
        <v>640</v>
      </c>
      <c r="C59" s="15">
        <v>-0.11595496284819805</v>
      </c>
      <c r="D59" s="15">
        <v>-0.2070043130702377</v>
      </c>
      <c r="E59" s="15">
        <v>-0.29620373930069982</v>
      </c>
      <c r="F59" s="15">
        <v>-0.37345063178881505</v>
      </c>
      <c r="G59" s="15">
        <v>-0.44023787706863404</v>
      </c>
      <c r="H59" s="15">
        <v>-0.49805836167420736</v>
      </c>
      <c r="I59" s="15">
        <v>-0.54840497213958528</v>
      </c>
      <c r="J59" s="15">
        <v>-0.59277059499881879</v>
      </c>
      <c r="K59" s="15">
        <v>-0.632648116785958</v>
      </c>
      <c r="L59" s="15">
        <v>-0.66953042403505381</v>
      </c>
      <c r="M59" s="15">
        <v>-0.70491040328015675</v>
      </c>
      <c r="N59" s="15">
        <v>-0.74028094105531705</v>
      </c>
      <c r="O59" s="15">
        <v>-0.77713492389458561</v>
      </c>
      <c r="P59" s="15">
        <v>-0.81696523833201262</v>
      </c>
      <c r="Q59" s="15">
        <v>-0.86126477090164888</v>
      </c>
      <c r="S59" s="17">
        <f t="shared" si="3"/>
        <v>-0.19436130333199697</v>
      </c>
      <c r="T59" s="17">
        <f t="shared" si="4"/>
        <v>-0.16821218531125628</v>
      </c>
      <c r="U59" s="17">
        <f t="shared" si="5"/>
        <v>-0.14579528362564187</v>
      </c>
      <c r="V59" s="17">
        <f t="shared" si="6"/>
        <v>-0.12711059827515395</v>
      </c>
      <c r="W59" s="17">
        <f t="shared" si="7"/>
        <v>-0.11215812925979221</v>
      </c>
      <c r="X59" s="17">
        <f t="shared" si="8"/>
        <v>-0.10093787657955711</v>
      </c>
      <c r="Y59" s="17">
        <f t="shared" si="9"/>
        <v>-9.34498402344483E-2</v>
      </c>
      <c r="Z59" s="17">
        <f t="shared" si="10"/>
        <v>-8.9694020224465876E-2</v>
      </c>
      <c r="AA59" s="17">
        <f t="shared" si="11"/>
        <v>-8.9670416549609833E-2</v>
      </c>
    </row>
    <row r="60" spans="1:27" x14ac:dyDescent="0.3">
      <c r="A60" s="13" t="s">
        <v>43</v>
      </c>
      <c r="B60" s="14">
        <v>730</v>
      </c>
      <c r="C60" s="15">
        <v>-0.10871126563814749</v>
      </c>
      <c r="D60" s="15">
        <v>-0.19575009835915075</v>
      </c>
      <c r="E60" s="15">
        <v>-0.28262636200257635</v>
      </c>
      <c r="F60" s="15">
        <v>-0.35954421429606187</v>
      </c>
      <c r="G60" s="15">
        <v>-0.42757893953105963</v>
      </c>
      <c r="H60" s="15">
        <v>-0.48780582199902189</v>
      </c>
      <c r="I60" s="15">
        <v>-0.54130014599140108</v>
      </c>
      <c r="J60" s="15">
        <v>-0.58913719579964929</v>
      </c>
      <c r="K60" s="15">
        <v>-0.63239225571521895</v>
      </c>
      <c r="L60" s="15">
        <v>-0.67214061002956249</v>
      </c>
      <c r="M60" s="15">
        <v>-0.70945754303413189</v>
      </c>
      <c r="N60" s="15">
        <v>-0.74541833902037968</v>
      </c>
      <c r="O60" s="15">
        <v>-0.78109828227975819</v>
      </c>
      <c r="P60" s="15">
        <v>-0.81757265710371985</v>
      </c>
      <c r="Q60" s="15">
        <v>-0.85591674778371651</v>
      </c>
      <c r="S60" s="17">
        <f t="shared" si="3"/>
        <v>-0.19319070097659072</v>
      </c>
      <c r="T60" s="17">
        <f t="shared" si="4"/>
        <v>-0.17098288333037129</v>
      </c>
      <c r="U60" s="17">
        <f t="shared" si="5"/>
        <v>-0.15146327641278268</v>
      </c>
      <c r="V60" s="17">
        <f t="shared" si="6"/>
        <v>-0.13463188022382472</v>
      </c>
      <c r="W60" s="17">
        <f t="shared" si="7"/>
        <v>-0.12048869476349755</v>
      </c>
      <c r="X60" s="17">
        <f t="shared" si="8"/>
        <v>-0.10903372003180117</v>
      </c>
      <c r="Y60" s="17">
        <f t="shared" si="9"/>
        <v>-0.1002669560287355</v>
      </c>
      <c r="Z60" s="17">
        <f t="shared" si="10"/>
        <v>-9.4188402754300599E-2</v>
      </c>
      <c r="AA60" s="17">
        <f t="shared" si="11"/>
        <v>-9.0798060208496428E-2</v>
      </c>
    </row>
    <row r="61" spans="1:27" x14ac:dyDescent="0.3">
      <c r="A61" s="13" t="s">
        <v>43</v>
      </c>
      <c r="B61" s="14">
        <v>740</v>
      </c>
      <c r="C61" s="15">
        <v>-0.11595496284819805</v>
      </c>
      <c r="D61" s="15">
        <v>-0.2070043130702377</v>
      </c>
      <c r="E61" s="15">
        <v>-0.29620373930069982</v>
      </c>
      <c r="F61" s="15">
        <v>-0.37345063178881505</v>
      </c>
      <c r="G61" s="15">
        <v>-0.44023787706863404</v>
      </c>
      <c r="H61" s="15">
        <v>-0.49805836167420736</v>
      </c>
      <c r="I61" s="15">
        <v>-0.54840497213958528</v>
      </c>
      <c r="J61" s="15">
        <v>-0.59277059499881879</v>
      </c>
      <c r="K61" s="15">
        <v>-0.632648116785958</v>
      </c>
      <c r="L61" s="15">
        <v>-0.66953042403505381</v>
      </c>
      <c r="M61" s="15">
        <v>-0.70491040328015675</v>
      </c>
      <c r="N61" s="15">
        <v>-0.74028094105531705</v>
      </c>
      <c r="O61" s="15">
        <v>-0.77713492389458561</v>
      </c>
      <c r="P61" s="15">
        <v>-0.81696523833201262</v>
      </c>
      <c r="Q61" s="15">
        <v>-0.86126477090164888</v>
      </c>
      <c r="S61" s="17">
        <f t="shared" si="3"/>
        <v>-0.19436130333199697</v>
      </c>
      <c r="T61" s="17">
        <f t="shared" si="4"/>
        <v>-0.16821218531125628</v>
      </c>
      <c r="U61" s="17">
        <f t="shared" si="5"/>
        <v>-0.14579528362564187</v>
      </c>
      <c r="V61" s="17">
        <f t="shared" si="6"/>
        <v>-0.12711059827515395</v>
      </c>
      <c r="W61" s="17">
        <f t="shared" si="7"/>
        <v>-0.11215812925979221</v>
      </c>
      <c r="X61" s="17">
        <f t="shared" si="8"/>
        <v>-0.10093787657955711</v>
      </c>
      <c r="Y61" s="17">
        <f t="shared" si="9"/>
        <v>-9.34498402344483E-2</v>
      </c>
      <c r="Z61" s="17">
        <f t="shared" si="10"/>
        <v>-8.9694020224465876E-2</v>
      </c>
      <c r="AA61" s="17">
        <f t="shared" si="11"/>
        <v>-8.9670416549609833E-2</v>
      </c>
    </row>
    <row r="62" spans="1:27" x14ac:dyDescent="0.3">
      <c r="A62" s="13" t="s">
        <v>43</v>
      </c>
      <c r="B62" s="14">
        <v>745</v>
      </c>
      <c r="C62" s="15">
        <v>-0.11595496284819805</v>
      </c>
      <c r="D62" s="15">
        <v>-0.2070043130702377</v>
      </c>
      <c r="E62" s="15">
        <v>-0.29620373930069982</v>
      </c>
      <c r="F62" s="15">
        <v>-0.37345063178881505</v>
      </c>
      <c r="G62" s="15">
        <v>-0.44023787706863404</v>
      </c>
      <c r="H62" s="15">
        <v>-0.49805836167420736</v>
      </c>
      <c r="I62" s="15">
        <v>-0.54840497213958528</v>
      </c>
      <c r="J62" s="15">
        <v>-0.59277059499881879</v>
      </c>
      <c r="K62" s="15">
        <v>-0.632648116785958</v>
      </c>
      <c r="L62" s="15">
        <v>-0.66953042403505381</v>
      </c>
      <c r="M62" s="15">
        <v>-0.70491040328015675</v>
      </c>
      <c r="N62" s="15">
        <v>-0.74028094105531705</v>
      </c>
      <c r="O62" s="15">
        <v>-0.77713492389458561</v>
      </c>
      <c r="P62" s="15">
        <v>-0.81696523833201262</v>
      </c>
      <c r="Q62" s="15">
        <v>-0.86126477090164888</v>
      </c>
      <c r="S62" s="17">
        <f t="shared" si="3"/>
        <v>-0.19436130333199697</v>
      </c>
      <c r="T62" s="17">
        <f t="shared" si="4"/>
        <v>-0.16821218531125628</v>
      </c>
      <c r="U62" s="17">
        <f t="shared" si="5"/>
        <v>-0.14579528362564187</v>
      </c>
      <c r="V62" s="17">
        <f t="shared" si="6"/>
        <v>-0.12711059827515395</v>
      </c>
      <c r="W62" s="17">
        <f t="shared" si="7"/>
        <v>-0.11215812925979221</v>
      </c>
      <c r="X62" s="17">
        <f t="shared" si="8"/>
        <v>-0.10093787657955711</v>
      </c>
      <c r="Y62" s="17">
        <f t="shared" si="9"/>
        <v>-9.34498402344483E-2</v>
      </c>
      <c r="Z62" s="17">
        <f t="shared" si="10"/>
        <v>-8.9694020224465876E-2</v>
      </c>
      <c r="AA62" s="17">
        <f t="shared" si="11"/>
        <v>-8.9670416549609833E-2</v>
      </c>
    </row>
    <row r="63" spans="1:27" x14ac:dyDescent="0.3">
      <c r="A63" s="13" t="s">
        <v>43</v>
      </c>
      <c r="B63" s="14" t="s">
        <v>49</v>
      </c>
      <c r="C63" s="15">
        <v>-0.11595496284819805</v>
      </c>
      <c r="D63" s="15">
        <v>-0.2070043130702377</v>
      </c>
      <c r="E63" s="15">
        <v>-0.29620373930069982</v>
      </c>
      <c r="F63" s="15">
        <v>-0.37345063178881505</v>
      </c>
      <c r="G63" s="15">
        <v>-0.44023787706863404</v>
      </c>
      <c r="H63" s="15">
        <v>-0.49805836167420736</v>
      </c>
      <c r="I63" s="15">
        <v>-0.54840497213958528</v>
      </c>
      <c r="J63" s="15">
        <v>-0.59277059499881879</v>
      </c>
      <c r="K63" s="15">
        <v>-0.632648116785958</v>
      </c>
      <c r="L63" s="15">
        <v>-0.66953042403505381</v>
      </c>
      <c r="M63" s="15">
        <v>-0.70491040328015675</v>
      </c>
      <c r="N63" s="15">
        <v>-0.74028094105531705</v>
      </c>
      <c r="O63" s="15">
        <v>-0.77713492389458561</v>
      </c>
      <c r="P63" s="15">
        <v>-0.81696523833201262</v>
      </c>
      <c r="Q63" s="15">
        <v>-0.86126477090164888</v>
      </c>
      <c r="S63" s="17">
        <f t="shared" si="3"/>
        <v>-0.19436130333199697</v>
      </c>
      <c r="T63" s="17">
        <f t="shared" si="4"/>
        <v>-0.16821218531125628</v>
      </c>
      <c r="U63" s="17">
        <f t="shared" si="5"/>
        <v>-0.14579528362564187</v>
      </c>
      <c r="V63" s="17">
        <f t="shared" si="6"/>
        <v>-0.12711059827515395</v>
      </c>
      <c r="W63" s="17">
        <f t="shared" si="7"/>
        <v>-0.11215812925979221</v>
      </c>
      <c r="X63" s="17">
        <f t="shared" si="8"/>
        <v>-0.10093787657955711</v>
      </c>
      <c r="Y63" s="17">
        <f t="shared" si="9"/>
        <v>-9.34498402344483E-2</v>
      </c>
      <c r="Z63" s="17">
        <f t="shared" si="10"/>
        <v>-8.9694020224465876E-2</v>
      </c>
      <c r="AA63" s="17">
        <f t="shared" si="11"/>
        <v>-8.9670416549609833E-2</v>
      </c>
    </row>
    <row r="64" spans="1:27" x14ac:dyDescent="0.3">
      <c r="A64" s="13" t="s">
        <v>43</v>
      </c>
      <c r="B64" s="14" t="s">
        <v>50</v>
      </c>
      <c r="C64" s="15">
        <v>-0.11595496284819805</v>
      </c>
      <c r="D64" s="15">
        <v>-0.2070043130702377</v>
      </c>
      <c r="E64" s="15">
        <v>-0.29620373930069982</v>
      </c>
      <c r="F64" s="15">
        <v>-0.37345063178881505</v>
      </c>
      <c r="G64" s="15">
        <v>-0.44023787706863404</v>
      </c>
      <c r="H64" s="15">
        <v>-0.49805836167420736</v>
      </c>
      <c r="I64" s="15">
        <v>-0.54840497213958528</v>
      </c>
      <c r="J64" s="15">
        <v>-0.59277059499881879</v>
      </c>
      <c r="K64" s="15">
        <v>-0.632648116785958</v>
      </c>
      <c r="L64" s="15">
        <v>-0.66953042403505381</v>
      </c>
      <c r="M64" s="15">
        <v>-0.70491040328015675</v>
      </c>
      <c r="N64" s="15">
        <v>-0.74028094105531705</v>
      </c>
      <c r="O64" s="15">
        <v>-0.77713492389458561</v>
      </c>
      <c r="P64" s="15">
        <v>-0.81696523833201262</v>
      </c>
      <c r="Q64" s="15">
        <v>-0.86126477090164888</v>
      </c>
      <c r="S64" s="17">
        <f t="shared" si="3"/>
        <v>-0.19436130333199697</v>
      </c>
      <c r="T64" s="17">
        <f t="shared" si="4"/>
        <v>-0.16821218531125628</v>
      </c>
      <c r="U64" s="17">
        <f t="shared" si="5"/>
        <v>-0.14579528362564187</v>
      </c>
      <c r="V64" s="17">
        <f t="shared" si="6"/>
        <v>-0.12711059827515395</v>
      </c>
      <c r="W64" s="17">
        <f t="shared" si="7"/>
        <v>-0.11215812925979221</v>
      </c>
      <c r="X64" s="17">
        <f t="shared" si="8"/>
        <v>-0.10093787657955711</v>
      </c>
      <c r="Y64" s="17">
        <f t="shared" si="9"/>
        <v>-9.34498402344483E-2</v>
      </c>
      <c r="Z64" s="17">
        <f t="shared" si="10"/>
        <v>-8.9694020224465876E-2</v>
      </c>
      <c r="AA64" s="17">
        <f t="shared" si="11"/>
        <v>-8.9670416549609833E-2</v>
      </c>
    </row>
    <row r="65" spans="1:27" x14ac:dyDescent="0.3">
      <c r="A65" s="13" t="s">
        <v>43</v>
      </c>
      <c r="B65" s="14" t="s">
        <v>51</v>
      </c>
      <c r="C65" s="15">
        <v>-0.11595496284819805</v>
      </c>
      <c r="D65" s="15">
        <v>-0.2070043130702377</v>
      </c>
      <c r="E65" s="15">
        <v>-0.29620373930069982</v>
      </c>
      <c r="F65" s="15">
        <v>-0.37345063178881505</v>
      </c>
      <c r="G65" s="15">
        <v>-0.44023787706863404</v>
      </c>
      <c r="H65" s="15">
        <v>-0.49805836167420736</v>
      </c>
      <c r="I65" s="15">
        <v>-0.54840497213958528</v>
      </c>
      <c r="J65" s="15">
        <v>-0.59277059499881879</v>
      </c>
      <c r="K65" s="15">
        <v>-0.632648116785958</v>
      </c>
      <c r="L65" s="15">
        <v>-0.66953042403505381</v>
      </c>
      <c r="M65" s="15">
        <v>-0.70491040328015675</v>
      </c>
      <c r="N65" s="15">
        <v>-0.74028094105531705</v>
      </c>
      <c r="O65" s="15">
        <v>-0.77713492389458561</v>
      </c>
      <c r="P65" s="15">
        <v>-0.81696523833201262</v>
      </c>
      <c r="Q65" s="15">
        <v>-0.86126477090164888</v>
      </c>
      <c r="S65" s="17">
        <f t="shared" si="3"/>
        <v>-0.19436130333199697</v>
      </c>
      <c r="T65" s="17">
        <f t="shared" si="4"/>
        <v>-0.16821218531125628</v>
      </c>
      <c r="U65" s="17">
        <f t="shared" si="5"/>
        <v>-0.14579528362564187</v>
      </c>
      <c r="V65" s="17">
        <f t="shared" si="6"/>
        <v>-0.12711059827515395</v>
      </c>
      <c r="W65" s="17">
        <f t="shared" si="7"/>
        <v>-0.11215812925979221</v>
      </c>
      <c r="X65" s="17">
        <f t="shared" si="8"/>
        <v>-0.10093787657955711</v>
      </c>
      <c r="Y65" s="17">
        <f t="shared" si="9"/>
        <v>-9.34498402344483E-2</v>
      </c>
      <c r="Z65" s="17">
        <f t="shared" si="10"/>
        <v>-8.9694020224465876E-2</v>
      </c>
      <c r="AA65" s="17">
        <f t="shared" si="11"/>
        <v>-8.9670416549609833E-2</v>
      </c>
    </row>
    <row r="66" spans="1:27" x14ac:dyDescent="0.3">
      <c r="A66" s="13" t="s">
        <v>43</v>
      </c>
      <c r="B66" s="14" t="s">
        <v>52</v>
      </c>
      <c r="C66" s="15">
        <v>-8.1423681439354703E-2</v>
      </c>
      <c r="D66" s="15">
        <v>-0.15233472105304235</v>
      </c>
      <c r="E66" s="15">
        <v>-0.22856872898229069</v>
      </c>
      <c r="F66" s="15">
        <v>-0.30177693441179915</v>
      </c>
      <c r="G66" s="15">
        <v>-0.37175293467020265</v>
      </c>
      <c r="H66" s="15">
        <v>-0.43829032708613619</v>
      </c>
      <c r="I66" s="15">
        <v>-0.50118270898823458</v>
      </c>
      <c r="J66" s="15">
        <v>-0.56022367770513293</v>
      </c>
      <c r="K66" s="15">
        <v>-0.6152068305654661</v>
      </c>
      <c r="L66" s="15">
        <v>-0.66592576489786881</v>
      </c>
      <c r="M66" s="15">
        <v>-0.71217407803097643</v>
      </c>
      <c r="N66" s="15">
        <v>-0.75374536729342356</v>
      </c>
      <c r="O66" s="15">
        <v>-0.79043323001384524</v>
      </c>
      <c r="P66" s="15">
        <v>-0.82203126352087608</v>
      </c>
      <c r="Q66" s="15">
        <v>-0.84833306514315154</v>
      </c>
      <c r="S66" s="17">
        <f t="shared" si="3"/>
        <v>-0.18284851134763358</v>
      </c>
      <c r="T66" s="17">
        <f t="shared" si="4"/>
        <v>-0.17476799841987123</v>
      </c>
      <c r="U66" s="17">
        <f t="shared" si="5"/>
        <v>-0.16617147881369618</v>
      </c>
      <c r="V66" s="17">
        <f t="shared" si="6"/>
        <v>-0.15705895252910856</v>
      </c>
      <c r="W66" s="17">
        <f t="shared" si="7"/>
        <v>-0.14743041956610825</v>
      </c>
      <c r="X66" s="17">
        <f t="shared" si="8"/>
        <v>-0.13728587992469518</v>
      </c>
      <c r="Y66" s="17">
        <f t="shared" si="9"/>
        <v>-0.12662533360486958</v>
      </c>
      <c r="Z66" s="17">
        <f t="shared" si="10"/>
        <v>-0.11544878060663122</v>
      </c>
      <c r="AA66" s="17">
        <f t="shared" si="11"/>
        <v>-0.10375622092998035</v>
      </c>
    </row>
    <row r="67" spans="1:27" x14ac:dyDescent="0.3">
      <c r="A67" s="13" t="s">
        <v>43</v>
      </c>
      <c r="B67" s="14" t="s">
        <v>53</v>
      </c>
      <c r="C67" s="15">
        <v>-0.11595496284819805</v>
      </c>
      <c r="D67" s="15">
        <v>-0.2070043130702377</v>
      </c>
      <c r="E67" s="15">
        <v>-0.29620373930069982</v>
      </c>
      <c r="F67" s="15">
        <v>-0.37345063178881505</v>
      </c>
      <c r="G67" s="15">
        <v>-0.44023787706863404</v>
      </c>
      <c r="H67" s="15">
        <v>-0.49805836167420736</v>
      </c>
      <c r="I67" s="15">
        <v>-0.54840497213958528</v>
      </c>
      <c r="J67" s="15">
        <v>-0.59277059499881879</v>
      </c>
      <c r="K67" s="15">
        <v>-0.632648116785958</v>
      </c>
      <c r="L67" s="15">
        <v>-0.66953042403505381</v>
      </c>
      <c r="M67" s="15">
        <v>-0.70491040328015675</v>
      </c>
      <c r="N67" s="15">
        <v>-0.74028094105531705</v>
      </c>
      <c r="O67" s="15">
        <v>-0.77713492389458561</v>
      </c>
      <c r="P67" s="15">
        <v>-0.81696523833201262</v>
      </c>
      <c r="Q67" s="15">
        <v>-0.86126477090164888</v>
      </c>
      <c r="S67" s="17">
        <f t="shared" si="3"/>
        <v>-0.19436130333199697</v>
      </c>
      <c r="T67" s="17">
        <f t="shared" si="4"/>
        <v>-0.16821218531125628</v>
      </c>
      <c r="U67" s="17">
        <f t="shared" si="5"/>
        <v>-0.14579528362564187</v>
      </c>
      <c r="V67" s="17">
        <f t="shared" si="6"/>
        <v>-0.12711059827515395</v>
      </c>
      <c r="W67" s="17">
        <f t="shared" si="7"/>
        <v>-0.11215812925979221</v>
      </c>
      <c r="X67" s="17">
        <f t="shared" si="8"/>
        <v>-0.10093787657955711</v>
      </c>
      <c r="Y67" s="17">
        <f t="shared" si="9"/>
        <v>-9.34498402344483E-2</v>
      </c>
      <c r="Z67" s="17">
        <f t="shared" si="10"/>
        <v>-8.9694020224465876E-2</v>
      </c>
      <c r="AA67" s="17">
        <f t="shared" si="11"/>
        <v>-8.9670416549609833E-2</v>
      </c>
    </row>
    <row r="68" spans="1:27" x14ac:dyDescent="0.3">
      <c r="A68" s="13" t="s">
        <v>43</v>
      </c>
      <c r="B68" s="14" t="s">
        <v>54</v>
      </c>
      <c r="C68" s="15">
        <v>-0.10105519446206575</v>
      </c>
      <c r="D68" s="15">
        <v>-0.1852140677546848</v>
      </c>
      <c r="E68" s="15">
        <v>-0.27220251417080077</v>
      </c>
      <c r="F68" s="15">
        <v>-0.35221433529235696</v>
      </c>
      <c r="G68" s="15">
        <v>-0.42554885214750326</v>
      </c>
      <c r="H68" s="15">
        <v>-0.49250538576438957</v>
      </c>
      <c r="I68" s="15">
        <v>-0.55338325717116565</v>
      </c>
      <c r="J68" s="15">
        <v>-0.6084817873959818</v>
      </c>
      <c r="K68" s="15">
        <v>-0.65810029746698739</v>
      </c>
      <c r="L68" s="15">
        <v>-0.70253810841233266</v>
      </c>
      <c r="M68" s="15">
        <v>-0.74209454126016738</v>
      </c>
      <c r="N68" s="15">
        <v>-0.77706891703864123</v>
      </c>
      <c r="O68" s="15">
        <v>-0.80776055677590464</v>
      </c>
      <c r="P68" s="15">
        <v>-0.83446878150010684</v>
      </c>
      <c r="Q68" s="15">
        <v>-0.85749291223939827</v>
      </c>
      <c r="S68" s="17">
        <f t="shared" si="3"/>
        <v>-0.20027898699401539</v>
      </c>
      <c r="T68" s="17">
        <f t="shared" si="4"/>
        <v>-0.18358572632799067</v>
      </c>
      <c r="U68" s="17">
        <f t="shared" si="5"/>
        <v>-0.16764076823234056</v>
      </c>
      <c r="V68" s="17">
        <f t="shared" si="6"/>
        <v>-0.15244411270706545</v>
      </c>
      <c r="W68" s="17">
        <f t="shared" si="7"/>
        <v>-0.13799575975216485</v>
      </c>
      <c r="X68" s="17">
        <f t="shared" si="8"/>
        <v>-0.12429570936763917</v>
      </c>
      <c r="Y68" s="17">
        <f t="shared" si="9"/>
        <v>-0.111343961553488</v>
      </c>
      <c r="Z68" s="17">
        <f t="shared" si="10"/>
        <v>-9.9140516309711518E-2</v>
      </c>
      <c r="AA68" s="17">
        <f t="shared" si="11"/>
        <v>-8.7685373636309988E-2</v>
      </c>
    </row>
    <row r="69" spans="1:27" x14ac:dyDescent="0.3">
      <c r="A69" s="13" t="s">
        <v>43</v>
      </c>
      <c r="B69" s="14" t="s">
        <v>55</v>
      </c>
      <c r="C69" s="15">
        <v>-0.11595496284819805</v>
      </c>
      <c r="D69" s="15">
        <v>-0.2070043130702377</v>
      </c>
      <c r="E69" s="15">
        <v>-0.29620373930069982</v>
      </c>
      <c r="F69" s="15">
        <v>-0.37345063178881505</v>
      </c>
      <c r="G69" s="15">
        <v>-0.44023787706863404</v>
      </c>
      <c r="H69" s="15">
        <v>-0.49805836167420736</v>
      </c>
      <c r="I69" s="15">
        <v>-0.54840497213958528</v>
      </c>
      <c r="J69" s="15">
        <v>-0.59277059499881879</v>
      </c>
      <c r="K69" s="15">
        <v>-0.632648116785958</v>
      </c>
      <c r="L69" s="15">
        <v>-0.66953042403505381</v>
      </c>
      <c r="M69" s="15">
        <v>-0.70491040328015675</v>
      </c>
      <c r="N69" s="15">
        <v>-0.74028094105531705</v>
      </c>
      <c r="O69" s="15">
        <v>-0.77713492389458561</v>
      </c>
      <c r="P69" s="15">
        <v>-0.81696523833201262</v>
      </c>
      <c r="Q69" s="15">
        <v>-0.86126477090164888</v>
      </c>
      <c r="S69" s="17">
        <f t="shared" si="3"/>
        <v>-0.19436130333199697</v>
      </c>
      <c r="T69" s="17">
        <f t="shared" si="4"/>
        <v>-0.16821218531125628</v>
      </c>
      <c r="U69" s="17">
        <f t="shared" si="5"/>
        <v>-0.14579528362564187</v>
      </c>
      <c r="V69" s="17">
        <f t="shared" si="6"/>
        <v>-0.12711059827515395</v>
      </c>
      <c r="W69" s="17">
        <f t="shared" si="7"/>
        <v>-0.11215812925979221</v>
      </c>
      <c r="X69" s="17">
        <f t="shared" si="8"/>
        <v>-0.10093787657955711</v>
      </c>
      <c r="Y69" s="17">
        <f t="shared" si="9"/>
        <v>-9.34498402344483E-2</v>
      </c>
      <c r="Z69" s="17">
        <f t="shared" si="10"/>
        <v>-8.9694020224465876E-2</v>
      </c>
      <c r="AA69" s="17">
        <f t="shared" si="11"/>
        <v>-8.9670416549609833E-2</v>
      </c>
    </row>
    <row r="70" spans="1:27" x14ac:dyDescent="0.3">
      <c r="A70" s="13" t="s">
        <v>43</v>
      </c>
      <c r="B70" s="14" t="s">
        <v>56</v>
      </c>
      <c r="C70" s="15">
        <v>-9.3036966387551934E-2</v>
      </c>
      <c r="D70" s="15">
        <v>-0.17100685983388575</v>
      </c>
      <c r="E70" s="15">
        <v>-0.2521745457471663</v>
      </c>
      <c r="F70" s="15">
        <v>-0.32756726890571902</v>
      </c>
      <c r="G70" s="15">
        <v>-0.39751597072662459</v>
      </c>
      <c r="H70" s="15">
        <v>-0.46235159262696363</v>
      </c>
      <c r="I70" s="15">
        <v>-0.52240507602381681</v>
      </c>
      <c r="J70" s="15">
        <v>-0.57800736233426475</v>
      </c>
      <c r="K70" s="15">
        <v>-0.62948939297538808</v>
      </c>
      <c r="L70" s="15">
        <v>-0.67718210936426748</v>
      </c>
      <c r="M70" s="15">
        <v>-0.72141645291798351</v>
      </c>
      <c r="N70" s="15">
        <v>-0.76252336505361695</v>
      </c>
      <c r="O70" s="15">
        <v>-0.80083378718824838</v>
      </c>
      <c r="P70" s="15">
        <v>-0.83667866073895836</v>
      </c>
      <c r="Q70" s="15">
        <v>-0.87038892712282778</v>
      </c>
      <c r="S70" s="17">
        <f t="shared" ref="S70:S133" si="12">+(G70-D70)/3*2.5</f>
        <v>-0.18875759241061568</v>
      </c>
      <c r="T70" s="17">
        <f t="shared" si="4"/>
        <v>-0.17514753906649777</v>
      </c>
      <c r="U70" s="17">
        <f t="shared" si="5"/>
        <v>-0.16236483926508147</v>
      </c>
      <c r="V70" s="17">
        <f t="shared" si="6"/>
        <v>-0.1504094930063668</v>
      </c>
      <c r="W70" s="17">
        <f t="shared" si="7"/>
        <v>-0.13928150029035372</v>
      </c>
      <c r="X70" s="17">
        <f t="shared" si="8"/>
        <v>-0.12898086111704224</v>
      </c>
      <c r="Y70" s="17">
        <f t="shared" si="9"/>
        <v>-0.11950757548643229</v>
      </c>
      <c r="Z70" s="17">
        <f t="shared" si="10"/>
        <v>-0.11086164339852406</v>
      </c>
      <c r="AA70" s="17">
        <f t="shared" si="11"/>
        <v>-0.10304306485331741</v>
      </c>
    </row>
    <row r="71" spans="1:27" x14ac:dyDescent="0.3">
      <c r="A71" s="13" t="s">
        <v>43</v>
      </c>
      <c r="B71" s="14" t="s">
        <v>57</v>
      </c>
      <c r="C71" s="15">
        <v>-9.7766345821391362E-2</v>
      </c>
      <c r="D71" s="15">
        <v>-0.17697024106449322</v>
      </c>
      <c r="E71" s="15">
        <v>-0.25702578379118618</v>
      </c>
      <c r="F71" s="15">
        <v>-0.32908637350261138</v>
      </c>
      <c r="G71" s="15">
        <v>-0.39408204428204918</v>
      </c>
      <c r="H71" s="15">
        <v>-0.45294283021278003</v>
      </c>
      <c r="I71" s="15">
        <v>-0.50659876537808413</v>
      </c>
      <c r="J71" s="15">
        <v>-0.55597988386124197</v>
      </c>
      <c r="K71" s="15">
        <v>-0.60201621974553376</v>
      </c>
      <c r="L71" s="15">
        <v>-0.64563780711424001</v>
      </c>
      <c r="M71" s="15">
        <v>-0.68777468005064102</v>
      </c>
      <c r="N71" s="15">
        <v>-0.72935687263801696</v>
      </c>
      <c r="O71" s="15">
        <v>-0.77131441895964836</v>
      </c>
      <c r="P71" s="15">
        <v>-0.81457735309881563</v>
      </c>
      <c r="Q71" s="15">
        <v>-0.86007570913879905</v>
      </c>
      <c r="S71" s="17">
        <f t="shared" si="12"/>
        <v>-0.18092650268129662</v>
      </c>
      <c r="T71" s="17">
        <f t="shared" si="4"/>
        <v>-0.16326420535132821</v>
      </c>
      <c r="U71" s="17">
        <f t="shared" si="5"/>
        <v>-0.14792699322956063</v>
      </c>
      <c r="V71" s="17">
        <f t="shared" si="6"/>
        <v>-0.134914866315994</v>
      </c>
      <c r="W71" s="17">
        <f t="shared" si="7"/>
        <v>-0.12422782461062812</v>
      </c>
      <c r="X71" s="17">
        <f t="shared" si="8"/>
        <v>-0.11586586811346325</v>
      </c>
      <c r="Y71" s="17">
        <f t="shared" si="9"/>
        <v>-0.1098289968244992</v>
      </c>
      <c r="Z71" s="17">
        <f t="shared" si="10"/>
        <v>-0.10611721074373601</v>
      </c>
      <c r="AA71" s="17">
        <f t="shared" si="11"/>
        <v>-0.10473050987117363</v>
      </c>
    </row>
    <row r="72" spans="1:27" x14ac:dyDescent="0.3">
      <c r="A72" s="13" t="s">
        <v>43</v>
      </c>
      <c r="B72" s="14" t="s">
        <v>58</v>
      </c>
      <c r="C72" s="15">
        <v>-0.11184673043184888</v>
      </c>
      <c r="D72" s="15">
        <v>-0.20128835210372747</v>
      </c>
      <c r="E72" s="15">
        <v>-0.29040943152892534</v>
      </c>
      <c r="F72" s="15">
        <v>-0.36909411289377159</v>
      </c>
      <c r="G72" s="15">
        <v>-0.43841121342778033</v>
      </c>
      <c r="H72" s="15">
        <v>-0.49942955036046538</v>
      </c>
      <c r="I72" s="15">
        <v>-0.5532179409213408</v>
      </c>
      <c r="J72" s="15">
        <v>-0.60084520233992078</v>
      </c>
      <c r="K72" s="15">
        <v>-0.64338015184571928</v>
      </c>
      <c r="L72" s="15">
        <v>-0.68189160666825022</v>
      </c>
      <c r="M72" s="15">
        <v>-0.71744838403702738</v>
      </c>
      <c r="N72" s="15">
        <v>-0.75111930118156522</v>
      </c>
      <c r="O72" s="15">
        <v>-0.78397317533137756</v>
      </c>
      <c r="P72" s="15">
        <v>-0.81707882371597851</v>
      </c>
      <c r="Q72" s="15">
        <v>-0.85150506356488187</v>
      </c>
      <c r="S72" s="17">
        <f t="shared" si="12"/>
        <v>-0.19760238443671072</v>
      </c>
      <c r="T72" s="17">
        <f t="shared" si="4"/>
        <v>-0.1741834323596167</v>
      </c>
      <c r="U72" s="17">
        <f t="shared" si="5"/>
        <v>-0.15343652335630767</v>
      </c>
      <c r="V72" s="17">
        <f t="shared" si="6"/>
        <v>-0.13536165742678372</v>
      </c>
      <c r="W72" s="17">
        <f t="shared" si="7"/>
        <v>-0.11995883457104492</v>
      </c>
      <c r="X72" s="17">
        <f t="shared" si="8"/>
        <v>-0.10722805478909117</v>
      </c>
      <c r="Y72" s="17">
        <f t="shared" si="9"/>
        <v>-9.7169318080922162E-2</v>
      </c>
      <c r="Z72" s="17">
        <f t="shared" si="10"/>
        <v>-8.9782624446538284E-2</v>
      </c>
      <c r="AA72" s="17">
        <f t="shared" si="11"/>
        <v>-8.5067973885939452E-2</v>
      </c>
    </row>
    <row r="73" spans="1:27" x14ac:dyDescent="0.3">
      <c r="A73" s="13" t="s">
        <v>59</v>
      </c>
      <c r="B73" s="14" t="s">
        <v>60</v>
      </c>
      <c r="C73" s="15" t="s">
        <v>61</v>
      </c>
      <c r="D73" s="15">
        <v>0</v>
      </c>
      <c r="E73" s="15">
        <v>0</v>
      </c>
      <c r="F73" s="15">
        <v>0</v>
      </c>
      <c r="G73" s="15">
        <v>-0.41974309429443407</v>
      </c>
      <c r="H73" s="15">
        <v>-0.51525661630908592</v>
      </c>
      <c r="I73" s="15">
        <v>-0.56127435330079112</v>
      </c>
      <c r="J73" s="15">
        <v>-0.59954125550096482</v>
      </c>
      <c r="K73" s="15">
        <v>-0.6316777083042654</v>
      </c>
      <c r="L73" s="15">
        <v>-0.65930409710535187</v>
      </c>
      <c r="M73" s="15">
        <v>-0.68404080729888261</v>
      </c>
      <c r="N73" s="15">
        <v>-0.70750822427951654</v>
      </c>
      <c r="O73" s="15">
        <v>-0.73132673344191212</v>
      </c>
      <c r="P73" s="15">
        <v>-0.75711672018072806</v>
      </c>
      <c r="Q73" s="15">
        <v>-7.5971705401576828E-2</v>
      </c>
      <c r="S73" s="17">
        <f t="shared" si="12"/>
        <v>-0.3497859119120284</v>
      </c>
      <c r="T73" s="17">
        <f t="shared" si="4"/>
        <v>-0.4293805135909049</v>
      </c>
      <c r="U73" s="17">
        <f t="shared" si="5"/>
        <v>-0.46772862775065926</v>
      </c>
      <c r="V73" s="17">
        <f t="shared" si="6"/>
        <v>-0.1498318010054423</v>
      </c>
      <c r="W73" s="17">
        <f t="shared" si="7"/>
        <v>-9.7017576662649568E-2</v>
      </c>
      <c r="X73" s="17">
        <f t="shared" si="8"/>
        <v>-8.1691453170467304E-2</v>
      </c>
      <c r="Y73" s="17">
        <f t="shared" si="9"/>
        <v>-7.041629316493149E-2</v>
      </c>
      <c r="Z73" s="17">
        <f t="shared" si="10"/>
        <v>-6.3192096646042625E-2</v>
      </c>
      <c r="AA73" s="17">
        <f t="shared" si="11"/>
        <v>-6.0018863613800211E-2</v>
      </c>
    </row>
    <row r="74" spans="1:27" x14ac:dyDescent="0.3">
      <c r="A74" s="13" t="s">
        <v>59</v>
      </c>
      <c r="B74" s="14" t="s">
        <v>62</v>
      </c>
      <c r="C74" s="15" t="s">
        <v>61</v>
      </c>
      <c r="D74" s="15">
        <v>0</v>
      </c>
      <c r="E74" s="15">
        <v>0</v>
      </c>
      <c r="F74" s="15">
        <v>0</v>
      </c>
      <c r="G74" s="15">
        <v>-0.38486231021595979</v>
      </c>
      <c r="H74" s="15">
        <v>-0.48486591909361143</v>
      </c>
      <c r="I74" s="15">
        <v>-0.54193309370725595</v>
      </c>
      <c r="J74" s="15">
        <v>-0.59175861976753152</v>
      </c>
      <c r="K74" s="15">
        <v>-0.63436298765065025</v>
      </c>
      <c r="L74" s="15">
        <v>-0.66976668773282333</v>
      </c>
      <c r="M74" s="15">
        <v>-0.69799021039026299</v>
      </c>
      <c r="N74" s="15">
        <v>-0.71905404599918066</v>
      </c>
      <c r="O74" s="15">
        <v>-0.73297868493578844</v>
      </c>
      <c r="P74" s="15">
        <v>-0.73978461757629799</v>
      </c>
      <c r="Q74" s="15">
        <v>-7.4039404426776367E-2</v>
      </c>
      <c r="S74" s="17">
        <f t="shared" si="12"/>
        <v>-0.32071859184663315</v>
      </c>
      <c r="T74" s="17">
        <f t="shared" si="4"/>
        <v>-0.40405493257800956</v>
      </c>
      <c r="U74" s="17">
        <f t="shared" si="5"/>
        <v>-0.45161091142271326</v>
      </c>
      <c r="V74" s="17">
        <f t="shared" si="6"/>
        <v>-0.17241359129297643</v>
      </c>
      <c r="W74" s="17">
        <f t="shared" si="7"/>
        <v>-0.12458089046419901</v>
      </c>
      <c r="X74" s="17">
        <f t="shared" si="8"/>
        <v>-0.10652799502130614</v>
      </c>
      <c r="Y74" s="17">
        <f t="shared" si="9"/>
        <v>-8.8526325518942878E-2</v>
      </c>
      <c r="Z74" s="17">
        <f t="shared" si="10"/>
        <v>-7.0575881957108677E-2</v>
      </c>
      <c r="AA74" s="17">
        <f t="shared" si="11"/>
        <v>-5.2676664335804257E-2</v>
      </c>
    </row>
    <row r="75" spans="1:27" x14ac:dyDescent="0.3">
      <c r="A75" s="13" t="s">
        <v>59</v>
      </c>
      <c r="B75" s="14" t="s">
        <v>63</v>
      </c>
      <c r="C75" s="15" t="s">
        <v>61</v>
      </c>
      <c r="D75" s="15">
        <v>0</v>
      </c>
      <c r="E75" s="15">
        <v>0</v>
      </c>
      <c r="F75" s="15">
        <v>0</v>
      </c>
      <c r="G75" s="15">
        <v>-0.41418367233991127</v>
      </c>
      <c r="H75" s="15">
        <v>-0.50112461812073794</v>
      </c>
      <c r="I75" s="15">
        <v>-0.53781178107692651</v>
      </c>
      <c r="J75" s="15">
        <v>-0.56696840361813183</v>
      </c>
      <c r="K75" s="15">
        <v>-0.59106684973112011</v>
      </c>
      <c r="L75" s="15">
        <v>-0.61257948340265778</v>
      </c>
      <c r="M75" s="15">
        <v>-0.63397866861951102</v>
      </c>
      <c r="N75" s="15">
        <v>-0.65773676936844561</v>
      </c>
      <c r="O75" s="15">
        <v>-0.68632614963622818</v>
      </c>
      <c r="P75" s="15">
        <v>-0.72221917340962472</v>
      </c>
      <c r="Q75" s="15">
        <v>-7.2588398458600656E-2</v>
      </c>
      <c r="S75" s="17">
        <f t="shared" si="12"/>
        <v>-0.34515306028325943</v>
      </c>
      <c r="T75" s="17">
        <f t="shared" si="4"/>
        <v>-0.41760384843394832</v>
      </c>
      <c r="U75" s="17">
        <f t="shared" si="5"/>
        <v>-0.44817648423077205</v>
      </c>
      <c r="V75" s="17">
        <f t="shared" si="6"/>
        <v>-0.12732060939851714</v>
      </c>
      <c r="W75" s="17">
        <f t="shared" si="7"/>
        <v>-7.4951859675318477E-2</v>
      </c>
      <c r="X75" s="17">
        <f t="shared" si="8"/>
        <v>-6.2306418604776051E-2</v>
      </c>
      <c r="Y75" s="17">
        <f t="shared" si="9"/>
        <v>-5.5841887501149323E-2</v>
      </c>
      <c r="Z75" s="17">
        <f t="shared" si="10"/>
        <v>-5.5558266364437905E-2</v>
      </c>
      <c r="AA75" s="17">
        <f t="shared" si="11"/>
        <v>-6.1455555194642006E-2</v>
      </c>
    </row>
    <row r="76" spans="1:27" x14ac:dyDescent="0.3">
      <c r="A76" s="13" t="s">
        <v>59</v>
      </c>
      <c r="B76" s="14" t="s">
        <v>64</v>
      </c>
      <c r="C76" s="15" t="s">
        <v>61</v>
      </c>
      <c r="D76" s="15">
        <v>0</v>
      </c>
      <c r="E76" s="15">
        <v>0</v>
      </c>
      <c r="F76" s="15">
        <v>0</v>
      </c>
      <c r="G76" s="15">
        <v>-0.41418367233991127</v>
      </c>
      <c r="H76" s="15">
        <v>-0.50112461812073794</v>
      </c>
      <c r="I76" s="15">
        <v>-0.53781178107692651</v>
      </c>
      <c r="J76" s="15">
        <v>-0.56696840361813183</v>
      </c>
      <c r="K76" s="15">
        <v>-0.59106684973112011</v>
      </c>
      <c r="L76" s="15">
        <v>-0.61257948340265778</v>
      </c>
      <c r="M76" s="15">
        <v>-0.63397866861951102</v>
      </c>
      <c r="N76" s="15">
        <v>-0.65773676936844561</v>
      </c>
      <c r="O76" s="15">
        <v>-0.68632614963622818</v>
      </c>
      <c r="P76" s="15">
        <v>-0.72221917340962472</v>
      </c>
      <c r="Q76" s="15">
        <v>-7.2588398458600656E-2</v>
      </c>
      <c r="S76" s="17">
        <f t="shared" si="12"/>
        <v>-0.34515306028325943</v>
      </c>
      <c r="T76" s="17">
        <f t="shared" si="4"/>
        <v>-0.41760384843394832</v>
      </c>
      <c r="U76" s="17">
        <f t="shared" si="5"/>
        <v>-0.44817648423077205</v>
      </c>
      <c r="V76" s="17">
        <f t="shared" si="6"/>
        <v>-0.12732060939851714</v>
      </c>
      <c r="W76" s="17">
        <f t="shared" si="7"/>
        <v>-7.4951859675318477E-2</v>
      </c>
      <c r="X76" s="17">
        <f t="shared" si="8"/>
        <v>-6.2306418604776051E-2</v>
      </c>
      <c r="Y76" s="17">
        <f t="shared" si="9"/>
        <v>-5.5841887501149323E-2</v>
      </c>
      <c r="Z76" s="17">
        <f t="shared" si="10"/>
        <v>-5.5558266364437905E-2</v>
      </c>
      <c r="AA76" s="17">
        <f t="shared" si="11"/>
        <v>-6.1455555194642006E-2</v>
      </c>
    </row>
    <row r="77" spans="1:27" x14ac:dyDescent="0.3">
      <c r="A77" s="13" t="s">
        <v>59</v>
      </c>
      <c r="B77" s="14" t="s">
        <v>65</v>
      </c>
      <c r="C77" s="15" t="s">
        <v>61</v>
      </c>
      <c r="D77" s="15">
        <v>0</v>
      </c>
      <c r="E77" s="15">
        <v>0</v>
      </c>
      <c r="F77" s="15">
        <v>0</v>
      </c>
      <c r="G77" s="15">
        <v>-0.41739426169135974</v>
      </c>
      <c r="H77" s="15">
        <v>-0.49735014646848774</v>
      </c>
      <c r="I77" s="15">
        <v>-0.52528000710082101</v>
      </c>
      <c r="J77" s="15">
        <v>-0.54589645469643289</v>
      </c>
      <c r="K77" s="15">
        <v>-0.56265354338475349</v>
      </c>
      <c r="L77" s="15">
        <v>-0.57900532729521226</v>
      </c>
      <c r="M77" s="15">
        <v>-0.59840586055723988</v>
      </c>
      <c r="N77" s="15">
        <v>-0.62430919730026657</v>
      </c>
      <c r="O77" s="15">
        <v>-0.66016939165372235</v>
      </c>
      <c r="P77" s="15">
        <v>-0.70944049774703644</v>
      </c>
      <c r="Q77" s="15">
        <v>-7.1450517152789605E-2</v>
      </c>
      <c r="S77" s="17">
        <f t="shared" si="12"/>
        <v>-0.34782855140946645</v>
      </c>
      <c r="T77" s="17">
        <f t="shared" si="4"/>
        <v>-0.41445845539040649</v>
      </c>
      <c r="U77" s="17">
        <f t="shared" si="5"/>
        <v>-0.43773333925068414</v>
      </c>
      <c r="V77" s="17">
        <f t="shared" si="6"/>
        <v>-0.10708516083756095</v>
      </c>
      <c r="W77" s="17">
        <f t="shared" si="7"/>
        <v>-5.4419497430221453E-2</v>
      </c>
      <c r="X77" s="17">
        <f t="shared" si="8"/>
        <v>-4.4771100161992705E-2</v>
      </c>
      <c r="Y77" s="17">
        <f t="shared" si="9"/>
        <v>-4.3757838217339154E-2</v>
      </c>
      <c r="Z77" s="17">
        <f t="shared" si="10"/>
        <v>-5.137971159626091E-2</v>
      </c>
      <c r="AA77" s="17">
        <f t="shared" si="11"/>
        <v>-6.7636720298758404E-2</v>
      </c>
    </row>
    <row r="78" spans="1:27" x14ac:dyDescent="0.3">
      <c r="A78" s="13" t="s">
        <v>59</v>
      </c>
      <c r="B78" s="14" t="s">
        <v>66</v>
      </c>
      <c r="C78" s="15" t="s">
        <v>61</v>
      </c>
      <c r="D78" s="15">
        <v>0</v>
      </c>
      <c r="E78" s="15">
        <v>0</v>
      </c>
      <c r="F78" s="15">
        <v>0</v>
      </c>
      <c r="G78" s="15">
        <v>-0.41418367233991127</v>
      </c>
      <c r="H78" s="15">
        <v>-0.50112461812073794</v>
      </c>
      <c r="I78" s="15">
        <v>-0.53781178107692651</v>
      </c>
      <c r="J78" s="15">
        <v>-0.56696840361813183</v>
      </c>
      <c r="K78" s="15">
        <v>-0.59106684973112011</v>
      </c>
      <c r="L78" s="15">
        <v>-0.61257948340265778</v>
      </c>
      <c r="M78" s="15">
        <v>-0.63397866861951102</v>
      </c>
      <c r="N78" s="15">
        <v>-0.65773676936844561</v>
      </c>
      <c r="O78" s="15">
        <v>-0.68632614963622818</v>
      </c>
      <c r="P78" s="15">
        <v>-0.72221917340962472</v>
      </c>
      <c r="Q78" s="15">
        <v>-7.2588398458600656E-2</v>
      </c>
      <c r="S78" s="17">
        <f t="shared" si="12"/>
        <v>-0.34515306028325943</v>
      </c>
      <c r="T78" s="17">
        <f t="shared" si="4"/>
        <v>-0.41760384843394832</v>
      </c>
      <c r="U78" s="17">
        <f t="shared" si="5"/>
        <v>-0.44817648423077205</v>
      </c>
      <c r="V78" s="17">
        <f t="shared" si="6"/>
        <v>-0.12732060939851714</v>
      </c>
      <c r="W78" s="17">
        <f t="shared" si="7"/>
        <v>-7.4951859675318477E-2</v>
      </c>
      <c r="X78" s="17">
        <f t="shared" si="8"/>
        <v>-6.2306418604776051E-2</v>
      </c>
      <c r="Y78" s="17">
        <f t="shared" si="9"/>
        <v>-5.5841887501149323E-2</v>
      </c>
      <c r="Z78" s="17">
        <f t="shared" si="10"/>
        <v>-5.5558266364437905E-2</v>
      </c>
      <c r="AA78" s="17">
        <f t="shared" si="11"/>
        <v>-6.1455555194642006E-2</v>
      </c>
    </row>
    <row r="79" spans="1:27" x14ac:dyDescent="0.3">
      <c r="A79" s="13" t="s">
        <v>59</v>
      </c>
      <c r="B79" s="14" t="s">
        <v>67</v>
      </c>
      <c r="C79" s="15" t="s">
        <v>61</v>
      </c>
      <c r="D79" s="15">
        <v>0</v>
      </c>
      <c r="E79" s="15">
        <v>0</v>
      </c>
      <c r="F79" s="15">
        <v>0</v>
      </c>
      <c r="G79" s="15">
        <v>-0.39257603619326076</v>
      </c>
      <c r="H79" s="15">
        <v>-0.47893559517006268</v>
      </c>
      <c r="I79" s="15">
        <v>-0.518752933671496</v>
      </c>
      <c r="J79" s="15">
        <v>-0.55186926499289524</v>
      </c>
      <c r="K79" s="15">
        <v>-0.58031007463858897</v>
      </c>
      <c r="L79" s="15">
        <v>-0.60610084811290577</v>
      </c>
      <c r="M79" s="15">
        <v>-0.63126707092017409</v>
      </c>
      <c r="N79" s="15">
        <v>-0.65783422856472218</v>
      </c>
      <c r="O79" s="15">
        <v>-0.68782780655087883</v>
      </c>
      <c r="P79" s="15">
        <v>-0.72327329038297195</v>
      </c>
      <c r="Q79" s="15">
        <v>-7.2687438331014431E-2</v>
      </c>
      <c r="S79" s="17">
        <f t="shared" si="12"/>
        <v>-0.3271466968277173</v>
      </c>
      <c r="T79" s="17">
        <f t="shared" si="4"/>
        <v>-0.39911299597505223</v>
      </c>
      <c r="U79" s="17">
        <f t="shared" si="5"/>
        <v>-0.43229411139291329</v>
      </c>
      <c r="V79" s="17">
        <f t="shared" si="6"/>
        <v>-0.13274435733302872</v>
      </c>
      <c r="W79" s="17">
        <f t="shared" si="7"/>
        <v>-8.4478732890438585E-2</v>
      </c>
      <c r="X79" s="17">
        <f t="shared" si="8"/>
        <v>-7.2789928701174803E-2</v>
      </c>
      <c r="Y79" s="17">
        <f t="shared" si="9"/>
        <v>-6.6164838272732382E-2</v>
      </c>
      <c r="Z79" s="17">
        <f t="shared" si="10"/>
        <v>-6.4603461605111004E-2</v>
      </c>
      <c r="AA79" s="17">
        <f t="shared" si="11"/>
        <v>-6.810579869831089E-2</v>
      </c>
    </row>
    <row r="80" spans="1:27" x14ac:dyDescent="0.3">
      <c r="A80" s="13" t="s">
        <v>59</v>
      </c>
      <c r="B80" s="14" t="s">
        <v>68</v>
      </c>
      <c r="C80" s="15" t="s">
        <v>61</v>
      </c>
      <c r="D80" s="15">
        <v>0</v>
      </c>
      <c r="E80" s="15">
        <v>0</v>
      </c>
      <c r="F80" s="15">
        <v>0</v>
      </c>
      <c r="G80" s="15">
        <v>-0.41418367233991127</v>
      </c>
      <c r="H80" s="15">
        <v>-0.50112461812073794</v>
      </c>
      <c r="I80" s="15">
        <v>-0.53781178107692651</v>
      </c>
      <c r="J80" s="15">
        <v>-0.56696840361813183</v>
      </c>
      <c r="K80" s="15">
        <v>-0.59106684973112011</v>
      </c>
      <c r="L80" s="15">
        <v>-0.61257948340265778</v>
      </c>
      <c r="M80" s="15">
        <v>-0.63397866861951102</v>
      </c>
      <c r="N80" s="15">
        <v>-0.65773676936844561</v>
      </c>
      <c r="O80" s="15">
        <v>-0.68632614963622818</v>
      </c>
      <c r="P80" s="15">
        <v>-0.72221917340962472</v>
      </c>
      <c r="Q80" s="15">
        <v>-7.2588398458600656E-2</v>
      </c>
      <c r="S80" s="17">
        <f t="shared" si="12"/>
        <v>-0.34515306028325943</v>
      </c>
      <c r="T80" s="17">
        <f t="shared" si="4"/>
        <v>-0.41760384843394832</v>
      </c>
      <c r="U80" s="17">
        <f t="shared" si="5"/>
        <v>-0.44817648423077205</v>
      </c>
      <c r="V80" s="17">
        <f t="shared" si="6"/>
        <v>-0.12732060939851714</v>
      </c>
      <c r="W80" s="17">
        <f t="shared" si="7"/>
        <v>-7.4951859675318477E-2</v>
      </c>
      <c r="X80" s="17">
        <f t="shared" si="8"/>
        <v>-6.2306418604776051E-2</v>
      </c>
      <c r="Y80" s="17">
        <f t="shared" si="9"/>
        <v>-5.5841887501149323E-2</v>
      </c>
      <c r="Z80" s="17">
        <f t="shared" si="10"/>
        <v>-5.5558266364437905E-2</v>
      </c>
      <c r="AA80" s="17">
        <f t="shared" si="11"/>
        <v>-6.1455555194642006E-2</v>
      </c>
    </row>
    <row r="81" spans="1:27" x14ac:dyDescent="0.3">
      <c r="A81" s="13" t="s">
        <v>69</v>
      </c>
      <c r="B81" s="14" t="s">
        <v>70</v>
      </c>
      <c r="C81" s="15">
        <v>-0.16596703075988692</v>
      </c>
      <c r="D81" s="15">
        <v>-0.28909464041346211</v>
      </c>
      <c r="E81" s="15">
        <v>-0.40231374632410788</v>
      </c>
      <c r="F81" s="15">
        <v>-0.49197583293842423</v>
      </c>
      <c r="G81" s="15">
        <v>-0.56102908777899985</v>
      </c>
      <c r="H81" s="15">
        <v>-0.61242169836842275</v>
      </c>
      <c r="I81" s="15">
        <v>-0.64910185222928229</v>
      </c>
      <c r="J81" s="15">
        <v>-0.67401773688416677</v>
      </c>
      <c r="K81" s="15">
        <v>-0.69011753985566471</v>
      </c>
      <c r="L81" s="15">
        <v>-0.70034944866636473</v>
      </c>
      <c r="M81" s="15">
        <v>-0.70766165083885535</v>
      </c>
      <c r="N81" s="15">
        <v>-0.71500233389572498</v>
      </c>
      <c r="O81" s="15">
        <v>-0.72531968535956259</v>
      </c>
      <c r="P81" s="15">
        <v>-0.74156189275295714</v>
      </c>
      <c r="Q81" s="15">
        <v>-0.7666771435984967</v>
      </c>
      <c r="S81" s="17">
        <f t="shared" si="12"/>
        <v>-0.22661203947128145</v>
      </c>
      <c r="T81" s="17">
        <f t="shared" si="4"/>
        <v>-0.17508996003692906</v>
      </c>
      <c r="U81" s="17">
        <f t="shared" si="5"/>
        <v>-0.13093834940904839</v>
      </c>
      <c r="V81" s="17">
        <f t="shared" si="6"/>
        <v>-9.4157207587639097E-2</v>
      </c>
      <c r="W81" s="17">
        <f t="shared" si="7"/>
        <v>-6.4746534572701631E-2</v>
      </c>
      <c r="X81" s="17">
        <f t="shared" si="8"/>
        <v>-4.2706330364235365E-2</v>
      </c>
      <c r="Y81" s="17">
        <f t="shared" si="9"/>
        <v>-2.803659496224048E-2</v>
      </c>
      <c r="Z81" s="17">
        <f t="shared" si="10"/>
        <v>-2.0737328366716899E-2</v>
      </c>
      <c r="AA81" s="17">
        <f t="shared" si="11"/>
        <v>-2.0808530577664887E-2</v>
      </c>
    </row>
    <row r="82" spans="1:27" x14ac:dyDescent="0.3">
      <c r="A82" s="13" t="s">
        <v>69</v>
      </c>
      <c r="B82" s="14" t="s">
        <v>71</v>
      </c>
      <c r="C82" s="15">
        <v>-0.15233581113850411</v>
      </c>
      <c r="D82" s="15">
        <v>-0.26411950931544975</v>
      </c>
      <c r="E82" s="15">
        <v>-0.36588296328917702</v>
      </c>
      <c r="F82" s="15">
        <v>-0.44559023276354665</v>
      </c>
      <c r="G82" s="15">
        <v>-0.50643895855626997</v>
      </c>
      <c r="H82" s="15">
        <v>-0.55162678148505828</v>
      </c>
      <c r="I82" s="15">
        <v>-0.58435134236762276</v>
      </c>
      <c r="J82" s="15">
        <v>-0.60781028202167475</v>
      </c>
      <c r="K82" s="15">
        <v>-0.6252012412649256</v>
      </c>
      <c r="L82" s="15">
        <v>-0.63972186091508598</v>
      </c>
      <c r="M82" s="15">
        <v>-0.65456978178986769</v>
      </c>
      <c r="N82" s="15">
        <v>-0.67294264470698217</v>
      </c>
      <c r="O82" s="15">
        <v>-0.69803809048414045</v>
      </c>
      <c r="P82" s="15">
        <v>-0.7330537599390532</v>
      </c>
      <c r="Q82" s="15">
        <v>-0.78118729388943253</v>
      </c>
      <c r="S82" s="17">
        <f t="shared" si="12"/>
        <v>-0.20193287436735016</v>
      </c>
      <c r="T82" s="17">
        <f t="shared" si="4"/>
        <v>-0.15478651516323438</v>
      </c>
      <c r="U82" s="17">
        <f t="shared" si="5"/>
        <v>-0.11563425800339677</v>
      </c>
      <c r="V82" s="17">
        <f t="shared" si="6"/>
        <v>-8.4476102887837329E-2</v>
      </c>
      <c r="W82" s="17">
        <f t="shared" si="7"/>
        <v>-6.1312049816556094E-2</v>
      </c>
      <c r="X82" s="17">
        <f t="shared" si="8"/>
        <v>-4.614209878955268E-2</v>
      </c>
      <c r="Y82" s="17">
        <f t="shared" si="9"/>
        <v>-3.8966249806827447E-2</v>
      </c>
      <c r="Z82" s="17">
        <f t="shared" si="10"/>
        <v>-3.9784502868380478E-2</v>
      </c>
      <c r="AA82" s="17">
        <f t="shared" si="11"/>
        <v>-4.8596857974212052E-2</v>
      </c>
    </row>
    <row r="83" spans="1:27" x14ac:dyDescent="0.3">
      <c r="A83" s="13" t="s">
        <v>69</v>
      </c>
      <c r="B83" s="14" t="s">
        <v>72</v>
      </c>
      <c r="C83" s="15">
        <v>-0.11924577483447527</v>
      </c>
      <c r="D83" s="15">
        <v>-0.20851469756726734</v>
      </c>
      <c r="E83" s="15">
        <v>-0.29170257307609676</v>
      </c>
      <c r="F83" s="15">
        <v>-0.35916533299056108</v>
      </c>
      <c r="G83" s="15">
        <v>-0.41318348642370534</v>
      </c>
      <c r="H83" s="15">
        <v>-0.45603754248857453</v>
      </c>
      <c r="I83" s="15">
        <v>-0.49000801029821384</v>
      </c>
      <c r="J83" s="15">
        <v>-0.51737539896566831</v>
      </c>
      <c r="K83" s="15">
        <v>-0.54042021760398284</v>
      </c>
      <c r="L83" s="15">
        <v>-0.561422975326203</v>
      </c>
      <c r="M83" s="15">
        <v>-0.582664181245373</v>
      </c>
      <c r="N83" s="15">
        <v>-0.60642434447453852</v>
      </c>
      <c r="O83" s="15">
        <v>-0.63498397412674468</v>
      </c>
      <c r="P83" s="15">
        <v>-0.67062357931503591</v>
      </c>
      <c r="Q83" s="15">
        <v>-0.71562366915245834</v>
      </c>
      <c r="S83" s="17">
        <f t="shared" si="12"/>
        <v>-0.17055732404703167</v>
      </c>
      <c r="T83" s="17">
        <f t="shared" si="4"/>
        <v>-0.13694580784373148</v>
      </c>
      <c r="U83" s="17">
        <f t="shared" si="5"/>
        <v>-0.10903556442304396</v>
      </c>
      <c r="V83" s="17">
        <f t="shared" si="6"/>
        <v>-8.6826593784969153E-2</v>
      </c>
      <c r="W83" s="17">
        <f t="shared" si="7"/>
        <v>-7.0318895929506922E-2</v>
      </c>
      <c r="X83" s="17">
        <f t="shared" si="8"/>
        <v>-5.9512470856657632E-2</v>
      </c>
      <c r="Y83" s="17">
        <f t="shared" si="9"/>
        <v>-5.4407318566420573E-2</v>
      </c>
      <c r="Z83" s="17">
        <f t="shared" si="10"/>
        <v>-5.5003439058796399E-2</v>
      </c>
      <c r="AA83" s="17">
        <f t="shared" si="11"/>
        <v>-6.1300832333784736E-2</v>
      </c>
    </row>
    <row r="84" spans="1:27" x14ac:dyDescent="0.3">
      <c r="A84" s="13" t="s">
        <v>69</v>
      </c>
      <c r="B84" s="14" t="s">
        <v>73</v>
      </c>
      <c r="C84" s="15">
        <v>-0.14680687827625089</v>
      </c>
      <c r="D84" s="15">
        <v>-0.25616235090774309</v>
      </c>
      <c r="E84" s="15">
        <v>-0.35729725957371011</v>
      </c>
      <c r="F84" s="15">
        <v>-0.43819707842590788</v>
      </c>
      <c r="G84" s="15">
        <v>-0.50152796944371736</v>
      </c>
      <c r="H84" s="15">
        <v>-0.54995609460651895</v>
      </c>
      <c r="I84" s="15">
        <v>-0.58614761589369402</v>
      </c>
      <c r="J84" s="15">
        <v>-0.61276869528462319</v>
      </c>
      <c r="K84" s="15">
        <v>-0.63248549475868732</v>
      </c>
      <c r="L84" s="15">
        <v>-0.64796417629526737</v>
      </c>
      <c r="M84" s="15">
        <v>-0.66187090187374398</v>
      </c>
      <c r="N84" s="15">
        <v>-0.67687183347349822</v>
      </c>
      <c r="O84" s="15">
        <v>-0.69563313307391117</v>
      </c>
      <c r="P84" s="15">
        <v>-0.72082096265436291</v>
      </c>
      <c r="Q84" s="15">
        <v>-0.75510148419423562</v>
      </c>
      <c r="S84" s="17">
        <f t="shared" si="12"/>
        <v>-0.20447134877997858</v>
      </c>
      <c r="T84" s="17">
        <f t="shared" si="4"/>
        <v>-0.16054902919400735</v>
      </c>
      <c r="U84" s="17">
        <f t="shared" si="5"/>
        <v>-0.12329211455648845</v>
      </c>
      <c r="V84" s="17">
        <f t="shared" si="6"/>
        <v>-9.2700604867421516E-2</v>
      </c>
      <c r="W84" s="17">
        <f t="shared" si="7"/>
        <v>-6.877450012680697E-2</v>
      </c>
      <c r="X84" s="17">
        <f t="shared" si="8"/>
        <v>-5.1513800334644463E-2</v>
      </c>
      <c r="Y84" s="17">
        <f t="shared" si="9"/>
        <v>-4.0918505490933996E-2</v>
      </c>
      <c r="Z84" s="17">
        <f t="shared" si="10"/>
        <v>-3.6988615595675754E-2</v>
      </c>
      <c r="AA84" s="17">
        <f t="shared" si="11"/>
        <v>-3.9724130648869829E-2</v>
      </c>
    </row>
    <row r="85" spans="1:27" x14ac:dyDescent="0.3">
      <c r="A85" s="13" t="s">
        <v>69</v>
      </c>
      <c r="B85" s="14" t="s">
        <v>74</v>
      </c>
      <c r="C85" s="15">
        <v>-0.1653475146971729</v>
      </c>
      <c r="D85" s="15">
        <v>-0.28426077557095908</v>
      </c>
      <c r="E85" s="15">
        <v>-0.39002850780697362</v>
      </c>
      <c r="F85" s="15">
        <v>-0.47005083679590642</v>
      </c>
      <c r="G85" s="15">
        <v>-0.52826263939816409</v>
      </c>
      <c r="H85" s="15">
        <v>-0.56859879247415335</v>
      </c>
      <c r="I85" s="15">
        <v>-0.59499417288428136</v>
      </c>
      <c r="J85" s="15">
        <v>-0.61138365748895485</v>
      </c>
      <c r="K85" s="15">
        <v>-0.62170212314858064</v>
      </c>
      <c r="L85" s="15">
        <v>-0.62988444672356558</v>
      </c>
      <c r="M85" s="15">
        <v>-0.63986550507431661</v>
      </c>
      <c r="N85" s="15">
        <v>-0.65558017506123967</v>
      </c>
      <c r="O85" s="15">
        <v>-0.68096333354474314</v>
      </c>
      <c r="P85" s="15">
        <v>-0.71994985738523332</v>
      </c>
      <c r="Q85" s="15">
        <v>-0.77647462344311635</v>
      </c>
      <c r="S85" s="17">
        <f t="shared" si="12"/>
        <v>-0.20333488652267084</v>
      </c>
      <c r="T85" s="17">
        <f t="shared" ref="T85:T148" si="13">+(H85-E85)/3*2.5</f>
        <v>-0.14880857055598309</v>
      </c>
      <c r="U85" s="17">
        <f t="shared" ref="U85:U148" si="14">+(I85-F85)/3*2.5</f>
        <v>-0.10411944674031245</v>
      </c>
      <c r="V85" s="17">
        <f t="shared" ref="V85:V148" si="15">+(J85-G85)/3*2.5</f>
        <v>-6.9267515075658967E-2</v>
      </c>
      <c r="W85" s="17">
        <f t="shared" ref="W85:W148" si="16">+(K85-H85)/3*2.5</f>
        <v>-4.4252775562022742E-2</v>
      </c>
      <c r="X85" s="17">
        <f t="shared" ref="X85:X148" si="17">+(L85-I85)/3*2.5</f>
        <v>-2.9075228199403523E-2</v>
      </c>
      <c r="Y85" s="17">
        <f t="shared" ref="Y85:Y148" si="18">+(M85-J85)/3*2.5</f>
        <v>-2.373487298780147E-2</v>
      </c>
      <c r="Z85" s="17">
        <f t="shared" ref="Z85:Z148" si="19">+(N85-K85)/3*2.5</f>
        <v>-2.8231709927215853E-2</v>
      </c>
      <c r="AA85" s="17">
        <f t="shared" ref="AA85:AA148" si="20">+(O85-L85)/3*2.5</f>
        <v>-4.2565739017647972E-2</v>
      </c>
    </row>
    <row r="86" spans="1:27" x14ac:dyDescent="0.3">
      <c r="A86" s="13" t="s">
        <v>69</v>
      </c>
      <c r="B86" s="14" t="s">
        <v>75</v>
      </c>
      <c r="C86" s="15">
        <v>-0.14716869005931343</v>
      </c>
      <c r="D86" s="15">
        <v>-0.25618779015621407</v>
      </c>
      <c r="E86" s="15">
        <v>-0.35647190504111725</v>
      </c>
      <c r="F86" s="15">
        <v>-0.43617583504185115</v>
      </c>
      <c r="G86" s="15">
        <v>-0.49817124949217562</v>
      </c>
      <c r="H86" s="15">
        <v>-0.54532981772585043</v>
      </c>
      <c r="I86" s="15">
        <v>-0.58052320907663513</v>
      </c>
      <c r="J86" s="15">
        <v>-0.60662309287828975</v>
      </c>
      <c r="K86" s="15">
        <v>-0.62650113846457378</v>
      </c>
      <c r="L86" s="15">
        <v>-0.64302901516924682</v>
      </c>
      <c r="M86" s="15">
        <v>-0.65907839232606924</v>
      </c>
      <c r="N86" s="15">
        <v>-0.6775209392688003</v>
      </c>
      <c r="O86" s="15">
        <v>-0.70122832533119939</v>
      </c>
      <c r="P86" s="15">
        <v>-0.73307221984702642</v>
      </c>
      <c r="Q86" s="15">
        <v>-0.77592429215004222</v>
      </c>
      <c r="S86" s="17">
        <f t="shared" si="12"/>
        <v>-0.20165288277996796</v>
      </c>
      <c r="T86" s="17">
        <f t="shared" si="13"/>
        <v>-0.15738159390394429</v>
      </c>
      <c r="U86" s="17">
        <f t="shared" si="14"/>
        <v>-0.12028947836231998</v>
      </c>
      <c r="V86" s="17">
        <f t="shared" si="15"/>
        <v>-9.0376536155095111E-2</v>
      </c>
      <c r="W86" s="17">
        <f t="shared" si="16"/>
        <v>-6.7642767282269464E-2</v>
      </c>
      <c r="X86" s="17">
        <f t="shared" si="17"/>
        <v>-5.2088171743843073E-2</v>
      </c>
      <c r="Y86" s="17">
        <f t="shared" si="18"/>
        <v>-4.3712749539816242E-2</v>
      </c>
      <c r="Z86" s="17">
        <f t="shared" si="19"/>
        <v>-4.2516500670188764E-2</v>
      </c>
      <c r="AA86" s="17">
        <f t="shared" si="20"/>
        <v>-4.8499425134960472E-2</v>
      </c>
    </row>
    <row r="87" spans="1:27" x14ac:dyDescent="0.3">
      <c r="A87" s="13" t="s">
        <v>69</v>
      </c>
      <c r="B87" s="14" t="s">
        <v>76</v>
      </c>
      <c r="C87" s="15">
        <v>-0.14891326333610341</v>
      </c>
      <c r="D87" s="15">
        <v>-0.25981792952561744</v>
      </c>
      <c r="E87" s="15">
        <v>-0.36237686276879422</v>
      </c>
      <c r="F87" s="15">
        <v>-0.44441962248637684</v>
      </c>
      <c r="G87" s="15">
        <v>-0.50866709443271863</v>
      </c>
      <c r="H87" s="15">
        <v>-0.5578401643621731</v>
      </c>
      <c r="I87" s="15">
        <v>-0.59465971802909345</v>
      </c>
      <c r="J87" s="15">
        <v>-0.62184664118783339</v>
      </c>
      <c r="K87" s="15">
        <v>-0.64212181959274583</v>
      </c>
      <c r="L87" s="15">
        <v>-0.65820613899818459</v>
      </c>
      <c r="M87" s="15">
        <v>-0.6728204851585029</v>
      </c>
      <c r="N87" s="15">
        <v>-0.68868574382805392</v>
      </c>
      <c r="O87" s="15">
        <v>-0.70852280076119167</v>
      </c>
      <c r="P87" s="15">
        <v>-0.73505254171226864</v>
      </c>
      <c r="Q87" s="15">
        <v>-0.77099585243563906</v>
      </c>
      <c r="S87" s="17">
        <f t="shared" si="12"/>
        <v>-0.207374304089251</v>
      </c>
      <c r="T87" s="17">
        <f t="shared" si="13"/>
        <v>-0.16288608466114907</v>
      </c>
      <c r="U87" s="17">
        <f t="shared" si="14"/>
        <v>-0.12520007961893051</v>
      </c>
      <c r="V87" s="17">
        <f t="shared" si="15"/>
        <v>-9.431628896259564E-2</v>
      </c>
      <c r="W87" s="17">
        <f t="shared" si="16"/>
        <v>-7.0234712692143944E-2</v>
      </c>
      <c r="X87" s="17">
        <f t="shared" si="17"/>
        <v>-5.2955350807575949E-2</v>
      </c>
      <c r="Y87" s="17">
        <f t="shared" si="18"/>
        <v>-4.2478203308891252E-2</v>
      </c>
      <c r="Z87" s="17">
        <f t="shared" si="19"/>
        <v>-3.8803270196090069E-2</v>
      </c>
      <c r="AA87" s="17">
        <f t="shared" si="20"/>
        <v>-4.1930551469172572E-2</v>
      </c>
    </row>
    <row r="88" spans="1:27" x14ac:dyDescent="0.3">
      <c r="A88" s="13" t="s">
        <v>69</v>
      </c>
      <c r="B88" s="14" t="s">
        <v>77</v>
      </c>
      <c r="C88" s="15">
        <v>-0.13579067114762192</v>
      </c>
      <c r="D88" s="15">
        <v>-0.2415457135914833</v>
      </c>
      <c r="E88" s="15">
        <v>-0.34394651841065782</v>
      </c>
      <c r="F88" s="15">
        <v>-0.430915978149018</v>
      </c>
      <c r="G88" s="15">
        <v>-0.5039560524651987</v>
      </c>
      <c r="H88" s="15">
        <v>-0.56456870101783452</v>
      </c>
      <c r="I88" s="15">
        <v>-0.61425588346556026</v>
      </c>
      <c r="J88" s="15">
        <v>-0.65451955946701079</v>
      </c>
      <c r="K88" s="15">
        <v>-0.68686168868082098</v>
      </c>
      <c r="L88" s="15">
        <v>-0.71278423076562514</v>
      </c>
      <c r="M88" s="15">
        <v>-0.73378914538005824</v>
      </c>
      <c r="N88" s="15">
        <v>-0.75137839218275537</v>
      </c>
      <c r="O88" s="15">
        <v>-0.76705393083235118</v>
      </c>
      <c r="P88" s="15">
        <v>-0.78231772098747976</v>
      </c>
      <c r="Q88" s="15">
        <v>-0.79867172230677652</v>
      </c>
      <c r="S88" s="17">
        <f t="shared" si="12"/>
        <v>-0.21867528239476283</v>
      </c>
      <c r="T88" s="17">
        <f t="shared" si="13"/>
        <v>-0.1838518188393139</v>
      </c>
      <c r="U88" s="17">
        <f t="shared" si="14"/>
        <v>-0.15278325443045188</v>
      </c>
      <c r="V88" s="17">
        <f t="shared" si="15"/>
        <v>-0.12546958916817674</v>
      </c>
      <c r="W88" s="17">
        <f t="shared" si="16"/>
        <v>-0.10191082305248872</v>
      </c>
      <c r="X88" s="17">
        <f t="shared" si="17"/>
        <v>-8.2106956083387389E-2</v>
      </c>
      <c r="Y88" s="17">
        <f t="shared" si="18"/>
        <v>-6.6057988260872877E-2</v>
      </c>
      <c r="Z88" s="17">
        <f t="shared" si="19"/>
        <v>-5.3763919584945322E-2</v>
      </c>
      <c r="AA88" s="17">
        <f t="shared" si="20"/>
        <v>-4.5224750055605042E-2</v>
      </c>
    </row>
    <row r="89" spans="1:27" x14ac:dyDescent="0.3">
      <c r="A89" s="13" t="s">
        <v>69</v>
      </c>
      <c r="B89" s="14" t="s">
        <v>78</v>
      </c>
      <c r="C89" s="15">
        <v>-0.13220505879395222</v>
      </c>
      <c r="D89" s="15">
        <v>-0.23274606021191713</v>
      </c>
      <c r="E89" s="15">
        <v>-0.32787325030540959</v>
      </c>
      <c r="F89" s="15">
        <v>-0.4064311429643076</v>
      </c>
      <c r="G89" s="15">
        <v>-0.47048475795788425</v>
      </c>
      <c r="H89" s="15">
        <v>-0.52209911505541251</v>
      </c>
      <c r="I89" s="15">
        <v>-0.56333923402616581</v>
      </c>
      <c r="J89" s="15">
        <v>-0.59627013463941725</v>
      </c>
      <c r="K89" s="15">
        <v>-0.62295683666443991</v>
      </c>
      <c r="L89" s="15">
        <v>-0.64546435987050677</v>
      </c>
      <c r="M89" s="15">
        <v>-0.66585772402689114</v>
      </c>
      <c r="N89" s="15">
        <v>-0.6862019489028659</v>
      </c>
      <c r="O89" s="15">
        <v>-0.70856205426770458</v>
      </c>
      <c r="P89" s="15">
        <v>-0.73500305989068015</v>
      </c>
      <c r="Q89" s="15">
        <v>-0.76758998554106617</v>
      </c>
      <c r="S89" s="17">
        <f t="shared" si="12"/>
        <v>-0.1981155814549726</v>
      </c>
      <c r="T89" s="17">
        <f t="shared" si="13"/>
        <v>-0.16185488729166908</v>
      </c>
      <c r="U89" s="17">
        <f t="shared" si="14"/>
        <v>-0.13075674255154851</v>
      </c>
      <c r="V89" s="17">
        <f t="shared" si="15"/>
        <v>-0.10482114723461083</v>
      </c>
      <c r="W89" s="17">
        <f t="shared" si="16"/>
        <v>-8.4048101340856163E-2</v>
      </c>
      <c r="X89" s="17">
        <f t="shared" si="17"/>
        <v>-6.8437604870284122E-2</v>
      </c>
      <c r="Y89" s="17">
        <f t="shared" si="18"/>
        <v>-5.7989657822894905E-2</v>
      </c>
      <c r="Z89" s="17">
        <f t="shared" si="19"/>
        <v>-5.2704260198688332E-2</v>
      </c>
      <c r="AA89" s="17">
        <f t="shared" si="20"/>
        <v>-5.2581411997664848E-2</v>
      </c>
    </row>
    <row r="90" spans="1:27" x14ac:dyDescent="0.3">
      <c r="A90" s="13" t="s">
        <v>69</v>
      </c>
      <c r="B90" s="14" t="s">
        <v>79</v>
      </c>
      <c r="C90" s="15">
        <v>-0.16354197148202484</v>
      </c>
      <c r="D90" s="15">
        <v>-0.28165816037974678</v>
      </c>
      <c r="E90" s="15">
        <v>-0.38725260415556417</v>
      </c>
      <c r="F90" s="15">
        <v>-0.46777757157856353</v>
      </c>
      <c r="G90" s="15">
        <v>-0.52703952856603364</v>
      </c>
      <c r="H90" s="15">
        <v>-0.5688449410352634</v>
      </c>
      <c r="I90" s="15">
        <v>-0.59700027490354191</v>
      </c>
      <c r="J90" s="15">
        <v>-0.61531199608815779</v>
      </c>
      <c r="K90" s="15">
        <v>-0.6275865705064001</v>
      </c>
      <c r="L90" s="15">
        <v>-0.63763046407555801</v>
      </c>
      <c r="M90" s="15">
        <v>-0.64925014271292014</v>
      </c>
      <c r="N90" s="15">
        <v>-0.66625207233577532</v>
      </c>
      <c r="O90" s="15">
        <v>-0.69244271886141284</v>
      </c>
      <c r="P90" s="15">
        <v>-0.73162854820712175</v>
      </c>
      <c r="Q90" s="15">
        <v>-0.78761602629018979</v>
      </c>
      <c r="S90" s="17">
        <f t="shared" si="12"/>
        <v>-0.2044844734885724</v>
      </c>
      <c r="T90" s="17">
        <f t="shared" si="13"/>
        <v>-0.15132694739974936</v>
      </c>
      <c r="U90" s="17">
        <f t="shared" si="14"/>
        <v>-0.10768558610414863</v>
      </c>
      <c r="V90" s="17">
        <f t="shared" si="15"/>
        <v>-7.3560389601770124E-2</v>
      </c>
      <c r="W90" s="17">
        <f t="shared" si="16"/>
        <v>-4.8951357892613914E-2</v>
      </c>
      <c r="X90" s="17">
        <f t="shared" si="17"/>
        <v>-3.3858490976680089E-2</v>
      </c>
      <c r="Y90" s="17">
        <f t="shared" si="18"/>
        <v>-2.8281788853968627E-2</v>
      </c>
      <c r="Z90" s="17">
        <f t="shared" si="19"/>
        <v>-3.2221251524479355E-2</v>
      </c>
      <c r="AA90" s="17">
        <f t="shared" si="20"/>
        <v>-4.5676878988212363E-2</v>
      </c>
    </row>
    <row r="91" spans="1:27" x14ac:dyDescent="0.3">
      <c r="A91" s="13" t="s">
        <v>69</v>
      </c>
      <c r="B91" s="14" t="s">
        <v>80</v>
      </c>
      <c r="C91" s="15">
        <v>-0.14883634322330552</v>
      </c>
      <c r="D91" s="15">
        <v>-0.25957486345355485</v>
      </c>
      <c r="E91" s="15">
        <v>-0.36187482334146132</v>
      </c>
      <c r="F91" s="15">
        <v>-0.44359853112336051</v>
      </c>
      <c r="G91" s="15">
        <v>-0.50749192935791854</v>
      </c>
      <c r="H91" s="15">
        <v>-0.55630096060380119</v>
      </c>
      <c r="I91" s="15">
        <v>-0.59277156741967507</v>
      </c>
      <c r="J91" s="15">
        <v>-0.61964969236420586</v>
      </c>
      <c r="K91" s="15">
        <v>-0.63968127799605989</v>
      </c>
      <c r="L91" s="15">
        <v>-0.65561226687390317</v>
      </c>
      <c r="M91" s="15">
        <v>-0.67018860155640159</v>
      </c>
      <c r="N91" s="15">
        <v>-0.68615622460222148</v>
      </c>
      <c r="O91" s="15">
        <v>-0.7062610785700294</v>
      </c>
      <c r="P91" s="15">
        <v>-0.7332491060184908</v>
      </c>
      <c r="Q91" s="15">
        <v>-0.7698662495062718</v>
      </c>
      <c r="S91" s="17">
        <f t="shared" si="12"/>
        <v>-0.20659755492030307</v>
      </c>
      <c r="T91" s="17">
        <f t="shared" si="13"/>
        <v>-0.16202178105194989</v>
      </c>
      <c r="U91" s="17">
        <f t="shared" si="14"/>
        <v>-0.12431086358026214</v>
      </c>
      <c r="V91" s="17">
        <f t="shared" si="15"/>
        <v>-9.3464802505239447E-2</v>
      </c>
      <c r="W91" s="17">
        <f t="shared" si="16"/>
        <v>-6.9483597826882251E-2</v>
      </c>
      <c r="X91" s="17">
        <f t="shared" si="17"/>
        <v>-5.2367249545190078E-2</v>
      </c>
      <c r="Y91" s="17">
        <f t="shared" si="18"/>
        <v>-4.2115757660163108E-2</v>
      </c>
      <c r="Z91" s="17">
        <f t="shared" si="19"/>
        <v>-3.8729122171801321E-2</v>
      </c>
      <c r="AA91" s="17">
        <f t="shared" si="20"/>
        <v>-4.2207343080105195E-2</v>
      </c>
    </row>
    <row r="92" spans="1:27" x14ac:dyDescent="0.3">
      <c r="A92" s="13" t="s">
        <v>69</v>
      </c>
      <c r="B92" s="14" t="s">
        <v>81</v>
      </c>
      <c r="C92" s="15">
        <v>-0.14438132426537159</v>
      </c>
      <c r="D92" s="15">
        <v>-0.25190908206498558</v>
      </c>
      <c r="E92" s="15">
        <v>-0.35139517822903654</v>
      </c>
      <c r="F92" s="15">
        <v>-0.43109730673016039</v>
      </c>
      <c r="G92" s="15">
        <v>-0.49371129396753038</v>
      </c>
      <c r="H92" s="15">
        <v>-0.54193296634031962</v>
      </c>
      <c r="I92" s="15">
        <v>-0.5784581502477012</v>
      </c>
      <c r="J92" s="15">
        <v>-0.60598267208884837</v>
      </c>
      <c r="K92" s="15">
        <v>-0.62720235826293425</v>
      </c>
      <c r="L92" s="15">
        <v>-0.64481303516913191</v>
      </c>
      <c r="M92" s="15">
        <v>-0.66151052920661457</v>
      </c>
      <c r="N92" s="15">
        <v>-0.67999066677455555</v>
      </c>
      <c r="O92" s="15">
        <v>-0.70294927427212794</v>
      </c>
      <c r="P92" s="15">
        <v>-0.73308217809850451</v>
      </c>
      <c r="Q92" s="15">
        <v>-0.77308520465285868</v>
      </c>
      <c r="S92" s="17">
        <f t="shared" si="12"/>
        <v>-0.20150184325212067</v>
      </c>
      <c r="T92" s="17">
        <f t="shared" si="13"/>
        <v>-0.1587814900927359</v>
      </c>
      <c r="U92" s="17">
        <f t="shared" si="14"/>
        <v>-0.12280070293128401</v>
      </c>
      <c r="V92" s="17">
        <f t="shared" si="15"/>
        <v>-9.355948176776499E-2</v>
      </c>
      <c r="W92" s="17">
        <f t="shared" si="16"/>
        <v>-7.1057826602178853E-2</v>
      </c>
      <c r="X92" s="17">
        <f t="shared" si="17"/>
        <v>-5.5295737434525594E-2</v>
      </c>
      <c r="Y92" s="17">
        <f t="shared" si="18"/>
        <v>-4.6273214264805171E-2</v>
      </c>
      <c r="Z92" s="17">
        <f t="shared" si="19"/>
        <v>-4.3990257093017751E-2</v>
      </c>
      <c r="AA92" s="17">
        <f t="shared" si="20"/>
        <v>-4.8446865919163362E-2</v>
      </c>
    </row>
    <row r="93" spans="1:27" x14ac:dyDescent="0.3">
      <c r="A93" s="13" t="s">
        <v>69</v>
      </c>
      <c r="B93" s="14" t="s">
        <v>82</v>
      </c>
      <c r="C93" s="15">
        <v>-0.14731247210725665</v>
      </c>
      <c r="D93" s="15">
        <v>-0.25577237632739791</v>
      </c>
      <c r="E93" s="15">
        <v>-0.35491509111711184</v>
      </c>
      <c r="F93" s="15">
        <v>-0.43306829235129252</v>
      </c>
      <c r="G93" s="15">
        <v>-0.49329090311555962</v>
      </c>
      <c r="H93" s="15">
        <v>-0.53864184649553326</v>
      </c>
      <c r="I93" s="15">
        <v>-0.57218004557683289</v>
      </c>
      <c r="J93" s="15">
        <v>-0.59696442344507827</v>
      </c>
      <c r="K93" s="15">
        <v>-0.61605390318588926</v>
      </c>
      <c r="L93" s="15">
        <v>-0.6325074078848858</v>
      </c>
      <c r="M93" s="15">
        <v>-0.6493838606276876</v>
      </c>
      <c r="N93" s="15">
        <v>-0.66974218449991452</v>
      </c>
      <c r="O93" s="15">
        <v>-0.69664130258718571</v>
      </c>
      <c r="P93" s="15">
        <v>-0.73314013797512201</v>
      </c>
      <c r="Q93" s="15">
        <v>-0.78229761374934237</v>
      </c>
      <c r="S93" s="17">
        <f t="shared" si="12"/>
        <v>-0.19793210565680144</v>
      </c>
      <c r="T93" s="17">
        <f t="shared" si="13"/>
        <v>-0.15310562948201786</v>
      </c>
      <c r="U93" s="17">
        <f t="shared" si="14"/>
        <v>-0.11592646102128365</v>
      </c>
      <c r="V93" s="17">
        <f t="shared" si="15"/>
        <v>-8.6394600274598887E-2</v>
      </c>
      <c r="W93" s="17">
        <f t="shared" si="16"/>
        <v>-6.4510047241963339E-2</v>
      </c>
      <c r="X93" s="17">
        <f t="shared" si="17"/>
        <v>-5.0272801923377422E-2</v>
      </c>
      <c r="Y93" s="17">
        <f t="shared" si="18"/>
        <v>-4.3682864318841108E-2</v>
      </c>
      <c r="Z93" s="17">
        <f t="shared" si="19"/>
        <v>-4.4740234428354383E-2</v>
      </c>
      <c r="AA93" s="17">
        <f t="shared" si="20"/>
        <v>-5.3444912251916596E-2</v>
      </c>
    </row>
    <row r="94" spans="1:27" x14ac:dyDescent="0.3">
      <c r="A94" s="13" t="s">
        <v>69</v>
      </c>
      <c r="B94" s="14" t="s">
        <v>83</v>
      </c>
      <c r="C94" s="15">
        <v>-0.14881091687725623</v>
      </c>
      <c r="D94" s="15">
        <v>-0.25870866815638949</v>
      </c>
      <c r="E94" s="15">
        <v>-0.3594629501172561</v>
      </c>
      <c r="F94" s="15">
        <v>-0.43916794144867893</v>
      </c>
      <c r="G94" s="15">
        <v>-0.50079891252720632</v>
      </c>
      <c r="H94" s="15">
        <v>-0.54733113372938702</v>
      </c>
      <c r="I94" s="15">
        <v>-0.58173987543176897</v>
      </c>
      <c r="J94" s="15">
        <v>-0.60700040801090138</v>
      </c>
      <c r="K94" s="15">
        <v>-0.62608800184333224</v>
      </c>
      <c r="L94" s="15">
        <v>-0.64197792730561021</v>
      </c>
      <c r="M94" s="15">
        <v>-0.65764545477428371</v>
      </c>
      <c r="N94" s="15">
        <v>-0.67606585462590119</v>
      </c>
      <c r="O94" s="15">
        <v>-0.70021439723701107</v>
      </c>
      <c r="P94" s="15">
        <v>-0.73306635298416178</v>
      </c>
      <c r="Q94" s="15">
        <v>-0.77759699224390255</v>
      </c>
      <c r="S94" s="17">
        <f t="shared" si="12"/>
        <v>-0.20174187030901403</v>
      </c>
      <c r="T94" s="17">
        <f t="shared" si="13"/>
        <v>-0.15655681967677579</v>
      </c>
      <c r="U94" s="17">
        <f t="shared" si="14"/>
        <v>-0.11880994498590836</v>
      </c>
      <c r="V94" s="17">
        <f t="shared" si="15"/>
        <v>-8.8501246236412562E-2</v>
      </c>
      <c r="W94" s="17">
        <f t="shared" si="16"/>
        <v>-6.5630723428287685E-2</v>
      </c>
      <c r="X94" s="17">
        <f t="shared" si="17"/>
        <v>-5.0198376561534364E-2</v>
      </c>
      <c r="Y94" s="17">
        <f t="shared" si="18"/>
        <v>-4.2204205636151945E-2</v>
      </c>
      <c r="Z94" s="17">
        <f t="shared" si="19"/>
        <v>-4.1648210652140791E-2</v>
      </c>
      <c r="AA94" s="17">
        <f t="shared" si="20"/>
        <v>-4.853039160950072E-2</v>
      </c>
    </row>
    <row r="95" spans="1:27" x14ac:dyDescent="0.3">
      <c r="A95" s="13" t="s">
        <v>69</v>
      </c>
      <c r="B95" s="14" t="s">
        <v>84</v>
      </c>
      <c r="C95" s="15">
        <v>-0.15030787102142709</v>
      </c>
      <c r="D95" s="15">
        <v>-0.26082303613031838</v>
      </c>
      <c r="E95" s="15">
        <v>-0.36166592986717261</v>
      </c>
      <c r="F95" s="15">
        <v>-0.44092819251704629</v>
      </c>
      <c r="G95" s="15">
        <v>-0.50173225146713862</v>
      </c>
      <c r="H95" s="15">
        <v>-0.54720053410464864</v>
      </c>
      <c r="I95" s="15">
        <v>-0.58045546781677593</v>
      </c>
      <c r="J95" s="15">
        <v>-0.60461947999071919</v>
      </c>
      <c r="K95" s="15">
        <v>-0.6228149980136779</v>
      </c>
      <c r="L95" s="15">
        <v>-0.63816444927285143</v>
      </c>
      <c r="M95" s="15">
        <v>-0.65379026115543837</v>
      </c>
      <c r="N95" s="15">
        <v>-0.67281486104863808</v>
      </c>
      <c r="O95" s="15">
        <v>-0.69836067633965038</v>
      </c>
      <c r="P95" s="15">
        <v>-0.73355013441567407</v>
      </c>
      <c r="Q95" s="15">
        <v>-0.78150566266390786</v>
      </c>
      <c r="S95" s="17">
        <f t="shared" si="12"/>
        <v>-0.20075767944735021</v>
      </c>
      <c r="T95" s="17">
        <f t="shared" si="13"/>
        <v>-0.15461217019789669</v>
      </c>
      <c r="U95" s="17">
        <f t="shared" si="14"/>
        <v>-0.11627272941644137</v>
      </c>
      <c r="V95" s="17">
        <f t="shared" si="15"/>
        <v>-8.5739357102983804E-2</v>
      </c>
      <c r="W95" s="17">
        <f t="shared" si="16"/>
        <v>-6.3012053257524389E-2</v>
      </c>
      <c r="X95" s="17">
        <f t="shared" si="17"/>
        <v>-4.8090817880062919E-2</v>
      </c>
      <c r="Y95" s="17">
        <f t="shared" si="18"/>
        <v>-4.0975650970599312E-2</v>
      </c>
      <c r="Z95" s="17">
        <f t="shared" si="19"/>
        <v>-4.1666552529133483E-2</v>
      </c>
      <c r="AA95" s="17">
        <f t="shared" si="20"/>
        <v>-5.0163522555665793E-2</v>
      </c>
    </row>
    <row r="96" spans="1:27" x14ac:dyDescent="0.3">
      <c r="A96" s="13" t="s">
        <v>69</v>
      </c>
      <c r="B96" s="14" t="s">
        <v>85</v>
      </c>
      <c r="C96" s="15">
        <v>-0.14685696744991006</v>
      </c>
      <c r="D96" s="15">
        <v>-0.25660476751802386</v>
      </c>
      <c r="E96" s="15">
        <v>-0.35846899742891514</v>
      </c>
      <c r="F96" s="15">
        <v>-0.44037029429538654</v>
      </c>
      <c r="G96" s="15">
        <v>-0.50491499197523204</v>
      </c>
      <c r="H96" s="15">
        <v>-0.55470942432624515</v>
      </c>
      <c r="I96" s="15">
        <v>-0.59235992520622005</v>
      </c>
      <c r="J96" s="15">
        <v>-0.62047282847295004</v>
      </c>
      <c r="K96" s="15">
        <v>-0.6416544679842292</v>
      </c>
      <c r="L96" s="15">
        <v>-0.6585111775978516</v>
      </c>
      <c r="M96" s="15">
        <v>-0.67364929117161043</v>
      </c>
      <c r="N96" s="15">
        <v>-0.68967514256329965</v>
      </c>
      <c r="O96" s="15">
        <v>-0.70919506563071333</v>
      </c>
      <c r="P96" s="15">
        <v>-0.73481539423164532</v>
      </c>
      <c r="Q96" s="15">
        <v>-0.76914246222388893</v>
      </c>
      <c r="S96" s="17">
        <f t="shared" si="12"/>
        <v>-0.20692518704767349</v>
      </c>
      <c r="T96" s="17">
        <f t="shared" si="13"/>
        <v>-0.16353368908110832</v>
      </c>
      <c r="U96" s="17">
        <f t="shared" si="14"/>
        <v>-0.12665802575902793</v>
      </c>
      <c r="V96" s="17">
        <f t="shared" si="15"/>
        <v>-9.6298197081431669E-2</v>
      </c>
      <c r="W96" s="17">
        <f t="shared" si="16"/>
        <v>-7.2454203048320051E-2</v>
      </c>
      <c r="X96" s="17">
        <f t="shared" si="17"/>
        <v>-5.5126043659692966E-2</v>
      </c>
      <c r="Y96" s="17">
        <f t="shared" si="18"/>
        <v>-4.4313718915550318E-2</v>
      </c>
      <c r="Z96" s="17">
        <f t="shared" si="19"/>
        <v>-4.0017228815892036E-2</v>
      </c>
      <c r="AA96" s="17">
        <f t="shared" si="20"/>
        <v>-4.2236573360718108E-2</v>
      </c>
    </row>
    <row r="97" spans="1:27" x14ac:dyDescent="0.3">
      <c r="A97" s="13" t="s">
        <v>69</v>
      </c>
      <c r="B97" s="14" t="s">
        <v>86</v>
      </c>
      <c r="C97" s="15">
        <v>-0.13983848889905004</v>
      </c>
      <c r="D97" s="15">
        <v>-0.24575097302080362</v>
      </c>
      <c r="E97" s="15">
        <v>-0.34553971301649311</v>
      </c>
      <c r="F97" s="15">
        <v>-0.42749903551845958</v>
      </c>
      <c r="G97" s="15">
        <v>-0.49390711604894921</v>
      </c>
      <c r="H97" s="15">
        <v>-0.54704213013020797</v>
      </c>
      <c r="I97" s="15">
        <v>-0.58918225328448193</v>
      </c>
      <c r="J97" s="15">
        <v>-0.62260566103401715</v>
      </c>
      <c r="K97" s="15">
        <v>-0.64959052890105962</v>
      </c>
      <c r="L97" s="15">
        <v>-0.67241503240785561</v>
      </c>
      <c r="M97" s="15">
        <v>-0.69335734707665098</v>
      </c>
      <c r="N97" s="15">
        <v>-0.71469564842969213</v>
      </c>
      <c r="O97" s="15">
        <v>-0.73870811198922459</v>
      </c>
      <c r="P97" s="15">
        <v>-0.76767291327749521</v>
      </c>
      <c r="Q97" s="15">
        <v>-0.80386822781674916</v>
      </c>
      <c r="S97" s="17">
        <f t="shared" si="12"/>
        <v>-0.20679678585678801</v>
      </c>
      <c r="T97" s="17">
        <f t="shared" si="13"/>
        <v>-0.1679186809280957</v>
      </c>
      <c r="U97" s="17">
        <f t="shared" si="14"/>
        <v>-0.13473601480501862</v>
      </c>
      <c r="V97" s="17">
        <f t="shared" si="15"/>
        <v>-0.10724878748755662</v>
      </c>
      <c r="W97" s="17">
        <f t="shared" si="16"/>
        <v>-8.5456998975709714E-2</v>
      </c>
      <c r="X97" s="17">
        <f t="shared" si="17"/>
        <v>-6.9360649269478061E-2</v>
      </c>
      <c r="Y97" s="17">
        <f t="shared" si="18"/>
        <v>-5.8959738368861522E-2</v>
      </c>
      <c r="Z97" s="17">
        <f t="shared" si="19"/>
        <v>-5.425426627386043E-2</v>
      </c>
      <c r="AA97" s="17">
        <f t="shared" si="20"/>
        <v>-5.5244232984474159E-2</v>
      </c>
    </row>
    <row r="98" spans="1:27" x14ac:dyDescent="0.3">
      <c r="A98" s="13" t="s">
        <v>87</v>
      </c>
      <c r="B98" s="14" t="s">
        <v>88</v>
      </c>
      <c r="C98" s="15">
        <v>-0.16100277698578486</v>
      </c>
      <c r="D98" s="15">
        <v>-0.26885966783308946</v>
      </c>
      <c r="E98" s="15">
        <v>-0.35716479537963808</v>
      </c>
      <c r="F98" s="15">
        <v>-0.41593982210031</v>
      </c>
      <c r="G98" s="15">
        <v>-0.45130668816856301</v>
      </c>
      <c r="H98" s="15">
        <v>-0.46938733375785485</v>
      </c>
      <c r="I98" s="15">
        <v>-0.47630369904164305</v>
      </c>
      <c r="J98" s="15">
        <v>-0.47817772419338589</v>
      </c>
      <c r="K98" s="15">
        <v>-0.4811313493865409</v>
      </c>
      <c r="L98" s="15">
        <v>-4.8144362984644362E-2</v>
      </c>
      <c r="M98" s="15">
        <v>0</v>
      </c>
      <c r="N98" s="15">
        <v>0</v>
      </c>
      <c r="O98" s="15">
        <v>0</v>
      </c>
      <c r="P98" s="15">
        <v>0</v>
      </c>
      <c r="Q98" s="15">
        <v>0</v>
      </c>
      <c r="S98" s="17">
        <f t="shared" si="12"/>
        <v>-0.15203918361289462</v>
      </c>
      <c r="T98" s="17">
        <f t="shared" si="13"/>
        <v>-9.3518781981847321E-2</v>
      </c>
      <c r="U98" s="17">
        <f t="shared" si="14"/>
        <v>-5.0303230784444208E-2</v>
      </c>
      <c r="V98" s="17">
        <f t="shared" si="15"/>
        <v>-2.2392530020685732E-2</v>
      </c>
      <c r="W98" s="17">
        <f t="shared" si="16"/>
        <v>-9.7866796905717035E-3</v>
      </c>
      <c r="X98" s="17">
        <f t="shared" si="17"/>
        <v>0.35679944671416558</v>
      </c>
      <c r="Y98" s="17">
        <f t="shared" si="18"/>
        <v>0.39848143682782161</v>
      </c>
      <c r="Z98" s="17">
        <f t="shared" si="19"/>
        <v>0.40094279115545078</v>
      </c>
      <c r="AA98" s="17">
        <f t="shared" si="20"/>
        <v>4.0120302487203635E-2</v>
      </c>
    </row>
    <row r="99" spans="1:27" x14ac:dyDescent="0.3">
      <c r="A99" s="13" t="s">
        <v>87</v>
      </c>
      <c r="B99" s="14" t="s">
        <v>89</v>
      </c>
      <c r="C99" s="15">
        <v>-0.165640421692133</v>
      </c>
      <c r="D99" s="15">
        <v>-0.2742754619183172</v>
      </c>
      <c r="E99" s="15">
        <v>-0.361300602077674</v>
      </c>
      <c r="F99" s="15">
        <v>-0.41766388800629728</v>
      </c>
      <c r="G99" s="15">
        <v>-0.45087740770949425</v>
      </c>
      <c r="H99" s="15">
        <v>-0.46845324919257203</v>
      </c>
      <c r="I99" s="15">
        <v>-0.47790350046083796</v>
      </c>
      <c r="J99" s="15">
        <v>-0.48674024951959921</v>
      </c>
      <c r="K99" s="15">
        <v>-0.50247558437416273</v>
      </c>
      <c r="L99" s="15">
        <v>-5.0412561580558235E-2</v>
      </c>
      <c r="M99" s="15">
        <v>0</v>
      </c>
      <c r="N99" s="15">
        <v>0</v>
      </c>
      <c r="O99" s="15">
        <v>0</v>
      </c>
      <c r="P99" s="15">
        <v>0</v>
      </c>
      <c r="Q99" s="15">
        <v>0</v>
      </c>
      <c r="S99" s="17">
        <f t="shared" si="12"/>
        <v>-0.14716828815931421</v>
      </c>
      <c r="T99" s="17">
        <f t="shared" si="13"/>
        <v>-8.9293872595748364E-2</v>
      </c>
      <c r="U99" s="17">
        <f t="shared" si="14"/>
        <v>-5.0199677045450572E-2</v>
      </c>
      <c r="V99" s="17">
        <f t="shared" si="15"/>
        <v>-2.9885701508420799E-2</v>
      </c>
      <c r="W99" s="17">
        <f t="shared" si="16"/>
        <v>-2.835194598465892E-2</v>
      </c>
      <c r="X99" s="17">
        <f t="shared" si="17"/>
        <v>0.35624244906689978</v>
      </c>
      <c r="Y99" s="17">
        <f t="shared" si="18"/>
        <v>0.405616874599666</v>
      </c>
      <c r="Z99" s="17">
        <f t="shared" si="19"/>
        <v>0.41872965364513565</v>
      </c>
      <c r="AA99" s="17">
        <f t="shared" si="20"/>
        <v>4.2010467983798525E-2</v>
      </c>
    </row>
    <row r="100" spans="1:27" x14ac:dyDescent="0.3">
      <c r="A100" s="13" t="s">
        <v>87</v>
      </c>
      <c r="B100" s="14" t="s">
        <v>90</v>
      </c>
      <c r="C100" s="15">
        <v>-0.16987325402742451</v>
      </c>
      <c r="D100" s="15">
        <v>-0.27823917373758933</v>
      </c>
      <c r="E100" s="15">
        <v>-0.36260301178011234</v>
      </c>
      <c r="F100" s="15">
        <v>-0.41539663108703118</v>
      </c>
      <c r="G100" s="15">
        <v>-0.4460392199931254</v>
      </c>
      <c r="H100" s="15">
        <v>-0.46394996683317458</v>
      </c>
      <c r="I100" s="15">
        <v>-0.47854805994195876</v>
      </c>
      <c r="J100" s="15">
        <v>-0.49925268765425751</v>
      </c>
      <c r="K100" s="15">
        <v>-0.53548303830485067</v>
      </c>
      <c r="L100" s="15">
        <v>-5.3927074978762757E-2</v>
      </c>
      <c r="M100" s="15">
        <v>0</v>
      </c>
      <c r="N100" s="15">
        <v>0</v>
      </c>
      <c r="O100" s="15">
        <v>0</v>
      </c>
      <c r="P100" s="15">
        <v>0</v>
      </c>
      <c r="Q100" s="15">
        <v>0</v>
      </c>
      <c r="S100" s="17">
        <f t="shared" si="12"/>
        <v>-0.13983337187961339</v>
      </c>
      <c r="T100" s="17">
        <f t="shared" si="13"/>
        <v>-8.4455795877551865E-2</v>
      </c>
      <c r="U100" s="17">
        <f t="shared" si="14"/>
        <v>-5.2626190712439652E-2</v>
      </c>
      <c r="V100" s="17">
        <f t="shared" si="15"/>
        <v>-4.4344556384276756E-2</v>
      </c>
      <c r="W100" s="17">
        <f t="shared" si="16"/>
        <v>-5.9610892893063414E-2</v>
      </c>
      <c r="X100" s="17">
        <f t="shared" si="17"/>
        <v>0.35385082080266334</v>
      </c>
      <c r="Y100" s="17">
        <f t="shared" si="18"/>
        <v>0.41604390637854793</v>
      </c>
      <c r="Z100" s="17">
        <f t="shared" si="19"/>
        <v>0.44623586525404219</v>
      </c>
      <c r="AA100" s="17">
        <f t="shared" si="20"/>
        <v>4.4939229148968959E-2</v>
      </c>
    </row>
    <row r="101" spans="1:27" x14ac:dyDescent="0.3">
      <c r="A101" s="13" t="s">
        <v>91</v>
      </c>
      <c r="B101" s="14" t="s">
        <v>92</v>
      </c>
      <c r="C101" s="15">
        <v>-0.13993218624850409</v>
      </c>
      <c r="D101" s="15">
        <v>-0.24321934695618713</v>
      </c>
      <c r="E101" s="15">
        <v>-0.33801655028954847</v>
      </c>
      <c r="F101" s="15">
        <v>-0.41331446468141164</v>
      </c>
      <c r="G101" s="15">
        <v>-0.47209697718945043</v>
      </c>
      <c r="H101" s="15">
        <v>-0.51734797487133899</v>
      </c>
      <c r="I101" s="15">
        <v>-0.55205134478475082</v>
      </c>
      <c r="J101" s="15">
        <v>-0.57919097398735986</v>
      </c>
      <c r="K101" s="15">
        <v>-0.60175074953684005</v>
      </c>
      <c r="L101" s="15">
        <v>-0.62271455849086521</v>
      </c>
      <c r="M101" s="15">
        <v>-0.64506628790710918</v>
      </c>
      <c r="N101" s="15">
        <v>-0.67178982484324634</v>
      </c>
      <c r="O101" s="15">
        <v>-0.70586905635694974</v>
      </c>
      <c r="P101" s="15">
        <v>-0.75028786950589388</v>
      </c>
      <c r="Q101" s="15">
        <v>-0.8080301513477518</v>
      </c>
      <c r="S101" s="17">
        <f t="shared" si="12"/>
        <v>-0.19073135852771941</v>
      </c>
      <c r="T101" s="17">
        <f t="shared" si="13"/>
        <v>-0.14944285381815878</v>
      </c>
      <c r="U101" s="17">
        <f t="shared" si="14"/>
        <v>-0.11561406675278266</v>
      </c>
      <c r="V101" s="17">
        <f t="shared" si="15"/>
        <v>-8.9244997331591192E-2</v>
      </c>
      <c r="W101" s="17">
        <f t="shared" si="16"/>
        <v>-7.0335645554584214E-2</v>
      </c>
      <c r="X101" s="17">
        <f t="shared" si="17"/>
        <v>-5.8886011421761988E-2</v>
      </c>
      <c r="Y101" s="17">
        <f t="shared" si="18"/>
        <v>-5.4896094933124431E-2</v>
      </c>
      <c r="Z101" s="17">
        <f t="shared" si="19"/>
        <v>-5.8365896088671917E-2</v>
      </c>
      <c r="AA101" s="17">
        <f t="shared" si="20"/>
        <v>-6.9295414888403781E-2</v>
      </c>
    </row>
    <row r="102" spans="1:27" x14ac:dyDescent="0.3">
      <c r="A102" s="13" t="s">
        <v>91</v>
      </c>
      <c r="B102" s="14">
        <v>500</v>
      </c>
      <c r="C102" s="15">
        <v>-0.13559932041987158</v>
      </c>
      <c r="D102" s="15">
        <v>-0.23122739694933742</v>
      </c>
      <c r="E102" s="15">
        <v>-0.314806613568826</v>
      </c>
      <c r="F102" s="15">
        <v>-0.37692938279394383</v>
      </c>
      <c r="G102" s="15">
        <v>-0.42174804918228437</v>
      </c>
      <c r="H102" s="15">
        <v>-0.45341495729144116</v>
      </c>
      <c r="I102" s="15">
        <v>-0.47608245167900776</v>
      </c>
      <c r="J102" s="15">
        <v>-0.49390287690257745</v>
      </c>
      <c r="K102" s="15">
        <v>-0.51102857751974384</v>
      </c>
      <c r="L102" s="15">
        <v>-0.53161189808810072</v>
      </c>
      <c r="M102" s="15">
        <v>-0.5598051831652413</v>
      </c>
      <c r="N102" s="15">
        <v>-0.59976077730875932</v>
      </c>
      <c r="O102" s="15">
        <v>-0.65563102507624793</v>
      </c>
      <c r="P102" s="15">
        <v>-0.73156827102530164</v>
      </c>
      <c r="Q102" s="15">
        <v>-0.83172485971351251</v>
      </c>
      <c r="S102" s="17">
        <f t="shared" si="12"/>
        <v>-0.15876721019412246</v>
      </c>
      <c r="T102" s="17">
        <f t="shared" si="13"/>
        <v>-0.11550695310217929</v>
      </c>
      <c r="U102" s="17">
        <f t="shared" si="14"/>
        <v>-8.2627557404219926E-2</v>
      </c>
      <c r="V102" s="17">
        <f t="shared" si="15"/>
        <v>-6.0129023100244233E-2</v>
      </c>
      <c r="W102" s="17">
        <f t="shared" si="16"/>
        <v>-4.8011350190252239E-2</v>
      </c>
      <c r="X102" s="17">
        <f t="shared" si="17"/>
        <v>-4.6274538674244137E-2</v>
      </c>
      <c r="Y102" s="17">
        <f t="shared" si="18"/>
        <v>-5.4918588552219885E-2</v>
      </c>
      <c r="Z102" s="17">
        <f t="shared" si="19"/>
        <v>-7.3943499824179568E-2</v>
      </c>
      <c r="AA102" s="17">
        <f t="shared" si="20"/>
        <v>-0.10334927249012268</v>
      </c>
    </row>
    <row r="103" spans="1:27" x14ac:dyDescent="0.3">
      <c r="A103" s="13" t="s">
        <v>91</v>
      </c>
      <c r="B103" s="14" t="s">
        <v>93</v>
      </c>
      <c r="C103" s="15">
        <v>-0.14402990330101514</v>
      </c>
      <c r="D103" s="15">
        <v>-0.24948768540899727</v>
      </c>
      <c r="E103" s="15">
        <v>-0.34541691688041543</v>
      </c>
      <c r="F103" s="15">
        <v>-0.42066243947520832</v>
      </c>
      <c r="G103" s="15">
        <v>-0.47847208528341589</v>
      </c>
      <c r="H103" s="15">
        <v>-0.52209368639507858</v>
      </c>
      <c r="I103" s="15">
        <v>-0.55477507490023636</v>
      </c>
      <c r="J103" s="15">
        <v>-0.57976408288892956</v>
      </c>
      <c r="K103" s="15">
        <v>-0.60030854245119802</v>
      </c>
      <c r="L103" s="15">
        <v>-0.61965628567708231</v>
      </c>
      <c r="M103" s="15">
        <v>-0.64105514465662261</v>
      </c>
      <c r="N103" s="15">
        <v>-0.66775295147985858</v>
      </c>
      <c r="O103" s="15">
        <v>-0.70299753823683075</v>
      </c>
      <c r="P103" s="15">
        <v>-0.750036737017579</v>
      </c>
      <c r="Q103" s="15">
        <v>-0.81211837991214431</v>
      </c>
      <c r="S103" s="17">
        <f t="shared" si="12"/>
        <v>-0.19082033322868219</v>
      </c>
      <c r="T103" s="17">
        <f t="shared" si="13"/>
        <v>-0.1472306412622193</v>
      </c>
      <c r="U103" s="17">
        <f t="shared" si="14"/>
        <v>-0.11176052952085672</v>
      </c>
      <c r="V103" s="17">
        <f t="shared" si="15"/>
        <v>-8.4409998004594727E-2</v>
      </c>
      <c r="W103" s="17">
        <f t="shared" si="16"/>
        <v>-6.5179046713432873E-2</v>
      </c>
      <c r="X103" s="17">
        <f t="shared" si="17"/>
        <v>-5.4067675647371624E-2</v>
      </c>
      <c r="Y103" s="17">
        <f t="shared" si="18"/>
        <v>-5.1075884806410884E-2</v>
      </c>
      <c r="Z103" s="17">
        <f t="shared" si="19"/>
        <v>-5.6203674190550459E-2</v>
      </c>
      <c r="AA103" s="17">
        <f t="shared" si="20"/>
        <v>-6.9451043799790377E-2</v>
      </c>
    </row>
    <row r="104" spans="1:27" x14ac:dyDescent="0.3">
      <c r="A104" s="13" t="s">
        <v>91</v>
      </c>
      <c r="B104" s="14" t="s">
        <v>94</v>
      </c>
      <c r="C104" s="15">
        <v>-0.13993218624850409</v>
      </c>
      <c r="D104" s="15">
        <v>-0.24321934695618713</v>
      </c>
      <c r="E104" s="15">
        <v>-0.33801655028954847</v>
      </c>
      <c r="F104" s="15">
        <v>-0.41331446468141164</v>
      </c>
      <c r="G104" s="15">
        <v>-0.47209697718945043</v>
      </c>
      <c r="H104" s="15">
        <v>-0.51734797487133899</v>
      </c>
      <c r="I104" s="15">
        <v>-0.55205134478475082</v>
      </c>
      <c r="J104" s="15">
        <v>-0.57919097398735986</v>
      </c>
      <c r="K104" s="15">
        <v>-0.60175074953684005</v>
      </c>
      <c r="L104" s="15">
        <v>-0.62271455849086521</v>
      </c>
      <c r="M104" s="15">
        <v>-0.64506628790710918</v>
      </c>
      <c r="N104" s="15">
        <v>-0.67178982484324634</v>
      </c>
      <c r="O104" s="15">
        <v>-0.70586905635694974</v>
      </c>
      <c r="P104" s="15">
        <v>-0.75028786950589388</v>
      </c>
      <c r="Q104" s="15">
        <v>-0.8080301513477518</v>
      </c>
      <c r="S104" s="17">
        <f t="shared" si="12"/>
        <v>-0.19073135852771941</v>
      </c>
      <c r="T104" s="17">
        <f t="shared" si="13"/>
        <v>-0.14944285381815878</v>
      </c>
      <c r="U104" s="17">
        <f t="shared" si="14"/>
        <v>-0.11561406675278266</v>
      </c>
      <c r="V104" s="17">
        <f t="shared" si="15"/>
        <v>-8.9244997331591192E-2</v>
      </c>
      <c r="W104" s="17">
        <f t="shared" si="16"/>
        <v>-7.0335645554584214E-2</v>
      </c>
      <c r="X104" s="17">
        <f t="shared" si="17"/>
        <v>-5.8886011421761988E-2</v>
      </c>
      <c r="Y104" s="17">
        <f t="shared" si="18"/>
        <v>-5.4896094933124431E-2</v>
      </c>
      <c r="Z104" s="17">
        <f t="shared" si="19"/>
        <v>-5.8365896088671917E-2</v>
      </c>
      <c r="AA104" s="17">
        <f t="shared" si="20"/>
        <v>-6.9295414888403781E-2</v>
      </c>
    </row>
    <row r="105" spans="1:27" x14ac:dyDescent="0.3">
      <c r="A105" s="13" t="s">
        <v>91</v>
      </c>
      <c r="B105" s="14" t="s">
        <v>95</v>
      </c>
      <c r="C105" s="15">
        <v>-0.13495143372403232</v>
      </c>
      <c r="D105" s="15">
        <v>-0.23546338189328606</v>
      </c>
      <c r="E105" s="15">
        <v>-0.32863039451684112</v>
      </c>
      <c r="F105" s="15">
        <v>-0.40365889755079271</v>
      </c>
      <c r="G105" s="15">
        <v>-0.46325046032363926</v>
      </c>
      <c r="H105" s="15">
        <v>-0.51010665216387907</v>
      </c>
      <c r="I105" s="15">
        <v>-0.5469290424000105</v>
      </c>
      <c r="J105" s="15">
        <v>-0.57641920036053207</v>
      </c>
      <c r="K105" s="15">
        <v>-0.60127869537394218</v>
      </c>
      <c r="L105" s="15">
        <v>-0.62420909676873904</v>
      </c>
      <c r="M105" s="15">
        <v>-0.64791197387342081</v>
      </c>
      <c r="N105" s="15">
        <v>-0.67508889601648658</v>
      </c>
      <c r="O105" s="15">
        <v>-0.70844143252643432</v>
      </c>
      <c r="P105" s="15">
        <v>-0.75067115273176221</v>
      </c>
      <c r="Q105" s="15">
        <v>-0.804479625960969</v>
      </c>
      <c r="S105" s="17">
        <f t="shared" si="12"/>
        <v>-0.18982256535862768</v>
      </c>
      <c r="T105" s="17">
        <f t="shared" si="13"/>
        <v>-0.15123021470586495</v>
      </c>
      <c r="U105" s="17">
        <f t="shared" si="14"/>
        <v>-0.11939178737434816</v>
      </c>
      <c r="V105" s="17">
        <f t="shared" si="15"/>
        <v>-9.4307283364077343E-2</v>
      </c>
      <c r="W105" s="17">
        <f t="shared" si="16"/>
        <v>-7.597670267505259E-2</v>
      </c>
      <c r="X105" s="17">
        <f t="shared" si="17"/>
        <v>-6.4400045307273779E-2</v>
      </c>
      <c r="Y105" s="17">
        <f t="shared" si="18"/>
        <v>-5.9577311260740617E-2</v>
      </c>
      <c r="Z105" s="17">
        <f t="shared" si="19"/>
        <v>-6.1508500535453661E-2</v>
      </c>
      <c r="AA105" s="17">
        <f t="shared" si="20"/>
        <v>-7.0193613131412744E-2</v>
      </c>
    </row>
    <row r="106" spans="1:27" x14ac:dyDescent="0.3">
      <c r="A106" s="13" t="s">
        <v>91</v>
      </c>
      <c r="B106" s="14" t="s">
        <v>96</v>
      </c>
      <c r="C106" s="15">
        <v>-0.13333430414489919</v>
      </c>
      <c r="D106" s="15">
        <v>-0.23610812350014476</v>
      </c>
      <c r="E106" s="15">
        <v>-0.3346556769627414</v>
      </c>
      <c r="F106" s="15">
        <v>-0.41740072880800005</v>
      </c>
      <c r="G106" s="15">
        <v>-0.48610047372572174</v>
      </c>
      <c r="H106" s="15">
        <v>-0.54251210640570746</v>
      </c>
      <c r="I106" s="15">
        <v>-0.58839282153775785</v>
      </c>
      <c r="J106" s="15">
        <v>-0.62549981381167419</v>
      </c>
      <c r="K106" s="15">
        <v>-0.6555902779172571</v>
      </c>
      <c r="L106" s="15">
        <v>-0.68042140854430744</v>
      </c>
      <c r="M106" s="15">
        <v>-0.7017504003826267</v>
      </c>
      <c r="N106" s="15">
        <v>-0.7213344481220153</v>
      </c>
      <c r="O106" s="15">
        <v>-0.74093074645227397</v>
      </c>
      <c r="P106" s="15">
        <v>-0.76229649006320388</v>
      </c>
      <c r="Q106" s="15">
        <v>-0.78718887364460643</v>
      </c>
      <c r="S106" s="17">
        <f t="shared" si="12"/>
        <v>-0.20832695852131417</v>
      </c>
      <c r="T106" s="17">
        <f t="shared" si="13"/>
        <v>-0.17321369120247174</v>
      </c>
      <c r="U106" s="17">
        <f t="shared" si="14"/>
        <v>-0.1424934106081315</v>
      </c>
      <c r="V106" s="17">
        <f t="shared" si="15"/>
        <v>-0.11616611673829372</v>
      </c>
      <c r="W106" s="17">
        <f t="shared" si="16"/>
        <v>-9.4231809592958043E-2</v>
      </c>
      <c r="X106" s="17">
        <f t="shared" si="17"/>
        <v>-7.6690489172124662E-2</v>
      </c>
      <c r="Y106" s="17">
        <f t="shared" si="18"/>
        <v>-6.3542155475793768E-2</v>
      </c>
      <c r="Z106" s="17">
        <f t="shared" si="19"/>
        <v>-5.4786808503965168E-2</v>
      </c>
      <c r="AA106" s="17">
        <f t="shared" si="20"/>
        <v>-5.0424448256638776E-2</v>
      </c>
    </row>
    <row r="107" spans="1:27" x14ac:dyDescent="0.3">
      <c r="A107" s="13" t="s">
        <v>91</v>
      </c>
      <c r="B107" s="14" t="s">
        <v>97</v>
      </c>
      <c r="C107" s="15">
        <v>-0.17144310946803312</v>
      </c>
      <c r="D107" s="15">
        <v>-0.29451248815224629</v>
      </c>
      <c r="E107" s="15">
        <v>-0.40368663240007685</v>
      </c>
      <c r="F107" s="15">
        <v>-0.48588768681058458</v>
      </c>
      <c r="G107" s="15">
        <v>-0.54518210692963287</v>
      </c>
      <c r="H107" s="15">
        <v>-0.58563634830308509</v>
      </c>
      <c r="I107" s="15">
        <v>-0.61131686647680439</v>
      </c>
      <c r="J107" s="15">
        <v>-0.62629011699665393</v>
      </c>
      <c r="K107" s="15">
        <v>-0.63462255540849721</v>
      </c>
      <c r="L107" s="15">
        <v>-0.64038063725819772</v>
      </c>
      <c r="M107" s="15">
        <v>-0.64763081809161771</v>
      </c>
      <c r="N107" s="15">
        <v>-0.66043955345462169</v>
      </c>
      <c r="O107" s="15">
        <v>-0.68287329889307224</v>
      </c>
      <c r="P107" s="15">
        <v>-0.7189985099528331</v>
      </c>
      <c r="Q107" s="15">
        <v>-0.77288164217976707</v>
      </c>
      <c r="S107" s="17">
        <f t="shared" si="12"/>
        <v>-0.20889134898115547</v>
      </c>
      <c r="T107" s="17">
        <f t="shared" si="13"/>
        <v>-0.15162476325250687</v>
      </c>
      <c r="U107" s="17">
        <f t="shared" si="14"/>
        <v>-0.1045243163885165</v>
      </c>
      <c r="V107" s="17">
        <f t="shared" si="15"/>
        <v>-6.759000838918422E-2</v>
      </c>
      <c r="W107" s="17">
        <f t="shared" si="16"/>
        <v>-4.0821839254510106E-2</v>
      </c>
      <c r="X107" s="17">
        <f t="shared" si="17"/>
        <v>-2.421980898449444E-2</v>
      </c>
      <c r="Y107" s="17">
        <f t="shared" si="18"/>
        <v>-1.7783917579136482E-2</v>
      </c>
      <c r="Z107" s="17">
        <f t="shared" si="19"/>
        <v>-2.1514165038437061E-2</v>
      </c>
      <c r="AA107" s="17">
        <f t="shared" si="20"/>
        <v>-3.5410551362395438E-2</v>
      </c>
    </row>
    <row r="108" spans="1:27" x14ac:dyDescent="0.3">
      <c r="A108" s="13" t="s">
        <v>91</v>
      </c>
      <c r="B108" s="14" t="s">
        <v>98</v>
      </c>
      <c r="C108" s="15">
        <v>-0.13993218624850409</v>
      </c>
      <c r="D108" s="15">
        <v>-0.24321934695618713</v>
      </c>
      <c r="E108" s="15">
        <v>-0.33801655028954847</v>
      </c>
      <c r="F108" s="15">
        <v>-0.41331446468141164</v>
      </c>
      <c r="G108" s="15">
        <v>-0.47209697718945043</v>
      </c>
      <c r="H108" s="15">
        <v>-0.51734797487133899</v>
      </c>
      <c r="I108" s="15">
        <v>-0.55205134478475082</v>
      </c>
      <c r="J108" s="15">
        <v>-0.57919097398735986</v>
      </c>
      <c r="K108" s="15">
        <v>-0.60175074953684005</v>
      </c>
      <c r="L108" s="15">
        <v>-0.62271455849086521</v>
      </c>
      <c r="M108" s="15">
        <v>-0.64506628790710918</v>
      </c>
      <c r="N108" s="15">
        <v>-0.67178982484324634</v>
      </c>
      <c r="O108" s="15">
        <v>-0.70586905635694974</v>
      </c>
      <c r="P108" s="15">
        <v>-0.75028786950589388</v>
      </c>
      <c r="Q108" s="15">
        <v>-0.8080301513477518</v>
      </c>
      <c r="S108" s="17">
        <f t="shared" si="12"/>
        <v>-0.19073135852771941</v>
      </c>
      <c r="T108" s="17">
        <f t="shared" si="13"/>
        <v>-0.14944285381815878</v>
      </c>
      <c r="U108" s="17">
        <f t="shared" si="14"/>
        <v>-0.11561406675278266</v>
      </c>
      <c r="V108" s="17">
        <f t="shared" si="15"/>
        <v>-8.9244997331591192E-2</v>
      </c>
      <c r="W108" s="17">
        <f t="shared" si="16"/>
        <v>-7.0335645554584214E-2</v>
      </c>
      <c r="X108" s="17">
        <f t="shared" si="17"/>
        <v>-5.8886011421761988E-2</v>
      </c>
      <c r="Y108" s="17">
        <f t="shared" si="18"/>
        <v>-5.4896094933124431E-2</v>
      </c>
      <c r="Z108" s="17">
        <f t="shared" si="19"/>
        <v>-5.8365896088671917E-2</v>
      </c>
      <c r="AA108" s="17">
        <f t="shared" si="20"/>
        <v>-6.9295414888403781E-2</v>
      </c>
    </row>
    <row r="109" spans="1:27" x14ac:dyDescent="0.3">
      <c r="A109" s="13" t="s">
        <v>91</v>
      </c>
      <c r="B109" s="14" t="s">
        <v>99</v>
      </c>
      <c r="C109" s="15">
        <v>-0.13993218624850409</v>
      </c>
      <c r="D109" s="15">
        <v>-0.24321934695618713</v>
      </c>
      <c r="E109" s="15">
        <v>-0.33801655028954847</v>
      </c>
      <c r="F109" s="15">
        <v>-0.41331446468141164</v>
      </c>
      <c r="G109" s="15">
        <v>-0.47209697718945043</v>
      </c>
      <c r="H109" s="15">
        <v>-0.51734797487133899</v>
      </c>
      <c r="I109" s="15">
        <v>-0.55205134478475082</v>
      </c>
      <c r="J109" s="15">
        <v>-0.57919097398735986</v>
      </c>
      <c r="K109" s="15">
        <v>-0.60175074953684005</v>
      </c>
      <c r="L109" s="15">
        <v>-0.62271455849086521</v>
      </c>
      <c r="M109" s="15">
        <v>-0.64506628790710918</v>
      </c>
      <c r="N109" s="15">
        <v>-0.67178982484324634</v>
      </c>
      <c r="O109" s="15">
        <v>-0.70586905635694974</v>
      </c>
      <c r="P109" s="15">
        <v>-0.75028786950589388</v>
      </c>
      <c r="Q109" s="15">
        <v>-0.8080301513477518</v>
      </c>
      <c r="S109" s="17">
        <f t="shared" si="12"/>
        <v>-0.19073135852771941</v>
      </c>
      <c r="T109" s="17">
        <f t="shared" si="13"/>
        <v>-0.14944285381815878</v>
      </c>
      <c r="U109" s="17">
        <f t="shared" si="14"/>
        <v>-0.11561406675278266</v>
      </c>
      <c r="V109" s="17">
        <f t="shared" si="15"/>
        <v>-8.9244997331591192E-2</v>
      </c>
      <c r="W109" s="17">
        <f t="shared" si="16"/>
        <v>-7.0335645554584214E-2</v>
      </c>
      <c r="X109" s="17">
        <f t="shared" si="17"/>
        <v>-5.8886011421761988E-2</v>
      </c>
      <c r="Y109" s="17">
        <f t="shared" si="18"/>
        <v>-5.4896094933124431E-2</v>
      </c>
      <c r="Z109" s="17">
        <f t="shared" si="19"/>
        <v>-5.8365896088671917E-2</v>
      </c>
      <c r="AA109" s="17">
        <f t="shared" si="20"/>
        <v>-6.9295414888403781E-2</v>
      </c>
    </row>
    <row r="110" spans="1:27" x14ac:dyDescent="0.3">
      <c r="A110" s="13" t="s">
        <v>91</v>
      </c>
      <c r="B110" s="14" t="s">
        <v>100</v>
      </c>
      <c r="C110" s="15">
        <v>-0.12814894318923734</v>
      </c>
      <c r="D110" s="15">
        <v>-0.22573694424654495</v>
      </c>
      <c r="E110" s="15">
        <v>-0.31825145557422679</v>
      </c>
      <c r="F110" s="15">
        <v>-0.39491030158090418</v>
      </c>
      <c r="G110" s="15">
        <v>-0.45774620099412205</v>
      </c>
      <c r="H110" s="15">
        <v>-0.50879187254142555</v>
      </c>
      <c r="I110" s="15">
        <v>-0.55008003495035973</v>
      </c>
      <c r="J110" s="15">
        <v>-0.58364340694846928</v>
      </c>
      <c r="K110" s="15">
        <v>-0.61151470726329937</v>
      </c>
      <c r="L110" s="15">
        <v>-0.63572665462239497</v>
      </c>
      <c r="M110" s="15">
        <v>-0.65831196775330159</v>
      </c>
      <c r="N110" s="15">
        <v>-0.68130336538356362</v>
      </c>
      <c r="O110" s="15">
        <v>-0.70673356624072603</v>
      </c>
      <c r="P110" s="15">
        <v>-0.73663528905233466</v>
      </c>
      <c r="Q110" s="15">
        <v>-0.77304125254593303</v>
      </c>
      <c r="S110" s="17">
        <f t="shared" si="12"/>
        <v>-0.19334104728964757</v>
      </c>
      <c r="T110" s="17">
        <f t="shared" si="13"/>
        <v>-0.15878368080599894</v>
      </c>
      <c r="U110" s="17">
        <f t="shared" si="14"/>
        <v>-0.12930811114121296</v>
      </c>
      <c r="V110" s="17">
        <f t="shared" si="15"/>
        <v>-0.10491433829528934</v>
      </c>
      <c r="W110" s="17">
        <f t="shared" si="16"/>
        <v>-8.5602362268228177E-2</v>
      </c>
      <c r="X110" s="17">
        <f t="shared" si="17"/>
        <v>-7.1372183060029362E-2</v>
      </c>
      <c r="Y110" s="17">
        <f t="shared" si="18"/>
        <v>-6.2223800670693594E-2</v>
      </c>
      <c r="Z110" s="17">
        <f t="shared" si="19"/>
        <v>-5.8157215100220205E-2</v>
      </c>
      <c r="AA110" s="17">
        <f t="shared" si="20"/>
        <v>-5.9172426348609211E-2</v>
      </c>
    </row>
    <row r="111" spans="1:27" x14ac:dyDescent="0.3">
      <c r="A111" s="13" t="s">
        <v>91</v>
      </c>
      <c r="B111" s="14" t="s">
        <v>101</v>
      </c>
      <c r="C111" s="15">
        <v>-0.14716476879223753</v>
      </c>
      <c r="D111" s="15">
        <v>-0.25812853534829566</v>
      </c>
      <c r="E111" s="15">
        <v>-0.36213530248329012</v>
      </c>
      <c r="F111" s="15">
        <v>-0.44691105836330192</v>
      </c>
      <c r="G111" s="15">
        <v>-0.51489826803363592</v>
      </c>
      <c r="H111" s="15">
        <v>-0.56853939653959684</v>
      </c>
      <c r="I111" s="15">
        <v>-0.61027690892648956</v>
      </c>
      <c r="J111" s="15">
        <v>-0.64255327023961895</v>
      </c>
      <c r="K111" s="15">
        <v>-0.66781094552428977</v>
      </c>
      <c r="L111" s="15">
        <v>-0.68849239982580679</v>
      </c>
      <c r="M111" s="15">
        <v>-0.70704009818947455</v>
      </c>
      <c r="N111" s="15">
        <v>-0.7258965056605986</v>
      </c>
      <c r="O111" s="15">
        <v>-0.74750408728448325</v>
      </c>
      <c r="P111" s="15">
        <v>-0.77430530810643317</v>
      </c>
      <c r="Q111" s="15">
        <v>-0.80874263317175343</v>
      </c>
      <c r="S111" s="17">
        <f t="shared" si="12"/>
        <v>-0.21397477723778355</v>
      </c>
      <c r="T111" s="17">
        <f t="shared" si="13"/>
        <v>-0.17200341171358893</v>
      </c>
      <c r="U111" s="17">
        <f t="shared" si="14"/>
        <v>-0.13613820880265637</v>
      </c>
      <c r="V111" s="17">
        <f t="shared" si="15"/>
        <v>-0.10637916850498585</v>
      </c>
      <c r="W111" s="17">
        <f t="shared" si="16"/>
        <v>-8.2726290820577447E-2</v>
      </c>
      <c r="X111" s="17">
        <f t="shared" si="17"/>
        <v>-6.5179575749431021E-2</v>
      </c>
      <c r="Y111" s="17">
        <f t="shared" si="18"/>
        <v>-5.373902329154634E-2</v>
      </c>
      <c r="Z111" s="17">
        <f t="shared" si="19"/>
        <v>-4.8404633446924028E-2</v>
      </c>
      <c r="AA111" s="17">
        <f t="shared" si="20"/>
        <v>-4.9176406215563725E-2</v>
      </c>
    </row>
    <row r="112" spans="1:27" x14ac:dyDescent="0.3">
      <c r="A112" s="13" t="s">
        <v>91</v>
      </c>
      <c r="B112" s="14" t="s">
        <v>102</v>
      </c>
      <c r="C112" s="15">
        <v>-0.14023518215779598</v>
      </c>
      <c r="D112" s="15">
        <v>-0.24427638255579348</v>
      </c>
      <c r="E112" s="15">
        <v>-0.34026113058483454</v>
      </c>
      <c r="F112" s="15">
        <v>-0.41700355002636968</v>
      </c>
      <c r="G112" s="15">
        <v>-0.47734128287762911</v>
      </c>
      <c r="H112" s="15">
        <v>-0.52411197113584307</v>
      </c>
      <c r="I112" s="15">
        <v>-0.56015325679824157</v>
      </c>
      <c r="J112" s="15">
        <v>-0.58830278186205487</v>
      </c>
      <c r="K112" s="15">
        <v>-0.61139818832451309</v>
      </c>
      <c r="L112" s="15">
        <v>-0.63227711818284671</v>
      </c>
      <c r="M112" s="15">
        <v>-0.65377721343428574</v>
      </c>
      <c r="N112" s="15">
        <v>-0.6787361160760601</v>
      </c>
      <c r="O112" s="15">
        <v>-0.70999146810539981</v>
      </c>
      <c r="P112" s="15">
        <v>-0.75038091151953601</v>
      </c>
      <c r="Q112" s="15">
        <v>-0.80274208831569804</v>
      </c>
      <c r="S112" s="17">
        <f t="shared" si="12"/>
        <v>-0.19422075026819638</v>
      </c>
      <c r="T112" s="17">
        <f t="shared" si="13"/>
        <v>-0.15320903379250711</v>
      </c>
      <c r="U112" s="17">
        <f t="shared" si="14"/>
        <v>-0.11929142230989323</v>
      </c>
      <c r="V112" s="17">
        <f t="shared" si="15"/>
        <v>-9.2467915820354796E-2</v>
      </c>
      <c r="W112" s="17">
        <f t="shared" si="16"/>
        <v>-7.2738514323891681E-2</v>
      </c>
      <c r="X112" s="17">
        <f t="shared" si="17"/>
        <v>-6.0103217820504276E-2</v>
      </c>
      <c r="Y112" s="17">
        <f t="shared" si="18"/>
        <v>-5.4562026310192399E-2</v>
      </c>
      <c r="Z112" s="17">
        <f t="shared" si="19"/>
        <v>-5.6114939792955842E-2</v>
      </c>
      <c r="AA112" s="17">
        <f t="shared" si="20"/>
        <v>-6.4761958268794259E-2</v>
      </c>
    </row>
    <row r="113" spans="1:27" x14ac:dyDescent="0.3">
      <c r="A113" s="13" t="s">
        <v>91</v>
      </c>
      <c r="B113" s="14" t="s">
        <v>103</v>
      </c>
      <c r="C113" s="15">
        <v>-0.14869967964584663</v>
      </c>
      <c r="D113" s="15">
        <v>-0.25841779728070624</v>
      </c>
      <c r="E113" s="15">
        <v>-0.35895697148514877</v>
      </c>
      <c r="F113" s="15">
        <v>-0.43849362169076345</v>
      </c>
      <c r="G113" s="15">
        <v>-0.50007413529372402</v>
      </c>
      <c r="H113" s="15">
        <v>-0.54674489969020423</v>
      </c>
      <c r="I113" s="15">
        <v>-0.58155230227637833</v>
      </c>
      <c r="J113" s="15">
        <v>-0.60754273044841967</v>
      </c>
      <c r="K113" s="15">
        <v>-0.62776257160250215</v>
      </c>
      <c r="L113" s="15">
        <v>-0.64525821313479992</v>
      </c>
      <c r="M113" s="15">
        <v>-0.66307604244148644</v>
      </c>
      <c r="N113" s="15">
        <v>-0.68426244691873561</v>
      </c>
      <c r="O113" s="15">
        <v>-0.71186381396272158</v>
      </c>
      <c r="P113" s="15">
        <v>-0.74892653096961803</v>
      </c>
      <c r="Q113" s="15">
        <v>-0.7984969853355981</v>
      </c>
      <c r="S113" s="17">
        <f t="shared" si="12"/>
        <v>-0.20138028167751482</v>
      </c>
      <c r="T113" s="17">
        <f t="shared" si="13"/>
        <v>-0.15648994017087955</v>
      </c>
      <c r="U113" s="17">
        <f t="shared" si="14"/>
        <v>-0.11921556715467907</v>
      </c>
      <c r="V113" s="17">
        <f t="shared" si="15"/>
        <v>-8.9557162628913028E-2</v>
      </c>
      <c r="W113" s="17">
        <f t="shared" si="16"/>
        <v>-6.7514726593581598E-2</v>
      </c>
      <c r="X113" s="17">
        <f t="shared" si="17"/>
        <v>-5.3088259048684652E-2</v>
      </c>
      <c r="Y113" s="17">
        <f t="shared" si="18"/>
        <v>-4.6277759994222303E-2</v>
      </c>
      <c r="Z113" s="17">
        <f t="shared" si="19"/>
        <v>-4.7083229430194551E-2</v>
      </c>
      <c r="AA113" s="17">
        <f t="shared" si="20"/>
        <v>-5.5504667356601381E-2</v>
      </c>
    </row>
    <row r="114" spans="1:27" x14ac:dyDescent="0.3">
      <c r="A114" s="13" t="s">
        <v>91</v>
      </c>
      <c r="B114" s="14" t="s">
        <v>104</v>
      </c>
      <c r="C114" s="15">
        <v>-0.13936620119052148</v>
      </c>
      <c r="D114" s="15">
        <v>-0.24234398283103903</v>
      </c>
      <c r="E114" s="15">
        <v>-0.33697152149963594</v>
      </c>
      <c r="F114" s="15">
        <v>-0.41226728676747759</v>
      </c>
      <c r="G114" s="15">
        <v>-0.47118636832478156</v>
      </c>
      <c r="H114" s="15">
        <v>-0.51668385586176524</v>
      </c>
      <c r="I114" s="15">
        <v>-0.55171483906864682</v>
      </c>
      <c r="J114" s="15">
        <v>-0.57923440763564316</v>
      </c>
      <c r="K114" s="15">
        <v>-0.60219765125297209</v>
      </c>
      <c r="L114" s="15">
        <v>-0.62355965961085125</v>
      </c>
      <c r="M114" s="15">
        <v>-0.64627552239949804</v>
      </c>
      <c r="N114" s="15">
        <v>-0.67330032930912997</v>
      </c>
      <c r="O114" s="15">
        <v>-0.70758917002996524</v>
      </c>
      <c r="P114" s="15">
        <v>-0.75209713425222102</v>
      </c>
      <c r="Q114" s="15">
        <v>-0.80977931166611428</v>
      </c>
      <c r="S114" s="17">
        <f t="shared" si="12"/>
        <v>-0.19070198791145213</v>
      </c>
      <c r="T114" s="17">
        <f t="shared" si="13"/>
        <v>-0.14976027863510774</v>
      </c>
      <c r="U114" s="17">
        <f t="shared" si="14"/>
        <v>-0.1162062935843077</v>
      </c>
      <c r="V114" s="17">
        <f t="shared" si="15"/>
        <v>-9.0040032759051342E-2</v>
      </c>
      <c r="W114" s="17">
        <f t="shared" si="16"/>
        <v>-7.1261496159339036E-2</v>
      </c>
      <c r="X114" s="17">
        <f t="shared" si="17"/>
        <v>-5.9870683785170353E-2</v>
      </c>
      <c r="Y114" s="17">
        <f t="shared" si="18"/>
        <v>-5.5867595636545739E-2</v>
      </c>
      <c r="Z114" s="17">
        <f t="shared" si="19"/>
        <v>-5.9252231713464901E-2</v>
      </c>
      <c r="AA114" s="17">
        <f t="shared" si="20"/>
        <v>-7.0024592015928325E-2</v>
      </c>
    </row>
    <row r="115" spans="1:27" x14ac:dyDescent="0.3">
      <c r="A115" s="13" t="s">
        <v>91</v>
      </c>
      <c r="B115" s="14" t="s">
        <v>105</v>
      </c>
      <c r="C115" s="15">
        <v>-0.13631305546226494</v>
      </c>
      <c r="D115" s="15">
        <v>-0.23763274535535794</v>
      </c>
      <c r="E115" s="15">
        <v>-0.33133633323615075</v>
      </c>
      <c r="F115" s="15">
        <v>-0.40655719654640637</v>
      </c>
      <c r="G115" s="15">
        <v>-0.46606001827411409</v>
      </c>
      <c r="H115" s="15">
        <v>-0.51260948140726348</v>
      </c>
      <c r="I115" s="15">
        <v>-0.54897026893384404</v>
      </c>
      <c r="J115" s="15">
        <v>-0.57790706384184498</v>
      </c>
      <c r="K115" s="15">
        <v>-0.6021845491192559</v>
      </c>
      <c r="L115" s="15">
        <v>-0.62456740775406616</v>
      </c>
      <c r="M115" s="15">
        <v>-0.64782032273426504</v>
      </c>
      <c r="N115" s="15">
        <v>-0.67470797704784236</v>
      </c>
      <c r="O115" s="15">
        <v>-0.70799505368278737</v>
      </c>
      <c r="P115" s="15">
        <v>-0.75044623562708956</v>
      </c>
      <c r="Q115" s="15">
        <v>-0.80482620586873799</v>
      </c>
      <c r="S115" s="17">
        <f t="shared" si="12"/>
        <v>-0.19035606076563014</v>
      </c>
      <c r="T115" s="17">
        <f t="shared" si="13"/>
        <v>-0.1510609568092606</v>
      </c>
      <c r="U115" s="17">
        <f t="shared" si="14"/>
        <v>-0.11867756032286472</v>
      </c>
      <c r="V115" s="17">
        <f t="shared" si="15"/>
        <v>-9.3205871306442423E-2</v>
      </c>
      <c r="W115" s="17">
        <f t="shared" si="16"/>
        <v>-7.4645889759993686E-2</v>
      </c>
      <c r="X115" s="17">
        <f t="shared" si="17"/>
        <v>-6.2997615683518429E-2</v>
      </c>
      <c r="Y115" s="17">
        <f t="shared" si="18"/>
        <v>-5.8261049077016722E-2</v>
      </c>
      <c r="Z115" s="17">
        <f t="shared" si="19"/>
        <v>-6.0436189940488716E-2</v>
      </c>
      <c r="AA115" s="17">
        <f t="shared" si="20"/>
        <v>-6.9523038273934343E-2</v>
      </c>
    </row>
    <row r="116" spans="1:27" x14ac:dyDescent="0.3">
      <c r="A116" s="13" t="s">
        <v>106</v>
      </c>
      <c r="B116" s="14" t="s">
        <v>107</v>
      </c>
      <c r="C116" s="15">
        <v>-0.12870446622645959</v>
      </c>
      <c r="D116" s="15">
        <v>-0.22652263148680868</v>
      </c>
      <c r="E116" s="15">
        <v>-0.31916448251003976</v>
      </c>
      <c r="F116" s="15">
        <v>-0.39594941164841685</v>
      </c>
      <c r="G116" s="15">
        <v>-0.45906725787684988</v>
      </c>
      <c r="H116" s="15">
        <v>-0.51070786017024883</v>
      </c>
      <c r="I116" s="15">
        <v>-0.55306105750352352</v>
      </c>
      <c r="J116" s="15">
        <v>-0.58831668885158406</v>
      </c>
      <c r="K116" s="15">
        <v>-0.61866459318934008</v>
      </c>
      <c r="L116" s="15">
        <v>-0.64629460949170192</v>
      </c>
      <c r="M116" s="15">
        <v>-0.67339657673357944</v>
      </c>
      <c r="N116" s="15">
        <v>-0.70216033388988208</v>
      </c>
      <c r="O116" s="15">
        <v>-0.73477571993552016</v>
      </c>
      <c r="P116" s="15">
        <v>-0.77343257384540376</v>
      </c>
      <c r="Q116" s="15">
        <v>-0.82032073459444288</v>
      </c>
      <c r="S116" s="17">
        <f t="shared" si="12"/>
        <v>-0.19378718865836767</v>
      </c>
      <c r="T116" s="17">
        <f t="shared" si="13"/>
        <v>-0.15961948138350754</v>
      </c>
      <c r="U116" s="17">
        <f t="shared" si="14"/>
        <v>-0.13092637154592224</v>
      </c>
      <c r="V116" s="17">
        <f t="shared" si="15"/>
        <v>-0.10770785914561182</v>
      </c>
      <c r="W116" s="17">
        <f t="shared" si="16"/>
        <v>-8.9963944182576056E-2</v>
      </c>
      <c r="X116" s="17">
        <f t="shared" si="17"/>
        <v>-7.7694626656815327E-2</v>
      </c>
      <c r="Y116" s="17">
        <f t="shared" si="18"/>
        <v>-7.0899906568329493E-2</v>
      </c>
      <c r="Z116" s="17">
        <f t="shared" si="19"/>
        <v>-6.9579783917118332E-2</v>
      </c>
      <c r="AA116" s="17">
        <f t="shared" si="20"/>
        <v>-7.3734258703181857E-2</v>
      </c>
    </row>
    <row r="117" spans="1:27" x14ac:dyDescent="0.3">
      <c r="A117" s="13" t="s">
        <v>106</v>
      </c>
      <c r="B117" s="14" t="s">
        <v>108</v>
      </c>
      <c r="C117" s="15">
        <v>-0.13705967500674013</v>
      </c>
      <c r="D117" s="15">
        <v>-0.24291746102623335</v>
      </c>
      <c r="E117" s="15">
        <v>-0.34461375635165165</v>
      </c>
      <c r="F117" s="15">
        <v>-0.43018976522466534</v>
      </c>
      <c r="G117" s="15">
        <v>-0.5013926593876189</v>
      </c>
      <c r="H117" s="15">
        <v>-0.55996961058285677</v>
      </c>
      <c r="I117" s="15">
        <v>-0.60766779055272302</v>
      </c>
      <c r="J117" s="15">
        <v>-0.64623437103956249</v>
      </c>
      <c r="K117" s="15">
        <v>-0.67741652378571904</v>
      </c>
      <c r="L117" s="15">
        <v>-0.70296142053353727</v>
      </c>
      <c r="M117" s="15">
        <v>-0.7246162330253616</v>
      </c>
      <c r="N117" s="15">
        <v>-0.74412813300353653</v>
      </c>
      <c r="O117" s="15">
        <v>-0.76324429221040591</v>
      </c>
      <c r="P117" s="15">
        <v>-0.78371188238831435</v>
      </c>
      <c r="Q117" s="15">
        <v>-0.80727807527960715</v>
      </c>
      <c r="S117" s="17">
        <f t="shared" si="12"/>
        <v>-0.21539599863448794</v>
      </c>
      <c r="T117" s="17">
        <f t="shared" si="13"/>
        <v>-0.17946321185933758</v>
      </c>
      <c r="U117" s="17">
        <f t="shared" si="14"/>
        <v>-0.14789835444004806</v>
      </c>
      <c r="V117" s="17">
        <f t="shared" si="15"/>
        <v>-0.12070142637661965</v>
      </c>
      <c r="W117" s="17">
        <f t="shared" si="16"/>
        <v>-9.7872427669051881E-2</v>
      </c>
      <c r="X117" s="17">
        <f t="shared" si="17"/>
        <v>-7.9411358317345221E-2</v>
      </c>
      <c r="Y117" s="17">
        <f t="shared" si="18"/>
        <v>-6.5318218321499255E-2</v>
      </c>
      <c r="Z117" s="17">
        <f t="shared" si="19"/>
        <v>-5.5593007681514581E-2</v>
      </c>
      <c r="AA117" s="17">
        <f t="shared" si="20"/>
        <v>-5.0235726397390532E-2</v>
      </c>
    </row>
    <row r="118" spans="1:27" x14ac:dyDescent="0.3">
      <c r="A118" s="13" t="s">
        <v>106</v>
      </c>
      <c r="B118" s="14" t="s">
        <v>109</v>
      </c>
      <c r="C118" s="15">
        <v>-0.12840863772855296</v>
      </c>
      <c r="D118" s="15">
        <v>-0.22568844369501237</v>
      </c>
      <c r="E118" s="15">
        <v>-0.31754140558685107</v>
      </c>
      <c r="F118" s="15">
        <v>-0.39340694472567028</v>
      </c>
      <c r="G118" s="15">
        <v>-0.45556534620592681</v>
      </c>
      <c r="H118" s="15">
        <v>-0.50629689512207721</v>
      </c>
      <c r="I118" s="15">
        <v>-0.54788187656857812</v>
      </c>
      <c r="J118" s="15">
        <v>-0.5826005756398861</v>
      </c>
      <c r="K118" s="15">
        <v>-0.61273327743045791</v>
      </c>
      <c r="L118" s="15">
        <v>-0.64056026703475</v>
      </c>
      <c r="M118" s="15">
        <v>-0.66836182954721923</v>
      </c>
      <c r="N118" s="15">
        <v>-0.69841825006232205</v>
      </c>
      <c r="O118" s="15">
        <v>-0.73300981367451501</v>
      </c>
      <c r="P118" s="15">
        <v>-0.77441680547825464</v>
      </c>
      <c r="Q118" s="15">
        <v>-0.82491951056799828</v>
      </c>
      <c r="S118" s="17">
        <f t="shared" si="12"/>
        <v>-0.19156408542576203</v>
      </c>
      <c r="T118" s="17">
        <f t="shared" si="13"/>
        <v>-0.1572962412793551</v>
      </c>
      <c r="U118" s="17">
        <f t="shared" si="14"/>
        <v>-0.12872910986908986</v>
      </c>
      <c r="V118" s="17">
        <f t="shared" si="15"/>
        <v>-0.10586269119496608</v>
      </c>
      <c r="W118" s="17">
        <f t="shared" si="16"/>
        <v>-8.8696985256983912E-2</v>
      </c>
      <c r="X118" s="17">
        <f t="shared" si="17"/>
        <v>-7.7231992055143237E-2</v>
      </c>
      <c r="Y118" s="17">
        <f t="shared" si="18"/>
        <v>-7.1467711589444274E-2</v>
      </c>
      <c r="Z118" s="17">
        <f t="shared" si="19"/>
        <v>-7.140414385988679E-2</v>
      </c>
      <c r="AA118" s="17">
        <f t="shared" si="20"/>
        <v>-7.7041288866470839E-2</v>
      </c>
    </row>
    <row r="119" spans="1:27" x14ac:dyDescent="0.3">
      <c r="A119" s="13" t="s">
        <v>106</v>
      </c>
      <c r="B119" s="14" t="s">
        <v>110</v>
      </c>
      <c r="C119" s="15">
        <v>-0.12465538714571622</v>
      </c>
      <c r="D119" s="15">
        <v>-0.2199096924484655</v>
      </c>
      <c r="E119" s="15">
        <v>-0.31065600477262395</v>
      </c>
      <c r="F119" s="15">
        <v>-0.38647738368084122</v>
      </c>
      <c r="G119" s="15">
        <v>-0.44942242745033828</v>
      </c>
      <c r="H119" s="15">
        <v>-0.50153973435833632</v>
      </c>
      <c r="I119" s="15">
        <v>-0.5448779026820566</v>
      </c>
      <c r="J119" s="15">
        <v>-0.58148553069872011</v>
      </c>
      <c r="K119" s="15">
        <v>-0.6134112166855481</v>
      </c>
      <c r="L119" s="15">
        <v>-0.64270355891976161</v>
      </c>
      <c r="M119" s="15">
        <v>-0.67141115567858189</v>
      </c>
      <c r="N119" s="15">
        <v>-0.70158260523922977</v>
      </c>
      <c r="O119" s="15">
        <v>-0.73526650587892717</v>
      </c>
      <c r="P119" s="15">
        <v>-0.77451145587489423</v>
      </c>
      <c r="Q119" s="15">
        <v>-0.8213660535043531</v>
      </c>
      <c r="S119" s="17">
        <f t="shared" si="12"/>
        <v>-0.19126061250156065</v>
      </c>
      <c r="T119" s="17">
        <f t="shared" si="13"/>
        <v>-0.15906977465476033</v>
      </c>
      <c r="U119" s="17">
        <f t="shared" si="14"/>
        <v>-0.13200043250101282</v>
      </c>
      <c r="V119" s="17">
        <f t="shared" si="15"/>
        <v>-0.1100525860403182</v>
      </c>
      <c r="W119" s="17">
        <f t="shared" si="16"/>
        <v>-9.3226235272676483E-2</v>
      </c>
      <c r="X119" s="17">
        <f t="shared" si="17"/>
        <v>-8.1521380198087495E-2</v>
      </c>
      <c r="Y119" s="17">
        <f t="shared" si="18"/>
        <v>-7.4938020816551487E-2</v>
      </c>
      <c r="Z119" s="17">
        <f t="shared" si="19"/>
        <v>-7.3476157128068056E-2</v>
      </c>
      <c r="AA119" s="17">
        <f t="shared" si="20"/>
        <v>-7.7135789132637966E-2</v>
      </c>
    </row>
    <row r="120" spans="1:27" x14ac:dyDescent="0.3">
      <c r="A120" s="13" t="s">
        <v>106</v>
      </c>
      <c r="B120" s="14" t="s">
        <v>111</v>
      </c>
      <c r="C120" s="15">
        <v>-0.11909729269383457</v>
      </c>
      <c r="D120" s="15">
        <v>-0.21091637784594186</v>
      </c>
      <c r="E120" s="15">
        <v>-0.29915583424274023</v>
      </c>
      <c r="F120" s="15">
        <v>-0.37366896477548933</v>
      </c>
      <c r="G120" s="15">
        <v>-0.43621880160483201</v>
      </c>
      <c r="H120" s="15">
        <v>-0.48856837689141108</v>
      </c>
      <c r="I120" s="15">
        <v>-0.53248072279586978</v>
      </c>
      <c r="J120" s="15">
        <v>-0.56971887147885081</v>
      </c>
      <c r="K120" s="15">
        <v>-0.60204585510099728</v>
      </c>
      <c r="L120" s="15">
        <v>-0.63122470582295209</v>
      </c>
      <c r="M120" s="15">
        <v>-0.65901845580535801</v>
      </c>
      <c r="N120" s="15">
        <v>-0.68719013720885791</v>
      </c>
      <c r="O120" s="15">
        <v>-0.71750278219409502</v>
      </c>
      <c r="P120" s="15">
        <v>-0.75171942292171234</v>
      </c>
      <c r="Q120" s="15">
        <v>-0.79160309155235264</v>
      </c>
      <c r="S120" s="17">
        <f t="shared" si="12"/>
        <v>-0.1877520197990751</v>
      </c>
      <c r="T120" s="17">
        <f t="shared" si="13"/>
        <v>-0.15784378554055903</v>
      </c>
      <c r="U120" s="17">
        <f t="shared" si="14"/>
        <v>-0.13234313168365036</v>
      </c>
      <c r="V120" s="17">
        <f t="shared" si="15"/>
        <v>-0.11125005822834899</v>
      </c>
      <c r="W120" s="17">
        <f t="shared" si="16"/>
        <v>-9.4564565174655169E-2</v>
      </c>
      <c r="X120" s="17">
        <f t="shared" si="17"/>
        <v>-8.2286652522568587E-2</v>
      </c>
      <c r="Y120" s="17">
        <f t="shared" si="18"/>
        <v>-7.4416320272089331E-2</v>
      </c>
      <c r="Z120" s="17">
        <f t="shared" si="19"/>
        <v>-7.0953568423217192E-2</v>
      </c>
      <c r="AA120" s="17">
        <f t="shared" si="20"/>
        <v>-7.1898396975952447E-2</v>
      </c>
    </row>
    <row r="121" spans="1:27" x14ac:dyDescent="0.3">
      <c r="A121" s="13" t="s">
        <v>106</v>
      </c>
      <c r="B121" s="14" t="s">
        <v>112</v>
      </c>
      <c r="C121" s="15">
        <v>-0.11731279440999016</v>
      </c>
      <c r="D121" s="15">
        <v>-0.21037267247976926</v>
      </c>
      <c r="E121" s="15">
        <v>-0.30234084609430567</v>
      </c>
      <c r="F121" s="15">
        <v>-0.38269708691456877</v>
      </c>
      <c r="G121" s="15">
        <v>-0.45265244604252702</v>
      </c>
      <c r="H121" s="15">
        <v>-0.51341797458014893</v>
      </c>
      <c r="I121" s="15">
        <v>-0.56620472362940288</v>
      </c>
      <c r="J121" s="15">
        <v>-0.61222374429225723</v>
      </c>
      <c r="K121" s="15">
        <v>-0.65268608767068081</v>
      </c>
      <c r="L121" s="15">
        <v>-0.68880280486664158</v>
      </c>
      <c r="M121" s="15">
        <v>-0.72178494698210827</v>
      </c>
      <c r="N121" s="15">
        <v>-0.7528435651190496</v>
      </c>
      <c r="O121" s="15">
        <v>-0.7831897103794333</v>
      </c>
      <c r="P121" s="15">
        <v>-0.81403443386522878</v>
      </c>
      <c r="Q121" s="15">
        <v>-0.84658878667840365</v>
      </c>
      <c r="S121" s="17">
        <f t="shared" si="12"/>
        <v>-0.20189981130229812</v>
      </c>
      <c r="T121" s="17">
        <f t="shared" si="13"/>
        <v>-0.17589760707153607</v>
      </c>
      <c r="U121" s="17">
        <f t="shared" si="14"/>
        <v>-0.15292303059569509</v>
      </c>
      <c r="V121" s="17">
        <f t="shared" si="15"/>
        <v>-0.13297608187477516</v>
      </c>
      <c r="W121" s="17">
        <f t="shared" si="16"/>
        <v>-0.11605676090877656</v>
      </c>
      <c r="X121" s="17">
        <f t="shared" si="17"/>
        <v>-0.10216506769769892</v>
      </c>
      <c r="Y121" s="17">
        <f t="shared" si="18"/>
        <v>-9.1301002241542528E-2</v>
      </c>
      <c r="Z121" s="17">
        <f t="shared" si="19"/>
        <v>-8.3464564540307318E-2</v>
      </c>
      <c r="AA121" s="17">
        <f t="shared" si="20"/>
        <v>-7.8655754593993099E-2</v>
      </c>
    </row>
    <row r="122" spans="1:27" x14ac:dyDescent="0.3">
      <c r="A122" s="13" t="s">
        <v>106</v>
      </c>
      <c r="B122" s="14" t="s">
        <v>113</v>
      </c>
      <c r="C122" s="15">
        <v>-0.11846512272165746</v>
      </c>
      <c r="D122" s="15">
        <v>-0.21162816690292097</v>
      </c>
      <c r="E122" s="15">
        <v>-0.302867126493507</v>
      </c>
      <c r="F122" s="15">
        <v>-0.38164663624800221</v>
      </c>
      <c r="G122" s="15">
        <v>-0.44927784319315878</v>
      </c>
      <c r="H122" s="15">
        <v>-0.50707189435572897</v>
      </c>
      <c r="I122" s="15">
        <v>-0.55633993676246518</v>
      </c>
      <c r="J122" s="15">
        <v>-0.59839311744011958</v>
      </c>
      <c r="K122" s="15">
        <v>-0.63454258341544456</v>
      </c>
      <c r="L122" s="15">
        <v>-0.66609948171519229</v>
      </c>
      <c r="M122" s="15">
        <v>-0.69437495936611526</v>
      </c>
      <c r="N122" s="15">
        <v>-0.72068016339496543</v>
      </c>
      <c r="O122" s="15">
        <v>-0.7463262408284953</v>
      </c>
      <c r="P122" s="15">
        <v>-0.77262433869345726</v>
      </c>
      <c r="Q122" s="15">
        <v>-0.80088560401660314</v>
      </c>
      <c r="S122" s="17">
        <f t="shared" si="12"/>
        <v>-0.19804139690853151</v>
      </c>
      <c r="T122" s="17">
        <f t="shared" si="13"/>
        <v>-0.17017063988518499</v>
      </c>
      <c r="U122" s="17">
        <f t="shared" si="14"/>
        <v>-0.14557775042871915</v>
      </c>
      <c r="V122" s="17">
        <f t="shared" si="15"/>
        <v>-0.124262728539134</v>
      </c>
      <c r="W122" s="17">
        <f t="shared" si="16"/>
        <v>-0.10622557421642967</v>
      </c>
      <c r="X122" s="17">
        <f t="shared" si="17"/>
        <v>-9.1466287460605922E-2</v>
      </c>
      <c r="Y122" s="17">
        <f t="shared" si="18"/>
        <v>-7.9984868271663068E-2</v>
      </c>
      <c r="Z122" s="17">
        <f t="shared" si="19"/>
        <v>-7.1781316649600732E-2</v>
      </c>
      <c r="AA122" s="17">
        <f t="shared" si="20"/>
        <v>-6.6855632594419179E-2</v>
      </c>
    </row>
    <row r="123" spans="1:27" x14ac:dyDescent="0.3">
      <c r="A123" s="13" t="s">
        <v>106</v>
      </c>
      <c r="B123" s="14" t="s">
        <v>114</v>
      </c>
      <c r="C123" s="15">
        <v>-0.12465538714571622</v>
      </c>
      <c r="D123" s="15">
        <v>-0.2199096924484655</v>
      </c>
      <c r="E123" s="15">
        <v>-0.31065600477262395</v>
      </c>
      <c r="F123" s="15">
        <v>-0.38647738368084122</v>
      </c>
      <c r="G123" s="15">
        <v>-0.44942242745033828</v>
      </c>
      <c r="H123" s="15">
        <v>-0.50153973435833632</v>
      </c>
      <c r="I123" s="15">
        <v>-0.5448779026820566</v>
      </c>
      <c r="J123" s="15">
        <v>-0.58148553069872011</v>
      </c>
      <c r="K123" s="15">
        <v>-0.6134112166855481</v>
      </c>
      <c r="L123" s="15">
        <v>-0.64270355891976161</v>
      </c>
      <c r="M123" s="15">
        <v>-0.67141115567858189</v>
      </c>
      <c r="N123" s="15">
        <v>-0.70158260523922977</v>
      </c>
      <c r="O123" s="15">
        <v>-0.73526650587892717</v>
      </c>
      <c r="P123" s="15">
        <v>-0.77451145587489423</v>
      </c>
      <c r="Q123" s="15">
        <v>-0.8213660535043531</v>
      </c>
      <c r="S123" s="17">
        <f t="shared" si="12"/>
        <v>-0.19126061250156065</v>
      </c>
      <c r="T123" s="17">
        <f t="shared" si="13"/>
        <v>-0.15906977465476033</v>
      </c>
      <c r="U123" s="17">
        <f t="shared" si="14"/>
        <v>-0.13200043250101282</v>
      </c>
      <c r="V123" s="17">
        <f t="shared" si="15"/>
        <v>-0.1100525860403182</v>
      </c>
      <c r="W123" s="17">
        <f t="shared" si="16"/>
        <v>-9.3226235272676483E-2</v>
      </c>
      <c r="X123" s="17">
        <f t="shared" si="17"/>
        <v>-8.1521380198087495E-2</v>
      </c>
      <c r="Y123" s="17">
        <f t="shared" si="18"/>
        <v>-7.4938020816551487E-2</v>
      </c>
      <c r="Z123" s="17">
        <f t="shared" si="19"/>
        <v>-7.3476157128068056E-2</v>
      </c>
      <c r="AA123" s="17">
        <f t="shared" si="20"/>
        <v>-7.7135789132637966E-2</v>
      </c>
    </row>
    <row r="124" spans="1:27" x14ac:dyDescent="0.3">
      <c r="A124" s="13" t="s">
        <v>106</v>
      </c>
      <c r="B124" s="14" t="s">
        <v>115</v>
      </c>
      <c r="C124" s="15">
        <v>-0.12493614300796506</v>
      </c>
      <c r="D124" s="15">
        <v>-0.22060242834628979</v>
      </c>
      <c r="E124" s="15">
        <v>-0.31191551315889832</v>
      </c>
      <c r="F124" s="15">
        <v>-0.38837451157089825</v>
      </c>
      <c r="G124" s="15">
        <v>-0.45197215200819374</v>
      </c>
      <c r="H124" s="15">
        <v>-0.50470116289668898</v>
      </c>
      <c r="I124" s="15">
        <v>-0.54855427266228796</v>
      </c>
      <c r="J124" s="15">
        <v>-0.58552420973089492</v>
      </c>
      <c r="K124" s="15">
        <v>-0.61760370252841412</v>
      </c>
      <c r="L124" s="15">
        <v>-0.64678547948074949</v>
      </c>
      <c r="M124" s="15">
        <v>-0.67506226901380517</v>
      </c>
      <c r="N124" s="15">
        <v>-0.70442679955348564</v>
      </c>
      <c r="O124" s="15">
        <v>-0.73687179952569493</v>
      </c>
      <c r="P124" s="15">
        <v>-0.77438999735633651</v>
      </c>
      <c r="Q124" s="15">
        <v>-0.81897412147131532</v>
      </c>
      <c r="S124" s="17">
        <f t="shared" si="12"/>
        <v>-0.1928081030515866</v>
      </c>
      <c r="T124" s="17">
        <f t="shared" si="13"/>
        <v>-0.16065470811482557</v>
      </c>
      <c r="U124" s="17">
        <f t="shared" si="14"/>
        <v>-0.13348313424282476</v>
      </c>
      <c r="V124" s="17">
        <f t="shared" si="15"/>
        <v>-0.11129338143558432</v>
      </c>
      <c r="W124" s="17">
        <f t="shared" si="16"/>
        <v>-9.4085449693104284E-2</v>
      </c>
      <c r="X124" s="17">
        <f t="shared" si="17"/>
        <v>-8.1859339015384613E-2</v>
      </c>
      <c r="Y124" s="17">
        <f t="shared" si="18"/>
        <v>-7.4615049402425207E-2</v>
      </c>
      <c r="Z124" s="17">
        <f t="shared" si="19"/>
        <v>-7.2352580854226259E-2</v>
      </c>
      <c r="AA124" s="17">
        <f t="shared" si="20"/>
        <v>-7.5071933370787866E-2</v>
      </c>
    </row>
    <row r="125" spans="1:27" x14ac:dyDescent="0.3">
      <c r="A125" s="13" t="s">
        <v>106</v>
      </c>
      <c r="B125" s="14" t="s">
        <v>116</v>
      </c>
      <c r="C125" s="15">
        <v>-0.12671133971207199</v>
      </c>
      <c r="D125" s="15">
        <v>-0.22321492188422268</v>
      </c>
      <c r="E125" s="15">
        <v>-0.31472683335389623</v>
      </c>
      <c r="F125" s="15">
        <v>-0.39060075417753748</v>
      </c>
      <c r="G125" s="15">
        <v>-0.45286149838279871</v>
      </c>
      <c r="H125" s="15">
        <v>-0.50353387999733201</v>
      </c>
      <c r="I125" s="15">
        <v>-0.54464271304878953</v>
      </c>
      <c r="J125" s="15">
        <v>-0.5782128115648234</v>
      </c>
      <c r="K125" s="15">
        <v>-0.60626898957308573</v>
      </c>
      <c r="L125" s="15">
        <v>-0.63083606110122847</v>
      </c>
      <c r="M125" s="15">
        <v>-0.65393884017690407</v>
      </c>
      <c r="N125" s="15">
        <v>-0.67760214082776449</v>
      </c>
      <c r="O125" s="15">
        <v>-0.70385077708146182</v>
      </c>
      <c r="P125" s="15">
        <v>-0.73470956296564849</v>
      </c>
      <c r="Q125" s="15">
        <v>-0.77220331250797625</v>
      </c>
      <c r="S125" s="17">
        <f t="shared" si="12"/>
        <v>-0.1913721470821467</v>
      </c>
      <c r="T125" s="17">
        <f t="shared" si="13"/>
        <v>-0.15733920553619649</v>
      </c>
      <c r="U125" s="17">
        <f t="shared" si="14"/>
        <v>-0.12836829905937672</v>
      </c>
      <c r="V125" s="17">
        <f t="shared" si="15"/>
        <v>-0.10445942765168725</v>
      </c>
      <c r="W125" s="17">
        <f t="shared" si="16"/>
        <v>-8.5612591313128095E-2</v>
      </c>
      <c r="X125" s="17">
        <f t="shared" si="17"/>
        <v>-7.1827790043699116E-2</v>
      </c>
      <c r="Y125" s="17">
        <f t="shared" si="18"/>
        <v>-6.3105023843400554E-2</v>
      </c>
      <c r="Z125" s="17">
        <f t="shared" si="19"/>
        <v>-5.9444292712232297E-2</v>
      </c>
      <c r="AA125" s="17">
        <f t="shared" si="20"/>
        <v>-6.0845596650194456E-2</v>
      </c>
    </row>
    <row r="126" spans="1:27" x14ac:dyDescent="0.3">
      <c r="A126" s="13" t="s">
        <v>106</v>
      </c>
      <c r="B126" s="14" t="s">
        <v>117</v>
      </c>
      <c r="C126" s="15">
        <v>-0.1150351615116038</v>
      </c>
      <c r="D126" s="15">
        <v>-0.20487627131073888</v>
      </c>
      <c r="E126" s="15">
        <v>-0.29237553801043636</v>
      </c>
      <c r="F126" s="15">
        <v>-0.36754760871357334</v>
      </c>
      <c r="G126" s="15">
        <v>-0.4319106466741871</v>
      </c>
      <c r="H126" s="15">
        <v>-0.48698281514631497</v>
      </c>
      <c r="I126" s="15">
        <v>-0.53428227738399436</v>
      </c>
      <c r="J126" s="15">
        <v>-0.57532719664126253</v>
      </c>
      <c r="K126" s="15">
        <v>-0.61163573617215683</v>
      </c>
      <c r="L126" s="15">
        <v>-0.64472605923071458</v>
      </c>
      <c r="M126" s="15">
        <v>-0.67611632907097319</v>
      </c>
      <c r="N126" s="15">
        <v>-0.70732470894697008</v>
      </c>
      <c r="O126" s="15">
        <v>-0.73986936211274257</v>
      </c>
      <c r="P126" s="15">
        <v>-0.77526845182232795</v>
      </c>
      <c r="Q126" s="15">
        <v>-0.81504014132976332</v>
      </c>
      <c r="S126" s="17">
        <f t="shared" si="12"/>
        <v>-0.18919531280287352</v>
      </c>
      <c r="T126" s="17">
        <f t="shared" si="13"/>
        <v>-0.16217273094656551</v>
      </c>
      <c r="U126" s="17">
        <f t="shared" si="14"/>
        <v>-0.13894555722535085</v>
      </c>
      <c r="V126" s="17">
        <f t="shared" si="15"/>
        <v>-0.11951379163922951</v>
      </c>
      <c r="W126" s="17">
        <f t="shared" si="16"/>
        <v>-0.10387743418820156</v>
      </c>
      <c r="X126" s="17">
        <f t="shared" si="17"/>
        <v>-9.2036484872266844E-2</v>
      </c>
      <c r="Y126" s="17">
        <f t="shared" si="18"/>
        <v>-8.399094369142554E-2</v>
      </c>
      <c r="Z126" s="17">
        <f t="shared" si="19"/>
        <v>-7.9740810645677701E-2</v>
      </c>
      <c r="AA126" s="17">
        <f t="shared" si="20"/>
        <v>-7.9286085735023326E-2</v>
      </c>
    </row>
    <row r="127" spans="1:27" x14ac:dyDescent="0.3">
      <c r="A127" s="13" t="s">
        <v>106</v>
      </c>
      <c r="B127" s="14" t="s">
        <v>118</v>
      </c>
      <c r="C127" s="15">
        <v>-0.12109352789326876</v>
      </c>
      <c r="D127" s="15">
        <v>-0.21402753969777111</v>
      </c>
      <c r="E127" s="15">
        <v>-0.30322328507085333</v>
      </c>
      <c r="F127" s="15">
        <v>-0.37877796184141965</v>
      </c>
      <c r="G127" s="15">
        <v>-0.44289812062770118</v>
      </c>
      <c r="H127" s="15">
        <v>-0.49779031204792934</v>
      </c>
      <c r="I127" s="15">
        <v>-0.54566108672033486</v>
      </c>
      <c r="J127" s="15">
        <v>-0.58871699526314925</v>
      </c>
      <c r="K127" s="15">
        <v>-0.62916458829460331</v>
      </c>
      <c r="L127" s="15">
        <v>-0.66921041643292856</v>
      </c>
      <c r="M127" s="15">
        <v>-0.71106103029635592</v>
      </c>
      <c r="N127" s="15">
        <v>-0.75692298050311679</v>
      </c>
      <c r="O127" s="15">
        <v>-0.80900281767144189</v>
      </c>
      <c r="P127" s="15">
        <v>-0.86950709241956281</v>
      </c>
      <c r="Q127" s="15">
        <v>-0.94064235536571028</v>
      </c>
      <c r="S127" s="17">
        <f t="shared" si="12"/>
        <v>-0.19072548410827506</v>
      </c>
      <c r="T127" s="17">
        <f t="shared" si="13"/>
        <v>-0.16213918914756334</v>
      </c>
      <c r="U127" s="17">
        <f t="shared" si="14"/>
        <v>-0.13906927073242933</v>
      </c>
      <c r="V127" s="17">
        <f t="shared" si="15"/>
        <v>-0.1215157288628734</v>
      </c>
      <c r="W127" s="17">
        <f t="shared" si="16"/>
        <v>-0.10947856353889499</v>
      </c>
      <c r="X127" s="17">
        <f t="shared" si="17"/>
        <v>-0.10295777476049475</v>
      </c>
      <c r="Y127" s="17">
        <f t="shared" si="18"/>
        <v>-0.10195336252767223</v>
      </c>
      <c r="Z127" s="17">
        <f t="shared" si="19"/>
        <v>-0.10646532684042789</v>
      </c>
      <c r="AA127" s="17">
        <f t="shared" si="20"/>
        <v>-0.1164936676987611</v>
      </c>
    </row>
    <row r="128" spans="1:27" x14ac:dyDescent="0.3">
      <c r="A128" s="13" t="s">
        <v>106</v>
      </c>
      <c r="B128" s="14" t="s">
        <v>119</v>
      </c>
      <c r="C128" s="15">
        <v>-0.12592503916344322</v>
      </c>
      <c r="D128" s="15">
        <v>-0.22109955334997486</v>
      </c>
      <c r="E128" s="15">
        <v>-0.31096580392313067</v>
      </c>
      <c r="F128" s="15">
        <v>-0.38545885521819484</v>
      </c>
      <c r="G128" s="15">
        <v>-0.44710627548679588</v>
      </c>
      <c r="H128" s="15">
        <v>-0.49843563298056254</v>
      </c>
      <c r="I128" s="15">
        <v>-0.54197449595112335</v>
      </c>
      <c r="J128" s="15">
        <v>-0.58025043265010656</v>
      </c>
      <c r="K128" s="15">
        <v>-0.61579101132914094</v>
      </c>
      <c r="L128" s="15">
        <v>-0.65112380023985494</v>
      </c>
      <c r="M128" s="15">
        <v>-0.68877636763387762</v>
      </c>
      <c r="N128" s="15">
        <v>-0.73127628176283654</v>
      </c>
      <c r="O128" s="15">
        <v>-0.78115111087836109</v>
      </c>
      <c r="P128" s="15">
        <v>-0.84092842323207961</v>
      </c>
      <c r="Q128" s="15">
        <v>-0.91313578707562015</v>
      </c>
      <c r="S128" s="17">
        <f t="shared" si="12"/>
        <v>-0.1883389351140175</v>
      </c>
      <c r="T128" s="17">
        <f t="shared" si="13"/>
        <v>-0.15622485754785989</v>
      </c>
      <c r="U128" s="17">
        <f t="shared" si="14"/>
        <v>-0.13042970061077375</v>
      </c>
      <c r="V128" s="17">
        <f t="shared" si="15"/>
        <v>-0.1109534643027589</v>
      </c>
      <c r="W128" s="17">
        <f t="shared" si="16"/>
        <v>-9.7796148623815332E-2</v>
      </c>
      <c r="X128" s="17">
        <f t="shared" si="17"/>
        <v>-9.0957753573943007E-2</v>
      </c>
      <c r="Y128" s="17">
        <f t="shared" si="18"/>
        <v>-9.0438279153142537E-2</v>
      </c>
      <c r="Z128" s="17">
        <f t="shared" si="19"/>
        <v>-9.6237725361413007E-2</v>
      </c>
      <c r="AA128" s="17">
        <f t="shared" si="20"/>
        <v>-0.10835609219875511</v>
      </c>
    </row>
    <row r="129" spans="1:27" x14ac:dyDescent="0.3">
      <c r="A129" s="13" t="s">
        <v>106</v>
      </c>
      <c r="B129" s="14" t="s">
        <v>120</v>
      </c>
      <c r="C129" s="15">
        <v>-0.12465538714571622</v>
      </c>
      <c r="D129" s="15">
        <v>-0.2199096924484655</v>
      </c>
      <c r="E129" s="15">
        <v>-0.31065600477262395</v>
      </c>
      <c r="F129" s="15">
        <v>-0.38647738368084122</v>
      </c>
      <c r="G129" s="15">
        <v>-0.44942242745033828</v>
      </c>
      <c r="H129" s="15">
        <v>-0.50153973435833632</v>
      </c>
      <c r="I129" s="15">
        <v>-0.5448779026820566</v>
      </c>
      <c r="J129" s="15">
        <v>-0.58148553069872011</v>
      </c>
      <c r="K129" s="15">
        <v>-0.6134112166855481</v>
      </c>
      <c r="L129" s="15">
        <v>-0.64270355891976161</v>
      </c>
      <c r="M129" s="15">
        <v>-0.67141115567858189</v>
      </c>
      <c r="N129" s="15">
        <v>-0.70158260523922977</v>
      </c>
      <c r="O129" s="15">
        <v>-0.73526650587892717</v>
      </c>
      <c r="P129" s="15">
        <v>-0.77451145587489423</v>
      </c>
      <c r="Q129" s="15">
        <v>-0.8213660535043531</v>
      </c>
      <c r="S129" s="17">
        <f t="shared" si="12"/>
        <v>-0.19126061250156065</v>
      </c>
      <c r="T129" s="17">
        <f t="shared" si="13"/>
        <v>-0.15906977465476033</v>
      </c>
      <c r="U129" s="17">
        <f t="shared" si="14"/>
        <v>-0.13200043250101282</v>
      </c>
      <c r="V129" s="17">
        <f t="shared" si="15"/>
        <v>-0.1100525860403182</v>
      </c>
      <c r="W129" s="17">
        <f t="shared" si="16"/>
        <v>-9.3226235272676483E-2</v>
      </c>
      <c r="X129" s="17">
        <f t="shared" si="17"/>
        <v>-8.1521380198087495E-2</v>
      </c>
      <c r="Y129" s="17">
        <f t="shared" si="18"/>
        <v>-7.4938020816551487E-2</v>
      </c>
      <c r="Z129" s="17">
        <f t="shared" si="19"/>
        <v>-7.3476157128068056E-2</v>
      </c>
      <c r="AA129" s="17">
        <f t="shared" si="20"/>
        <v>-7.7135789132637966E-2</v>
      </c>
    </row>
    <row r="130" spans="1:27" x14ac:dyDescent="0.3">
      <c r="A130" s="13" t="s">
        <v>106</v>
      </c>
      <c r="B130" s="14" t="s">
        <v>121</v>
      </c>
      <c r="C130" s="15">
        <v>-0.12705897915151929</v>
      </c>
      <c r="D130" s="15">
        <v>-0.22554355139309715</v>
      </c>
      <c r="E130" s="15">
        <v>-0.32062099684560225</v>
      </c>
      <c r="F130" s="15">
        <v>-0.40127280865682974</v>
      </c>
      <c r="G130" s="15">
        <v>-0.46918637788972689</v>
      </c>
      <c r="H130" s="15">
        <v>-0.52604909560724111</v>
      </c>
      <c r="I130" s="15">
        <v>-0.57354835287231942</v>
      </c>
      <c r="J130" s="15">
        <v>-0.61337154074790912</v>
      </c>
      <c r="K130" s="15">
        <v>-0.64720605029695732</v>
      </c>
      <c r="L130" s="15">
        <v>-0.67673927258241129</v>
      </c>
      <c r="M130" s="15">
        <v>-0.70365859866721847</v>
      </c>
      <c r="N130" s="15">
        <v>-0.72965141961432589</v>
      </c>
      <c r="O130" s="15">
        <v>-0.7564051264866809</v>
      </c>
      <c r="P130" s="15">
        <v>-0.78560711034723052</v>
      </c>
      <c r="Q130" s="15">
        <v>-0.81894476225892165</v>
      </c>
      <c r="S130" s="17">
        <f t="shared" si="12"/>
        <v>-0.20303568874719147</v>
      </c>
      <c r="T130" s="17">
        <f t="shared" si="13"/>
        <v>-0.1711900823013657</v>
      </c>
      <c r="U130" s="17">
        <f t="shared" si="14"/>
        <v>-0.14356295351290807</v>
      </c>
      <c r="V130" s="17">
        <f t="shared" si="15"/>
        <v>-0.12015430238181851</v>
      </c>
      <c r="W130" s="17">
        <f t="shared" si="16"/>
        <v>-0.10096412890809683</v>
      </c>
      <c r="X130" s="17">
        <f t="shared" si="17"/>
        <v>-8.5992433091743231E-2</v>
      </c>
      <c r="Y130" s="17">
        <f t="shared" si="18"/>
        <v>-7.52392149327578E-2</v>
      </c>
      <c r="Z130" s="17">
        <f t="shared" si="19"/>
        <v>-6.8704474431140472E-2</v>
      </c>
      <c r="AA130" s="17">
        <f t="shared" si="20"/>
        <v>-6.6388211586891344E-2</v>
      </c>
    </row>
    <row r="131" spans="1:27" x14ac:dyDescent="0.3">
      <c r="A131" s="13" t="s">
        <v>106</v>
      </c>
      <c r="B131" s="14" t="s">
        <v>122</v>
      </c>
      <c r="C131" s="15">
        <v>-0.12465538714571622</v>
      </c>
      <c r="D131" s="15">
        <v>-0.2199096924484655</v>
      </c>
      <c r="E131" s="15">
        <v>-0.31065600477262395</v>
      </c>
      <c r="F131" s="15">
        <v>-0.38647738368084122</v>
      </c>
      <c r="G131" s="15">
        <v>-0.44942242745033828</v>
      </c>
      <c r="H131" s="15">
        <v>-0.50153973435833632</v>
      </c>
      <c r="I131" s="15">
        <v>-0.5448779026820566</v>
      </c>
      <c r="J131" s="15">
        <v>-0.58148553069872011</v>
      </c>
      <c r="K131" s="15">
        <v>-0.6134112166855481</v>
      </c>
      <c r="L131" s="15">
        <v>-0.64270355891976161</v>
      </c>
      <c r="M131" s="15">
        <v>-0.67141115567858189</v>
      </c>
      <c r="N131" s="15">
        <v>-0.70158260523922977</v>
      </c>
      <c r="O131" s="15">
        <v>-0.73526650587892717</v>
      </c>
      <c r="P131" s="15">
        <v>-0.77451145587489423</v>
      </c>
      <c r="Q131" s="15">
        <v>-0.8213660535043531</v>
      </c>
      <c r="S131" s="17">
        <f t="shared" si="12"/>
        <v>-0.19126061250156065</v>
      </c>
      <c r="T131" s="17">
        <f t="shared" si="13"/>
        <v>-0.15906977465476033</v>
      </c>
      <c r="U131" s="17">
        <f t="shared" si="14"/>
        <v>-0.13200043250101282</v>
      </c>
      <c r="V131" s="17">
        <f t="shared" si="15"/>
        <v>-0.1100525860403182</v>
      </c>
      <c r="W131" s="17">
        <f t="shared" si="16"/>
        <v>-9.3226235272676483E-2</v>
      </c>
      <c r="X131" s="17">
        <f t="shared" si="17"/>
        <v>-8.1521380198087495E-2</v>
      </c>
      <c r="Y131" s="17">
        <f t="shared" si="18"/>
        <v>-7.4938020816551487E-2</v>
      </c>
      <c r="Z131" s="17">
        <f t="shared" si="19"/>
        <v>-7.3476157128068056E-2</v>
      </c>
      <c r="AA131" s="17">
        <f t="shared" si="20"/>
        <v>-7.7135789132637966E-2</v>
      </c>
    </row>
    <row r="132" spans="1:27" x14ac:dyDescent="0.3">
      <c r="A132" s="13" t="s">
        <v>106</v>
      </c>
      <c r="B132" s="14" t="s">
        <v>123</v>
      </c>
      <c r="C132" s="15">
        <v>-0.12465538714571622</v>
      </c>
      <c r="D132" s="15">
        <v>-0.2199096924484655</v>
      </c>
      <c r="E132" s="15">
        <v>-0.31065600477262395</v>
      </c>
      <c r="F132" s="15">
        <v>-0.38647738368084122</v>
      </c>
      <c r="G132" s="15">
        <v>-0.44942242745033828</v>
      </c>
      <c r="H132" s="15">
        <v>-0.50153973435833632</v>
      </c>
      <c r="I132" s="15">
        <v>-0.5448779026820566</v>
      </c>
      <c r="J132" s="15">
        <v>-0.58148553069872011</v>
      </c>
      <c r="K132" s="15">
        <v>-0.6134112166855481</v>
      </c>
      <c r="L132" s="15">
        <v>-0.64270355891976161</v>
      </c>
      <c r="M132" s="15">
        <v>-0.67141115567858189</v>
      </c>
      <c r="N132" s="15">
        <v>-0.70158260523922977</v>
      </c>
      <c r="O132" s="15">
        <v>-0.73526650587892717</v>
      </c>
      <c r="P132" s="15">
        <v>-0.77451145587489423</v>
      </c>
      <c r="Q132" s="15">
        <v>-0.8213660535043531</v>
      </c>
      <c r="S132" s="17">
        <f t="shared" si="12"/>
        <v>-0.19126061250156065</v>
      </c>
      <c r="T132" s="17">
        <f t="shared" si="13"/>
        <v>-0.15906977465476033</v>
      </c>
      <c r="U132" s="17">
        <f t="shared" si="14"/>
        <v>-0.13200043250101282</v>
      </c>
      <c r="V132" s="17">
        <f t="shared" si="15"/>
        <v>-0.1100525860403182</v>
      </c>
      <c r="W132" s="17">
        <f t="shared" si="16"/>
        <v>-9.3226235272676483E-2</v>
      </c>
      <c r="X132" s="17">
        <f t="shared" si="17"/>
        <v>-8.1521380198087495E-2</v>
      </c>
      <c r="Y132" s="17">
        <f t="shared" si="18"/>
        <v>-7.4938020816551487E-2</v>
      </c>
      <c r="Z132" s="17">
        <f t="shared" si="19"/>
        <v>-7.3476157128068056E-2</v>
      </c>
      <c r="AA132" s="17">
        <f t="shared" si="20"/>
        <v>-7.7135789132637966E-2</v>
      </c>
    </row>
    <row r="133" spans="1:27" x14ac:dyDescent="0.3">
      <c r="A133" s="13" t="s">
        <v>124</v>
      </c>
      <c r="B133" s="14" t="s">
        <v>125</v>
      </c>
      <c r="C133" s="15">
        <v>-0.11290627767460966</v>
      </c>
      <c r="D133" s="15">
        <v>-0.19963088494346054</v>
      </c>
      <c r="E133" s="15">
        <v>-0.28273009921016157</v>
      </c>
      <c r="F133" s="15">
        <v>-0.35272393955373088</v>
      </c>
      <c r="G133" s="15">
        <v>-0.41142305282064745</v>
      </c>
      <c r="H133" s="15">
        <v>-0.46063808585739019</v>
      </c>
      <c r="I133" s="15">
        <v>-0.50217968551043857</v>
      </c>
      <c r="J133" s="15">
        <v>-0.53785849862627122</v>
      </c>
      <c r="K133" s="15">
        <v>-0.56948517205136739</v>
      </c>
      <c r="L133" s="15">
        <v>-0.59887035263220623</v>
      </c>
      <c r="M133" s="15">
        <v>-0.62782468721526652</v>
      </c>
      <c r="N133" s="15">
        <v>-0.65815882264702752</v>
      </c>
      <c r="O133" s="15">
        <v>-0.69168340577396814</v>
      </c>
      <c r="P133" s="15">
        <v>-0.73020908344256807</v>
      </c>
      <c r="Q133" s="15">
        <v>-0.77554650249930512</v>
      </c>
      <c r="S133" s="17">
        <f t="shared" si="12"/>
        <v>-0.17649347323098907</v>
      </c>
      <c r="T133" s="17">
        <f t="shared" si="13"/>
        <v>-0.14825665553935718</v>
      </c>
      <c r="U133" s="17">
        <f t="shared" si="14"/>
        <v>-0.12454645496392308</v>
      </c>
      <c r="V133" s="17">
        <f t="shared" si="15"/>
        <v>-0.10536287150468648</v>
      </c>
      <c r="W133" s="17">
        <f t="shared" si="16"/>
        <v>-9.0705905161647671E-2</v>
      </c>
      <c r="X133" s="17">
        <f t="shared" si="17"/>
        <v>-8.0575555934806392E-2</v>
      </c>
      <c r="Y133" s="17">
        <f t="shared" si="18"/>
        <v>-7.4971823824162745E-2</v>
      </c>
      <c r="Z133" s="17">
        <f t="shared" si="19"/>
        <v>-7.3894708829716771E-2</v>
      </c>
      <c r="AA133" s="17">
        <f t="shared" si="20"/>
        <v>-7.7344210951468262E-2</v>
      </c>
    </row>
    <row r="134" spans="1:27" x14ac:dyDescent="0.3">
      <c r="A134" s="13" t="s">
        <v>124</v>
      </c>
      <c r="B134" s="14" t="s">
        <v>126</v>
      </c>
      <c r="C134" s="15">
        <v>-0.11336319710266117</v>
      </c>
      <c r="D134" s="15">
        <v>-0.20061920693806545</v>
      </c>
      <c r="E134" s="15">
        <v>-0.28440513286501473</v>
      </c>
      <c r="F134" s="15">
        <v>-0.35516873455613363</v>
      </c>
      <c r="G134" s="15">
        <v>-0.41469409139431318</v>
      </c>
      <c r="H134" s="15">
        <v>-0.46476528276244433</v>
      </c>
      <c r="I134" s="15">
        <v>-0.50716638804341785</v>
      </c>
      <c r="J134" s="15">
        <v>-0.54368148662012505</v>
      </c>
      <c r="K134" s="15">
        <v>-0.57609465787545655</v>
      </c>
      <c r="L134" s="15">
        <v>-0.60618998119230327</v>
      </c>
      <c r="M134" s="15">
        <v>-0.63575153595355605</v>
      </c>
      <c r="N134" s="15">
        <v>-0.66656340154210636</v>
      </c>
      <c r="O134" s="15">
        <v>-0.70040965734084459</v>
      </c>
      <c r="P134" s="15">
        <v>-0.73907438273266157</v>
      </c>
      <c r="Q134" s="15">
        <v>-0.7843416571004489</v>
      </c>
      <c r="S134" s="17">
        <f t="shared" ref="S134:S197" si="21">+(G134-D134)/3*2.5</f>
        <v>-0.17839573704687309</v>
      </c>
      <c r="T134" s="17">
        <f t="shared" si="13"/>
        <v>-0.15030012491452466</v>
      </c>
      <c r="U134" s="17">
        <f t="shared" si="14"/>
        <v>-0.12666471123940351</v>
      </c>
      <c r="V134" s="17">
        <f t="shared" si="15"/>
        <v>-0.10748949602150989</v>
      </c>
      <c r="W134" s="17">
        <f t="shared" si="16"/>
        <v>-9.2774479260843506E-2</v>
      </c>
      <c r="X134" s="17">
        <f t="shared" si="17"/>
        <v>-8.2519660957404511E-2</v>
      </c>
      <c r="Y134" s="17">
        <f t="shared" si="18"/>
        <v>-7.6725041111192493E-2</v>
      </c>
      <c r="Z134" s="17">
        <f t="shared" si="19"/>
        <v>-7.5390619722208174E-2</v>
      </c>
      <c r="AA134" s="17">
        <f t="shared" si="20"/>
        <v>-7.851639679045111E-2</v>
      </c>
    </row>
    <row r="135" spans="1:27" x14ac:dyDescent="0.3">
      <c r="A135" s="13" t="s">
        <v>124</v>
      </c>
      <c r="B135" s="14" t="s">
        <v>127</v>
      </c>
      <c r="C135" s="15">
        <v>-0.10374272473543089</v>
      </c>
      <c r="D135" s="15">
        <v>-0.18662887234989711</v>
      </c>
      <c r="E135" s="15">
        <v>-0.26933540031920977</v>
      </c>
      <c r="F135" s="15">
        <v>-0.34270260621994236</v>
      </c>
      <c r="G135" s="15">
        <v>-0.40794506010221177</v>
      </c>
      <c r="H135" s="15">
        <v>-0.46627733201613458</v>
      </c>
      <c r="I135" s="15">
        <v>-0.51891399201182753</v>
      </c>
      <c r="J135" s="15">
        <v>-0.56706961013940727</v>
      </c>
      <c r="K135" s="15">
        <v>-0.61195875644899067</v>
      </c>
      <c r="L135" s="15">
        <v>-0.65479600099069446</v>
      </c>
      <c r="M135" s="15">
        <v>-0.69679591381463502</v>
      </c>
      <c r="N135" s="15">
        <v>-0.73917306497092961</v>
      </c>
      <c r="O135" s="15">
        <v>-0.78314202450969439</v>
      </c>
      <c r="P135" s="15">
        <v>-0.82991736248104642</v>
      </c>
      <c r="Q135" s="15">
        <v>-0.88071364893510229</v>
      </c>
      <c r="S135" s="17">
        <f t="shared" si="21"/>
        <v>-0.18443015646026223</v>
      </c>
      <c r="T135" s="17">
        <f t="shared" si="13"/>
        <v>-0.16411827641410401</v>
      </c>
      <c r="U135" s="17">
        <f t="shared" si="14"/>
        <v>-0.14684282149323763</v>
      </c>
      <c r="V135" s="17">
        <f t="shared" si="15"/>
        <v>-0.13260379169766293</v>
      </c>
      <c r="W135" s="17">
        <f t="shared" si="16"/>
        <v>-0.12140118702738006</v>
      </c>
      <c r="X135" s="17">
        <f t="shared" si="17"/>
        <v>-0.1132350074823891</v>
      </c>
      <c r="Y135" s="17">
        <f t="shared" si="18"/>
        <v>-0.10810525306268978</v>
      </c>
      <c r="Z135" s="17">
        <f t="shared" si="19"/>
        <v>-0.10601192376828245</v>
      </c>
      <c r="AA135" s="17">
        <f t="shared" si="20"/>
        <v>-0.10695501959916662</v>
      </c>
    </row>
    <row r="136" spans="1:27" x14ac:dyDescent="0.3">
      <c r="A136" s="13" t="s">
        <v>124</v>
      </c>
      <c r="B136" s="14" t="s">
        <v>128</v>
      </c>
      <c r="C136" s="15">
        <v>-0.11484087020243849</v>
      </c>
      <c r="D136" s="15">
        <v>-0.20227738040014648</v>
      </c>
      <c r="E136" s="15">
        <v>-0.28535816270910724</v>
      </c>
      <c r="F136" s="15">
        <v>-0.3546539937712927</v>
      </c>
      <c r="G136" s="15">
        <v>-0.41221973724891858</v>
      </c>
      <c r="H136" s="15">
        <v>-0.46011025680420059</v>
      </c>
      <c r="I136" s="15">
        <v>-0.50038041609935446</v>
      </c>
      <c r="J136" s="15">
        <v>-0.53508507879659584</v>
      </c>
      <c r="K136" s="15">
        <v>-0.56627910855814045</v>
      </c>
      <c r="L136" s="15">
        <v>-0.59601736904620439</v>
      </c>
      <c r="M136" s="15">
        <v>-0.62635472392300295</v>
      </c>
      <c r="N136" s="15">
        <v>-0.65934603685075188</v>
      </c>
      <c r="O136" s="15">
        <v>-0.69704617149166703</v>
      </c>
      <c r="P136" s="15">
        <v>-0.74150999150796415</v>
      </c>
      <c r="Q136" s="15">
        <v>-0.79479236056185854</v>
      </c>
      <c r="S136" s="17">
        <f t="shared" si="21"/>
        <v>-0.17495196404064342</v>
      </c>
      <c r="T136" s="17">
        <f t="shared" si="13"/>
        <v>-0.14562674507924445</v>
      </c>
      <c r="U136" s="17">
        <f t="shared" si="14"/>
        <v>-0.12143868527338481</v>
      </c>
      <c r="V136" s="17">
        <f t="shared" si="15"/>
        <v>-0.10238778462306439</v>
      </c>
      <c r="W136" s="17">
        <f t="shared" si="16"/>
        <v>-8.847404312828322E-2</v>
      </c>
      <c r="X136" s="17">
        <f t="shared" si="17"/>
        <v>-7.9697460789041608E-2</v>
      </c>
      <c r="Y136" s="17">
        <f t="shared" si="18"/>
        <v>-7.605803760533926E-2</v>
      </c>
      <c r="Z136" s="17">
        <f t="shared" si="19"/>
        <v>-7.755577357717619E-2</v>
      </c>
      <c r="AA136" s="17">
        <f t="shared" si="20"/>
        <v>-8.4190668704552191E-2</v>
      </c>
    </row>
    <row r="137" spans="1:27" x14ac:dyDescent="0.3">
      <c r="A137" s="13" t="s">
        <v>124</v>
      </c>
      <c r="B137" s="14" t="s">
        <v>129</v>
      </c>
      <c r="C137" s="15">
        <v>-0.11500520610973887</v>
      </c>
      <c r="D137" s="15">
        <v>-0.20240342815020076</v>
      </c>
      <c r="E137" s="15">
        <v>-0.28520491954539284</v>
      </c>
      <c r="F137" s="15">
        <v>-0.35390784774321027</v>
      </c>
      <c r="G137" s="15">
        <v>-0.41051090080252184</v>
      </c>
      <c r="H137" s="15">
        <v>-0.45701276678219638</v>
      </c>
      <c r="I137" s="15">
        <v>-0.49541213374110282</v>
      </c>
      <c r="J137" s="15">
        <v>-0.52770768973811033</v>
      </c>
      <c r="K137" s="15">
        <v>-0.55589812283208739</v>
      </c>
      <c r="L137" s="15">
        <v>-0.58198212108190339</v>
      </c>
      <c r="M137" s="15">
        <v>-0.60795837254642637</v>
      </c>
      <c r="N137" s="15">
        <v>-0.63582556528452638</v>
      </c>
      <c r="O137" s="15">
        <v>-0.66758238735507158</v>
      </c>
      <c r="P137" s="15">
        <v>-0.70522752681693068</v>
      </c>
      <c r="Q137" s="15">
        <v>-0.75075967172897329</v>
      </c>
      <c r="S137" s="17">
        <f t="shared" si="21"/>
        <v>-0.17342289387693421</v>
      </c>
      <c r="T137" s="17">
        <f t="shared" si="13"/>
        <v>-0.1431732060306696</v>
      </c>
      <c r="U137" s="17">
        <f t="shared" si="14"/>
        <v>-0.11792023833157714</v>
      </c>
      <c r="V137" s="17">
        <f t="shared" si="15"/>
        <v>-9.7663990779657067E-2</v>
      </c>
      <c r="W137" s="17">
        <f t="shared" si="16"/>
        <v>-8.240446337490917E-2</v>
      </c>
      <c r="X137" s="17">
        <f t="shared" si="17"/>
        <v>-7.2141656117333808E-2</v>
      </c>
      <c r="Y137" s="17">
        <f t="shared" si="18"/>
        <v>-6.6875569006930036E-2</v>
      </c>
      <c r="Z137" s="17">
        <f t="shared" si="19"/>
        <v>-6.6606202043699159E-2</v>
      </c>
      <c r="AA137" s="17">
        <f t="shared" si="20"/>
        <v>-7.1333555227640164E-2</v>
      </c>
    </row>
    <row r="138" spans="1:27" x14ac:dyDescent="0.3">
      <c r="A138" s="13" t="s">
        <v>130</v>
      </c>
      <c r="B138" s="14" t="s">
        <v>131</v>
      </c>
      <c r="C138" s="15">
        <v>-0.13935530076280797</v>
      </c>
      <c r="D138" s="15">
        <v>-0.24129953275800853</v>
      </c>
      <c r="E138" s="15">
        <v>-0.3339202979924768</v>
      </c>
      <c r="F138" s="15">
        <v>-0.40642088310353025</v>
      </c>
      <c r="G138" s="15">
        <v>-0.46194010480476744</v>
      </c>
      <c r="H138" s="15">
        <v>-0.50361677980978681</v>
      </c>
      <c r="I138" s="15">
        <v>-0.53458972483218681</v>
      </c>
      <c r="J138" s="15">
        <v>-0.55799775658556572</v>
      </c>
      <c r="K138" s="15">
        <v>-0.57697969178352204</v>
      </c>
      <c r="L138" s="15">
        <v>-0.59467434713965428</v>
      </c>
      <c r="M138" s="15">
        <v>-0.61422053936756105</v>
      </c>
      <c r="N138" s="15">
        <v>-0.63875708518084073</v>
      </c>
      <c r="O138" s="15">
        <v>-0.67142280129309106</v>
      </c>
      <c r="P138" s="15">
        <v>-0.71535650441791154</v>
      </c>
      <c r="Q138" s="15">
        <v>-0.77369701126889967</v>
      </c>
      <c r="S138" s="17">
        <f t="shared" si="21"/>
        <v>-0.18386714337229909</v>
      </c>
      <c r="T138" s="17">
        <f t="shared" si="13"/>
        <v>-0.14141373484775835</v>
      </c>
      <c r="U138" s="17">
        <f t="shared" si="14"/>
        <v>-0.10680736810721381</v>
      </c>
      <c r="V138" s="17">
        <f t="shared" si="15"/>
        <v>-8.0048043150665243E-2</v>
      </c>
      <c r="W138" s="17">
        <f t="shared" si="16"/>
        <v>-6.11357599781127E-2</v>
      </c>
      <c r="X138" s="17">
        <f t="shared" si="17"/>
        <v>-5.0070518589556232E-2</v>
      </c>
      <c r="Y138" s="17">
        <f t="shared" si="18"/>
        <v>-4.6852318984996102E-2</v>
      </c>
      <c r="Z138" s="17">
        <f t="shared" si="19"/>
        <v>-5.1481161164432243E-2</v>
      </c>
      <c r="AA138" s="17">
        <f t="shared" si="20"/>
        <v>-6.3957045127863987E-2</v>
      </c>
    </row>
    <row r="139" spans="1:27" x14ac:dyDescent="0.3">
      <c r="A139" s="13" t="s">
        <v>130</v>
      </c>
      <c r="B139" s="14" t="s">
        <v>132</v>
      </c>
      <c r="C139" s="15">
        <v>-0.1422442570300296</v>
      </c>
      <c r="D139" s="15">
        <v>-0.24525756141360794</v>
      </c>
      <c r="E139" s="15">
        <v>-0.33772145083494631</v>
      </c>
      <c r="F139" s="15">
        <v>-0.40875726544873292</v>
      </c>
      <c r="G139" s="15">
        <v>-0.46171077111265874</v>
      </c>
      <c r="H139" s="15">
        <v>-0.49992773368441457</v>
      </c>
      <c r="I139" s="15">
        <v>-0.52675391902169177</v>
      </c>
      <c r="J139" s="15">
        <v>-0.54553509298218117</v>
      </c>
      <c r="K139" s="15">
        <v>-0.55961702142357383</v>
      </c>
      <c r="L139" s="15">
        <v>-0.57234547020356075</v>
      </c>
      <c r="M139" s="15">
        <v>-0.58706620517983299</v>
      </c>
      <c r="N139" s="15">
        <v>-0.60712499221008132</v>
      </c>
      <c r="O139" s="15">
        <v>-0.63586759715199703</v>
      </c>
      <c r="P139" s="15">
        <v>-0.67663978586327123</v>
      </c>
      <c r="Q139" s="15">
        <v>-0.73278732420159476</v>
      </c>
      <c r="S139" s="17">
        <f t="shared" si="21"/>
        <v>-0.18037767474920902</v>
      </c>
      <c r="T139" s="17">
        <f t="shared" si="13"/>
        <v>-0.13517190237455687</v>
      </c>
      <c r="U139" s="17">
        <f t="shared" si="14"/>
        <v>-9.8330544644132378E-2</v>
      </c>
      <c r="V139" s="17">
        <f t="shared" si="15"/>
        <v>-6.9853601557935366E-2</v>
      </c>
      <c r="W139" s="17">
        <f t="shared" si="16"/>
        <v>-4.9741073115966053E-2</v>
      </c>
      <c r="X139" s="17">
        <f t="shared" si="17"/>
        <v>-3.7992959318224141E-2</v>
      </c>
      <c r="Y139" s="17">
        <f t="shared" si="18"/>
        <v>-3.4609260164709853E-2</v>
      </c>
      <c r="Z139" s="17">
        <f t="shared" si="19"/>
        <v>-3.9589975655422896E-2</v>
      </c>
      <c r="AA139" s="17">
        <f t="shared" si="20"/>
        <v>-5.2935105790363576E-2</v>
      </c>
    </row>
    <row r="140" spans="1:27" x14ac:dyDescent="0.3">
      <c r="A140" s="13" t="s">
        <v>130</v>
      </c>
      <c r="B140" s="14" t="s">
        <v>133</v>
      </c>
      <c r="C140" s="15">
        <v>-0.13857662229171219</v>
      </c>
      <c r="D140" s="15">
        <v>-0.24021418803202338</v>
      </c>
      <c r="E140" s="15">
        <v>-0.33275175320127376</v>
      </c>
      <c r="F140" s="15">
        <v>-0.40531868989377495</v>
      </c>
      <c r="G140" s="15">
        <v>-0.46090203243300965</v>
      </c>
      <c r="H140" s="15">
        <v>-0.50248881514246069</v>
      </c>
      <c r="I140" s="15">
        <v>-0.53306607234561076</v>
      </c>
      <c r="J140" s="15">
        <v>-0.55562083836594256</v>
      </c>
      <c r="K140" s="15">
        <v>-0.57314014752693887</v>
      </c>
      <c r="L140" s="15">
        <v>-0.5886110341520826</v>
      </c>
      <c r="M140" s="15">
        <v>-0.60502053256485633</v>
      </c>
      <c r="N140" s="15">
        <v>-0.62535567708874273</v>
      </c>
      <c r="O140" s="15">
        <v>-0.65260350204722462</v>
      </c>
      <c r="P140" s="15">
        <v>-0.6897510417637851</v>
      </c>
      <c r="Q140" s="15">
        <v>-0.73978533056190676</v>
      </c>
      <c r="S140" s="17">
        <f t="shared" si="21"/>
        <v>-0.18390653700082191</v>
      </c>
      <c r="T140" s="17">
        <f t="shared" si="13"/>
        <v>-0.14144755161765576</v>
      </c>
      <c r="U140" s="17">
        <f t="shared" si="14"/>
        <v>-0.1064561520431965</v>
      </c>
      <c r="V140" s="17">
        <f t="shared" si="15"/>
        <v>-7.8932338277444086E-2</v>
      </c>
      <c r="W140" s="17">
        <f t="shared" si="16"/>
        <v>-5.8876110320398481E-2</v>
      </c>
      <c r="X140" s="17">
        <f t="shared" si="17"/>
        <v>-4.6287468172059865E-2</v>
      </c>
      <c r="Y140" s="17">
        <f t="shared" si="18"/>
        <v>-4.116641183242814E-2</v>
      </c>
      <c r="Z140" s="17">
        <f t="shared" si="19"/>
        <v>-4.3512941301503225E-2</v>
      </c>
      <c r="AA140" s="17">
        <f t="shared" si="20"/>
        <v>-5.3327056579285007E-2</v>
      </c>
    </row>
    <row r="141" spans="1:27" x14ac:dyDescent="0.3">
      <c r="A141" s="13" t="s">
        <v>130</v>
      </c>
      <c r="B141" s="14" t="s">
        <v>134</v>
      </c>
      <c r="C141" s="15">
        <v>-0.11005849197403969</v>
      </c>
      <c r="D141" s="15">
        <v>-0.19218458614065081</v>
      </c>
      <c r="E141" s="15">
        <v>-0.26868164028860747</v>
      </c>
      <c r="F141" s="15">
        <v>-0.33095756857306347</v>
      </c>
      <c r="G141" s="15">
        <v>-0.38142613434657691</v>
      </c>
      <c r="H141" s="15">
        <v>-0.42250110096170573</v>
      </c>
      <c r="I141" s="15">
        <v>-0.45659623177100783</v>
      </c>
      <c r="J141" s="15">
        <v>-0.48612529012704109</v>
      </c>
      <c r="K141" s="15">
        <v>-0.5135020393823635</v>
      </c>
      <c r="L141" s="15">
        <v>-0.54114024288953311</v>
      </c>
      <c r="M141" s="15">
        <v>-0.57145366400110775</v>
      </c>
      <c r="N141" s="15">
        <v>-0.60685606606964559</v>
      </c>
      <c r="O141" s="15">
        <v>-0.64976121244770391</v>
      </c>
      <c r="P141" s="15">
        <v>-0.70258286648784163</v>
      </c>
      <c r="Q141" s="15">
        <v>-0.76773479154261615</v>
      </c>
      <c r="S141" s="17">
        <f t="shared" si="21"/>
        <v>-0.15770129017160506</v>
      </c>
      <c r="T141" s="17">
        <f t="shared" si="13"/>
        <v>-0.12818288389424856</v>
      </c>
      <c r="U141" s="17">
        <f t="shared" si="14"/>
        <v>-0.10469888599828697</v>
      </c>
      <c r="V141" s="17">
        <f t="shared" si="15"/>
        <v>-8.7249296483720151E-2</v>
      </c>
      <c r="W141" s="17">
        <f t="shared" si="16"/>
        <v>-7.583411535054814E-2</v>
      </c>
      <c r="X141" s="17">
        <f t="shared" si="17"/>
        <v>-7.0453342598771063E-2</v>
      </c>
      <c r="Y141" s="17">
        <f t="shared" si="18"/>
        <v>-7.1106978228388892E-2</v>
      </c>
      <c r="Z141" s="17">
        <f t="shared" si="19"/>
        <v>-7.7795022239401754E-2</v>
      </c>
      <c r="AA141" s="17">
        <f t="shared" si="20"/>
        <v>-9.0517474631809008E-2</v>
      </c>
    </row>
    <row r="142" spans="1:27" x14ac:dyDescent="0.3">
      <c r="A142" s="13" t="s">
        <v>130</v>
      </c>
      <c r="B142" s="14" t="s">
        <v>135</v>
      </c>
      <c r="C142" s="15">
        <v>-0.15454965540403162</v>
      </c>
      <c r="D142" s="15">
        <v>-0.26497022353757888</v>
      </c>
      <c r="E142" s="15">
        <v>-0.36254611957014121</v>
      </c>
      <c r="F142" s="15">
        <v>-0.435778486421602</v>
      </c>
      <c r="G142" s="15">
        <v>-0.48862343255224755</v>
      </c>
      <c r="H142" s="15">
        <v>-0.52503706642236414</v>
      </c>
      <c r="I142" s="15">
        <v>-0.54897549649223842</v>
      </c>
      <c r="J142" s="15">
        <v>-0.56439483122215672</v>
      </c>
      <c r="K142" s="15">
        <v>-0.57525117907240531</v>
      </c>
      <c r="L142" s="15">
        <v>-0.58550064850327099</v>
      </c>
      <c r="M142" s="15">
        <v>-0.59909934797503916</v>
      </c>
      <c r="N142" s="15">
        <v>-0.62000338594799764</v>
      </c>
      <c r="O142" s="15">
        <v>-0.65216887088243203</v>
      </c>
      <c r="P142" s="15">
        <v>-0.69955191123862859</v>
      </c>
      <c r="Q142" s="15">
        <v>-0.76610861547687392</v>
      </c>
      <c r="S142" s="17">
        <f t="shared" si="21"/>
        <v>-0.18637767417889056</v>
      </c>
      <c r="T142" s="17">
        <f t="shared" si="13"/>
        <v>-0.13540912237685243</v>
      </c>
      <c r="U142" s="17">
        <f t="shared" si="14"/>
        <v>-9.4330841725530357E-2</v>
      </c>
      <c r="V142" s="17">
        <f t="shared" si="15"/>
        <v>-6.3142832224924311E-2</v>
      </c>
      <c r="W142" s="17">
        <f t="shared" si="16"/>
        <v>-4.1845093875034309E-2</v>
      </c>
      <c r="X142" s="17">
        <f t="shared" si="17"/>
        <v>-3.0437626675860474E-2</v>
      </c>
      <c r="Y142" s="17">
        <f t="shared" si="18"/>
        <v>-2.8920430627402037E-2</v>
      </c>
      <c r="Z142" s="17">
        <f t="shared" si="19"/>
        <v>-3.7293505729660281E-2</v>
      </c>
      <c r="AA142" s="17">
        <f t="shared" si="20"/>
        <v>-5.5556851982634201E-2</v>
      </c>
    </row>
    <row r="143" spans="1:27" x14ac:dyDescent="0.3">
      <c r="A143" s="13" t="s">
        <v>130</v>
      </c>
      <c r="B143" s="14" t="s">
        <v>136</v>
      </c>
      <c r="C143" s="15">
        <v>-0.14280356315787346</v>
      </c>
      <c r="D143" s="15">
        <v>-0.24580910508457032</v>
      </c>
      <c r="E143" s="15">
        <v>-0.33792454181333681</v>
      </c>
      <c r="F143" s="15">
        <v>-0.40840562758769844</v>
      </c>
      <c r="G143" s="15">
        <v>-0.46078847296696807</v>
      </c>
      <c r="H143" s="15">
        <v>-0.49860918851045827</v>
      </c>
      <c r="I143" s="15">
        <v>-0.52540388477748201</v>
      </c>
      <c r="J143" s="15">
        <v>-0.54470867232735232</v>
      </c>
      <c r="K143" s="15">
        <v>-0.56005966171938171</v>
      </c>
      <c r="L143" s="15">
        <v>-0.57499296351288298</v>
      </c>
      <c r="M143" s="15">
        <v>-0.59304468826716905</v>
      </c>
      <c r="N143" s="15">
        <v>-0.61775094654155227</v>
      </c>
      <c r="O143" s="15">
        <v>-0.65264784889534599</v>
      </c>
      <c r="P143" s="15">
        <v>-0.70127150588786291</v>
      </c>
      <c r="Q143" s="15">
        <v>-0.76715802807841604</v>
      </c>
      <c r="S143" s="17">
        <f t="shared" si="21"/>
        <v>-0.17914947323533145</v>
      </c>
      <c r="T143" s="17">
        <f t="shared" si="13"/>
        <v>-0.13390387224760122</v>
      </c>
      <c r="U143" s="17">
        <f t="shared" si="14"/>
        <v>-9.7498547658152968E-2</v>
      </c>
      <c r="V143" s="17">
        <f t="shared" si="15"/>
        <v>-6.9933499466986876E-2</v>
      </c>
      <c r="W143" s="17">
        <f t="shared" si="16"/>
        <v>-5.1208727674102866E-2</v>
      </c>
      <c r="X143" s="17">
        <f t="shared" si="17"/>
        <v>-4.1324232279500814E-2</v>
      </c>
      <c r="Y143" s="17">
        <f t="shared" si="18"/>
        <v>-4.0280013283180607E-2</v>
      </c>
      <c r="Z143" s="17">
        <f t="shared" si="19"/>
        <v>-4.8076070685142136E-2</v>
      </c>
      <c r="AA143" s="17">
        <f t="shared" si="20"/>
        <v>-6.4712404485385844E-2</v>
      </c>
    </row>
    <row r="144" spans="1:27" x14ac:dyDescent="0.3">
      <c r="A144" s="13" t="s">
        <v>130</v>
      </c>
      <c r="B144" s="14" t="s">
        <v>137</v>
      </c>
      <c r="C144" s="15">
        <v>-0.14274431788641812</v>
      </c>
      <c r="D144" s="15">
        <v>-0.24566292357114672</v>
      </c>
      <c r="E144" s="15">
        <v>-0.33765875968949233</v>
      </c>
      <c r="F144" s="15">
        <v>-0.4080052946917333</v>
      </c>
      <c r="G144" s="15">
        <v>-0.46025042881678985</v>
      </c>
      <c r="H144" s="15">
        <v>-0.49794206230358218</v>
      </c>
      <c r="I144" s="15">
        <v>-0.52462809539103028</v>
      </c>
      <c r="J144" s="15">
        <v>-0.54385642831805492</v>
      </c>
      <c r="K144" s="15">
        <v>-0.55917496132357591</v>
      </c>
      <c r="L144" s="15">
        <v>-0.5741315946465132</v>
      </c>
      <c r="M144" s="15">
        <v>-0.59227422852578737</v>
      </c>
      <c r="N144" s="15">
        <v>-0.6171507632003187</v>
      </c>
      <c r="O144" s="15">
        <v>-0.65230909890902689</v>
      </c>
      <c r="P144" s="15">
        <v>-0.70129713589083242</v>
      </c>
      <c r="Q144" s="15">
        <v>-0.76766277438465647</v>
      </c>
      <c r="S144" s="17">
        <f t="shared" si="21"/>
        <v>-0.17882292103803596</v>
      </c>
      <c r="T144" s="17">
        <f t="shared" si="13"/>
        <v>-0.13356941884507487</v>
      </c>
      <c r="U144" s="17">
        <f t="shared" si="14"/>
        <v>-9.7185667249414159E-2</v>
      </c>
      <c r="V144" s="17">
        <f t="shared" si="15"/>
        <v>-6.9671666251054226E-2</v>
      </c>
      <c r="W144" s="17">
        <f t="shared" si="16"/>
        <v>-5.1027415849994776E-2</v>
      </c>
      <c r="X144" s="17">
        <f t="shared" si="17"/>
        <v>-4.1252916046235766E-2</v>
      </c>
      <c r="Y144" s="17">
        <f t="shared" si="18"/>
        <v>-4.0348166839777044E-2</v>
      </c>
      <c r="Z144" s="17">
        <f t="shared" si="19"/>
        <v>-4.8313168230618986E-2</v>
      </c>
      <c r="AA144" s="17">
        <f t="shared" si="20"/>
        <v>-6.514792021876141E-2</v>
      </c>
    </row>
    <row r="145" spans="1:27" x14ac:dyDescent="0.3">
      <c r="A145" s="13" t="s">
        <v>130</v>
      </c>
      <c r="B145" s="14" t="s">
        <v>138</v>
      </c>
      <c r="C145" s="15">
        <v>-0.14034586969850366</v>
      </c>
      <c r="D145" s="15">
        <v>-0.24203645605484142</v>
      </c>
      <c r="E145" s="15">
        <v>-0.33344825878803147</v>
      </c>
      <c r="F145" s="15">
        <v>-0.40392775616108412</v>
      </c>
      <c r="G145" s="15">
        <v>-0.45685601340686022</v>
      </c>
      <c r="H145" s="15">
        <v>-0.49561409575822052</v>
      </c>
      <c r="I145" s="15">
        <v>-0.52358306844802582</v>
      </c>
      <c r="J145" s="15">
        <v>-0.54414399670913682</v>
      </c>
      <c r="K145" s="15">
        <v>-0.56067794577441432</v>
      </c>
      <c r="L145" s="15">
        <v>-0.57656598087671929</v>
      </c>
      <c r="M145" s="15">
        <v>-0.59518916724891213</v>
      </c>
      <c r="N145" s="15">
        <v>-0.61992857012385427</v>
      </c>
      <c r="O145" s="15">
        <v>-0.65416525473440568</v>
      </c>
      <c r="P145" s="15">
        <v>-0.70128028631342765</v>
      </c>
      <c r="Q145" s="15">
        <v>-0.76465473009378093</v>
      </c>
      <c r="S145" s="17">
        <f t="shared" si="21"/>
        <v>-0.17901629779334902</v>
      </c>
      <c r="T145" s="17">
        <f t="shared" si="13"/>
        <v>-0.13513819747515754</v>
      </c>
      <c r="U145" s="17">
        <f t="shared" si="14"/>
        <v>-9.9712760239118098E-2</v>
      </c>
      <c r="V145" s="17">
        <f t="shared" si="15"/>
        <v>-7.273998608523051E-2</v>
      </c>
      <c r="W145" s="17">
        <f t="shared" si="16"/>
        <v>-5.4219875013494831E-2</v>
      </c>
      <c r="X145" s="17">
        <f t="shared" si="17"/>
        <v>-4.4152427023911214E-2</v>
      </c>
      <c r="Y145" s="17">
        <f t="shared" si="18"/>
        <v>-4.2537642116479424E-2</v>
      </c>
      <c r="Z145" s="17">
        <f t="shared" si="19"/>
        <v>-4.9375520291199959E-2</v>
      </c>
      <c r="AA145" s="17">
        <f t="shared" si="20"/>
        <v>-6.4666061548071987E-2</v>
      </c>
    </row>
    <row r="146" spans="1:27" x14ac:dyDescent="0.3">
      <c r="A146" s="13" t="s">
        <v>130</v>
      </c>
      <c r="B146" s="14" t="s">
        <v>139</v>
      </c>
      <c r="C146" s="15">
        <v>-0.14022848391565595</v>
      </c>
      <c r="D146" s="15">
        <v>-0.24207216079781621</v>
      </c>
      <c r="E146" s="15">
        <v>-0.33399215433186163</v>
      </c>
      <c r="F146" s="15">
        <v>-0.40543485078822417</v>
      </c>
      <c r="G146" s="15">
        <v>-0.45986948482890094</v>
      </c>
      <c r="H146" s="15">
        <v>-0.50076529111588919</v>
      </c>
      <c r="I146" s="15">
        <v>-0.5315915043111864</v>
      </c>
      <c r="J146" s="15">
        <v>-0.55581735907678975</v>
      </c>
      <c r="K146" s="15">
        <v>-0.57691209007469646</v>
      </c>
      <c r="L146" s="15">
        <v>-0.5983449319669043</v>
      </c>
      <c r="M146" s="15">
        <v>-0.62358511941540984</v>
      </c>
      <c r="N146" s="15">
        <v>-0.65610188708221062</v>
      </c>
      <c r="O146" s="15">
        <v>-0.69936446962930454</v>
      </c>
      <c r="P146" s="15">
        <v>-0.75684210171868838</v>
      </c>
      <c r="Q146" s="15">
        <v>-0.83200401801235913</v>
      </c>
      <c r="S146" s="17">
        <f t="shared" si="21"/>
        <v>-0.18149777002590395</v>
      </c>
      <c r="T146" s="17">
        <f t="shared" si="13"/>
        <v>-0.13897761398668962</v>
      </c>
      <c r="U146" s="17">
        <f t="shared" si="14"/>
        <v>-0.10513054460246854</v>
      </c>
      <c r="V146" s="17">
        <f t="shared" si="15"/>
        <v>-7.9956561873240684E-2</v>
      </c>
      <c r="W146" s="17">
        <f t="shared" si="16"/>
        <v>-6.3455665799006064E-2</v>
      </c>
      <c r="X146" s="17">
        <f t="shared" si="17"/>
        <v>-5.5627856379764917E-2</v>
      </c>
      <c r="Y146" s="17">
        <f t="shared" si="18"/>
        <v>-5.6473133615516743E-2</v>
      </c>
      <c r="Z146" s="17">
        <f t="shared" si="19"/>
        <v>-6.5991497506261806E-2</v>
      </c>
      <c r="AA146" s="17">
        <f t="shared" si="20"/>
        <v>-8.4182948052000189E-2</v>
      </c>
    </row>
    <row r="147" spans="1:27" x14ac:dyDescent="0.3">
      <c r="A147" s="13" t="s">
        <v>130</v>
      </c>
      <c r="B147" s="14" t="s">
        <v>140</v>
      </c>
      <c r="C147" s="15">
        <v>-0.14280356315787346</v>
      </c>
      <c r="D147" s="15">
        <v>-0.24580910508457032</v>
      </c>
      <c r="E147" s="15">
        <v>-0.33792454181333681</v>
      </c>
      <c r="F147" s="15">
        <v>-0.40840562758769844</v>
      </c>
      <c r="G147" s="15">
        <v>-0.46078847296696807</v>
      </c>
      <c r="H147" s="15">
        <v>-0.49860918851045827</v>
      </c>
      <c r="I147" s="15">
        <v>-0.52540388477748201</v>
      </c>
      <c r="J147" s="15">
        <v>-0.54470867232735232</v>
      </c>
      <c r="K147" s="15">
        <v>-0.56005966171938171</v>
      </c>
      <c r="L147" s="15">
        <v>-0.57499296351288298</v>
      </c>
      <c r="M147" s="15">
        <v>-0.59304468826716905</v>
      </c>
      <c r="N147" s="15">
        <v>-0.61775094654155227</v>
      </c>
      <c r="O147" s="15">
        <v>-0.65264784889534599</v>
      </c>
      <c r="P147" s="15">
        <v>-0.70127150588786291</v>
      </c>
      <c r="Q147" s="15">
        <v>-0.76715802807841604</v>
      </c>
      <c r="S147" s="17">
        <f t="shared" si="21"/>
        <v>-0.17914947323533145</v>
      </c>
      <c r="T147" s="17">
        <f t="shared" si="13"/>
        <v>-0.13390387224760122</v>
      </c>
      <c r="U147" s="17">
        <f t="shared" si="14"/>
        <v>-9.7498547658152968E-2</v>
      </c>
      <c r="V147" s="17">
        <f t="shared" si="15"/>
        <v>-6.9933499466986876E-2</v>
      </c>
      <c r="W147" s="17">
        <f t="shared" si="16"/>
        <v>-5.1208727674102866E-2</v>
      </c>
      <c r="X147" s="17">
        <f t="shared" si="17"/>
        <v>-4.1324232279500814E-2</v>
      </c>
      <c r="Y147" s="17">
        <f t="shared" si="18"/>
        <v>-4.0280013283180607E-2</v>
      </c>
      <c r="Z147" s="17">
        <f t="shared" si="19"/>
        <v>-4.8076070685142136E-2</v>
      </c>
      <c r="AA147" s="17">
        <f t="shared" si="20"/>
        <v>-6.4712404485385844E-2</v>
      </c>
    </row>
    <row r="148" spans="1:27" x14ac:dyDescent="0.3">
      <c r="A148" s="13" t="s">
        <v>130</v>
      </c>
      <c r="B148" s="14" t="s">
        <v>141</v>
      </c>
      <c r="C148" s="15">
        <v>-0.13033111331153194</v>
      </c>
      <c r="D148" s="15">
        <v>-0.2282075856128635</v>
      </c>
      <c r="E148" s="15">
        <v>-0.31975835480521586</v>
      </c>
      <c r="F148" s="15">
        <v>-0.39441771286969263</v>
      </c>
      <c r="G148" s="15">
        <v>-0.45465306311855064</v>
      </c>
      <c r="H148" s="15">
        <v>-0.50293180886404687</v>
      </c>
      <c r="I148" s="15">
        <v>-0.54172135341843786</v>
      </c>
      <c r="J148" s="15">
        <v>-0.57348910009398091</v>
      </c>
      <c r="K148" s="15">
        <v>-0.60070245220293228</v>
      </c>
      <c r="L148" s="15">
        <v>-0.62582881305754945</v>
      </c>
      <c r="M148" s="15">
        <v>-0.65133558597008889</v>
      </c>
      <c r="N148" s="15">
        <v>-0.67969017425280731</v>
      </c>
      <c r="O148" s="15">
        <v>-0.71335998121796196</v>
      </c>
      <c r="P148" s="15">
        <v>-0.75481241017780909</v>
      </c>
      <c r="Q148" s="15">
        <v>-0.80651486444460618</v>
      </c>
      <c r="S148" s="17">
        <f t="shared" si="21"/>
        <v>-0.18870456458807261</v>
      </c>
      <c r="T148" s="17">
        <f t="shared" si="13"/>
        <v>-0.15264454504902583</v>
      </c>
      <c r="U148" s="17">
        <f t="shared" si="14"/>
        <v>-0.12275303379062102</v>
      </c>
      <c r="V148" s="17">
        <f t="shared" si="15"/>
        <v>-9.9030030812858549E-2</v>
      </c>
      <c r="W148" s="17">
        <f t="shared" si="16"/>
        <v>-8.1475536115737851E-2</v>
      </c>
      <c r="X148" s="17">
        <f t="shared" si="17"/>
        <v>-7.0089549699259665E-2</v>
      </c>
      <c r="Y148" s="17">
        <f t="shared" si="18"/>
        <v>-6.4872071563423325E-2</v>
      </c>
      <c r="Z148" s="17">
        <f t="shared" si="19"/>
        <v>-6.5823101708229192E-2</v>
      </c>
      <c r="AA148" s="17">
        <f t="shared" si="20"/>
        <v>-7.2942640133677086E-2</v>
      </c>
    </row>
    <row r="149" spans="1:27" x14ac:dyDescent="0.3">
      <c r="A149" s="13" t="s">
        <v>142</v>
      </c>
      <c r="B149" s="14" t="s">
        <v>143</v>
      </c>
      <c r="C149" s="15">
        <v>-0.11292985131496236</v>
      </c>
      <c r="D149" s="15">
        <v>-0.19895453372298932</v>
      </c>
      <c r="E149" s="15">
        <v>-0.28107775896557413</v>
      </c>
      <c r="F149" s="15">
        <v>-0.3503981292052879</v>
      </c>
      <c r="G149" s="15">
        <v>-3.5720452926652435E-2</v>
      </c>
      <c r="H149" s="15">
        <v>0</v>
      </c>
      <c r="I149" s="15">
        <v>-0.45893720376316305</v>
      </c>
      <c r="J149" s="15">
        <v>-5.0993022640351438E-2</v>
      </c>
      <c r="K149" s="15">
        <v>-0.53349717916687944</v>
      </c>
      <c r="L149" s="15">
        <v>-0.63138928405105144</v>
      </c>
      <c r="M149" s="15">
        <v>-0.67805411350455436</v>
      </c>
      <c r="N149" s="15">
        <v>-0.73104878630772518</v>
      </c>
      <c r="O149" s="15">
        <v>-0.79276488975463122</v>
      </c>
      <c r="P149" s="15">
        <v>-0.86559401113933998</v>
      </c>
      <c r="Q149" s="15">
        <v>-0.95192773775591899</v>
      </c>
      <c r="S149" s="17">
        <f t="shared" si="21"/>
        <v>0.13602840066361407</v>
      </c>
      <c r="T149" s="17">
        <f t="shared" ref="T149:T212" si="22">+(H149-E149)/3*2.5</f>
        <v>0.23423146580464513</v>
      </c>
      <c r="U149" s="17">
        <f t="shared" ref="U149:U212" si="23">+(I149-F149)/3*2.5</f>
        <v>-9.0449228798229281E-2</v>
      </c>
      <c r="V149" s="17">
        <f t="shared" ref="V149:V212" si="24">+(J149-G149)/3*2.5</f>
        <v>-1.2727141428082501E-2</v>
      </c>
      <c r="W149" s="17">
        <f t="shared" ref="W149:W212" si="25">+(K149-H149)/3*2.5</f>
        <v>-0.4445809826390662</v>
      </c>
      <c r="X149" s="17">
        <f t="shared" ref="X149:X212" si="26">+(L149-I149)/3*2.5</f>
        <v>-0.14371006690657365</v>
      </c>
      <c r="Y149" s="17">
        <f t="shared" ref="Y149:Y212" si="27">+(M149-J149)/3*2.5</f>
        <v>-0.52255090905350243</v>
      </c>
      <c r="Z149" s="17">
        <f t="shared" ref="Z149:Z212" si="28">+(N149-K149)/3*2.5</f>
        <v>-0.16462633928403814</v>
      </c>
      <c r="AA149" s="17">
        <f t="shared" ref="AA149:AA212" si="29">+(O149-L149)/3*2.5</f>
        <v>-0.13447967141964981</v>
      </c>
    </row>
    <row r="150" spans="1:27" x14ac:dyDescent="0.3">
      <c r="A150" s="13" t="s">
        <v>142</v>
      </c>
      <c r="B150" s="14" t="s">
        <v>144</v>
      </c>
      <c r="C150" s="15">
        <v>-8.2061484176069593E-2</v>
      </c>
      <c r="D150" s="15">
        <v>-0.15427479185047599</v>
      </c>
      <c r="E150" s="15">
        <v>-0.23261447210054861</v>
      </c>
      <c r="F150" s="15">
        <v>-0.30859070962758123</v>
      </c>
      <c r="G150" s="15">
        <v>-3.1616441528617312E-2</v>
      </c>
      <c r="H150" s="15">
        <v>0</v>
      </c>
      <c r="I150" s="15">
        <v>-0.47356925378943043</v>
      </c>
      <c r="J150" s="15">
        <v>-5.2618805976603344E-2</v>
      </c>
      <c r="K150" s="15">
        <v>-0.58413979458903453</v>
      </c>
      <c r="L150" s="15">
        <v>-0.69893049226437864</v>
      </c>
      <c r="M150" s="15">
        <v>-0.75041995805935191</v>
      </c>
      <c r="N150" s="15">
        <v>-0.79727664608249116</v>
      </c>
      <c r="O150" s="15">
        <v>-0.83921688945269701</v>
      </c>
      <c r="P150" s="15">
        <v>-0.87595702128887021</v>
      </c>
      <c r="Q150" s="15">
        <v>-0.90721337470991159</v>
      </c>
      <c r="S150" s="17">
        <f t="shared" si="21"/>
        <v>0.10221529193488224</v>
      </c>
      <c r="T150" s="17">
        <f t="shared" si="22"/>
        <v>0.19384539341712384</v>
      </c>
      <c r="U150" s="17">
        <f t="shared" si="23"/>
        <v>-0.13748212013487435</v>
      </c>
      <c r="V150" s="17">
        <f t="shared" si="24"/>
        <v>-1.7501970373321695E-2</v>
      </c>
      <c r="W150" s="17">
        <f t="shared" si="25"/>
        <v>-0.48678316215752881</v>
      </c>
      <c r="X150" s="17">
        <f t="shared" si="26"/>
        <v>-0.18780103206245682</v>
      </c>
      <c r="Y150" s="17">
        <f t="shared" si="27"/>
        <v>-0.58150096006895713</v>
      </c>
      <c r="Z150" s="17">
        <f t="shared" si="28"/>
        <v>-0.17761404291121385</v>
      </c>
      <c r="AA150" s="17">
        <f t="shared" si="29"/>
        <v>-0.11690533099026532</v>
      </c>
    </row>
    <row r="151" spans="1:27" x14ac:dyDescent="0.3">
      <c r="A151" s="13" t="s">
        <v>142</v>
      </c>
      <c r="B151" s="14" t="s">
        <v>145</v>
      </c>
      <c r="C151" s="15">
        <v>-9.514135342323779E-2</v>
      </c>
      <c r="D151" s="15">
        <v>-0.17461977196430101</v>
      </c>
      <c r="E151" s="15">
        <v>-0.25718636781234883</v>
      </c>
      <c r="F151" s="15">
        <v>-0.33377816279548406</v>
      </c>
      <c r="G151" s="15">
        <v>-3.4137804544231876E-2</v>
      </c>
      <c r="H151" s="15">
        <v>0</v>
      </c>
      <c r="I151" s="15">
        <v>-0.48447718709796928</v>
      </c>
      <c r="J151" s="15">
        <v>-5.3830798566441018E-2</v>
      </c>
      <c r="K151" s="15">
        <v>-0.58339566137784848</v>
      </c>
      <c r="L151" s="15">
        <v>-0.69312291607502174</v>
      </c>
      <c r="M151" s="15">
        <v>-0.74052350577571402</v>
      </c>
      <c r="N151" s="15">
        <v>-0.78555855197490687</v>
      </c>
      <c r="O151" s="15">
        <v>-0.8286792118430264</v>
      </c>
      <c r="P151" s="15">
        <v>-0.87033664255049958</v>
      </c>
      <c r="Q151" s="15">
        <v>-0.91098200126775286</v>
      </c>
      <c r="S151" s="17">
        <f t="shared" si="21"/>
        <v>0.11706830618339095</v>
      </c>
      <c r="T151" s="17">
        <f t="shared" si="22"/>
        <v>0.21432197317695734</v>
      </c>
      <c r="U151" s="17">
        <f t="shared" si="23"/>
        <v>-0.12558252025207101</v>
      </c>
      <c r="V151" s="17">
        <f t="shared" si="24"/>
        <v>-1.6410828351840951E-2</v>
      </c>
      <c r="W151" s="17">
        <f t="shared" si="25"/>
        <v>-0.48616305114820707</v>
      </c>
      <c r="X151" s="17">
        <f t="shared" si="26"/>
        <v>-0.17387144081421041</v>
      </c>
      <c r="Y151" s="17">
        <f t="shared" si="27"/>
        <v>-0.57224392267439417</v>
      </c>
      <c r="Z151" s="17">
        <f t="shared" si="28"/>
        <v>-0.16846907549754864</v>
      </c>
      <c r="AA151" s="17">
        <f t="shared" si="29"/>
        <v>-0.11296357980667054</v>
      </c>
    </row>
    <row r="152" spans="1:27" x14ac:dyDescent="0.3">
      <c r="A152" s="13" t="s">
        <v>142</v>
      </c>
      <c r="B152" s="14" t="s">
        <v>146</v>
      </c>
      <c r="C152" s="15">
        <v>-9.5268544198350721E-2</v>
      </c>
      <c r="D152" s="15">
        <v>-0.17366181651838564</v>
      </c>
      <c r="E152" s="15">
        <v>-0.25411458814182813</v>
      </c>
      <c r="F152" s="15">
        <v>-0.32787506372748021</v>
      </c>
      <c r="G152" s="15">
        <v>-3.351849633847459E-2</v>
      </c>
      <c r="H152" s="15">
        <v>0</v>
      </c>
      <c r="I152" s="15">
        <v>-0.47028942279858116</v>
      </c>
      <c r="J152" s="15">
        <v>-5.2254380310953474E-2</v>
      </c>
      <c r="K152" s="15">
        <v>-0.56572664584629562</v>
      </c>
      <c r="L152" s="15">
        <v>-0.67330300885146921</v>
      </c>
      <c r="M152" s="15">
        <v>-0.72191906637442615</v>
      </c>
      <c r="N152" s="15">
        <v>-0.77004330048868908</v>
      </c>
      <c r="O152" s="15">
        <v>-0.81845077027289515</v>
      </c>
      <c r="P152" s="15">
        <v>-0.86791653480568154</v>
      </c>
      <c r="Q152" s="15">
        <v>-0.91921565316568488</v>
      </c>
      <c r="S152" s="17">
        <f t="shared" si="21"/>
        <v>0.11678610014992588</v>
      </c>
      <c r="T152" s="17">
        <f t="shared" si="22"/>
        <v>0.2117621567848568</v>
      </c>
      <c r="U152" s="17">
        <f t="shared" si="23"/>
        <v>-0.11867863255925079</v>
      </c>
      <c r="V152" s="17">
        <f t="shared" si="24"/>
        <v>-1.5613236643732403E-2</v>
      </c>
      <c r="W152" s="17">
        <f t="shared" si="25"/>
        <v>-0.47143887153857972</v>
      </c>
      <c r="X152" s="17">
        <f t="shared" si="26"/>
        <v>-0.16917798837740669</v>
      </c>
      <c r="Y152" s="17">
        <f t="shared" si="27"/>
        <v>-0.55805390505289398</v>
      </c>
      <c r="Z152" s="17">
        <f t="shared" si="28"/>
        <v>-0.17026387886866123</v>
      </c>
      <c r="AA152" s="17">
        <f t="shared" si="29"/>
        <v>-0.12095646785118827</v>
      </c>
    </row>
    <row r="153" spans="1:27" x14ac:dyDescent="0.3">
      <c r="A153" s="13" t="s">
        <v>142</v>
      </c>
      <c r="B153" s="14" t="s">
        <v>147</v>
      </c>
      <c r="C153" s="15">
        <v>-9.7141670769740396E-2</v>
      </c>
      <c r="D153" s="15">
        <v>-0.17670490052833249</v>
      </c>
      <c r="E153" s="15">
        <v>-0.25800733728550618</v>
      </c>
      <c r="F153" s="15">
        <v>-0.3321827273761655</v>
      </c>
      <c r="G153" s="15">
        <v>-3.3952984383197826E-2</v>
      </c>
      <c r="H153" s="15">
        <v>0</v>
      </c>
      <c r="I153" s="15">
        <v>-0.4735520457058599</v>
      </c>
      <c r="J153" s="15">
        <v>-5.2616893967317779E-2</v>
      </c>
      <c r="K153" s="15">
        <v>-0.56783592554259621</v>
      </c>
      <c r="L153" s="15">
        <v>-0.6750502389884836</v>
      </c>
      <c r="M153" s="15">
        <v>-0.72307787794612455</v>
      </c>
      <c r="N153" s="15">
        <v>-0.77076177753227459</v>
      </c>
      <c r="O153" s="15">
        <v>-0.81894985115881214</v>
      </c>
      <c r="P153" s="15">
        <v>-0.86849001223761435</v>
      </c>
      <c r="Q153" s="15">
        <v>-0.92023017418055986</v>
      </c>
      <c r="S153" s="17">
        <f t="shared" si="21"/>
        <v>0.11895993012094555</v>
      </c>
      <c r="T153" s="17">
        <f t="shared" si="22"/>
        <v>0.2150061144045885</v>
      </c>
      <c r="U153" s="17">
        <f t="shared" si="23"/>
        <v>-0.11780776527474535</v>
      </c>
      <c r="V153" s="17">
        <f t="shared" si="24"/>
        <v>-1.5553257986766628E-2</v>
      </c>
      <c r="W153" s="17">
        <f t="shared" si="25"/>
        <v>-0.47319660461883017</v>
      </c>
      <c r="X153" s="17">
        <f t="shared" si="26"/>
        <v>-0.1679151610688531</v>
      </c>
      <c r="Y153" s="17">
        <f t="shared" si="27"/>
        <v>-0.55871748664900556</v>
      </c>
      <c r="Z153" s="17">
        <f t="shared" si="28"/>
        <v>-0.16910487665806534</v>
      </c>
      <c r="AA153" s="17">
        <f t="shared" si="29"/>
        <v>-0.11991634347527377</v>
      </c>
    </row>
    <row r="154" spans="1:27" x14ac:dyDescent="0.3">
      <c r="A154" s="13" t="s">
        <v>142</v>
      </c>
      <c r="B154" s="14" t="s">
        <v>148</v>
      </c>
      <c r="C154" s="15">
        <v>-9.4823371596747946E-2</v>
      </c>
      <c r="D154" s="15">
        <v>-0.17306887253657516</v>
      </c>
      <c r="E154" s="15">
        <v>-0.25356431487723996</v>
      </c>
      <c r="F154" s="15">
        <v>-0.327551284069305</v>
      </c>
      <c r="G154" s="15">
        <v>-3.3488562017963575E-2</v>
      </c>
      <c r="H154" s="15">
        <v>0</v>
      </c>
      <c r="I154" s="15">
        <v>-0.47118459983982991</v>
      </c>
      <c r="J154" s="15">
        <v>-5.2353844426647755E-2</v>
      </c>
      <c r="K154" s="15">
        <v>-0.56735865336676239</v>
      </c>
      <c r="L154" s="15">
        <v>-0.67533482927440303</v>
      </c>
      <c r="M154" s="15">
        <v>-0.72403231951292091</v>
      </c>
      <c r="N154" s="15">
        <v>-0.77201271748473943</v>
      </c>
      <c r="O154" s="15">
        <v>-0.81999994580009594</v>
      </c>
      <c r="P154" s="15">
        <v>-0.86871792706922812</v>
      </c>
      <c r="Q154" s="15">
        <v>-0.91889058390237333</v>
      </c>
      <c r="S154" s="17">
        <f t="shared" si="21"/>
        <v>0.11631692543217631</v>
      </c>
      <c r="T154" s="17">
        <f t="shared" si="22"/>
        <v>0.2113035957310333</v>
      </c>
      <c r="U154" s="17">
        <f t="shared" si="23"/>
        <v>-0.11969442980877076</v>
      </c>
      <c r="V154" s="17">
        <f t="shared" si="24"/>
        <v>-1.5721068673903483E-2</v>
      </c>
      <c r="W154" s="17">
        <f t="shared" si="25"/>
        <v>-0.47279887780563529</v>
      </c>
      <c r="X154" s="17">
        <f t="shared" si="26"/>
        <v>-0.17012519119547762</v>
      </c>
      <c r="Y154" s="17">
        <f t="shared" si="27"/>
        <v>-0.55973206257189434</v>
      </c>
      <c r="Z154" s="17">
        <f t="shared" si="28"/>
        <v>-0.17054505343164755</v>
      </c>
      <c r="AA154" s="17">
        <f t="shared" si="29"/>
        <v>-0.12055426377141076</v>
      </c>
    </row>
    <row r="155" spans="1:27" x14ac:dyDescent="0.3">
      <c r="A155" s="13" t="s">
        <v>149</v>
      </c>
      <c r="B155" s="14" t="s">
        <v>150</v>
      </c>
      <c r="C155" s="15">
        <v>-0.13027519918776126</v>
      </c>
      <c r="D155" s="15">
        <v>-0.2264341103086302</v>
      </c>
      <c r="E155" s="15">
        <v>-0.31466290833995014</v>
      </c>
      <c r="F155" s="15">
        <v>-0.38468333069704819</v>
      </c>
      <c r="G155" s="15">
        <v>-0.43924463471402753</v>
      </c>
      <c r="H155" s="15">
        <v>-0.48109607772499136</v>
      </c>
      <c r="I155" s="15">
        <v>-0.51298691706404276</v>
      </c>
      <c r="J155" s="15">
        <v>-0.53766641006528515</v>
      </c>
      <c r="K155" s="15">
        <v>-0.55788381406282173</v>
      </c>
      <c r="L155" s="15">
        <v>-0.57638838639075551</v>
      </c>
      <c r="M155" s="15">
        <v>-0.59592938438318965</v>
      </c>
      <c r="N155" s="15">
        <v>-0.61925606537422784</v>
      </c>
      <c r="O155" s="15">
        <v>-0.64911768669797254</v>
      </c>
      <c r="P155" s="15">
        <v>-0.68826350568852734</v>
      </c>
      <c r="Q155" s="15">
        <v>-0.73944277967999594</v>
      </c>
      <c r="S155" s="17">
        <f t="shared" si="21"/>
        <v>-0.17734210367116446</v>
      </c>
      <c r="T155" s="17">
        <f t="shared" si="22"/>
        <v>-0.13869430782086767</v>
      </c>
      <c r="U155" s="17">
        <f t="shared" si="23"/>
        <v>-0.10691965530582881</v>
      </c>
      <c r="V155" s="17">
        <f t="shared" si="24"/>
        <v>-8.2018146126048019E-2</v>
      </c>
      <c r="W155" s="17">
        <f t="shared" si="25"/>
        <v>-6.3989780281525313E-2</v>
      </c>
      <c r="X155" s="17">
        <f t="shared" si="26"/>
        <v>-5.2834557772260635E-2</v>
      </c>
      <c r="Y155" s="17">
        <f t="shared" si="27"/>
        <v>-4.8552478598253748E-2</v>
      </c>
      <c r="Z155" s="17">
        <f t="shared" si="28"/>
        <v>-5.1143542759505098E-2</v>
      </c>
      <c r="AA155" s="17">
        <f t="shared" si="29"/>
        <v>-6.0607750256014184E-2</v>
      </c>
    </row>
    <row r="156" spans="1:27" x14ac:dyDescent="0.3">
      <c r="A156" s="13" t="s">
        <v>149</v>
      </c>
      <c r="B156" s="14" t="s">
        <v>151</v>
      </c>
      <c r="C156" s="15">
        <v>-0.12015601948212097</v>
      </c>
      <c r="D156" s="15">
        <v>-0.20960888594034896</v>
      </c>
      <c r="E156" s="15">
        <v>-0.29248050862676117</v>
      </c>
      <c r="F156" s="15">
        <v>-0.35916317439272033</v>
      </c>
      <c r="G156" s="15">
        <v>-0.41206477203780156</v>
      </c>
      <c r="H156" s="15">
        <v>-0.45359319036157975</v>
      </c>
      <c r="I156" s="15">
        <v>-0.48615631816362986</v>
      </c>
      <c r="J156" s="15">
        <v>-0.51216204424352707</v>
      </c>
      <c r="K156" s="15">
        <v>-0.53401825740084607</v>
      </c>
      <c r="L156" s="15">
        <v>-0.55413284643516214</v>
      </c>
      <c r="M156" s="15">
        <v>-0.57491370014604981</v>
      </c>
      <c r="N156" s="15">
        <v>-0.59876870733308474</v>
      </c>
      <c r="O156" s="15">
        <v>-0.62810575679584124</v>
      </c>
      <c r="P156" s="15">
        <v>-0.66533273733389442</v>
      </c>
      <c r="Q156" s="15">
        <v>-0.7128575377468197</v>
      </c>
      <c r="S156" s="17">
        <f t="shared" si="21"/>
        <v>-0.16871323841454383</v>
      </c>
      <c r="T156" s="17">
        <f t="shared" si="22"/>
        <v>-0.13426056811234882</v>
      </c>
      <c r="U156" s="17">
        <f t="shared" si="23"/>
        <v>-0.10582761980909128</v>
      </c>
      <c r="V156" s="17">
        <f t="shared" si="24"/>
        <v>-8.3414393504771256E-2</v>
      </c>
      <c r="W156" s="17">
        <f t="shared" si="25"/>
        <v>-6.7020889199388603E-2</v>
      </c>
      <c r="X156" s="17">
        <f t="shared" si="26"/>
        <v>-5.6647106892943569E-2</v>
      </c>
      <c r="Y156" s="17">
        <f t="shared" si="27"/>
        <v>-5.2293046585435612E-2</v>
      </c>
      <c r="Z156" s="17">
        <f t="shared" si="28"/>
        <v>-5.3958708276865552E-2</v>
      </c>
      <c r="AA156" s="17">
        <f t="shared" si="29"/>
        <v>-6.1644091967232584E-2</v>
      </c>
    </row>
    <row r="157" spans="1:27" x14ac:dyDescent="0.3">
      <c r="A157" s="13" t="s">
        <v>149</v>
      </c>
      <c r="B157" s="14" t="s">
        <v>152</v>
      </c>
      <c r="C157" s="15">
        <v>-0.13043559310071229</v>
      </c>
      <c r="D157" s="15">
        <v>-0.22668079288803888</v>
      </c>
      <c r="E157" s="15">
        <v>-0.31495537459461564</v>
      </c>
      <c r="F157" s="15">
        <v>-0.38497389539379795</v>
      </c>
      <c r="G157" s="15">
        <v>-0.43949447176901241</v>
      </c>
      <c r="H157" s="15">
        <v>-0.48127522020368563</v>
      </c>
      <c r="I157" s="15">
        <v>-0.51307425718124433</v>
      </c>
      <c r="J157" s="15">
        <v>-0.53764969918511485</v>
      </c>
      <c r="K157" s="15">
        <v>-0.55775966269872401</v>
      </c>
      <c r="L157" s="15">
        <v>-0.57616226420549843</v>
      </c>
      <c r="M157" s="15">
        <v>-0.59561562018886471</v>
      </c>
      <c r="N157" s="15">
        <v>-0.61887784713224914</v>
      </c>
      <c r="O157" s="15">
        <v>-0.64870706151907898</v>
      </c>
      <c r="P157" s="15">
        <v>-0.68786137983278028</v>
      </c>
      <c r="Q157" s="15">
        <v>-0.73909891855677956</v>
      </c>
      <c r="S157" s="17">
        <f t="shared" si="21"/>
        <v>-0.17734473240081125</v>
      </c>
      <c r="T157" s="17">
        <f t="shared" si="22"/>
        <v>-0.13859987134089166</v>
      </c>
      <c r="U157" s="17">
        <f t="shared" si="23"/>
        <v>-0.10675030148953865</v>
      </c>
      <c r="V157" s="17">
        <f t="shared" si="24"/>
        <v>-8.1796022846752026E-2</v>
      </c>
      <c r="W157" s="17">
        <f t="shared" si="25"/>
        <v>-6.3737035412531992E-2</v>
      </c>
      <c r="X157" s="17">
        <f t="shared" si="26"/>
        <v>-5.2573339186878412E-2</v>
      </c>
      <c r="Y157" s="17">
        <f t="shared" si="27"/>
        <v>-4.830493416979155E-2</v>
      </c>
      <c r="Z157" s="17">
        <f t="shared" si="28"/>
        <v>-5.0931820361270932E-2</v>
      </c>
      <c r="AA157" s="17">
        <f t="shared" si="29"/>
        <v>-6.0453997761317116E-2</v>
      </c>
    </row>
    <row r="158" spans="1:27" x14ac:dyDescent="0.3">
      <c r="A158" s="13" t="s">
        <v>149</v>
      </c>
      <c r="B158" s="14" t="s">
        <v>153</v>
      </c>
      <c r="C158" s="15">
        <v>-0.14394058744502525</v>
      </c>
      <c r="D158" s="15">
        <v>-0.24817237263644731</v>
      </c>
      <c r="E158" s="15">
        <v>-0.34178681945904388</v>
      </c>
      <c r="F158" s="15">
        <v>-0.41385219769560322</v>
      </c>
      <c r="G158" s="15">
        <v>-0.46783083587341606</v>
      </c>
      <c r="H158" s="15">
        <v>-0.50718506251977302</v>
      </c>
      <c r="I158" s="15">
        <v>-0.53537720616196516</v>
      </c>
      <c r="J158" s="15">
        <v>-0.55586959532728297</v>
      </c>
      <c r="K158" s="15">
        <v>-0.57212455854301703</v>
      </c>
      <c r="L158" s="15">
        <v>-0.58760442433645865</v>
      </c>
      <c r="M158" s="15">
        <v>-0.60577152123489775</v>
      </c>
      <c r="N158" s="15">
        <v>-0.63008817776562609</v>
      </c>
      <c r="O158" s="15">
        <v>-0.66401672245593357</v>
      </c>
      <c r="P158" s="15">
        <v>-0.7110194838331112</v>
      </c>
      <c r="Q158" s="15">
        <v>-0.77455879042444986</v>
      </c>
      <c r="S158" s="17">
        <f t="shared" si="21"/>
        <v>-0.18304871936414061</v>
      </c>
      <c r="T158" s="17">
        <f t="shared" si="22"/>
        <v>-0.13783186921727428</v>
      </c>
      <c r="U158" s="17">
        <f t="shared" si="23"/>
        <v>-0.10127084038863496</v>
      </c>
      <c r="V158" s="17">
        <f t="shared" si="24"/>
        <v>-7.3365632878222425E-2</v>
      </c>
      <c r="W158" s="17">
        <f t="shared" si="25"/>
        <v>-5.4116246686036665E-2</v>
      </c>
      <c r="X158" s="17">
        <f t="shared" si="26"/>
        <v>-4.3522681812077912E-2</v>
      </c>
      <c r="Y158" s="17">
        <f t="shared" si="27"/>
        <v>-4.1584938256345641E-2</v>
      </c>
      <c r="Z158" s="17">
        <f t="shared" si="28"/>
        <v>-4.8303016018840891E-2</v>
      </c>
      <c r="AA158" s="17">
        <f t="shared" si="29"/>
        <v>-6.3676915099562428E-2</v>
      </c>
    </row>
    <row r="159" spans="1:27" x14ac:dyDescent="0.3">
      <c r="A159" s="13" t="s">
        <v>149</v>
      </c>
      <c r="B159" s="14" t="s">
        <v>154</v>
      </c>
      <c r="C159" s="15">
        <v>-0.12618250964956104</v>
      </c>
      <c r="D159" s="15">
        <v>-0.21957586150284025</v>
      </c>
      <c r="E159" s="15">
        <v>-0.3059703353526832</v>
      </c>
      <c r="F159" s="15">
        <v>-0.37585322438200103</v>
      </c>
      <c r="G159" s="15">
        <v>-0.4323300727386612</v>
      </c>
      <c r="H159" s="15">
        <v>-0.47850642457053122</v>
      </c>
      <c r="I159" s="15">
        <v>-0.51748782402547822</v>
      </c>
      <c r="J159" s="15">
        <v>-0.55237981525136959</v>
      </c>
      <c r="K159" s="15">
        <v>-0.58628794239607285</v>
      </c>
      <c r="L159" s="15">
        <v>-0.62231774960745512</v>
      </c>
      <c r="M159" s="15">
        <v>-0.66357478103338419</v>
      </c>
      <c r="N159" s="15">
        <v>-0.71316458082172718</v>
      </c>
      <c r="O159" s="15">
        <v>-0.77419269312035122</v>
      </c>
      <c r="P159" s="15">
        <v>-0.84976466207712431</v>
      </c>
      <c r="Q159" s="15">
        <v>-0.94298603183991281</v>
      </c>
      <c r="S159" s="17">
        <f t="shared" si="21"/>
        <v>-0.17729517602985079</v>
      </c>
      <c r="T159" s="17">
        <f t="shared" si="22"/>
        <v>-0.14378007434820669</v>
      </c>
      <c r="U159" s="17">
        <f t="shared" si="23"/>
        <v>-0.11802883303623099</v>
      </c>
      <c r="V159" s="17">
        <f t="shared" si="24"/>
        <v>-0.10004145209392365</v>
      </c>
      <c r="W159" s="17">
        <f t="shared" si="25"/>
        <v>-8.98179315212847E-2</v>
      </c>
      <c r="X159" s="17">
        <f t="shared" si="26"/>
        <v>-8.7358271318314085E-2</v>
      </c>
      <c r="Y159" s="17">
        <f t="shared" si="27"/>
        <v>-9.2662471485012166E-2</v>
      </c>
      <c r="Z159" s="17">
        <f t="shared" si="28"/>
        <v>-0.10573053202137861</v>
      </c>
      <c r="AA159" s="17">
        <f t="shared" si="29"/>
        <v>-0.12656245292741342</v>
      </c>
    </row>
    <row r="160" spans="1:27" x14ac:dyDescent="0.3">
      <c r="A160" s="13" t="s">
        <v>149</v>
      </c>
      <c r="B160" s="14" t="s">
        <v>155</v>
      </c>
      <c r="C160" s="15">
        <v>-0.13043559310071229</v>
      </c>
      <c r="D160" s="15">
        <v>-0.22668079288803888</v>
      </c>
      <c r="E160" s="15">
        <v>-0.31495537459461564</v>
      </c>
      <c r="F160" s="15">
        <v>-0.38497389539379795</v>
      </c>
      <c r="G160" s="15">
        <v>-0.43949447176901241</v>
      </c>
      <c r="H160" s="15">
        <v>-0.48127522020368563</v>
      </c>
      <c r="I160" s="15">
        <v>-0.51307425718124433</v>
      </c>
      <c r="J160" s="15">
        <v>-0.53764969918511485</v>
      </c>
      <c r="K160" s="15">
        <v>-0.55775966269872401</v>
      </c>
      <c r="L160" s="15">
        <v>-0.57616226420549843</v>
      </c>
      <c r="M160" s="15">
        <v>-0.59561562018886471</v>
      </c>
      <c r="N160" s="15">
        <v>-0.61887784713224914</v>
      </c>
      <c r="O160" s="15">
        <v>-0.64870706151907898</v>
      </c>
      <c r="P160" s="15">
        <v>-0.68786137983278028</v>
      </c>
      <c r="Q160" s="15">
        <v>-0.73909891855677956</v>
      </c>
      <c r="S160" s="17">
        <f t="shared" si="21"/>
        <v>-0.17734473240081125</v>
      </c>
      <c r="T160" s="17">
        <f t="shared" si="22"/>
        <v>-0.13859987134089166</v>
      </c>
      <c r="U160" s="17">
        <f t="shared" si="23"/>
        <v>-0.10675030148953865</v>
      </c>
      <c r="V160" s="17">
        <f t="shared" si="24"/>
        <v>-8.1796022846752026E-2</v>
      </c>
      <c r="W160" s="17">
        <f t="shared" si="25"/>
        <v>-6.3737035412531992E-2</v>
      </c>
      <c r="X160" s="17">
        <f t="shared" si="26"/>
        <v>-5.2573339186878412E-2</v>
      </c>
      <c r="Y160" s="17">
        <f t="shared" si="27"/>
        <v>-4.830493416979155E-2</v>
      </c>
      <c r="Z160" s="17">
        <f t="shared" si="28"/>
        <v>-5.0931820361270932E-2</v>
      </c>
      <c r="AA160" s="17">
        <f t="shared" si="29"/>
        <v>-6.0453997761317116E-2</v>
      </c>
    </row>
    <row r="161" spans="1:27" x14ac:dyDescent="0.3">
      <c r="A161" s="13" t="s">
        <v>149</v>
      </c>
      <c r="B161" s="14" t="s">
        <v>156</v>
      </c>
      <c r="C161" s="15">
        <v>-0.11951087574921186</v>
      </c>
      <c r="D161" s="15">
        <v>-0.21059732817195204</v>
      </c>
      <c r="E161" s="15">
        <v>-0.29719667997101962</v>
      </c>
      <c r="F161" s="15">
        <v>-0.3694306415626244</v>
      </c>
      <c r="G161" s="15">
        <v>-0.42937201093789734</v>
      </c>
      <c r="H161" s="15">
        <v>-0.47909358608796926</v>
      </c>
      <c r="I161" s="15">
        <v>-0.52066816500397128</v>
      </c>
      <c r="J161" s="15">
        <v>-0.55616854567703422</v>
      </c>
      <c r="K161" s="15">
        <v>-0.58766752609828909</v>
      </c>
      <c r="L161" s="15">
        <v>-0.61723790425886704</v>
      </c>
      <c r="M161" s="15">
        <v>-0.64695247814989865</v>
      </c>
      <c r="N161" s="15">
        <v>-0.67888404576251493</v>
      </c>
      <c r="O161" s="15">
        <v>-0.71510540508784715</v>
      </c>
      <c r="P161" s="15">
        <v>-0.75768935411702609</v>
      </c>
      <c r="Q161" s="15">
        <v>-0.80870869084118291</v>
      </c>
      <c r="S161" s="17">
        <f t="shared" si="21"/>
        <v>-0.18231223563828777</v>
      </c>
      <c r="T161" s="17">
        <f t="shared" si="22"/>
        <v>-0.15158075509745803</v>
      </c>
      <c r="U161" s="17">
        <f t="shared" si="23"/>
        <v>-0.12603126953445573</v>
      </c>
      <c r="V161" s="17">
        <f t="shared" si="24"/>
        <v>-0.10566377894928072</v>
      </c>
      <c r="W161" s="17">
        <f t="shared" si="25"/>
        <v>-9.0478283341933197E-2</v>
      </c>
      <c r="X161" s="17">
        <f t="shared" si="26"/>
        <v>-8.0474782712413123E-2</v>
      </c>
      <c r="Y161" s="17">
        <f t="shared" si="27"/>
        <v>-7.565327706072035E-2</v>
      </c>
      <c r="Z161" s="17">
        <f t="shared" si="28"/>
        <v>-7.6013766386854864E-2</v>
      </c>
      <c r="AA161" s="17">
        <f t="shared" si="29"/>
        <v>-8.1556250690816762E-2</v>
      </c>
    </row>
    <row r="162" spans="1:27" x14ac:dyDescent="0.3">
      <c r="A162" s="13" t="s">
        <v>149</v>
      </c>
      <c r="B162" s="14" t="s">
        <v>157</v>
      </c>
      <c r="C162" s="15">
        <v>-0.12592150378395123</v>
      </c>
      <c r="D162" s="15">
        <v>-0.21975150125452664</v>
      </c>
      <c r="E162" s="15">
        <v>-0.30673370584493242</v>
      </c>
      <c r="F162" s="15">
        <v>-0.37674930915488758</v>
      </c>
      <c r="G162" s="15">
        <v>-0.43227165316250626</v>
      </c>
      <c r="H162" s="15">
        <v>-0.4757740798459027</v>
      </c>
      <c r="I162" s="15">
        <v>-0.50972993118319088</v>
      </c>
      <c r="J162" s="15">
        <v>-0.53661254915248502</v>
      </c>
      <c r="K162" s="15">
        <v>-0.55889527573189923</v>
      </c>
      <c r="L162" s="15">
        <v>-0.57905145289954774</v>
      </c>
      <c r="M162" s="15">
        <v>-0.59955442263354464</v>
      </c>
      <c r="N162" s="15">
        <v>-0.62287752691200393</v>
      </c>
      <c r="O162" s="15">
        <v>-0.65149410771304006</v>
      </c>
      <c r="P162" s="15">
        <v>-0.6878775070147668</v>
      </c>
      <c r="Q162" s="15">
        <v>-0.73450106679529858</v>
      </c>
      <c r="S162" s="17">
        <f t="shared" si="21"/>
        <v>-0.177100126589983</v>
      </c>
      <c r="T162" s="17">
        <f t="shared" si="22"/>
        <v>-0.14086697833414188</v>
      </c>
      <c r="U162" s="17">
        <f t="shared" si="23"/>
        <v>-0.11081718502358609</v>
      </c>
      <c r="V162" s="17">
        <f t="shared" si="24"/>
        <v>-8.695074665831562E-2</v>
      </c>
      <c r="W162" s="17">
        <f t="shared" si="25"/>
        <v>-6.9267663238330446E-2</v>
      </c>
      <c r="X162" s="17">
        <f t="shared" si="26"/>
        <v>-5.7767934763630721E-2</v>
      </c>
      <c r="Y162" s="17">
        <f t="shared" si="27"/>
        <v>-5.2451561234216348E-2</v>
      </c>
      <c r="Z162" s="17">
        <f t="shared" si="28"/>
        <v>-5.3318542650087244E-2</v>
      </c>
      <c r="AA162" s="17">
        <f t="shared" si="29"/>
        <v>-6.0368879011243604E-2</v>
      </c>
    </row>
    <row r="163" spans="1:27" x14ac:dyDescent="0.3">
      <c r="A163" s="13" t="s">
        <v>149</v>
      </c>
      <c r="B163" s="14" t="s">
        <v>158</v>
      </c>
      <c r="C163" s="15">
        <v>-0.13043559310071229</v>
      </c>
      <c r="D163" s="15">
        <v>-0.22668079288803888</v>
      </c>
      <c r="E163" s="15">
        <v>-0.31495537459461564</v>
      </c>
      <c r="F163" s="15">
        <v>-0.38497389539379795</v>
      </c>
      <c r="G163" s="15">
        <v>-0.43949447176901241</v>
      </c>
      <c r="H163" s="15">
        <v>-0.48127522020368563</v>
      </c>
      <c r="I163" s="15">
        <v>-0.51307425718124433</v>
      </c>
      <c r="J163" s="15">
        <v>-0.53764969918511485</v>
      </c>
      <c r="K163" s="15">
        <v>-0.55775966269872401</v>
      </c>
      <c r="L163" s="15">
        <v>-0.57616226420549843</v>
      </c>
      <c r="M163" s="15">
        <v>-0.59561562018886471</v>
      </c>
      <c r="N163" s="15">
        <v>-0.61887784713224914</v>
      </c>
      <c r="O163" s="15">
        <v>-0.64870706151907898</v>
      </c>
      <c r="P163" s="15">
        <v>-0.68786137983278028</v>
      </c>
      <c r="Q163" s="15">
        <v>-0.73909891855677956</v>
      </c>
      <c r="S163" s="17">
        <f t="shared" si="21"/>
        <v>-0.17734473240081125</v>
      </c>
      <c r="T163" s="17">
        <f t="shared" si="22"/>
        <v>-0.13859987134089166</v>
      </c>
      <c r="U163" s="17">
        <f t="shared" si="23"/>
        <v>-0.10675030148953865</v>
      </c>
      <c r="V163" s="17">
        <f t="shared" si="24"/>
        <v>-8.1796022846752026E-2</v>
      </c>
      <c r="W163" s="17">
        <f t="shared" si="25"/>
        <v>-6.3737035412531992E-2</v>
      </c>
      <c r="X163" s="17">
        <f t="shared" si="26"/>
        <v>-5.2573339186878412E-2</v>
      </c>
      <c r="Y163" s="17">
        <f t="shared" si="27"/>
        <v>-4.830493416979155E-2</v>
      </c>
      <c r="Z163" s="17">
        <f t="shared" si="28"/>
        <v>-5.0931820361270932E-2</v>
      </c>
      <c r="AA163" s="17">
        <f t="shared" si="29"/>
        <v>-6.0453997761317116E-2</v>
      </c>
    </row>
    <row r="164" spans="1:27" x14ac:dyDescent="0.3">
      <c r="A164" s="13" t="s">
        <v>159</v>
      </c>
      <c r="B164" s="14" t="s">
        <v>160</v>
      </c>
      <c r="C164" s="15" t="s">
        <v>61</v>
      </c>
      <c r="D164" s="15">
        <v>-0.19720464896873247</v>
      </c>
      <c r="E164" s="15">
        <v>-0.30424580126107204</v>
      </c>
      <c r="F164" s="15">
        <v>-0.39048974402083991</v>
      </c>
      <c r="G164" s="15">
        <v>-0.46794019776566037</v>
      </c>
      <c r="H164" s="15">
        <v>-0.53712836968791799</v>
      </c>
      <c r="I164" s="15">
        <v>-5.4396509526911052E-2</v>
      </c>
      <c r="J164" s="15">
        <v>0</v>
      </c>
      <c r="K164" s="15">
        <v>-0.63461157120790923</v>
      </c>
      <c r="L164" s="15">
        <v>-0.74188238299901621</v>
      </c>
      <c r="M164" s="15">
        <v>-0.77772725369423112</v>
      </c>
      <c r="N164" s="15">
        <v>-0.80849708572119194</v>
      </c>
      <c r="O164" s="15">
        <v>-0.8347230862722832</v>
      </c>
      <c r="P164" s="15">
        <v>-0.85693646253988998</v>
      </c>
      <c r="Q164" s="15">
        <v>-0.87566842171639647</v>
      </c>
      <c r="S164" s="17">
        <f t="shared" si="21"/>
        <v>-0.22561295733077327</v>
      </c>
      <c r="T164" s="17">
        <f t="shared" si="22"/>
        <v>-0.19406880702237161</v>
      </c>
      <c r="U164" s="17">
        <f t="shared" si="23"/>
        <v>0.28007769541160737</v>
      </c>
      <c r="V164" s="17">
        <f t="shared" si="24"/>
        <v>0.389950164804717</v>
      </c>
      <c r="W164" s="17">
        <f t="shared" si="25"/>
        <v>-8.1236001266659363E-2</v>
      </c>
      <c r="X164" s="17">
        <f t="shared" si="26"/>
        <v>-0.57290489456008764</v>
      </c>
      <c r="Y164" s="17">
        <f t="shared" si="27"/>
        <v>-0.64810604474519262</v>
      </c>
      <c r="Z164" s="17">
        <f t="shared" si="28"/>
        <v>-0.14490459542773559</v>
      </c>
      <c r="AA164" s="17">
        <f t="shared" si="29"/>
        <v>-7.7367252727722491E-2</v>
      </c>
    </row>
    <row r="165" spans="1:27" x14ac:dyDescent="0.3">
      <c r="A165" s="13" t="s">
        <v>159</v>
      </c>
      <c r="B165" s="14" t="s">
        <v>161</v>
      </c>
      <c r="C165" s="15" t="s">
        <v>61</v>
      </c>
      <c r="D165" s="15">
        <v>-0.19720464896873247</v>
      </c>
      <c r="E165" s="15">
        <v>-0.30424580126107204</v>
      </c>
      <c r="F165" s="15">
        <v>-0.39048974402083991</v>
      </c>
      <c r="G165" s="15">
        <v>-0.46794019776566037</v>
      </c>
      <c r="H165" s="15">
        <v>-0.53712836968791799</v>
      </c>
      <c r="I165" s="15">
        <v>-5.4396509526911052E-2</v>
      </c>
      <c r="J165" s="15">
        <v>0</v>
      </c>
      <c r="K165" s="15">
        <v>-0.63461157120790923</v>
      </c>
      <c r="L165" s="15">
        <v>-0.74188238299901621</v>
      </c>
      <c r="M165" s="15">
        <v>-0.77772725369423112</v>
      </c>
      <c r="N165" s="15">
        <v>-0.80849708572119194</v>
      </c>
      <c r="O165" s="15">
        <v>-0.8347230862722832</v>
      </c>
      <c r="P165" s="15">
        <v>-0.85693646253988998</v>
      </c>
      <c r="Q165" s="15">
        <v>-0.87566842171639647</v>
      </c>
      <c r="S165" s="17">
        <f t="shared" si="21"/>
        <v>-0.22561295733077327</v>
      </c>
      <c r="T165" s="17">
        <f t="shared" si="22"/>
        <v>-0.19406880702237161</v>
      </c>
      <c r="U165" s="17">
        <f t="shared" si="23"/>
        <v>0.28007769541160737</v>
      </c>
      <c r="V165" s="17">
        <f t="shared" si="24"/>
        <v>0.389950164804717</v>
      </c>
      <c r="W165" s="17">
        <f t="shared" si="25"/>
        <v>-8.1236001266659363E-2</v>
      </c>
      <c r="X165" s="17">
        <f t="shared" si="26"/>
        <v>-0.57290489456008764</v>
      </c>
      <c r="Y165" s="17">
        <f t="shared" si="27"/>
        <v>-0.64810604474519262</v>
      </c>
      <c r="Z165" s="17">
        <f t="shared" si="28"/>
        <v>-0.14490459542773559</v>
      </c>
      <c r="AA165" s="17">
        <f t="shared" si="29"/>
        <v>-7.7367252727722491E-2</v>
      </c>
    </row>
    <row r="166" spans="1:27" x14ac:dyDescent="0.3">
      <c r="A166" s="13" t="s">
        <v>159</v>
      </c>
      <c r="B166" s="14" t="s">
        <v>162</v>
      </c>
      <c r="C166" s="15" t="s">
        <v>61</v>
      </c>
      <c r="D166" s="15">
        <v>-0.19822732089089803</v>
      </c>
      <c r="E166" s="15">
        <v>-0.30537511582610721</v>
      </c>
      <c r="F166" s="15">
        <v>-0.39135886004953818</v>
      </c>
      <c r="G166" s="15">
        <v>-0.46833846824293002</v>
      </c>
      <c r="H166" s="15">
        <v>-0.5369227429755874</v>
      </c>
      <c r="I166" s="15">
        <v>-5.4369782591681515E-2</v>
      </c>
      <c r="J166" s="15">
        <v>0</v>
      </c>
      <c r="K166" s="15">
        <v>-0.63272845856148052</v>
      </c>
      <c r="L166" s="15">
        <v>-0.73948255868496326</v>
      </c>
      <c r="M166" s="15">
        <v>-0.77522220465351699</v>
      </c>
      <c r="N166" s="15">
        <v>-0.80621933257716405</v>
      </c>
      <c r="O166" s="15">
        <v>-0.83308274502520885</v>
      </c>
      <c r="P166" s="15">
        <v>-0.8564212445669559</v>
      </c>
      <c r="Q166" s="15">
        <v>-0.87684363377171015</v>
      </c>
      <c r="S166" s="17">
        <f t="shared" si="21"/>
        <v>-0.22509262279336001</v>
      </c>
      <c r="T166" s="17">
        <f t="shared" si="22"/>
        <v>-0.19295635595790017</v>
      </c>
      <c r="U166" s="17">
        <f t="shared" si="23"/>
        <v>0.28082423121488054</v>
      </c>
      <c r="V166" s="17">
        <f t="shared" si="24"/>
        <v>0.39028205686910838</v>
      </c>
      <c r="W166" s="17">
        <f t="shared" si="25"/>
        <v>-7.9838096321577595E-2</v>
      </c>
      <c r="X166" s="17">
        <f t="shared" si="26"/>
        <v>-0.57092731341106817</v>
      </c>
      <c r="Y166" s="17">
        <f t="shared" si="27"/>
        <v>-0.64601850387793081</v>
      </c>
      <c r="Z166" s="17">
        <f t="shared" si="28"/>
        <v>-0.14457572834640295</v>
      </c>
      <c r="AA166" s="17">
        <f t="shared" si="29"/>
        <v>-7.8000155283537986E-2</v>
      </c>
    </row>
    <row r="167" spans="1:27" x14ac:dyDescent="0.3">
      <c r="A167" s="13" t="s">
        <v>159</v>
      </c>
      <c r="B167" s="14" t="s">
        <v>163</v>
      </c>
      <c r="C167" s="15" t="s">
        <v>61</v>
      </c>
      <c r="D167" s="15">
        <v>-0.19571078541601516</v>
      </c>
      <c r="E167" s="15">
        <v>-0.30250944486343312</v>
      </c>
      <c r="F167" s="15">
        <v>-0.38902314096825535</v>
      </c>
      <c r="G167" s="15">
        <v>-0.46706838812006096</v>
      </c>
      <c r="H167" s="15">
        <v>-0.53709957106114503</v>
      </c>
      <c r="I167" s="15">
        <v>-5.440230030978882E-2</v>
      </c>
      <c r="J167" s="15">
        <v>0</v>
      </c>
      <c r="K167" s="15">
        <v>-0.63761225148376988</v>
      </c>
      <c r="L167" s="15">
        <v>-0.74617135556416214</v>
      </c>
      <c r="M167" s="15">
        <v>-0.78294798858606107</v>
      </c>
      <c r="N167" s="15">
        <v>-0.81443686585100739</v>
      </c>
      <c r="O167" s="15">
        <v>-0.84109237210129639</v>
      </c>
      <c r="P167" s="15">
        <v>-0.86336889207922241</v>
      </c>
      <c r="Q167" s="15">
        <v>-0.88172081052708084</v>
      </c>
      <c r="S167" s="17">
        <f t="shared" si="21"/>
        <v>-0.22613133558670481</v>
      </c>
      <c r="T167" s="17">
        <f t="shared" si="22"/>
        <v>-0.19549177183142658</v>
      </c>
      <c r="U167" s="17">
        <f t="shared" si="23"/>
        <v>0.27885070054872213</v>
      </c>
      <c r="V167" s="17">
        <f t="shared" si="24"/>
        <v>0.38922365676671744</v>
      </c>
      <c r="W167" s="17">
        <f t="shared" si="25"/>
        <v>-8.3760567018854037E-2</v>
      </c>
      <c r="X167" s="17">
        <f t="shared" si="26"/>
        <v>-0.57647421271197785</v>
      </c>
      <c r="Y167" s="17">
        <f t="shared" si="27"/>
        <v>-0.65245665715505097</v>
      </c>
      <c r="Z167" s="17">
        <f t="shared" si="28"/>
        <v>-0.14735384530603127</v>
      </c>
      <c r="AA167" s="17">
        <f t="shared" si="29"/>
        <v>-7.9100847114278533E-2</v>
      </c>
    </row>
    <row r="168" spans="1:27" x14ac:dyDescent="0.3">
      <c r="A168" s="13" t="s">
        <v>159</v>
      </c>
      <c r="B168" s="14" t="s">
        <v>164</v>
      </c>
      <c r="C168" s="15" t="s">
        <v>61</v>
      </c>
      <c r="D168" s="15">
        <v>-0.19720464896873247</v>
      </c>
      <c r="E168" s="15">
        <v>-0.30424580126107204</v>
      </c>
      <c r="F168" s="15">
        <v>-0.39048974402083991</v>
      </c>
      <c r="G168" s="15">
        <v>-0.46794019776566037</v>
      </c>
      <c r="H168" s="15">
        <v>-0.53712836968791799</v>
      </c>
      <c r="I168" s="15">
        <v>-5.4396509526911052E-2</v>
      </c>
      <c r="J168" s="15">
        <v>0</v>
      </c>
      <c r="K168" s="15">
        <v>-0.63461157120790923</v>
      </c>
      <c r="L168" s="15">
        <v>-0.74188238299901621</v>
      </c>
      <c r="M168" s="15">
        <v>-0.77772725369423112</v>
      </c>
      <c r="N168" s="15">
        <v>-0.80849708572119194</v>
      </c>
      <c r="O168" s="15">
        <v>-0.8347230862722832</v>
      </c>
      <c r="P168" s="15">
        <v>-0.85693646253988998</v>
      </c>
      <c r="Q168" s="15">
        <v>-0.87566842171639647</v>
      </c>
      <c r="S168" s="17">
        <f t="shared" si="21"/>
        <v>-0.22561295733077327</v>
      </c>
      <c r="T168" s="17">
        <f t="shared" si="22"/>
        <v>-0.19406880702237161</v>
      </c>
      <c r="U168" s="17">
        <f t="shared" si="23"/>
        <v>0.28007769541160737</v>
      </c>
      <c r="V168" s="17">
        <f t="shared" si="24"/>
        <v>0.389950164804717</v>
      </c>
      <c r="W168" s="17">
        <f t="shared" si="25"/>
        <v>-8.1236001266659363E-2</v>
      </c>
      <c r="X168" s="17">
        <f t="shared" si="26"/>
        <v>-0.57290489456008764</v>
      </c>
      <c r="Y168" s="17">
        <f t="shared" si="27"/>
        <v>-0.64810604474519262</v>
      </c>
      <c r="Z168" s="17">
        <f t="shared" si="28"/>
        <v>-0.14490459542773559</v>
      </c>
      <c r="AA168" s="17">
        <f t="shared" si="29"/>
        <v>-7.7367252727722491E-2</v>
      </c>
    </row>
    <row r="169" spans="1:27" x14ac:dyDescent="0.3">
      <c r="A169" s="13" t="s">
        <v>159</v>
      </c>
      <c r="B169" s="14" t="s">
        <v>165</v>
      </c>
      <c r="C169" s="15" t="s">
        <v>61</v>
      </c>
      <c r="D169" s="15">
        <v>-0.19732445879438573</v>
      </c>
      <c r="E169" s="15">
        <v>-0.3045844423977136</v>
      </c>
      <c r="F169" s="15">
        <v>-0.39111143599179871</v>
      </c>
      <c r="G169" s="15">
        <v>-0.46887392930859217</v>
      </c>
      <c r="H169" s="15">
        <v>-0.53836781299007219</v>
      </c>
      <c r="I169" s="15">
        <v>-5.4523501115250894E-2</v>
      </c>
      <c r="J169" s="15">
        <v>0</v>
      </c>
      <c r="K169" s="15">
        <v>-0.63620616511683159</v>
      </c>
      <c r="L169" s="15">
        <v>-0.74357506420242014</v>
      </c>
      <c r="M169" s="15">
        <v>-0.77916425933700484</v>
      </c>
      <c r="N169" s="15">
        <v>-0.80946018868814518</v>
      </c>
      <c r="O169" s="15">
        <v>-0.83495874289781902</v>
      </c>
      <c r="P169" s="15">
        <v>-0.85615581260800444</v>
      </c>
      <c r="Q169" s="15">
        <v>-0.87354728846068019</v>
      </c>
      <c r="S169" s="17">
        <f t="shared" si="21"/>
        <v>-0.22629122542850533</v>
      </c>
      <c r="T169" s="17">
        <f t="shared" si="22"/>
        <v>-0.19481947549363218</v>
      </c>
      <c r="U169" s="17">
        <f t="shared" si="23"/>
        <v>0.28048994573045649</v>
      </c>
      <c r="V169" s="17">
        <f t="shared" si="24"/>
        <v>0.39072827442382685</v>
      </c>
      <c r="W169" s="17">
        <f t="shared" si="25"/>
        <v>-8.1531960105632822E-2</v>
      </c>
      <c r="X169" s="17">
        <f t="shared" si="26"/>
        <v>-0.57420963590597429</v>
      </c>
      <c r="Y169" s="17">
        <f t="shared" si="27"/>
        <v>-0.64930354944750401</v>
      </c>
      <c r="Z169" s="17">
        <f t="shared" si="28"/>
        <v>-0.14437835297609466</v>
      </c>
      <c r="AA169" s="17">
        <f t="shared" si="29"/>
        <v>-7.6153065579499066E-2</v>
      </c>
    </row>
    <row r="170" spans="1:27" x14ac:dyDescent="0.3">
      <c r="A170" s="13" t="s">
        <v>159</v>
      </c>
      <c r="B170" s="14" t="s">
        <v>166</v>
      </c>
      <c r="C170" s="15" t="s">
        <v>61</v>
      </c>
      <c r="D170" s="15">
        <v>-0.19720464896873247</v>
      </c>
      <c r="E170" s="15">
        <v>-0.30424580126107204</v>
      </c>
      <c r="F170" s="15">
        <v>-0.39048974402083991</v>
      </c>
      <c r="G170" s="15">
        <v>-0.46794019776566037</v>
      </c>
      <c r="H170" s="15">
        <v>-0.53712836968791799</v>
      </c>
      <c r="I170" s="15">
        <v>-5.4396509526911052E-2</v>
      </c>
      <c r="J170" s="15">
        <v>0</v>
      </c>
      <c r="K170" s="15">
        <v>-0.63461157120790923</v>
      </c>
      <c r="L170" s="15">
        <v>-0.74188238299901621</v>
      </c>
      <c r="M170" s="15">
        <v>-0.77772725369423112</v>
      </c>
      <c r="N170" s="15">
        <v>-0.80849708572119194</v>
      </c>
      <c r="O170" s="15">
        <v>-0.8347230862722832</v>
      </c>
      <c r="P170" s="15">
        <v>-0.85693646253988998</v>
      </c>
      <c r="Q170" s="15">
        <v>-0.87566842171639647</v>
      </c>
      <c r="S170" s="17">
        <f t="shared" si="21"/>
        <v>-0.22561295733077327</v>
      </c>
      <c r="T170" s="17">
        <f t="shared" si="22"/>
        <v>-0.19406880702237161</v>
      </c>
      <c r="U170" s="17">
        <f t="shared" si="23"/>
        <v>0.28007769541160737</v>
      </c>
      <c r="V170" s="17">
        <f t="shared" si="24"/>
        <v>0.389950164804717</v>
      </c>
      <c r="W170" s="17">
        <f t="shared" si="25"/>
        <v>-8.1236001266659363E-2</v>
      </c>
      <c r="X170" s="17">
        <f t="shared" si="26"/>
        <v>-0.57290489456008764</v>
      </c>
      <c r="Y170" s="17">
        <f t="shared" si="27"/>
        <v>-0.64810604474519262</v>
      </c>
      <c r="Z170" s="17">
        <f t="shared" si="28"/>
        <v>-0.14490459542773559</v>
      </c>
      <c r="AA170" s="17">
        <f t="shared" si="29"/>
        <v>-7.7367252727722491E-2</v>
      </c>
    </row>
    <row r="171" spans="1:27" x14ac:dyDescent="0.3">
      <c r="A171" s="13" t="s">
        <v>167</v>
      </c>
      <c r="B171" s="14">
        <v>2</v>
      </c>
      <c r="C171" s="15" t="s">
        <v>61</v>
      </c>
      <c r="D171" s="15">
        <v>0</v>
      </c>
      <c r="E171" s="15">
        <v>0</v>
      </c>
      <c r="F171" s="15">
        <v>0</v>
      </c>
      <c r="G171" s="15">
        <v>0</v>
      </c>
      <c r="H171" s="15">
        <v>-0.46065493617821729</v>
      </c>
      <c r="I171" s="15">
        <v>-0.54650042205589866</v>
      </c>
      <c r="J171" s="15">
        <v>-0.57792814061276288</v>
      </c>
      <c r="K171" s="15">
        <v>-0.60333873978677122</v>
      </c>
      <c r="L171" s="15">
        <v>-0.62479366083829524</v>
      </c>
      <c r="M171" s="15">
        <v>-0.64435434502770572</v>
      </c>
      <c r="N171" s="15">
        <v>-0.66408223361537477</v>
      </c>
      <c r="O171" s="15">
        <v>-0.68603876786167306</v>
      </c>
      <c r="P171" s="15">
        <v>-0.71228538902697236</v>
      </c>
      <c r="Q171" s="15">
        <v>-0.74488353837164378</v>
      </c>
      <c r="S171" s="17">
        <f t="shared" si="21"/>
        <v>0</v>
      </c>
      <c r="T171" s="17">
        <f t="shared" si="22"/>
        <v>-0.38387911348184778</v>
      </c>
      <c r="U171" s="17">
        <f t="shared" si="23"/>
        <v>-0.45541701837991555</v>
      </c>
      <c r="V171" s="17">
        <f t="shared" si="24"/>
        <v>-0.4816067838439691</v>
      </c>
      <c r="W171" s="17">
        <f t="shared" si="25"/>
        <v>-0.11890316967379494</v>
      </c>
      <c r="X171" s="17">
        <f t="shared" si="26"/>
        <v>-6.5244365651997149E-2</v>
      </c>
      <c r="Y171" s="17">
        <f t="shared" si="27"/>
        <v>-5.5355170345785701E-2</v>
      </c>
      <c r="Z171" s="17">
        <f t="shared" si="28"/>
        <v>-5.0619578190502959E-2</v>
      </c>
      <c r="AA171" s="17">
        <f t="shared" si="29"/>
        <v>-5.1037589186148188E-2</v>
      </c>
    </row>
    <row r="172" spans="1:27" x14ac:dyDescent="0.3">
      <c r="A172" s="13" t="s">
        <v>167</v>
      </c>
      <c r="B172" s="14">
        <v>3</v>
      </c>
      <c r="C172" s="15" t="s">
        <v>61</v>
      </c>
      <c r="D172" s="15">
        <v>0</v>
      </c>
      <c r="E172" s="15">
        <v>0</v>
      </c>
      <c r="F172" s="15">
        <v>0</v>
      </c>
      <c r="G172" s="15">
        <v>0</v>
      </c>
      <c r="H172" s="15">
        <v>-0.47335745167198734</v>
      </c>
      <c r="I172" s="15">
        <v>-0.55685487238116649</v>
      </c>
      <c r="J172" s="15">
        <v>-0.58430795127799029</v>
      </c>
      <c r="K172" s="15">
        <v>-0.60667452743643324</v>
      </c>
      <c r="L172" s="15">
        <v>-0.62680001934202401</v>
      </c>
      <c r="M172" s="15">
        <v>-0.64752984548029158</v>
      </c>
      <c r="N172" s="15">
        <v>-0.67170942433676528</v>
      </c>
      <c r="O172" s="15">
        <v>-0.70218417439697367</v>
      </c>
      <c r="P172" s="15">
        <v>-0.74179951414644574</v>
      </c>
      <c r="Q172" s="15">
        <v>-0.79340086207071026</v>
      </c>
      <c r="S172" s="17">
        <f t="shared" si="21"/>
        <v>0</v>
      </c>
      <c r="T172" s="17">
        <f t="shared" si="22"/>
        <v>-0.39446454305998946</v>
      </c>
      <c r="U172" s="17">
        <f t="shared" si="23"/>
        <v>-0.46404572698430541</v>
      </c>
      <c r="V172" s="17">
        <f t="shared" si="24"/>
        <v>-0.48692329273165857</v>
      </c>
      <c r="W172" s="17">
        <f t="shared" si="25"/>
        <v>-0.11109756313703825</v>
      </c>
      <c r="X172" s="17">
        <f t="shared" si="26"/>
        <v>-5.828762246738127E-2</v>
      </c>
      <c r="Y172" s="17">
        <f t="shared" si="27"/>
        <v>-5.2684911835251078E-2</v>
      </c>
      <c r="Z172" s="17">
        <f t="shared" si="28"/>
        <v>-5.4195747416943371E-2</v>
      </c>
      <c r="AA172" s="17">
        <f t="shared" si="29"/>
        <v>-6.2820129212458053E-2</v>
      </c>
    </row>
    <row r="173" spans="1:27" x14ac:dyDescent="0.3">
      <c r="A173" s="13" t="s">
        <v>167</v>
      </c>
      <c r="B173" s="14">
        <v>6</v>
      </c>
      <c r="C173" s="15" t="s">
        <v>61</v>
      </c>
      <c r="D173" s="15">
        <v>0</v>
      </c>
      <c r="E173" s="15">
        <v>0</v>
      </c>
      <c r="F173" s="15">
        <v>0</v>
      </c>
      <c r="G173" s="15">
        <v>0</v>
      </c>
      <c r="H173" s="15">
        <v>-0.4539678298301637</v>
      </c>
      <c r="I173" s="15">
        <v>-0.54566836690909948</v>
      </c>
      <c r="J173" s="15">
        <v>-0.58572449596203213</v>
      </c>
      <c r="K173" s="15">
        <v>-0.62086498466883566</v>
      </c>
      <c r="L173" s="15">
        <v>-0.65277362215132373</v>
      </c>
      <c r="M173" s="15">
        <v>-0.68313419753131055</v>
      </c>
      <c r="N173" s="15">
        <v>-0.71363049993061001</v>
      </c>
      <c r="O173" s="15">
        <v>-0.74594631847103621</v>
      </c>
      <c r="P173" s="15">
        <v>-0.78176544227440314</v>
      </c>
      <c r="Q173" s="15">
        <v>-0.82277166046252448</v>
      </c>
      <c r="S173" s="17">
        <f t="shared" si="21"/>
        <v>0</v>
      </c>
      <c r="T173" s="17">
        <f t="shared" si="22"/>
        <v>-0.37830652485846972</v>
      </c>
      <c r="U173" s="17">
        <f t="shared" si="23"/>
        <v>-0.45472363909091623</v>
      </c>
      <c r="V173" s="17">
        <f t="shared" si="24"/>
        <v>-0.48810374663502681</v>
      </c>
      <c r="W173" s="17">
        <f t="shared" si="25"/>
        <v>-0.13908096236555997</v>
      </c>
      <c r="X173" s="17">
        <f t="shared" si="26"/>
        <v>-8.9254379368520209E-2</v>
      </c>
      <c r="Y173" s="17">
        <f t="shared" si="27"/>
        <v>-8.1174751307732024E-2</v>
      </c>
      <c r="Z173" s="17">
        <f t="shared" si="28"/>
        <v>-7.7304596051478616E-2</v>
      </c>
      <c r="AA173" s="17">
        <f t="shared" si="29"/>
        <v>-7.7643913599760403E-2</v>
      </c>
    </row>
    <row r="174" spans="1:27" x14ac:dyDescent="0.3">
      <c r="A174" s="13" t="s">
        <v>167</v>
      </c>
      <c r="B174" s="14" t="s">
        <v>168</v>
      </c>
      <c r="C174" s="15" t="s">
        <v>61</v>
      </c>
      <c r="D174" s="15">
        <v>0</v>
      </c>
      <c r="E174" s="15">
        <v>0</v>
      </c>
      <c r="F174" s="15">
        <v>0</v>
      </c>
      <c r="G174" s="15">
        <v>0</v>
      </c>
      <c r="H174" s="15">
        <v>-0.45313478092684056</v>
      </c>
      <c r="I174" s="15">
        <v>-0.55908173616100687</v>
      </c>
      <c r="J174" s="15">
        <v>-0.61441526489232479</v>
      </c>
      <c r="K174" s="15">
        <v>-0.66230885358932645</v>
      </c>
      <c r="L174" s="15">
        <v>-0.70244990822774966</v>
      </c>
      <c r="M174" s="15">
        <v>-0.73452583478333267</v>
      </c>
      <c r="N174" s="15">
        <v>-0.75822403923181303</v>
      </c>
      <c r="O174" s="15">
        <v>-0.77323192754892878</v>
      </c>
      <c r="P174" s="15">
        <v>-0.77923690571041804</v>
      </c>
      <c r="Q174" s="15">
        <v>-0.77592637969201828</v>
      </c>
      <c r="S174" s="17">
        <f t="shared" si="21"/>
        <v>0</v>
      </c>
      <c r="T174" s="17">
        <f t="shared" si="22"/>
        <v>-0.37761231743903384</v>
      </c>
      <c r="U174" s="17">
        <f t="shared" si="23"/>
        <v>-0.46590144680083906</v>
      </c>
      <c r="V174" s="17">
        <f t="shared" si="24"/>
        <v>-0.51201272074360404</v>
      </c>
      <c r="W174" s="17">
        <f t="shared" si="25"/>
        <v>-0.17431172721873822</v>
      </c>
      <c r="X174" s="17">
        <f t="shared" si="26"/>
        <v>-0.11947347672228567</v>
      </c>
      <c r="Y174" s="17">
        <f t="shared" si="27"/>
        <v>-0.1000921415758399</v>
      </c>
      <c r="Z174" s="17">
        <f t="shared" si="28"/>
        <v>-7.9929321368738815E-2</v>
      </c>
      <c r="AA174" s="17">
        <f t="shared" si="29"/>
        <v>-5.8985016100982599E-2</v>
      </c>
    </row>
    <row r="175" spans="1:27" x14ac:dyDescent="0.3">
      <c r="A175" s="13" t="s">
        <v>167</v>
      </c>
      <c r="B175" s="14" t="s">
        <v>169</v>
      </c>
      <c r="C175" s="15" t="s">
        <v>61</v>
      </c>
      <c r="D175" s="15">
        <v>0</v>
      </c>
      <c r="E175" s="15">
        <v>0</v>
      </c>
      <c r="F175" s="15">
        <v>0</v>
      </c>
      <c r="G175" s="15">
        <v>0</v>
      </c>
      <c r="H175" s="15">
        <v>-0.4617903667429501</v>
      </c>
      <c r="I175" s="15">
        <v>-0.55024112527951863</v>
      </c>
      <c r="J175" s="15">
        <v>-0.58540528955904236</v>
      </c>
      <c r="K175" s="15">
        <v>-0.61576616592907063</v>
      </c>
      <c r="L175" s="15">
        <v>-0.64352170600701031</v>
      </c>
      <c r="M175" s="15">
        <v>-0.67086986141026783</v>
      </c>
      <c r="N175" s="15">
        <v>-0.70000858375624964</v>
      </c>
      <c r="O175" s="15">
        <v>-0.73313582466236205</v>
      </c>
      <c r="P175" s="15">
        <v>-0.77244953574601238</v>
      </c>
      <c r="Q175" s="15">
        <v>-0.82014766862460697</v>
      </c>
      <c r="S175" s="17">
        <f t="shared" si="21"/>
        <v>0</v>
      </c>
      <c r="T175" s="17">
        <f t="shared" si="22"/>
        <v>-0.38482530561912509</v>
      </c>
      <c r="U175" s="17">
        <f t="shared" si="23"/>
        <v>-0.45853427106626549</v>
      </c>
      <c r="V175" s="17">
        <f t="shared" si="24"/>
        <v>-0.48783774129920193</v>
      </c>
      <c r="W175" s="17">
        <f t="shared" si="25"/>
        <v>-0.12831316598843379</v>
      </c>
      <c r="X175" s="17">
        <f t="shared" si="26"/>
        <v>-7.7733817272909733E-2</v>
      </c>
      <c r="Y175" s="17">
        <f t="shared" si="27"/>
        <v>-7.1220476542687886E-2</v>
      </c>
      <c r="Z175" s="17">
        <f t="shared" si="28"/>
        <v>-7.02020148559825E-2</v>
      </c>
      <c r="AA175" s="17">
        <f t="shared" si="29"/>
        <v>-7.4678432212793119E-2</v>
      </c>
    </row>
    <row r="176" spans="1:27" x14ac:dyDescent="0.3">
      <c r="A176" s="13" t="s">
        <v>170</v>
      </c>
      <c r="B176" s="14" t="s">
        <v>171</v>
      </c>
      <c r="C176" s="15">
        <v>-9.9239391557203432E-2</v>
      </c>
      <c r="D176" s="15">
        <v>-0.18091829443570379</v>
      </c>
      <c r="E176" s="15">
        <v>-0.26443745605259378</v>
      </c>
      <c r="F176" s="15">
        <v>-0.34031890903904827</v>
      </c>
      <c r="G176" s="15">
        <v>-0.40900862518196224</v>
      </c>
      <c r="H176" s="15">
        <v>-0.47095257626823112</v>
      </c>
      <c r="I176" s="15">
        <v>-0.52659673408475005</v>
      </c>
      <c r="J176" s="15">
        <v>-0.57638707041841397</v>
      </c>
      <c r="K176" s="15">
        <v>-0.62076955705611825</v>
      </c>
      <c r="L176" s="15">
        <v>-0.66019016578475798</v>
      </c>
      <c r="M176" s="15">
        <v>-0.69509486839122836</v>
      </c>
      <c r="N176" s="15">
        <v>-0.7259296366624246</v>
      </c>
      <c r="O176" s="15">
        <v>-0.75314044238524191</v>
      </c>
      <c r="P176" s="15">
        <v>-0.77717325734657527</v>
      </c>
      <c r="Q176" s="15">
        <v>-0.79847405333332</v>
      </c>
      <c r="S176" s="17">
        <f t="shared" si="21"/>
        <v>-0.19007527562188206</v>
      </c>
      <c r="T176" s="17">
        <f t="shared" si="22"/>
        <v>-0.1720959335130311</v>
      </c>
      <c r="U176" s="17">
        <f t="shared" si="23"/>
        <v>-0.15523152087141814</v>
      </c>
      <c r="V176" s="17">
        <f t="shared" si="24"/>
        <v>-0.13948203769704312</v>
      </c>
      <c r="W176" s="17">
        <f t="shared" si="25"/>
        <v>-0.12484748398990594</v>
      </c>
      <c r="X176" s="17">
        <f t="shared" si="26"/>
        <v>-0.11132785975000661</v>
      </c>
      <c r="Y176" s="17">
        <f t="shared" si="27"/>
        <v>-9.8923164977345324E-2</v>
      </c>
      <c r="Z176" s="17">
        <f t="shared" si="28"/>
        <v>-8.7633399671921963E-2</v>
      </c>
      <c r="AA176" s="17">
        <f t="shared" si="29"/>
        <v>-7.7458563833736616E-2</v>
      </c>
    </row>
    <row r="177" spans="1:27" x14ac:dyDescent="0.3">
      <c r="A177" s="13" t="s">
        <v>170</v>
      </c>
      <c r="B177" s="14" t="s">
        <v>172</v>
      </c>
      <c r="C177" s="15">
        <v>-0.10760828647892916</v>
      </c>
      <c r="D177" s="15">
        <v>-0.19367440892265581</v>
      </c>
      <c r="E177" s="15">
        <v>-0.27944868214774315</v>
      </c>
      <c r="F177" s="15">
        <v>-0.35519981492287922</v>
      </c>
      <c r="G177" s="15">
        <v>-0.4219573446646448</v>
      </c>
      <c r="H177" s="15">
        <v>-0.48075080878962095</v>
      </c>
      <c r="I177" s="15">
        <v>-0.5326097447143886</v>
      </c>
      <c r="J177" s="15">
        <v>-0.57856368985552864</v>
      </c>
      <c r="K177" s="15">
        <v>-0.6196421816296217</v>
      </c>
      <c r="L177" s="15">
        <v>-0.6568747574532493</v>
      </c>
      <c r="M177" s="15">
        <v>-0.69129095474299196</v>
      </c>
      <c r="N177" s="15">
        <v>-0.72392031091543074</v>
      </c>
      <c r="O177" s="15">
        <v>-0.75579236338714639</v>
      </c>
      <c r="P177" s="15">
        <v>-0.78793664957472009</v>
      </c>
      <c r="Q177" s="15">
        <v>-0.82138270689473269</v>
      </c>
      <c r="S177" s="17">
        <f t="shared" si="21"/>
        <v>-0.19023577978499084</v>
      </c>
      <c r="T177" s="17">
        <f t="shared" si="22"/>
        <v>-0.16775177220156481</v>
      </c>
      <c r="U177" s="17">
        <f t="shared" si="23"/>
        <v>-0.14784160815959116</v>
      </c>
      <c r="V177" s="17">
        <f t="shared" si="24"/>
        <v>-0.13050528765906988</v>
      </c>
      <c r="W177" s="17">
        <f t="shared" si="25"/>
        <v>-0.11574281070000061</v>
      </c>
      <c r="X177" s="17">
        <f t="shared" si="26"/>
        <v>-0.10355417728238392</v>
      </c>
      <c r="Y177" s="17">
        <f t="shared" si="27"/>
        <v>-9.3939387406219432E-2</v>
      </c>
      <c r="Z177" s="17">
        <f t="shared" si="28"/>
        <v>-8.6898441071507543E-2</v>
      </c>
      <c r="AA177" s="17">
        <f t="shared" si="29"/>
        <v>-8.2431338278247585E-2</v>
      </c>
    </row>
    <row r="178" spans="1:27" x14ac:dyDescent="0.3">
      <c r="A178" s="13" t="s">
        <v>170</v>
      </c>
      <c r="B178" s="14" t="s">
        <v>173</v>
      </c>
      <c r="C178" s="15">
        <v>-0.1000107631517563</v>
      </c>
      <c r="D178" s="15">
        <v>-0.18144113860336541</v>
      </c>
      <c r="E178" s="15">
        <v>-0.26401602903506338</v>
      </c>
      <c r="F178" s="15">
        <v>-0.33848547687660469</v>
      </c>
      <c r="G178" s="15">
        <v>-0.40560060087291955</v>
      </c>
      <c r="H178" s="15">
        <v>-0.46611251976893792</v>
      </c>
      <c r="I178" s="15">
        <v>-0.52077235230959029</v>
      </c>
      <c r="J178" s="15">
        <v>-0.5703312172398064</v>
      </c>
      <c r="K178" s="15">
        <v>-0.61554023330451668</v>
      </c>
      <c r="L178" s="15">
        <v>-0.65715051924865142</v>
      </c>
      <c r="M178" s="15">
        <v>-0.69591319381714034</v>
      </c>
      <c r="N178" s="15">
        <v>-0.73257937575491394</v>
      </c>
      <c r="O178" s="15">
        <v>-0.76790018380690228</v>
      </c>
      <c r="P178" s="15">
        <v>-0.80262673671803553</v>
      </c>
      <c r="Q178" s="15">
        <v>-0.83751015323324396</v>
      </c>
      <c r="S178" s="17">
        <f t="shared" si="21"/>
        <v>-0.18679955189129513</v>
      </c>
      <c r="T178" s="17">
        <f t="shared" si="22"/>
        <v>-0.16841374227822878</v>
      </c>
      <c r="U178" s="17">
        <f t="shared" si="23"/>
        <v>-0.15190572952748801</v>
      </c>
      <c r="V178" s="17">
        <f t="shared" si="24"/>
        <v>-0.13727551363907237</v>
      </c>
      <c r="W178" s="17">
        <f t="shared" si="25"/>
        <v>-0.1245230946129823</v>
      </c>
      <c r="X178" s="17">
        <f t="shared" si="26"/>
        <v>-0.11364847244921761</v>
      </c>
      <c r="Y178" s="17">
        <f t="shared" si="27"/>
        <v>-0.10465164714777828</v>
      </c>
      <c r="Z178" s="17">
        <f t="shared" si="28"/>
        <v>-9.7532618708664393E-2</v>
      </c>
      <c r="AA178" s="17">
        <f t="shared" si="29"/>
        <v>-9.2291387131875707E-2</v>
      </c>
    </row>
    <row r="179" spans="1:27" x14ac:dyDescent="0.3">
      <c r="A179" s="13" t="s">
        <v>170</v>
      </c>
      <c r="B179" s="14" t="s">
        <v>174</v>
      </c>
      <c r="C179" s="15">
        <v>-0.11041564906430325</v>
      </c>
      <c r="D179" s="15">
        <v>-0.19759245326955338</v>
      </c>
      <c r="E179" s="15">
        <v>-0.28344167583926644</v>
      </c>
      <c r="F179" s="15">
        <v>-0.35823662602115031</v>
      </c>
      <c r="G179" s="15">
        <v>-0.42329217796934338</v>
      </c>
      <c r="H179" s="15">
        <v>-0.47992320583798398</v>
      </c>
      <c r="I179" s="15">
        <v>-0.52944458378121051</v>
      </c>
      <c r="J179" s="15">
        <v>-0.57317118595316119</v>
      </c>
      <c r="K179" s="15">
        <v>-0.61241788650797446</v>
      </c>
      <c r="L179" s="15">
        <v>-0.64849955959978856</v>
      </c>
      <c r="M179" s="15">
        <v>-0.6827310793827418</v>
      </c>
      <c r="N179" s="15">
        <v>-0.71642732001097253</v>
      </c>
      <c r="O179" s="15">
        <v>-0.75090315563861942</v>
      </c>
      <c r="P179" s="15">
        <v>-0.78747346041982036</v>
      </c>
      <c r="Q179" s="15">
        <v>-0.8274531085087139</v>
      </c>
      <c r="S179" s="17">
        <f t="shared" si="21"/>
        <v>-0.18808310391649166</v>
      </c>
      <c r="T179" s="17">
        <f t="shared" si="22"/>
        <v>-0.16373460833226464</v>
      </c>
      <c r="U179" s="17">
        <f t="shared" si="23"/>
        <v>-0.1426732981333835</v>
      </c>
      <c r="V179" s="17">
        <f t="shared" si="24"/>
        <v>-0.12489917331984818</v>
      </c>
      <c r="W179" s="17">
        <f t="shared" si="25"/>
        <v>-0.11041223389165875</v>
      </c>
      <c r="X179" s="17">
        <f t="shared" si="26"/>
        <v>-9.9212479848815038E-2</v>
      </c>
      <c r="Y179" s="17">
        <f t="shared" si="27"/>
        <v>-9.1299911191317168E-2</v>
      </c>
      <c r="Z179" s="17">
        <f t="shared" si="28"/>
        <v>-8.6674527919165051E-2</v>
      </c>
      <c r="AA179" s="17">
        <f t="shared" si="29"/>
        <v>-8.5336330032359048E-2</v>
      </c>
    </row>
    <row r="180" spans="1:27" x14ac:dyDescent="0.3">
      <c r="A180" s="13" t="s">
        <v>170</v>
      </c>
      <c r="B180" s="14" t="s">
        <v>175</v>
      </c>
      <c r="C180" s="15">
        <v>-0.10094290821287497</v>
      </c>
      <c r="D180" s="15">
        <v>-0.18289675987127577</v>
      </c>
      <c r="E180" s="15">
        <v>-0.26574811225484413</v>
      </c>
      <c r="F180" s="15">
        <v>-0.34016521114313047</v>
      </c>
      <c r="G180" s="15">
        <v>-0.40691059313697292</v>
      </c>
      <c r="H180" s="15">
        <v>-0.46674679483720921</v>
      </c>
      <c r="I180" s="15">
        <v>-0.52043635284467737</v>
      </c>
      <c r="J180" s="15">
        <v>-0.56874180376021533</v>
      </c>
      <c r="K180" s="15">
        <v>-0.61242568418466103</v>
      </c>
      <c r="L180" s="15">
        <v>-0.65225053071885264</v>
      </c>
      <c r="M180" s="15">
        <v>-0.68897887996362783</v>
      </c>
      <c r="N180" s="15">
        <v>-0.72337326851982464</v>
      </c>
      <c r="O180" s="15">
        <v>-0.75619623298828098</v>
      </c>
      <c r="P180" s="15">
        <v>-0.78821030996983499</v>
      </c>
      <c r="Q180" s="15">
        <v>-0.82017803606532436</v>
      </c>
      <c r="S180" s="17">
        <f t="shared" si="21"/>
        <v>-0.18667819438808098</v>
      </c>
      <c r="T180" s="17">
        <f t="shared" si="22"/>
        <v>-0.16749890215197089</v>
      </c>
      <c r="U180" s="17">
        <f t="shared" si="23"/>
        <v>-0.15022595141795575</v>
      </c>
      <c r="V180" s="17">
        <f t="shared" si="24"/>
        <v>-0.13485934218603535</v>
      </c>
      <c r="W180" s="17">
        <f t="shared" si="25"/>
        <v>-0.12139907445620984</v>
      </c>
      <c r="X180" s="17">
        <f t="shared" si="26"/>
        <v>-0.10984514822847938</v>
      </c>
      <c r="Y180" s="17">
        <f t="shared" si="27"/>
        <v>-0.10019756350284376</v>
      </c>
      <c r="Z180" s="17">
        <f t="shared" si="28"/>
        <v>-9.2456320279303006E-2</v>
      </c>
      <c r="AA180" s="17">
        <f t="shared" si="29"/>
        <v>-8.6621418557856961E-2</v>
      </c>
    </row>
    <row r="181" spans="1:27" x14ac:dyDescent="0.3">
      <c r="A181" s="13" t="s">
        <v>170</v>
      </c>
      <c r="B181" s="14" t="s">
        <v>176</v>
      </c>
      <c r="C181" s="15">
        <v>-0.10094290821287497</v>
      </c>
      <c r="D181" s="15">
        <v>-0.18289675987127577</v>
      </c>
      <c r="E181" s="15">
        <v>-0.26574811225484413</v>
      </c>
      <c r="F181" s="15">
        <v>-0.34016521114313047</v>
      </c>
      <c r="G181" s="15">
        <v>-0.40691059313697292</v>
      </c>
      <c r="H181" s="15">
        <v>-0.46674679483720921</v>
      </c>
      <c r="I181" s="15">
        <v>-0.52043635284467737</v>
      </c>
      <c r="J181" s="15">
        <v>-0.56874180376021533</v>
      </c>
      <c r="K181" s="15">
        <v>-0.61242568418466103</v>
      </c>
      <c r="L181" s="15">
        <v>-0.65225053071885264</v>
      </c>
      <c r="M181" s="15">
        <v>-0.68897887996362783</v>
      </c>
      <c r="N181" s="15">
        <v>-0.72337326851982464</v>
      </c>
      <c r="O181" s="15">
        <v>-0.75619623298828098</v>
      </c>
      <c r="P181" s="15">
        <v>-0.78821030996983499</v>
      </c>
      <c r="Q181" s="15">
        <v>-0.82017803606532436</v>
      </c>
      <c r="S181" s="17">
        <f t="shared" si="21"/>
        <v>-0.18667819438808098</v>
      </c>
      <c r="T181" s="17">
        <f t="shared" si="22"/>
        <v>-0.16749890215197089</v>
      </c>
      <c r="U181" s="17">
        <f t="shared" si="23"/>
        <v>-0.15022595141795575</v>
      </c>
      <c r="V181" s="17">
        <f t="shared" si="24"/>
        <v>-0.13485934218603535</v>
      </c>
      <c r="W181" s="17">
        <f t="shared" si="25"/>
        <v>-0.12139907445620984</v>
      </c>
      <c r="X181" s="17">
        <f t="shared" si="26"/>
        <v>-0.10984514822847938</v>
      </c>
      <c r="Y181" s="17">
        <f t="shared" si="27"/>
        <v>-0.10019756350284376</v>
      </c>
      <c r="Z181" s="17">
        <f t="shared" si="28"/>
        <v>-9.2456320279303006E-2</v>
      </c>
      <c r="AA181" s="17">
        <f t="shared" si="29"/>
        <v>-8.6621418557856961E-2</v>
      </c>
    </row>
    <row r="182" spans="1:27" x14ac:dyDescent="0.3">
      <c r="A182" s="13" t="s">
        <v>170</v>
      </c>
      <c r="B182" s="14" t="s">
        <v>177</v>
      </c>
      <c r="C182" s="15">
        <v>-0.10094290821287497</v>
      </c>
      <c r="D182" s="15">
        <v>-0.18289675987127577</v>
      </c>
      <c r="E182" s="15">
        <v>-0.26574811225484413</v>
      </c>
      <c r="F182" s="15">
        <v>-0.34016521114313047</v>
      </c>
      <c r="G182" s="15">
        <v>-0.40691059313697292</v>
      </c>
      <c r="H182" s="15">
        <v>-0.46674679483720921</v>
      </c>
      <c r="I182" s="15">
        <v>-0.52043635284467737</v>
      </c>
      <c r="J182" s="15">
        <v>-0.56874180376021533</v>
      </c>
      <c r="K182" s="15">
        <v>-0.61242568418466103</v>
      </c>
      <c r="L182" s="15">
        <v>-0.65225053071885264</v>
      </c>
      <c r="M182" s="15">
        <v>-0.68897887996362783</v>
      </c>
      <c r="N182" s="15">
        <v>-0.72337326851982464</v>
      </c>
      <c r="O182" s="15">
        <v>-0.75619623298828098</v>
      </c>
      <c r="P182" s="15">
        <v>-0.78821030996983499</v>
      </c>
      <c r="Q182" s="15">
        <v>-0.82017803606532436</v>
      </c>
      <c r="S182" s="17">
        <f t="shared" si="21"/>
        <v>-0.18667819438808098</v>
      </c>
      <c r="T182" s="17">
        <f t="shared" si="22"/>
        <v>-0.16749890215197089</v>
      </c>
      <c r="U182" s="17">
        <f t="shared" si="23"/>
        <v>-0.15022595141795575</v>
      </c>
      <c r="V182" s="17">
        <f t="shared" si="24"/>
        <v>-0.13485934218603535</v>
      </c>
      <c r="W182" s="17">
        <f t="shared" si="25"/>
        <v>-0.12139907445620984</v>
      </c>
      <c r="X182" s="17">
        <f t="shared" si="26"/>
        <v>-0.10984514822847938</v>
      </c>
      <c r="Y182" s="17">
        <f t="shared" si="27"/>
        <v>-0.10019756350284376</v>
      </c>
      <c r="Z182" s="17">
        <f t="shared" si="28"/>
        <v>-9.2456320279303006E-2</v>
      </c>
      <c r="AA182" s="17">
        <f t="shared" si="29"/>
        <v>-8.6621418557856961E-2</v>
      </c>
    </row>
    <row r="183" spans="1:27" x14ac:dyDescent="0.3">
      <c r="A183" s="13" t="s">
        <v>170</v>
      </c>
      <c r="B183" s="14" t="s">
        <v>178</v>
      </c>
      <c r="C183" s="15">
        <v>-0.10094290821287497</v>
      </c>
      <c r="D183" s="15">
        <v>-0.18289675987127577</v>
      </c>
      <c r="E183" s="15">
        <v>-0.26574811225484413</v>
      </c>
      <c r="F183" s="15">
        <v>-0.34016521114313047</v>
      </c>
      <c r="G183" s="15">
        <v>-0.40691059313697292</v>
      </c>
      <c r="H183" s="15">
        <v>-0.46674679483720921</v>
      </c>
      <c r="I183" s="15">
        <v>-0.52043635284467737</v>
      </c>
      <c r="J183" s="15">
        <v>-0.56874180376021533</v>
      </c>
      <c r="K183" s="15">
        <v>-0.61242568418466103</v>
      </c>
      <c r="L183" s="15">
        <v>-0.65225053071885264</v>
      </c>
      <c r="M183" s="15">
        <v>-0.68897887996362783</v>
      </c>
      <c r="N183" s="15">
        <v>-0.72337326851982464</v>
      </c>
      <c r="O183" s="15">
        <v>-0.75619623298828098</v>
      </c>
      <c r="P183" s="15">
        <v>-0.78821030996983499</v>
      </c>
      <c r="Q183" s="15">
        <v>-0.82017803606532436</v>
      </c>
      <c r="S183" s="17">
        <f t="shared" si="21"/>
        <v>-0.18667819438808098</v>
      </c>
      <c r="T183" s="17">
        <f t="shared" si="22"/>
        <v>-0.16749890215197089</v>
      </c>
      <c r="U183" s="17">
        <f t="shared" si="23"/>
        <v>-0.15022595141795575</v>
      </c>
      <c r="V183" s="17">
        <f t="shared" si="24"/>
        <v>-0.13485934218603535</v>
      </c>
      <c r="W183" s="17">
        <f t="shared" si="25"/>
        <v>-0.12139907445620984</v>
      </c>
      <c r="X183" s="17">
        <f t="shared" si="26"/>
        <v>-0.10984514822847938</v>
      </c>
      <c r="Y183" s="17">
        <f t="shared" si="27"/>
        <v>-0.10019756350284376</v>
      </c>
      <c r="Z183" s="17">
        <f t="shared" si="28"/>
        <v>-9.2456320279303006E-2</v>
      </c>
      <c r="AA183" s="17">
        <f t="shared" si="29"/>
        <v>-8.6621418557856961E-2</v>
      </c>
    </row>
    <row r="184" spans="1:27" x14ac:dyDescent="0.3">
      <c r="A184" s="13" t="s">
        <v>170</v>
      </c>
      <c r="B184" s="14" t="s">
        <v>179</v>
      </c>
      <c r="C184" s="15">
        <v>-0.10225892499644042</v>
      </c>
      <c r="D184" s="15">
        <v>-0.18470424014339973</v>
      </c>
      <c r="E184" s="15">
        <v>-0.267531813044113</v>
      </c>
      <c r="F184" s="15">
        <v>-0.34141506734527693</v>
      </c>
      <c r="G184" s="15">
        <v>-0.40725331919323204</v>
      </c>
      <c r="H184" s="15">
        <v>-0.46594588473431936</v>
      </c>
      <c r="I184" s="15">
        <v>-0.51839208011487925</v>
      </c>
      <c r="J184" s="15">
        <v>-0.56549122148125264</v>
      </c>
      <c r="K184" s="15">
        <v>-0.60814262497978022</v>
      </c>
      <c r="L184" s="15">
        <v>-0.64724560675680243</v>
      </c>
      <c r="M184" s="15">
        <v>-0.68369948295866034</v>
      </c>
      <c r="N184" s="15">
        <v>-0.71840356973169439</v>
      </c>
      <c r="O184" s="15">
        <v>-0.75225718322224544</v>
      </c>
      <c r="P184" s="15">
        <v>-0.78615963957665413</v>
      </c>
      <c r="Q184" s="15">
        <v>-0.82101025494126112</v>
      </c>
      <c r="S184" s="17">
        <f t="shared" si="21"/>
        <v>-0.18545756587486026</v>
      </c>
      <c r="T184" s="17">
        <f t="shared" si="22"/>
        <v>-0.16534505974183863</v>
      </c>
      <c r="U184" s="17">
        <f t="shared" si="23"/>
        <v>-0.1474808439746686</v>
      </c>
      <c r="V184" s="17">
        <f t="shared" si="24"/>
        <v>-0.1318649185733505</v>
      </c>
      <c r="W184" s="17">
        <f t="shared" si="25"/>
        <v>-0.11849728353788405</v>
      </c>
      <c r="X184" s="17">
        <f t="shared" si="26"/>
        <v>-0.10737793886826932</v>
      </c>
      <c r="Y184" s="17">
        <f t="shared" si="27"/>
        <v>-9.8506884564506431E-2</v>
      </c>
      <c r="Z184" s="17">
        <f t="shared" si="28"/>
        <v>-9.188412062659515E-2</v>
      </c>
      <c r="AA184" s="17">
        <f t="shared" si="29"/>
        <v>-8.7509647054535844E-2</v>
      </c>
    </row>
    <row r="185" spans="1:27" x14ac:dyDescent="0.3">
      <c r="A185" s="13" t="s">
        <v>170</v>
      </c>
      <c r="B185" s="14" t="s">
        <v>180</v>
      </c>
      <c r="C185" s="15">
        <v>-0.10094290821287497</v>
      </c>
      <c r="D185" s="15">
        <v>-0.18289675987127577</v>
      </c>
      <c r="E185" s="15">
        <v>-0.26574811225484413</v>
      </c>
      <c r="F185" s="15">
        <v>-0.34016521114313047</v>
      </c>
      <c r="G185" s="15">
        <v>-0.40691059313697292</v>
      </c>
      <c r="H185" s="15">
        <v>-0.46674679483720921</v>
      </c>
      <c r="I185" s="15">
        <v>-0.52043635284467737</v>
      </c>
      <c r="J185" s="15">
        <v>-0.56874180376021533</v>
      </c>
      <c r="K185" s="15">
        <v>-0.61242568418466103</v>
      </c>
      <c r="L185" s="15">
        <v>-0.65225053071885264</v>
      </c>
      <c r="M185" s="15">
        <v>-0.68897887996362783</v>
      </c>
      <c r="N185" s="15">
        <v>-0.72337326851982464</v>
      </c>
      <c r="O185" s="15">
        <v>-0.75619623298828098</v>
      </c>
      <c r="P185" s="15">
        <v>-0.78821030996983499</v>
      </c>
      <c r="Q185" s="15">
        <v>-0.82017803606532436</v>
      </c>
      <c r="S185" s="17">
        <f t="shared" si="21"/>
        <v>-0.18667819438808098</v>
      </c>
      <c r="T185" s="17">
        <f t="shared" si="22"/>
        <v>-0.16749890215197089</v>
      </c>
      <c r="U185" s="17">
        <f t="shared" si="23"/>
        <v>-0.15022595141795575</v>
      </c>
      <c r="V185" s="17">
        <f t="shared" si="24"/>
        <v>-0.13485934218603535</v>
      </c>
      <c r="W185" s="17">
        <f t="shared" si="25"/>
        <v>-0.12139907445620984</v>
      </c>
      <c r="X185" s="17">
        <f t="shared" si="26"/>
        <v>-0.10984514822847938</v>
      </c>
      <c r="Y185" s="17">
        <f t="shared" si="27"/>
        <v>-0.10019756350284376</v>
      </c>
      <c r="Z185" s="17">
        <f t="shared" si="28"/>
        <v>-9.2456320279303006E-2</v>
      </c>
      <c r="AA185" s="17">
        <f t="shared" si="29"/>
        <v>-8.6621418557856961E-2</v>
      </c>
    </row>
    <row r="186" spans="1:27" x14ac:dyDescent="0.3">
      <c r="A186" s="13" t="s">
        <v>170</v>
      </c>
      <c r="B186" s="14" t="s">
        <v>181</v>
      </c>
      <c r="C186" s="15">
        <v>-0.10141169904276312</v>
      </c>
      <c r="D186" s="15">
        <v>-0.18356851510002081</v>
      </c>
      <c r="E186" s="15">
        <v>-0.26646128490953308</v>
      </c>
      <c r="F186" s="15">
        <v>-0.34075009602925771</v>
      </c>
      <c r="G186" s="15">
        <v>-0.40723620592142878</v>
      </c>
      <c r="H186" s="15">
        <v>-0.4667208720482805</v>
      </c>
      <c r="I186" s="15">
        <v>-0.52000535187204666</v>
      </c>
      <c r="J186" s="15">
        <v>-0.5678909028549618</v>
      </c>
      <c r="K186" s="15">
        <v>-0.6111787824592595</v>
      </c>
      <c r="L186" s="15">
        <v>-0.650670248147174</v>
      </c>
      <c r="M186" s="15">
        <v>-0.68716655738093968</v>
      </c>
      <c r="N186" s="15">
        <v>-0.72146896762279034</v>
      </c>
      <c r="O186" s="15">
        <v>-0.75437873633496011</v>
      </c>
      <c r="P186" s="15">
        <v>-0.78669712097968303</v>
      </c>
      <c r="Q186" s="15">
        <v>-0.81922537901919323</v>
      </c>
      <c r="S186" s="17">
        <f t="shared" si="21"/>
        <v>-0.18638974235117331</v>
      </c>
      <c r="T186" s="17">
        <f t="shared" si="22"/>
        <v>-0.16688298928228953</v>
      </c>
      <c r="U186" s="17">
        <f t="shared" si="23"/>
        <v>-0.1493793798689908</v>
      </c>
      <c r="V186" s="17">
        <f t="shared" si="24"/>
        <v>-0.1338789141112775</v>
      </c>
      <c r="W186" s="17">
        <f t="shared" si="25"/>
        <v>-0.12038159200914916</v>
      </c>
      <c r="X186" s="17">
        <f t="shared" si="26"/>
        <v>-0.10888741356260612</v>
      </c>
      <c r="Y186" s="17">
        <f t="shared" si="27"/>
        <v>-9.9396378771648225E-2</v>
      </c>
      <c r="Z186" s="17">
        <f t="shared" si="28"/>
        <v>-9.190848763627571E-2</v>
      </c>
      <c r="AA186" s="17">
        <f t="shared" si="29"/>
        <v>-8.6423740156488432E-2</v>
      </c>
    </row>
    <row r="187" spans="1:27" x14ac:dyDescent="0.3">
      <c r="A187" s="13" t="s">
        <v>170</v>
      </c>
      <c r="B187" s="14" t="s">
        <v>182</v>
      </c>
      <c r="C187" s="15">
        <v>-0.11565376594339385</v>
      </c>
      <c r="D187" s="15">
        <v>-0.20603210207450298</v>
      </c>
      <c r="E187" s="15">
        <v>-0.29411983292314037</v>
      </c>
      <c r="F187" s="15">
        <v>-0.36988203810338038</v>
      </c>
      <c r="G187" s="15">
        <v>-0.43484917382363708</v>
      </c>
      <c r="H187" s="15">
        <v>-0.49055169629232442</v>
      </c>
      <c r="I187" s="15">
        <v>-0.53852006171785605</v>
      </c>
      <c r="J187" s="15">
        <v>-0.58028472630864614</v>
      </c>
      <c r="K187" s="15">
        <v>-0.61737614627310833</v>
      </c>
      <c r="L187" s="15">
        <v>-0.65132477781965681</v>
      </c>
      <c r="M187" s="15">
        <v>-0.68366107715670532</v>
      </c>
      <c r="N187" s="15">
        <v>-0.71591550049266794</v>
      </c>
      <c r="O187" s="15">
        <v>-0.74961850403595842</v>
      </c>
      <c r="P187" s="15">
        <v>-0.7863005439949905</v>
      </c>
      <c r="Q187" s="15">
        <v>-0.82749207657817836</v>
      </c>
      <c r="S187" s="17">
        <f t="shared" si="21"/>
        <v>-0.19068089312427841</v>
      </c>
      <c r="T187" s="17">
        <f t="shared" si="22"/>
        <v>-0.16369321947432003</v>
      </c>
      <c r="U187" s="17">
        <f t="shared" si="23"/>
        <v>-0.14053168634539639</v>
      </c>
      <c r="V187" s="17">
        <f t="shared" si="24"/>
        <v>-0.12119629373750754</v>
      </c>
      <c r="W187" s="17">
        <f t="shared" si="25"/>
        <v>-0.10568704165065326</v>
      </c>
      <c r="X187" s="17">
        <f t="shared" si="26"/>
        <v>-9.4003930084833959E-2</v>
      </c>
      <c r="Y187" s="17">
        <f t="shared" si="27"/>
        <v>-8.614695904004932E-2</v>
      </c>
      <c r="Z187" s="17">
        <f t="shared" si="28"/>
        <v>-8.211612851629968E-2</v>
      </c>
      <c r="AA187" s="17">
        <f t="shared" si="29"/>
        <v>-8.1911438513584678E-2</v>
      </c>
    </row>
    <row r="188" spans="1:27" x14ac:dyDescent="0.3">
      <c r="A188" s="13" t="s">
        <v>170</v>
      </c>
      <c r="B188" s="14" t="s">
        <v>183</v>
      </c>
      <c r="C188" s="15">
        <v>-0.10929537392540691</v>
      </c>
      <c r="D188" s="15">
        <v>-0.19620854190447296</v>
      </c>
      <c r="E188" s="15">
        <v>-0.28235894895830321</v>
      </c>
      <c r="F188" s="15">
        <v>-0.35796471209904979</v>
      </c>
      <c r="G188" s="15">
        <v>-0.42417348573140579</v>
      </c>
      <c r="H188" s="15">
        <v>-0.48213292426006427</v>
      </c>
      <c r="I188" s="15">
        <v>-0.532990682089718</v>
      </c>
      <c r="J188" s="15">
        <v>-0.57789441362506</v>
      </c>
      <c r="K188" s="15">
        <v>-0.61799177327078336</v>
      </c>
      <c r="L188" s="15">
        <v>-0.65443041543158076</v>
      </c>
      <c r="M188" s="15">
        <v>-0.68835799451214552</v>
      </c>
      <c r="N188" s="15">
        <v>-0.72092216491717043</v>
      </c>
      <c r="O188" s="15">
        <v>-0.75327058105134825</v>
      </c>
      <c r="P188" s="15">
        <v>-0.78655089731937244</v>
      </c>
      <c r="Q188" s="15">
        <v>-0.82191076812593544</v>
      </c>
      <c r="S188" s="17">
        <f t="shared" si="21"/>
        <v>-0.18997078652244401</v>
      </c>
      <c r="T188" s="17">
        <f t="shared" si="22"/>
        <v>-0.16647831275146754</v>
      </c>
      <c r="U188" s="17">
        <f t="shared" si="23"/>
        <v>-0.14585497499222352</v>
      </c>
      <c r="V188" s="17">
        <f t="shared" si="24"/>
        <v>-0.12810077324471184</v>
      </c>
      <c r="W188" s="17">
        <f t="shared" si="25"/>
        <v>-0.11321570750893259</v>
      </c>
      <c r="X188" s="17">
        <f t="shared" si="26"/>
        <v>-0.10119977778488562</v>
      </c>
      <c r="Y188" s="17">
        <f t="shared" si="27"/>
        <v>-9.2052984072571259E-2</v>
      </c>
      <c r="Z188" s="17">
        <f t="shared" si="28"/>
        <v>-8.577532637198923E-2</v>
      </c>
      <c r="AA188" s="17">
        <f t="shared" si="29"/>
        <v>-8.2366804683139588E-2</v>
      </c>
    </row>
    <row r="189" spans="1:27" x14ac:dyDescent="0.3">
      <c r="A189" s="13" t="s">
        <v>170</v>
      </c>
      <c r="B189" s="14" t="s">
        <v>184</v>
      </c>
      <c r="C189" s="15">
        <v>-0.10094290821287497</v>
      </c>
      <c r="D189" s="15">
        <v>-0.18289675987127577</v>
      </c>
      <c r="E189" s="15">
        <v>-0.26574811225484413</v>
      </c>
      <c r="F189" s="15">
        <v>-0.34016521114313047</v>
      </c>
      <c r="G189" s="15">
        <v>-0.40691059313697292</v>
      </c>
      <c r="H189" s="15">
        <v>-0.46674679483720921</v>
      </c>
      <c r="I189" s="15">
        <v>-0.52043635284467737</v>
      </c>
      <c r="J189" s="15">
        <v>-0.56874180376021533</v>
      </c>
      <c r="K189" s="15">
        <v>-0.61242568418466103</v>
      </c>
      <c r="L189" s="15">
        <v>-0.65225053071885264</v>
      </c>
      <c r="M189" s="15">
        <v>-0.68897887996362783</v>
      </c>
      <c r="N189" s="15">
        <v>-0.72337326851982464</v>
      </c>
      <c r="O189" s="15">
        <v>-0.75619623298828098</v>
      </c>
      <c r="P189" s="15">
        <v>-0.78821030996983499</v>
      </c>
      <c r="Q189" s="15">
        <v>-0.82017803606532436</v>
      </c>
      <c r="S189" s="17">
        <f t="shared" si="21"/>
        <v>-0.18667819438808098</v>
      </c>
      <c r="T189" s="17">
        <f t="shared" si="22"/>
        <v>-0.16749890215197089</v>
      </c>
      <c r="U189" s="17">
        <f t="shared" si="23"/>
        <v>-0.15022595141795575</v>
      </c>
      <c r="V189" s="17">
        <f t="shared" si="24"/>
        <v>-0.13485934218603535</v>
      </c>
      <c r="W189" s="17">
        <f t="shared" si="25"/>
        <v>-0.12139907445620984</v>
      </c>
      <c r="X189" s="17">
        <f t="shared" si="26"/>
        <v>-0.10984514822847938</v>
      </c>
      <c r="Y189" s="17">
        <f t="shared" si="27"/>
        <v>-0.10019756350284376</v>
      </c>
      <c r="Z189" s="17">
        <f t="shared" si="28"/>
        <v>-9.2456320279303006E-2</v>
      </c>
      <c r="AA189" s="17">
        <f t="shared" si="29"/>
        <v>-8.6621418557856961E-2</v>
      </c>
    </row>
    <row r="190" spans="1:27" x14ac:dyDescent="0.3">
      <c r="A190" s="13" t="s">
        <v>170</v>
      </c>
      <c r="B190" s="14" t="s">
        <v>185</v>
      </c>
      <c r="C190" s="15">
        <v>-0.10036064263069706</v>
      </c>
      <c r="D190" s="15">
        <v>-0.18046744103204554</v>
      </c>
      <c r="E190" s="15">
        <v>-0.26032110538322056</v>
      </c>
      <c r="F190" s="15">
        <v>-0.33106767201912779</v>
      </c>
      <c r="G190" s="15">
        <v>-0.39388924153774246</v>
      </c>
      <c r="H190" s="15">
        <v>-0.44996791453703994</v>
      </c>
      <c r="I190" s="15">
        <v>-0.50048579161499562</v>
      </c>
      <c r="J190" s="15">
        <v>-0.54662497336958482</v>
      </c>
      <c r="K190" s="15">
        <v>-0.58956756039878278</v>
      </c>
      <c r="L190" s="15">
        <v>-0.63049565330056501</v>
      </c>
      <c r="M190" s="15">
        <v>-0.67059135267290659</v>
      </c>
      <c r="N190" s="15">
        <v>-0.71103675911378295</v>
      </c>
      <c r="O190" s="15">
        <v>-0.75301397322116947</v>
      </c>
      <c r="P190" s="15">
        <v>-0.79770509559304159</v>
      </c>
      <c r="Q190" s="15">
        <v>-0.84629222682737448</v>
      </c>
      <c r="S190" s="17">
        <f t="shared" si="21"/>
        <v>-0.17785150042141412</v>
      </c>
      <c r="T190" s="17">
        <f t="shared" si="22"/>
        <v>-0.15803900762818279</v>
      </c>
      <c r="U190" s="17">
        <f t="shared" si="23"/>
        <v>-0.14118176632988985</v>
      </c>
      <c r="V190" s="17">
        <f t="shared" si="24"/>
        <v>-0.1272797765265353</v>
      </c>
      <c r="W190" s="17">
        <f t="shared" si="25"/>
        <v>-0.11633303821811902</v>
      </c>
      <c r="X190" s="17">
        <f t="shared" si="26"/>
        <v>-0.10834155140464116</v>
      </c>
      <c r="Y190" s="17">
        <f t="shared" si="27"/>
        <v>-0.10330531608610147</v>
      </c>
      <c r="Z190" s="17">
        <f t="shared" si="28"/>
        <v>-0.10122433226250013</v>
      </c>
      <c r="AA190" s="17">
        <f t="shared" si="29"/>
        <v>-0.10209859993383705</v>
      </c>
    </row>
    <row r="191" spans="1:27" x14ac:dyDescent="0.3">
      <c r="A191" s="13" t="s">
        <v>170</v>
      </c>
      <c r="B191" s="14" t="s">
        <v>186</v>
      </c>
      <c r="C191" s="15">
        <v>-0.1020552289911351</v>
      </c>
      <c r="D191" s="15">
        <v>-0.18449487464950487</v>
      </c>
      <c r="E191" s="15">
        <v>-0.26747943458125617</v>
      </c>
      <c r="F191" s="15">
        <v>-0.34168673486319279</v>
      </c>
      <c r="G191" s="15">
        <v>-0.40800012447123207</v>
      </c>
      <c r="H191" s="15">
        <v>-0.46730295238129149</v>
      </c>
      <c r="I191" s="15">
        <v>-0.52047856756928834</v>
      </c>
      <c r="J191" s="15">
        <v>-0.56841031901113959</v>
      </c>
      <c r="K191" s="15">
        <v>-0.61198155568276302</v>
      </c>
      <c r="L191" s="15">
        <v>-0.65207562656007567</v>
      </c>
      <c r="M191" s="15">
        <v>-0.68957588061899555</v>
      </c>
      <c r="N191" s="15">
        <v>-0.72536566683543913</v>
      </c>
      <c r="O191" s="15">
        <v>-0.76032833418532386</v>
      </c>
      <c r="P191" s="15">
        <v>-0.79534723164456778</v>
      </c>
      <c r="Q191" s="15">
        <v>-0.83130570818908756</v>
      </c>
      <c r="S191" s="17">
        <f t="shared" si="21"/>
        <v>-0.18625437485143934</v>
      </c>
      <c r="T191" s="17">
        <f t="shared" si="22"/>
        <v>-0.16651959816669612</v>
      </c>
      <c r="U191" s="17">
        <f t="shared" si="23"/>
        <v>-0.14899319392174629</v>
      </c>
      <c r="V191" s="17">
        <f t="shared" si="24"/>
        <v>-0.13367516211658959</v>
      </c>
      <c r="W191" s="17">
        <f t="shared" si="25"/>
        <v>-0.12056550275122627</v>
      </c>
      <c r="X191" s="17">
        <f t="shared" si="26"/>
        <v>-0.10966421582565611</v>
      </c>
      <c r="Y191" s="17">
        <f t="shared" si="27"/>
        <v>-0.10097130133987997</v>
      </c>
      <c r="Z191" s="17">
        <f t="shared" si="28"/>
        <v>-9.4486759293896744E-2</v>
      </c>
      <c r="AA191" s="17">
        <f t="shared" si="29"/>
        <v>-9.0210589687706816E-2</v>
      </c>
    </row>
    <row r="192" spans="1:27" x14ac:dyDescent="0.3">
      <c r="A192" s="13" t="s">
        <v>170</v>
      </c>
      <c r="B192" s="14" t="s">
        <v>187</v>
      </c>
      <c r="C192" s="15">
        <v>-0.10094290821287497</v>
      </c>
      <c r="D192" s="15">
        <v>-0.18289675987127577</v>
      </c>
      <c r="E192" s="15">
        <v>-0.26574811225484413</v>
      </c>
      <c r="F192" s="15">
        <v>-0.34016521114313047</v>
      </c>
      <c r="G192" s="15">
        <v>-0.40691059313697292</v>
      </c>
      <c r="H192" s="15">
        <v>-0.46674679483720921</v>
      </c>
      <c r="I192" s="15">
        <v>-0.52043635284467737</v>
      </c>
      <c r="J192" s="15">
        <v>-0.56874180376021533</v>
      </c>
      <c r="K192" s="15">
        <v>-0.61242568418466103</v>
      </c>
      <c r="L192" s="15">
        <v>-0.65225053071885264</v>
      </c>
      <c r="M192" s="15">
        <v>-0.68897887996362783</v>
      </c>
      <c r="N192" s="15">
        <v>-0.72337326851982464</v>
      </c>
      <c r="O192" s="15">
        <v>-0.75619623298828098</v>
      </c>
      <c r="P192" s="15">
        <v>-0.78821030996983499</v>
      </c>
      <c r="Q192" s="15">
        <v>-0.82017803606532436</v>
      </c>
      <c r="S192" s="17">
        <f t="shared" si="21"/>
        <v>-0.18667819438808098</v>
      </c>
      <c r="T192" s="17">
        <f t="shared" si="22"/>
        <v>-0.16749890215197089</v>
      </c>
      <c r="U192" s="17">
        <f t="shared" si="23"/>
        <v>-0.15022595141795575</v>
      </c>
      <c r="V192" s="17">
        <f t="shared" si="24"/>
        <v>-0.13485934218603535</v>
      </c>
      <c r="W192" s="17">
        <f t="shared" si="25"/>
        <v>-0.12139907445620984</v>
      </c>
      <c r="X192" s="17">
        <f t="shared" si="26"/>
        <v>-0.10984514822847938</v>
      </c>
      <c r="Y192" s="17">
        <f t="shared" si="27"/>
        <v>-0.10019756350284376</v>
      </c>
      <c r="Z192" s="17">
        <f t="shared" si="28"/>
        <v>-9.2456320279303006E-2</v>
      </c>
      <c r="AA192" s="17">
        <f t="shared" si="29"/>
        <v>-8.6621418557856961E-2</v>
      </c>
    </row>
    <row r="193" spans="1:27" x14ac:dyDescent="0.3">
      <c r="A193" s="13" t="s">
        <v>170</v>
      </c>
      <c r="B193" s="14" t="s">
        <v>188</v>
      </c>
      <c r="C193" s="15">
        <v>-0.10094290821287497</v>
      </c>
      <c r="D193" s="15">
        <v>-0.18289675987127577</v>
      </c>
      <c r="E193" s="15">
        <v>-0.26574811225484413</v>
      </c>
      <c r="F193" s="15">
        <v>-0.34016521114313047</v>
      </c>
      <c r="G193" s="15">
        <v>-0.40691059313697292</v>
      </c>
      <c r="H193" s="15">
        <v>-0.46674679483720921</v>
      </c>
      <c r="I193" s="15">
        <v>-0.52043635284467737</v>
      </c>
      <c r="J193" s="15">
        <v>-0.56874180376021533</v>
      </c>
      <c r="K193" s="15">
        <v>-0.61242568418466103</v>
      </c>
      <c r="L193" s="15">
        <v>-0.65225053071885264</v>
      </c>
      <c r="M193" s="15">
        <v>-0.68897887996362783</v>
      </c>
      <c r="N193" s="15">
        <v>-0.72337326851982464</v>
      </c>
      <c r="O193" s="15">
        <v>-0.75619623298828098</v>
      </c>
      <c r="P193" s="15">
        <v>-0.78821030996983499</v>
      </c>
      <c r="Q193" s="15">
        <v>-0.82017803606532436</v>
      </c>
      <c r="S193" s="17">
        <f t="shared" si="21"/>
        <v>-0.18667819438808098</v>
      </c>
      <c r="T193" s="17">
        <f t="shared" si="22"/>
        <v>-0.16749890215197089</v>
      </c>
      <c r="U193" s="17">
        <f t="shared" si="23"/>
        <v>-0.15022595141795575</v>
      </c>
      <c r="V193" s="17">
        <f t="shared" si="24"/>
        <v>-0.13485934218603535</v>
      </c>
      <c r="W193" s="17">
        <f t="shared" si="25"/>
        <v>-0.12139907445620984</v>
      </c>
      <c r="X193" s="17">
        <f t="shared" si="26"/>
        <v>-0.10984514822847938</v>
      </c>
      <c r="Y193" s="17">
        <f t="shared" si="27"/>
        <v>-0.10019756350284376</v>
      </c>
      <c r="Z193" s="17">
        <f t="shared" si="28"/>
        <v>-9.2456320279303006E-2</v>
      </c>
      <c r="AA193" s="17">
        <f t="shared" si="29"/>
        <v>-8.6621418557856961E-2</v>
      </c>
    </row>
    <row r="194" spans="1:27" x14ac:dyDescent="0.3">
      <c r="A194" s="13" t="s">
        <v>170</v>
      </c>
      <c r="B194" s="14" t="s">
        <v>189</v>
      </c>
      <c r="C194" s="15">
        <v>-0.10094290821287497</v>
      </c>
      <c r="D194" s="15">
        <v>-0.18289675987127577</v>
      </c>
      <c r="E194" s="15">
        <v>-0.26574811225484413</v>
      </c>
      <c r="F194" s="15">
        <v>-0.34016521114313047</v>
      </c>
      <c r="G194" s="15">
        <v>-0.40691059313697292</v>
      </c>
      <c r="H194" s="15">
        <v>-0.46674679483720921</v>
      </c>
      <c r="I194" s="15">
        <v>-0.52043635284467737</v>
      </c>
      <c r="J194" s="15">
        <v>-0.56874180376021533</v>
      </c>
      <c r="K194" s="15">
        <v>-0.61242568418466103</v>
      </c>
      <c r="L194" s="15">
        <v>-0.65225053071885264</v>
      </c>
      <c r="M194" s="15">
        <v>-0.68897887996362783</v>
      </c>
      <c r="N194" s="15">
        <v>-0.72337326851982464</v>
      </c>
      <c r="O194" s="15">
        <v>-0.75619623298828098</v>
      </c>
      <c r="P194" s="15">
        <v>-0.78821030996983499</v>
      </c>
      <c r="Q194" s="15">
        <v>-0.82017803606532436</v>
      </c>
      <c r="S194" s="17">
        <f t="shared" si="21"/>
        <v>-0.18667819438808098</v>
      </c>
      <c r="T194" s="17">
        <f t="shared" si="22"/>
        <v>-0.16749890215197089</v>
      </c>
      <c r="U194" s="17">
        <f t="shared" si="23"/>
        <v>-0.15022595141795575</v>
      </c>
      <c r="V194" s="17">
        <f t="shared" si="24"/>
        <v>-0.13485934218603535</v>
      </c>
      <c r="W194" s="17">
        <f t="shared" si="25"/>
        <v>-0.12139907445620984</v>
      </c>
      <c r="X194" s="17">
        <f t="shared" si="26"/>
        <v>-0.10984514822847938</v>
      </c>
      <c r="Y194" s="17">
        <f t="shared" si="27"/>
        <v>-0.10019756350284376</v>
      </c>
      <c r="Z194" s="17">
        <f t="shared" si="28"/>
        <v>-9.2456320279303006E-2</v>
      </c>
      <c r="AA194" s="17">
        <f t="shared" si="29"/>
        <v>-8.6621418557856961E-2</v>
      </c>
    </row>
    <row r="195" spans="1:27" x14ac:dyDescent="0.3">
      <c r="A195" s="13" t="s">
        <v>170</v>
      </c>
      <c r="B195" s="14" t="s">
        <v>190</v>
      </c>
      <c r="C195" s="15">
        <v>-0.10094290821287497</v>
      </c>
      <c r="D195" s="15">
        <v>-0.18289675987127577</v>
      </c>
      <c r="E195" s="15">
        <v>-0.26574811225484413</v>
      </c>
      <c r="F195" s="15">
        <v>-0.34016521114313047</v>
      </c>
      <c r="G195" s="15">
        <v>-0.40691059313697292</v>
      </c>
      <c r="H195" s="15">
        <v>-0.46674679483720921</v>
      </c>
      <c r="I195" s="15">
        <v>-0.52043635284467737</v>
      </c>
      <c r="J195" s="15">
        <v>-0.56874180376021533</v>
      </c>
      <c r="K195" s="15">
        <v>-0.61242568418466103</v>
      </c>
      <c r="L195" s="15">
        <v>-0.65225053071885264</v>
      </c>
      <c r="M195" s="15">
        <v>-0.68897887996362783</v>
      </c>
      <c r="N195" s="15">
        <v>-0.72337326851982464</v>
      </c>
      <c r="O195" s="15">
        <v>-0.75619623298828098</v>
      </c>
      <c r="P195" s="15">
        <v>-0.78821030996983499</v>
      </c>
      <c r="Q195" s="15">
        <v>-0.82017803606532436</v>
      </c>
      <c r="S195" s="17">
        <f t="shared" si="21"/>
        <v>-0.18667819438808098</v>
      </c>
      <c r="T195" s="17">
        <f t="shared" si="22"/>
        <v>-0.16749890215197089</v>
      </c>
      <c r="U195" s="17">
        <f t="shared" si="23"/>
        <v>-0.15022595141795575</v>
      </c>
      <c r="V195" s="17">
        <f t="shared" si="24"/>
        <v>-0.13485934218603535</v>
      </c>
      <c r="W195" s="17">
        <f t="shared" si="25"/>
        <v>-0.12139907445620984</v>
      </c>
      <c r="X195" s="17">
        <f t="shared" si="26"/>
        <v>-0.10984514822847938</v>
      </c>
      <c r="Y195" s="17">
        <f t="shared" si="27"/>
        <v>-0.10019756350284376</v>
      </c>
      <c r="Z195" s="17">
        <f t="shared" si="28"/>
        <v>-9.2456320279303006E-2</v>
      </c>
      <c r="AA195" s="17">
        <f t="shared" si="29"/>
        <v>-8.6621418557856961E-2</v>
      </c>
    </row>
    <row r="196" spans="1:27" x14ac:dyDescent="0.3">
      <c r="A196" s="13" t="s">
        <v>170</v>
      </c>
      <c r="B196" s="14" t="s">
        <v>191</v>
      </c>
      <c r="C196" s="15">
        <v>-0.10094290821287497</v>
      </c>
      <c r="D196" s="15">
        <v>-0.18289675987127577</v>
      </c>
      <c r="E196" s="15">
        <v>-0.26574811225484413</v>
      </c>
      <c r="F196" s="15">
        <v>-0.34016521114313047</v>
      </c>
      <c r="G196" s="15">
        <v>-0.40691059313697292</v>
      </c>
      <c r="H196" s="15">
        <v>-0.46674679483720921</v>
      </c>
      <c r="I196" s="15">
        <v>-0.52043635284467737</v>
      </c>
      <c r="J196" s="15">
        <v>-0.56874180376021533</v>
      </c>
      <c r="K196" s="15">
        <v>-0.61242568418466103</v>
      </c>
      <c r="L196" s="15">
        <v>-0.65225053071885264</v>
      </c>
      <c r="M196" s="15">
        <v>-0.68897887996362783</v>
      </c>
      <c r="N196" s="15">
        <v>-0.72337326851982464</v>
      </c>
      <c r="O196" s="15">
        <v>-0.75619623298828098</v>
      </c>
      <c r="P196" s="15">
        <v>-0.78821030996983499</v>
      </c>
      <c r="Q196" s="15">
        <v>-0.82017803606532436</v>
      </c>
      <c r="S196" s="17">
        <f t="shared" si="21"/>
        <v>-0.18667819438808098</v>
      </c>
      <c r="T196" s="17">
        <f t="shared" si="22"/>
        <v>-0.16749890215197089</v>
      </c>
      <c r="U196" s="17">
        <f t="shared" si="23"/>
        <v>-0.15022595141795575</v>
      </c>
      <c r="V196" s="17">
        <f t="shared" si="24"/>
        <v>-0.13485934218603535</v>
      </c>
      <c r="W196" s="17">
        <f t="shared" si="25"/>
        <v>-0.12139907445620984</v>
      </c>
      <c r="X196" s="17">
        <f t="shared" si="26"/>
        <v>-0.10984514822847938</v>
      </c>
      <c r="Y196" s="17">
        <f t="shared" si="27"/>
        <v>-0.10019756350284376</v>
      </c>
      <c r="Z196" s="17">
        <f t="shared" si="28"/>
        <v>-9.2456320279303006E-2</v>
      </c>
      <c r="AA196" s="17">
        <f t="shared" si="29"/>
        <v>-8.6621418557856961E-2</v>
      </c>
    </row>
    <row r="197" spans="1:27" x14ac:dyDescent="0.3">
      <c r="A197" s="13" t="s">
        <v>170</v>
      </c>
      <c r="B197" s="14" t="s">
        <v>192</v>
      </c>
      <c r="C197" s="15">
        <v>-9.8414823414772354E-2</v>
      </c>
      <c r="D197" s="15">
        <v>-0.17930313315898619</v>
      </c>
      <c r="E197" s="15">
        <v>-0.26198093973229142</v>
      </c>
      <c r="F197" s="15">
        <v>-0.33714780322275889</v>
      </c>
      <c r="G197" s="15">
        <v>-0.40534476605993686</v>
      </c>
      <c r="H197" s="15">
        <v>-0.46711287067337326</v>
      </c>
      <c r="I197" s="15">
        <v>-0.52299315949261649</v>
      </c>
      <c r="J197" s="15">
        <v>-0.57352667494721465</v>
      </c>
      <c r="K197" s="15">
        <v>-0.61925445946671598</v>
      </c>
      <c r="L197" s="15">
        <v>-0.66071755548066846</v>
      </c>
      <c r="M197" s="15">
        <v>-0.69845700541861999</v>
      </c>
      <c r="N197" s="15">
        <v>-0.73301385171011935</v>
      </c>
      <c r="O197" s="15">
        <v>-0.76492913678471441</v>
      </c>
      <c r="P197" s="15">
        <v>-0.79474390307195308</v>
      </c>
      <c r="Q197" s="15">
        <v>-0.82299919300138369</v>
      </c>
      <c r="S197" s="17">
        <f t="shared" si="21"/>
        <v>-0.18836802741745889</v>
      </c>
      <c r="T197" s="17">
        <f t="shared" si="22"/>
        <v>-0.17094327578423485</v>
      </c>
      <c r="U197" s="17">
        <f t="shared" si="23"/>
        <v>-0.15487113022488133</v>
      </c>
      <c r="V197" s="17">
        <f t="shared" si="24"/>
        <v>-0.14015159073939817</v>
      </c>
      <c r="W197" s="17">
        <f t="shared" si="25"/>
        <v>-0.1267846573277856</v>
      </c>
      <c r="X197" s="17">
        <f t="shared" si="26"/>
        <v>-0.1147703299900433</v>
      </c>
      <c r="Y197" s="17">
        <f t="shared" si="27"/>
        <v>-0.10410860872617111</v>
      </c>
      <c r="Z197" s="17">
        <f t="shared" si="28"/>
        <v>-9.4799493536169482E-2</v>
      </c>
      <c r="AA197" s="17">
        <f t="shared" si="29"/>
        <v>-8.6842984420038294E-2</v>
      </c>
    </row>
    <row r="198" spans="1:27" x14ac:dyDescent="0.3">
      <c r="A198" s="13" t="s">
        <v>170</v>
      </c>
      <c r="B198" s="14" t="s">
        <v>193</v>
      </c>
      <c r="C198" s="15">
        <v>-8.1207972033734838E-2</v>
      </c>
      <c r="D198" s="15">
        <v>-0.15170386100015748</v>
      </c>
      <c r="E198" s="15">
        <v>-0.22724158143629605</v>
      </c>
      <c r="F198" s="15">
        <v>-0.29947838145192129</v>
      </c>
      <c r="G198" s="15">
        <v>-0.36819230636017741</v>
      </c>
      <c r="H198" s="15">
        <v>-0.4331614014742089</v>
      </c>
      <c r="I198" s="15">
        <v>-0.49416371210715987</v>
      </c>
      <c r="J198" s="15">
        <v>-0.55097728357217468</v>
      </c>
      <c r="K198" s="15">
        <v>-0.60338016118239757</v>
      </c>
      <c r="L198" s="15">
        <v>-0.65115039025097288</v>
      </c>
      <c r="M198" s="15">
        <v>-0.69406601609104479</v>
      </c>
      <c r="N198" s="15">
        <v>-0.73190508401575793</v>
      </c>
      <c r="O198" s="15">
        <v>-0.76444563933825604</v>
      </c>
      <c r="P198" s="15">
        <v>-0.79146572737168386</v>
      </c>
      <c r="Q198" s="15">
        <v>-0.81274339342918533</v>
      </c>
      <c r="S198" s="17">
        <f t="shared" ref="S198:S261" si="30">+(G198-D198)/3*2.5</f>
        <v>-0.18040703780001663</v>
      </c>
      <c r="T198" s="17">
        <f t="shared" si="22"/>
        <v>-0.17159985003159403</v>
      </c>
      <c r="U198" s="17">
        <f t="shared" si="23"/>
        <v>-0.16223777554603216</v>
      </c>
      <c r="V198" s="17">
        <f t="shared" si="24"/>
        <v>-0.15232081434333106</v>
      </c>
      <c r="W198" s="17">
        <f t="shared" si="25"/>
        <v>-0.14184896642349057</v>
      </c>
      <c r="X198" s="17">
        <f t="shared" si="26"/>
        <v>-0.13082223178651084</v>
      </c>
      <c r="Y198" s="17">
        <f t="shared" si="27"/>
        <v>-0.11924061043239176</v>
      </c>
      <c r="Z198" s="17">
        <f t="shared" si="28"/>
        <v>-0.10710410236113363</v>
      </c>
      <c r="AA198" s="17">
        <f t="shared" si="29"/>
        <v>-9.4412707572735982E-2</v>
      </c>
    </row>
    <row r="199" spans="1:27" x14ac:dyDescent="0.3">
      <c r="A199" s="13" t="s">
        <v>170</v>
      </c>
      <c r="B199" s="14" t="s">
        <v>194</v>
      </c>
      <c r="C199" s="15">
        <v>-0.10094290821287497</v>
      </c>
      <c r="D199" s="15">
        <v>-0.18289675987127577</v>
      </c>
      <c r="E199" s="15">
        <v>-0.26574811225484413</v>
      </c>
      <c r="F199" s="15">
        <v>-0.34016521114313047</v>
      </c>
      <c r="G199" s="15">
        <v>-0.40691059313697292</v>
      </c>
      <c r="H199" s="15">
        <v>-0.46674679483720921</v>
      </c>
      <c r="I199" s="15">
        <v>-0.52043635284467737</v>
      </c>
      <c r="J199" s="15">
        <v>-0.56874180376021533</v>
      </c>
      <c r="K199" s="15">
        <v>-0.61242568418466103</v>
      </c>
      <c r="L199" s="15">
        <v>-0.65225053071885264</v>
      </c>
      <c r="M199" s="15">
        <v>-0.68897887996362783</v>
      </c>
      <c r="N199" s="15">
        <v>-0.72337326851982464</v>
      </c>
      <c r="O199" s="15">
        <v>-0.75619623298828098</v>
      </c>
      <c r="P199" s="15">
        <v>-0.78821030996983499</v>
      </c>
      <c r="Q199" s="15">
        <v>-0.82017803606532436</v>
      </c>
      <c r="S199" s="17">
        <f t="shared" si="30"/>
        <v>-0.18667819438808098</v>
      </c>
      <c r="T199" s="17">
        <f t="shared" si="22"/>
        <v>-0.16749890215197089</v>
      </c>
      <c r="U199" s="17">
        <f t="shared" si="23"/>
        <v>-0.15022595141795575</v>
      </c>
      <c r="V199" s="17">
        <f t="shared" si="24"/>
        <v>-0.13485934218603535</v>
      </c>
      <c r="W199" s="17">
        <f t="shared" si="25"/>
        <v>-0.12139907445620984</v>
      </c>
      <c r="X199" s="17">
        <f t="shared" si="26"/>
        <v>-0.10984514822847938</v>
      </c>
      <c r="Y199" s="17">
        <f t="shared" si="27"/>
        <v>-0.10019756350284376</v>
      </c>
      <c r="Z199" s="17">
        <f t="shared" si="28"/>
        <v>-9.2456320279303006E-2</v>
      </c>
      <c r="AA199" s="17">
        <f t="shared" si="29"/>
        <v>-8.6621418557856961E-2</v>
      </c>
    </row>
    <row r="200" spans="1:27" x14ac:dyDescent="0.3">
      <c r="A200" s="13" t="s">
        <v>170</v>
      </c>
      <c r="B200" s="14" t="s">
        <v>195</v>
      </c>
      <c r="C200" s="15">
        <v>-9.4092886695780073E-2</v>
      </c>
      <c r="D200" s="15">
        <v>-0.1719795052747225</v>
      </c>
      <c r="E200" s="15">
        <v>-0.25212523771567086</v>
      </c>
      <c r="F200" s="15">
        <v>-0.3255674893249052</v>
      </c>
      <c r="G200" s="15">
        <v>-0.3927529540782832</v>
      </c>
      <c r="H200" s="15">
        <v>-0.45412832595166258</v>
      </c>
      <c r="I200" s="15">
        <v>-0.5101402989209014</v>
      </c>
      <c r="J200" s="15">
        <v>-0.56123556696185761</v>
      </c>
      <c r="K200" s="15">
        <v>-0.60786082405038866</v>
      </c>
      <c r="L200" s="15">
        <v>-0.6504627641623526</v>
      </c>
      <c r="M200" s="15">
        <v>-0.68948808127360728</v>
      </c>
      <c r="N200" s="15">
        <v>-0.72538346936001019</v>
      </c>
      <c r="O200" s="15">
        <v>-0.75859562239741973</v>
      </c>
      <c r="P200" s="15">
        <v>-0.78957123436169352</v>
      </c>
      <c r="Q200" s="15">
        <v>-0.81875699922868939</v>
      </c>
      <c r="S200" s="17">
        <f t="shared" si="30"/>
        <v>-0.18397787400296725</v>
      </c>
      <c r="T200" s="17">
        <f t="shared" si="22"/>
        <v>-0.16833590686332642</v>
      </c>
      <c r="U200" s="17">
        <f t="shared" si="23"/>
        <v>-0.15381067466333018</v>
      </c>
      <c r="V200" s="17">
        <f t="shared" si="24"/>
        <v>-0.14040217740297867</v>
      </c>
      <c r="W200" s="17">
        <f t="shared" si="25"/>
        <v>-0.12811041508227172</v>
      </c>
      <c r="X200" s="17">
        <f t="shared" si="26"/>
        <v>-0.11693538770120934</v>
      </c>
      <c r="Y200" s="17">
        <f t="shared" si="27"/>
        <v>-0.10687709525979139</v>
      </c>
      <c r="Z200" s="17">
        <f t="shared" si="28"/>
        <v>-9.7935537758017943E-2</v>
      </c>
      <c r="AA200" s="17">
        <f t="shared" si="29"/>
        <v>-9.0110715195889285E-2</v>
      </c>
    </row>
    <row r="201" spans="1:27" x14ac:dyDescent="0.3">
      <c r="A201" s="13" t="s">
        <v>170</v>
      </c>
      <c r="B201" s="14" t="s">
        <v>196</v>
      </c>
      <c r="C201" s="15">
        <v>-0.10094290821287497</v>
      </c>
      <c r="D201" s="15">
        <v>-0.18289675987127577</v>
      </c>
      <c r="E201" s="15">
        <v>-0.26574811225484413</v>
      </c>
      <c r="F201" s="15">
        <v>-0.34016521114313047</v>
      </c>
      <c r="G201" s="15">
        <v>-0.40691059313697292</v>
      </c>
      <c r="H201" s="15">
        <v>-0.46674679483720921</v>
      </c>
      <c r="I201" s="15">
        <v>-0.52043635284467737</v>
      </c>
      <c r="J201" s="15">
        <v>-0.56874180376021533</v>
      </c>
      <c r="K201" s="15">
        <v>-0.61242568418466103</v>
      </c>
      <c r="L201" s="15">
        <v>-0.65225053071885264</v>
      </c>
      <c r="M201" s="15">
        <v>-0.68897887996362783</v>
      </c>
      <c r="N201" s="15">
        <v>-0.72337326851982464</v>
      </c>
      <c r="O201" s="15">
        <v>-0.75619623298828098</v>
      </c>
      <c r="P201" s="15">
        <v>-0.78821030996983499</v>
      </c>
      <c r="Q201" s="15">
        <v>-0.82017803606532436</v>
      </c>
      <c r="S201" s="17">
        <f t="shared" si="30"/>
        <v>-0.18667819438808098</v>
      </c>
      <c r="T201" s="17">
        <f t="shared" si="22"/>
        <v>-0.16749890215197089</v>
      </c>
      <c r="U201" s="17">
        <f t="shared" si="23"/>
        <v>-0.15022595141795575</v>
      </c>
      <c r="V201" s="17">
        <f t="shared" si="24"/>
        <v>-0.13485934218603535</v>
      </c>
      <c r="W201" s="17">
        <f t="shared" si="25"/>
        <v>-0.12139907445620984</v>
      </c>
      <c r="X201" s="17">
        <f t="shared" si="26"/>
        <v>-0.10984514822847938</v>
      </c>
      <c r="Y201" s="17">
        <f t="shared" si="27"/>
        <v>-0.10019756350284376</v>
      </c>
      <c r="Z201" s="17">
        <f t="shared" si="28"/>
        <v>-9.2456320279303006E-2</v>
      </c>
      <c r="AA201" s="17">
        <f t="shared" si="29"/>
        <v>-8.6621418557856961E-2</v>
      </c>
    </row>
    <row r="202" spans="1:27" x14ac:dyDescent="0.3">
      <c r="A202" s="13" t="s">
        <v>170</v>
      </c>
      <c r="B202" s="14" t="s">
        <v>197</v>
      </c>
      <c r="C202" s="15">
        <v>-0.10094290821287497</v>
      </c>
      <c r="D202" s="15">
        <v>-0.18289675987127577</v>
      </c>
      <c r="E202" s="15">
        <v>-0.26574811225484413</v>
      </c>
      <c r="F202" s="15">
        <v>-0.34016521114313047</v>
      </c>
      <c r="G202" s="15">
        <v>-0.40691059313697292</v>
      </c>
      <c r="H202" s="15">
        <v>-0.46674679483720921</v>
      </c>
      <c r="I202" s="15">
        <v>-0.52043635284467737</v>
      </c>
      <c r="J202" s="15">
        <v>-0.56874180376021533</v>
      </c>
      <c r="K202" s="15">
        <v>-0.61242568418466103</v>
      </c>
      <c r="L202" s="15">
        <v>-0.65225053071885264</v>
      </c>
      <c r="M202" s="15">
        <v>-0.68897887996362783</v>
      </c>
      <c r="N202" s="15">
        <v>-0.72337326851982464</v>
      </c>
      <c r="O202" s="15">
        <v>-0.75619623298828098</v>
      </c>
      <c r="P202" s="15">
        <v>-0.78821030996983499</v>
      </c>
      <c r="Q202" s="15">
        <v>-0.82017803606532436</v>
      </c>
      <c r="S202" s="17">
        <f t="shared" si="30"/>
        <v>-0.18667819438808098</v>
      </c>
      <c r="T202" s="17">
        <f t="shared" si="22"/>
        <v>-0.16749890215197089</v>
      </c>
      <c r="U202" s="17">
        <f t="shared" si="23"/>
        <v>-0.15022595141795575</v>
      </c>
      <c r="V202" s="17">
        <f t="shared" si="24"/>
        <v>-0.13485934218603535</v>
      </c>
      <c r="W202" s="17">
        <f t="shared" si="25"/>
        <v>-0.12139907445620984</v>
      </c>
      <c r="X202" s="17">
        <f t="shared" si="26"/>
        <v>-0.10984514822847938</v>
      </c>
      <c r="Y202" s="17">
        <f t="shared" si="27"/>
        <v>-0.10019756350284376</v>
      </c>
      <c r="Z202" s="17">
        <f t="shared" si="28"/>
        <v>-9.2456320279303006E-2</v>
      </c>
      <c r="AA202" s="17">
        <f t="shared" si="29"/>
        <v>-8.6621418557856961E-2</v>
      </c>
    </row>
    <row r="203" spans="1:27" x14ac:dyDescent="0.3">
      <c r="A203" s="13" t="s">
        <v>170</v>
      </c>
      <c r="B203" s="14" t="s">
        <v>198</v>
      </c>
      <c r="C203" s="15">
        <v>-0.10094290821287497</v>
      </c>
      <c r="D203" s="15">
        <v>-0.18289675987127577</v>
      </c>
      <c r="E203" s="15">
        <v>-0.26574811225484413</v>
      </c>
      <c r="F203" s="15">
        <v>-0.34016521114313047</v>
      </c>
      <c r="G203" s="15">
        <v>-0.40691059313697292</v>
      </c>
      <c r="H203" s="15">
        <v>-0.46674679483720921</v>
      </c>
      <c r="I203" s="15">
        <v>-0.52043635284467737</v>
      </c>
      <c r="J203" s="15">
        <v>-0.56874180376021533</v>
      </c>
      <c r="K203" s="15">
        <v>-0.61242568418466103</v>
      </c>
      <c r="L203" s="15">
        <v>-0.65225053071885264</v>
      </c>
      <c r="M203" s="15">
        <v>-0.68897887996362783</v>
      </c>
      <c r="N203" s="15">
        <v>-0.72337326851982464</v>
      </c>
      <c r="O203" s="15">
        <v>-0.75619623298828098</v>
      </c>
      <c r="P203" s="15">
        <v>-0.78821030996983499</v>
      </c>
      <c r="Q203" s="15">
        <v>-0.82017803606532436</v>
      </c>
      <c r="S203" s="17">
        <f t="shared" si="30"/>
        <v>-0.18667819438808098</v>
      </c>
      <c r="T203" s="17">
        <f t="shared" si="22"/>
        <v>-0.16749890215197089</v>
      </c>
      <c r="U203" s="17">
        <f t="shared" si="23"/>
        <v>-0.15022595141795575</v>
      </c>
      <c r="V203" s="17">
        <f t="shared" si="24"/>
        <v>-0.13485934218603535</v>
      </c>
      <c r="W203" s="17">
        <f t="shared" si="25"/>
        <v>-0.12139907445620984</v>
      </c>
      <c r="X203" s="17">
        <f t="shared" si="26"/>
        <v>-0.10984514822847938</v>
      </c>
      <c r="Y203" s="17">
        <f t="shared" si="27"/>
        <v>-0.10019756350284376</v>
      </c>
      <c r="Z203" s="17">
        <f t="shared" si="28"/>
        <v>-9.2456320279303006E-2</v>
      </c>
      <c r="AA203" s="17">
        <f t="shared" si="29"/>
        <v>-8.6621418557856961E-2</v>
      </c>
    </row>
    <row r="204" spans="1:27" x14ac:dyDescent="0.3">
      <c r="A204" s="13" t="s">
        <v>170</v>
      </c>
      <c r="B204" s="14" t="s">
        <v>199</v>
      </c>
      <c r="C204" s="15">
        <v>-0.10094290821287497</v>
      </c>
      <c r="D204" s="15">
        <v>-0.18289675987127577</v>
      </c>
      <c r="E204" s="15">
        <v>-0.26574811225484413</v>
      </c>
      <c r="F204" s="15">
        <v>-0.34016521114313047</v>
      </c>
      <c r="G204" s="15">
        <v>-0.40691059313697292</v>
      </c>
      <c r="H204" s="15">
        <v>-0.46674679483720921</v>
      </c>
      <c r="I204" s="15">
        <v>-0.52043635284467737</v>
      </c>
      <c r="J204" s="15">
        <v>-0.56874180376021533</v>
      </c>
      <c r="K204" s="15">
        <v>-0.61242568418466103</v>
      </c>
      <c r="L204" s="15">
        <v>-0.65225053071885264</v>
      </c>
      <c r="M204" s="15">
        <v>-0.68897887996362783</v>
      </c>
      <c r="N204" s="15">
        <v>-0.72337326851982464</v>
      </c>
      <c r="O204" s="15">
        <v>-0.75619623298828098</v>
      </c>
      <c r="P204" s="15">
        <v>-0.78821030996983499</v>
      </c>
      <c r="Q204" s="15">
        <v>-0.82017803606532436</v>
      </c>
      <c r="S204" s="17">
        <f t="shared" si="30"/>
        <v>-0.18667819438808098</v>
      </c>
      <c r="T204" s="17">
        <f t="shared" si="22"/>
        <v>-0.16749890215197089</v>
      </c>
      <c r="U204" s="17">
        <f t="shared" si="23"/>
        <v>-0.15022595141795575</v>
      </c>
      <c r="V204" s="17">
        <f t="shared" si="24"/>
        <v>-0.13485934218603535</v>
      </c>
      <c r="W204" s="17">
        <f t="shared" si="25"/>
        <v>-0.12139907445620984</v>
      </c>
      <c r="X204" s="17">
        <f t="shared" si="26"/>
        <v>-0.10984514822847938</v>
      </c>
      <c r="Y204" s="17">
        <f t="shared" si="27"/>
        <v>-0.10019756350284376</v>
      </c>
      <c r="Z204" s="17">
        <f t="shared" si="28"/>
        <v>-9.2456320279303006E-2</v>
      </c>
      <c r="AA204" s="17">
        <f t="shared" si="29"/>
        <v>-8.6621418557856961E-2</v>
      </c>
    </row>
    <row r="205" spans="1:27" x14ac:dyDescent="0.3">
      <c r="A205" s="13" t="s">
        <v>170</v>
      </c>
      <c r="B205" s="14" t="s">
        <v>200</v>
      </c>
      <c r="C205" s="15">
        <v>-0.10329915546732474</v>
      </c>
      <c r="D205" s="15">
        <v>-0.18593006259921557</v>
      </c>
      <c r="E205" s="15">
        <v>-0.26836458412489139</v>
      </c>
      <c r="F205" s="15">
        <v>-0.34134028814088963</v>
      </c>
      <c r="G205" s="15">
        <v>-0.40592465829048041</v>
      </c>
      <c r="H205" s="15">
        <v>-0.46318517821693389</v>
      </c>
      <c r="I205" s="15">
        <v>-0.51418933156351965</v>
      </c>
      <c r="J205" s="15">
        <v>-0.56000460197350821</v>
      </c>
      <c r="K205" s="15">
        <v>-0.60169847309016933</v>
      </c>
      <c r="L205" s="15">
        <v>-0.64033842855677292</v>
      </c>
      <c r="M205" s="15">
        <v>-0.67699195201658902</v>
      </c>
      <c r="N205" s="15">
        <v>-0.71272652711288809</v>
      </c>
      <c r="O205" s="15">
        <v>-0.74860963748893938</v>
      </c>
      <c r="P205" s="15">
        <v>-0.7857087667880136</v>
      </c>
      <c r="Q205" s="15">
        <v>-0.82509139865338044</v>
      </c>
      <c r="S205" s="17">
        <f t="shared" si="30"/>
        <v>-0.18332882974272072</v>
      </c>
      <c r="T205" s="17">
        <f t="shared" si="22"/>
        <v>-0.1623504950767021</v>
      </c>
      <c r="U205" s="17">
        <f t="shared" si="23"/>
        <v>-0.14404086951885836</v>
      </c>
      <c r="V205" s="17">
        <f t="shared" si="24"/>
        <v>-0.12839995306918983</v>
      </c>
      <c r="W205" s="17">
        <f t="shared" si="25"/>
        <v>-0.11542774572769621</v>
      </c>
      <c r="X205" s="17">
        <f t="shared" si="26"/>
        <v>-0.10512424749437774</v>
      </c>
      <c r="Y205" s="17">
        <f t="shared" si="27"/>
        <v>-9.7489458369234006E-2</v>
      </c>
      <c r="Z205" s="17">
        <f t="shared" si="28"/>
        <v>-9.2523378352265623E-2</v>
      </c>
      <c r="AA205" s="17">
        <f t="shared" si="29"/>
        <v>-9.0226007443472062E-2</v>
      </c>
    </row>
    <row r="206" spans="1:27" x14ac:dyDescent="0.3">
      <c r="A206" s="13" t="s">
        <v>170</v>
      </c>
      <c r="B206" s="14" t="s">
        <v>201</v>
      </c>
      <c r="C206" s="15">
        <v>-0.10094290821287497</v>
      </c>
      <c r="D206" s="15">
        <v>-0.18289675987127577</v>
      </c>
      <c r="E206" s="15">
        <v>-0.26574811225484413</v>
      </c>
      <c r="F206" s="15">
        <v>-0.34016521114313047</v>
      </c>
      <c r="G206" s="15">
        <v>-0.40691059313697292</v>
      </c>
      <c r="H206" s="15">
        <v>-0.46674679483720921</v>
      </c>
      <c r="I206" s="15">
        <v>-0.52043635284467737</v>
      </c>
      <c r="J206" s="15">
        <v>-0.56874180376021533</v>
      </c>
      <c r="K206" s="15">
        <v>-0.61242568418466103</v>
      </c>
      <c r="L206" s="15">
        <v>-0.65225053071885264</v>
      </c>
      <c r="M206" s="15">
        <v>-0.68897887996362783</v>
      </c>
      <c r="N206" s="15">
        <v>-0.72337326851982464</v>
      </c>
      <c r="O206" s="15">
        <v>-0.75619623298828098</v>
      </c>
      <c r="P206" s="15">
        <v>-0.78821030996983499</v>
      </c>
      <c r="Q206" s="15">
        <v>-0.82017803606532436</v>
      </c>
      <c r="S206" s="17">
        <f t="shared" si="30"/>
        <v>-0.18667819438808098</v>
      </c>
      <c r="T206" s="17">
        <f t="shared" si="22"/>
        <v>-0.16749890215197089</v>
      </c>
      <c r="U206" s="17">
        <f t="shared" si="23"/>
        <v>-0.15022595141795575</v>
      </c>
      <c r="V206" s="17">
        <f t="shared" si="24"/>
        <v>-0.13485934218603535</v>
      </c>
      <c r="W206" s="17">
        <f t="shared" si="25"/>
        <v>-0.12139907445620984</v>
      </c>
      <c r="X206" s="17">
        <f t="shared" si="26"/>
        <v>-0.10984514822847938</v>
      </c>
      <c r="Y206" s="17">
        <f t="shared" si="27"/>
        <v>-0.10019756350284376</v>
      </c>
      <c r="Z206" s="17">
        <f t="shared" si="28"/>
        <v>-9.2456320279303006E-2</v>
      </c>
      <c r="AA206" s="17">
        <f t="shared" si="29"/>
        <v>-8.6621418557856961E-2</v>
      </c>
    </row>
    <row r="207" spans="1:27" x14ac:dyDescent="0.3">
      <c r="A207" s="13" t="s">
        <v>170</v>
      </c>
      <c r="B207" s="14" t="s">
        <v>202</v>
      </c>
      <c r="C207" s="15">
        <v>-9.6990968369394054E-2</v>
      </c>
      <c r="D207" s="15">
        <v>-0.17702231746865085</v>
      </c>
      <c r="E207" s="15">
        <v>-0.25917525052531909</v>
      </c>
      <c r="F207" s="15">
        <v>-0.33429481988964771</v>
      </c>
      <c r="G207" s="15">
        <v>-0.40292517474882528</v>
      </c>
      <c r="H207" s="15">
        <v>-0.4656104642900401</v>
      </c>
      <c r="I207" s="15">
        <v>-0.52289483770048073</v>
      </c>
      <c r="J207" s="15">
        <v>-0.57532244416733558</v>
      </c>
      <c r="K207" s="15">
        <v>-0.62343743287779296</v>
      </c>
      <c r="L207" s="15">
        <v>-0.6677839530190417</v>
      </c>
      <c r="M207" s="15">
        <v>-0.70890615377826982</v>
      </c>
      <c r="N207" s="15">
        <v>-0.74734818434266592</v>
      </c>
      <c r="O207" s="15">
        <v>-0.78365419389941815</v>
      </c>
      <c r="P207" s="15">
        <v>-0.81836833163571554</v>
      </c>
      <c r="Q207" s="15">
        <v>-0.85203474673874613</v>
      </c>
      <c r="S207" s="17">
        <f t="shared" si="30"/>
        <v>-0.18825238106681202</v>
      </c>
      <c r="T207" s="17">
        <f t="shared" si="22"/>
        <v>-0.1720293448039342</v>
      </c>
      <c r="U207" s="17">
        <f t="shared" si="23"/>
        <v>-0.15716668150902752</v>
      </c>
      <c r="V207" s="17">
        <f t="shared" si="24"/>
        <v>-0.14366439118209193</v>
      </c>
      <c r="W207" s="17">
        <f t="shared" si="25"/>
        <v>-0.13152247382312737</v>
      </c>
      <c r="X207" s="17">
        <f t="shared" si="26"/>
        <v>-0.12074092943213413</v>
      </c>
      <c r="Y207" s="17">
        <f t="shared" si="27"/>
        <v>-0.11131975800911187</v>
      </c>
      <c r="Z207" s="17">
        <f t="shared" si="28"/>
        <v>-0.10325895955406081</v>
      </c>
      <c r="AA207" s="17">
        <f t="shared" si="29"/>
        <v>-9.6558534066980367E-2</v>
      </c>
    </row>
    <row r="208" spans="1:27" x14ac:dyDescent="0.3">
      <c r="A208" s="13" t="s">
        <v>170</v>
      </c>
      <c r="B208" s="14" t="s">
        <v>203</v>
      </c>
      <c r="C208" s="15">
        <v>-0.10094290821287497</v>
      </c>
      <c r="D208" s="15">
        <v>-0.18289675987127577</v>
      </c>
      <c r="E208" s="15">
        <v>-0.26574811225484413</v>
      </c>
      <c r="F208" s="15">
        <v>-0.34016521114313047</v>
      </c>
      <c r="G208" s="15">
        <v>-0.40691059313697292</v>
      </c>
      <c r="H208" s="15">
        <v>-0.46674679483720921</v>
      </c>
      <c r="I208" s="15">
        <v>-0.52043635284467737</v>
      </c>
      <c r="J208" s="15">
        <v>-0.56874180376021533</v>
      </c>
      <c r="K208" s="15">
        <v>-0.61242568418466103</v>
      </c>
      <c r="L208" s="15">
        <v>-0.65225053071885264</v>
      </c>
      <c r="M208" s="15">
        <v>-0.68897887996362783</v>
      </c>
      <c r="N208" s="15">
        <v>-0.72337326851982464</v>
      </c>
      <c r="O208" s="15">
        <v>-0.75619623298828098</v>
      </c>
      <c r="P208" s="15">
        <v>-0.78821030996983499</v>
      </c>
      <c r="Q208" s="15">
        <v>-0.82017803606532436</v>
      </c>
      <c r="S208" s="17">
        <f t="shared" si="30"/>
        <v>-0.18667819438808098</v>
      </c>
      <c r="T208" s="17">
        <f t="shared" si="22"/>
        <v>-0.16749890215197089</v>
      </c>
      <c r="U208" s="17">
        <f t="shared" si="23"/>
        <v>-0.15022595141795575</v>
      </c>
      <c r="V208" s="17">
        <f t="shared" si="24"/>
        <v>-0.13485934218603535</v>
      </c>
      <c r="W208" s="17">
        <f t="shared" si="25"/>
        <v>-0.12139907445620984</v>
      </c>
      <c r="X208" s="17">
        <f t="shared" si="26"/>
        <v>-0.10984514822847938</v>
      </c>
      <c r="Y208" s="17">
        <f t="shared" si="27"/>
        <v>-0.10019756350284376</v>
      </c>
      <c r="Z208" s="17">
        <f t="shared" si="28"/>
        <v>-9.2456320279303006E-2</v>
      </c>
      <c r="AA208" s="17">
        <f t="shared" si="29"/>
        <v>-8.6621418557856961E-2</v>
      </c>
    </row>
    <row r="209" spans="1:27" x14ac:dyDescent="0.3">
      <c r="A209" s="13" t="s">
        <v>170</v>
      </c>
      <c r="B209" s="14" t="s">
        <v>204</v>
      </c>
      <c r="C209" s="15">
        <v>-0.10094290821287497</v>
      </c>
      <c r="D209" s="15">
        <v>-0.18289675987127577</v>
      </c>
      <c r="E209" s="15">
        <v>-0.26574811225484413</v>
      </c>
      <c r="F209" s="15">
        <v>-0.34016521114313047</v>
      </c>
      <c r="G209" s="15">
        <v>-0.40691059313697292</v>
      </c>
      <c r="H209" s="15">
        <v>-0.46674679483720921</v>
      </c>
      <c r="I209" s="15">
        <v>-0.52043635284467737</v>
      </c>
      <c r="J209" s="15">
        <v>-0.56874180376021533</v>
      </c>
      <c r="K209" s="15">
        <v>-0.61242568418466103</v>
      </c>
      <c r="L209" s="15">
        <v>-0.65225053071885264</v>
      </c>
      <c r="M209" s="15">
        <v>-0.68897887996362783</v>
      </c>
      <c r="N209" s="15">
        <v>-0.72337326851982464</v>
      </c>
      <c r="O209" s="15">
        <v>-0.75619623298828098</v>
      </c>
      <c r="P209" s="15">
        <v>-0.78821030996983499</v>
      </c>
      <c r="Q209" s="15">
        <v>-0.82017803606532436</v>
      </c>
      <c r="S209" s="17">
        <f t="shared" si="30"/>
        <v>-0.18667819438808098</v>
      </c>
      <c r="T209" s="17">
        <f t="shared" si="22"/>
        <v>-0.16749890215197089</v>
      </c>
      <c r="U209" s="17">
        <f t="shared" si="23"/>
        <v>-0.15022595141795575</v>
      </c>
      <c r="V209" s="17">
        <f t="shared" si="24"/>
        <v>-0.13485934218603535</v>
      </c>
      <c r="W209" s="17">
        <f t="shared" si="25"/>
        <v>-0.12139907445620984</v>
      </c>
      <c r="X209" s="17">
        <f t="shared" si="26"/>
        <v>-0.10984514822847938</v>
      </c>
      <c r="Y209" s="17">
        <f t="shared" si="27"/>
        <v>-0.10019756350284376</v>
      </c>
      <c r="Z209" s="17">
        <f t="shared" si="28"/>
        <v>-9.2456320279303006E-2</v>
      </c>
      <c r="AA209" s="17">
        <f t="shared" si="29"/>
        <v>-8.6621418557856961E-2</v>
      </c>
    </row>
    <row r="210" spans="1:27" x14ac:dyDescent="0.3">
      <c r="A210" s="13" t="s">
        <v>170</v>
      </c>
      <c r="B210" s="14" t="s">
        <v>205</v>
      </c>
      <c r="C210" s="15">
        <v>-0.10094290821287497</v>
      </c>
      <c r="D210" s="15">
        <v>-0.18289675987127577</v>
      </c>
      <c r="E210" s="15">
        <v>-0.26574811225484413</v>
      </c>
      <c r="F210" s="15">
        <v>-0.34016521114313047</v>
      </c>
      <c r="G210" s="15">
        <v>-0.40691059313697292</v>
      </c>
      <c r="H210" s="15">
        <v>-0.46674679483720921</v>
      </c>
      <c r="I210" s="15">
        <v>-0.52043635284467737</v>
      </c>
      <c r="J210" s="15">
        <v>-0.56874180376021533</v>
      </c>
      <c r="K210" s="15">
        <v>-0.61242568418466103</v>
      </c>
      <c r="L210" s="15">
        <v>-0.65225053071885264</v>
      </c>
      <c r="M210" s="15">
        <v>-0.68897887996362783</v>
      </c>
      <c r="N210" s="15">
        <v>-0.72337326851982464</v>
      </c>
      <c r="O210" s="15">
        <v>-0.75619623298828098</v>
      </c>
      <c r="P210" s="15">
        <v>-0.78821030996983499</v>
      </c>
      <c r="Q210" s="15">
        <v>-0.82017803606532436</v>
      </c>
      <c r="S210" s="17">
        <f t="shared" si="30"/>
        <v>-0.18667819438808098</v>
      </c>
      <c r="T210" s="17">
        <f t="shared" si="22"/>
        <v>-0.16749890215197089</v>
      </c>
      <c r="U210" s="17">
        <f t="shared" si="23"/>
        <v>-0.15022595141795575</v>
      </c>
      <c r="V210" s="17">
        <f t="shared" si="24"/>
        <v>-0.13485934218603535</v>
      </c>
      <c r="W210" s="17">
        <f t="shared" si="25"/>
        <v>-0.12139907445620984</v>
      </c>
      <c r="X210" s="17">
        <f t="shared" si="26"/>
        <v>-0.10984514822847938</v>
      </c>
      <c r="Y210" s="17">
        <f t="shared" si="27"/>
        <v>-0.10019756350284376</v>
      </c>
      <c r="Z210" s="17">
        <f t="shared" si="28"/>
        <v>-9.2456320279303006E-2</v>
      </c>
      <c r="AA210" s="17">
        <f t="shared" si="29"/>
        <v>-8.6621418557856961E-2</v>
      </c>
    </row>
    <row r="211" spans="1:27" x14ac:dyDescent="0.3">
      <c r="A211" s="13" t="s">
        <v>170</v>
      </c>
      <c r="B211" s="14" t="s">
        <v>206</v>
      </c>
      <c r="C211" s="15">
        <v>-9.8854718452670715E-2</v>
      </c>
      <c r="D211" s="15">
        <v>-0.17994971924863912</v>
      </c>
      <c r="E211" s="15">
        <v>-0.26271183008963661</v>
      </c>
      <c r="F211" s="15">
        <v>-0.33784535714424924</v>
      </c>
      <c r="G211" s="15">
        <v>-0.40594007842633029</v>
      </c>
      <c r="H211" s="15">
        <v>-0.46758577194973278</v>
      </c>
      <c r="I211" s="15">
        <v>-0.52337221572830994</v>
      </c>
      <c r="J211" s="15">
        <v>-0.57388918777591491</v>
      </c>
      <c r="K211" s="15">
        <v>-0.61972646610640081</v>
      </c>
      <c r="L211" s="15">
        <v>-0.66147382873362082</v>
      </c>
      <c r="M211" s="15">
        <v>-0.69972105367142845</v>
      </c>
      <c r="N211" s="15">
        <v>-0.73505791893367611</v>
      </c>
      <c r="O211" s="15">
        <v>-0.76807420253421754</v>
      </c>
      <c r="P211" s="15">
        <v>-0.79935968248690592</v>
      </c>
      <c r="Q211" s="15">
        <v>-0.82950413680559409</v>
      </c>
      <c r="S211" s="17">
        <f t="shared" si="30"/>
        <v>-0.18832529931474262</v>
      </c>
      <c r="T211" s="17">
        <f t="shared" si="22"/>
        <v>-0.17072828488341349</v>
      </c>
      <c r="U211" s="17">
        <f t="shared" si="23"/>
        <v>-0.15460571548671725</v>
      </c>
      <c r="V211" s="17">
        <f t="shared" si="24"/>
        <v>-0.13995759112465386</v>
      </c>
      <c r="W211" s="17">
        <f t="shared" si="25"/>
        <v>-0.12678391179722337</v>
      </c>
      <c r="X211" s="17">
        <f t="shared" si="26"/>
        <v>-0.11508467750442572</v>
      </c>
      <c r="Y211" s="17">
        <f t="shared" si="27"/>
        <v>-0.10485988824626127</v>
      </c>
      <c r="Z211" s="17">
        <f t="shared" si="28"/>
        <v>-9.6109544022729421E-2</v>
      </c>
      <c r="AA211" s="17">
        <f t="shared" si="29"/>
        <v>-8.8833644833830605E-2</v>
      </c>
    </row>
    <row r="212" spans="1:27" x14ac:dyDescent="0.3">
      <c r="A212" s="13" t="s">
        <v>170</v>
      </c>
      <c r="B212" s="14" t="s">
        <v>207</v>
      </c>
      <c r="C212" s="15">
        <v>-8.4039946319544145E-2</v>
      </c>
      <c r="D212" s="15">
        <v>-0.15668419288300417</v>
      </c>
      <c r="E212" s="15">
        <v>-0.23420478959559565</v>
      </c>
      <c r="F212" s="15">
        <v>-0.30797159996065926</v>
      </c>
      <c r="G212" s="15">
        <v>-0.37775848211349006</v>
      </c>
      <c r="H212" s="15">
        <v>-0.443339294189383</v>
      </c>
      <c r="I212" s="15">
        <v>-0.50448789432363328</v>
      </c>
      <c r="J212" s="15">
        <v>-0.56097814065153595</v>
      </c>
      <c r="K212" s="15">
        <v>-0.61258389130838609</v>
      </c>
      <c r="L212" s="15">
        <v>-0.65907900442947875</v>
      </c>
      <c r="M212" s="15">
        <v>-0.70023733815010891</v>
      </c>
      <c r="N212" s="15">
        <v>-0.73583275060557163</v>
      </c>
      <c r="O212" s="15">
        <v>-0.76563909993116219</v>
      </c>
      <c r="P212" s="15">
        <v>-0.78943024426217545</v>
      </c>
      <c r="Q212" s="15">
        <v>-0.80698004173390669</v>
      </c>
      <c r="S212" s="17">
        <f t="shared" si="30"/>
        <v>-0.18422857435873824</v>
      </c>
      <c r="T212" s="17">
        <f t="shared" si="22"/>
        <v>-0.17427875382815611</v>
      </c>
      <c r="U212" s="17">
        <f t="shared" si="23"/>
        <v>-0.1637635786358117</v>
      </c>
      <c r="V212" s="17">
        <f t="shared" si="24"/>
        <v>-0.15268304878170491</v>
      </c>
      <c r="W212" s="17">
        <f t="shared" si="25"/>
        <v>-0.1410371642658359</v>
      </c>
      <c r="X212" s="17">
        <f t="shared" si="26"/>
        <v>-0.12882592508820456</v>
      </c>
      <c r="Y212" s="17">
        <f t="shared" si="27"/>
        <v>-0.11604933124881081</v>
      </c>
      <c r="Z212" s="17">
        <f t="shared" si="28"/>
        <v>-0.10270738274765462</v>
      </c>
      <c r="AA212" s="17">
        <f t="shared" si="29"/>
        <v>-8.8800079584736208E-2</v>
      </c>
    </row>
    <row r="213" spans="1:27" x14ac:dyDescent="0.3">
      <c r="A213" s="13" t="s">
        <v>170</v>
      </c>
      <c r="B213" s="14" t="s">
        <v>208</v>
      </c>
      <c r="C213" s="15">
        <v>-0.10509760672504495</v>
      </c>
      <c r="D213" s="15">
        <v>-0.18786776444581538</v>
      </c>
      <c r="E213" s="15">
        <v>-0.26928295882203845</v>
      </c>
      <c r="F213" s="15">
        <v>-0.34024014117679424</v>
      </c>
      <c r="G213" s="15">
        <v>-0.40214602350566708</v>
      </c>
      <c r="H213" s="15">
        <v>-0.45640731780424149</v>
      </c>
      <c r="I213" s="15">
        <v>-0.50443073606810185</v>
      </c>
      <c r="J213" s="15">
        <v>-0.54762299029283279</v>
      </c>
      <c r="K213" s="15">
        <v>-0.58739079247401849</v>
      </c>
      <c r="L213" s="15">
        <v>-0.62514085460724356</v>
      </c>
      <c r="M213" s="15">
        <v>-0.6622798886880924</v>
      </c>
      <c r="N213" s="15">
        <v>-0.70021460671214941</v>
      </c>
      <c r="O213" s="15">
        <v>-0.74035172067499933</v>
      </c>
      <c r="P213" s="15">
        <v>-0.78409794257222631</v>
      </c>
      <c r="Q213" s="15">
        <v>-0.83285998439941489</v>
      </c>
      <c r="S213" s="17">
        <f t="shared" si="30"/>
        <v>-0.17856521588320975</v>
      </c>
      <c r="T213" s="17">
        <f t="shared" ref="T213:T276" si="31">+(H213-E213)/3*2.5</f>
        <v>-0.15593696581850253</v>
      </c>
      <c r="U213" s="17">
        <f t="shared" ref="U213:U276" si="32">+(I213-F213)/3*2.5</f>
        <v>-0.13682549574275635</v>
      </c>
      <c r="V213" s="17">
        <f t="shared" ref="V213:V276" si="33">+(J213-G213)/3*2.5</f>
        <v>-0.12123080565597141</v>
      </c>
      <c r="W213" s="17">
        <f t="shared" ref="W213:W276" si="34">+(K213-H213)/3*2.5</f>
        <v>-0.1091528955581475</v>
      </c>
      <c r="X213" s="17">
        <f t="shared" ref="X213:X276" si="35">+(L213-I213)/3*2.5</f>
        <v>-0.10059176544928475</v>
      </c>
      <c r="Y213" s="17">
        <f t="shared" ref="Y213:Y276" si="36">+(M213-J213)/3*2.5</f>
        <v>-9.5547415329383018E-2</v>
      </c>
      <c r="Z213" s="17">
        <f t="shared" ref="Z213:Z276" si="37">+(N213-K213)/3*2.5</f>
        <v>-9.4019845198442448E-2</v>
      </c>
      <c r="AA213" s="17">
        <f t="shared" ref="AA213:AA276" si="38">+(O213-L213)/3*2.5</f>
        <v>-9.600905505646315E-2</v>
      </c>
    </row>
    <row r="214" spans="1:27" x14ac:dyDescent="0.3">
      <c r="A214" s="13" t="s">
        <v>170</v>
      </c>
      <c r="B214" s="14" t="s">
        <v>209</v>
      </c>
      <c r="C214" s="15">
        <v>-0.10094290821287497</v>
      </c>
      <c r="D214" s="15">
        <v>-0.18289675987127577</v>
      </c>
      <c r="E214" s="15">
        <v>-0.26574811225484413</v>
      </c>
      <c r="F214" s="15">
        <v>-0.34016521114313047</v>
      </c>
      <c r="G214" s="15">
        <v>-0.40691059313697292</v>
      </c>
      <c r="H214" s="15">
        <v>-0.46674679483720921</v>
      </c>
      <c r="I214" s="15">
        <v>-0.52043635284467737</v>
      </c>
      <c r="J214" s="15">
        <v>-0.56874180376021533</v>
      </c>
      <c r="K214" s="15">
        <v>-0.61242568418466103</v>
      </c>
      <c r="L214" s="15">
        <v>-0.65225053071885264</v>
      </c>
      <c r="M214" s="15">
        <v>-0.68897887996362783</v>
      </c>
      <c r="N214" s="15">
        <v>-0.72337326851982464</v>
      </c>
      <c r="O214" s="15">
        <v>-0.75619623298828098</v>
      </c>
      <c r="P214" s="15">
        <v>-0.78821030996983499</v>
      </c>
      <c r="Q214" s="15">
        <v>-0.82017803606532436</v>
      </c>
      <c r="S214" s="17">
        <f t="shared" si="30"/>
        <v>-0.18667819438808098</v>
      </c>
      <c r="T214" s="17">
        <f t="shared" si="31"/>
        <v>-0.16749890215197089</v>
      </c>
      <c r="U214" s="17">
        <f t="shared" si="32"/>
        <v>-0.15022595141795575</v>
      </c>
      <c r="V214" s="17">
        <f t="shared" si="33"/>
        <v>-0.13485934218603535</v>
      </c>
      <c r="W214" s="17">
        <f t="shared" si="34"/>
        <v>-0.12139907445620984</v>
      </c>
      <c r="X214" s="17">
        <f t="shared" si="35"/>
        <v>-0.10984514822847938</v>
      </c>
      <c r="Y214" s="17">
        <f t="shared" si="36"/>
        <v>-0.10019756350284376</v>
      </c>
      <c r="Z214" s="17">
        <f t="shared" si="37"/>
        <v>-9.2456320279303006E-2</v>
      </c>
      <c r="AA214" s="17">
        <f t="shared" si="38"/>
        <v>-8.6621418557856961E-2</v>
      </c>
    </row>
    <row r="215" spans="1:27" x14ac:dyDescent="0.3">
      <c r="A215" s="13" t="s">
        <v>170</v>
      </c>
      <c r="B215" s="14" t="s">
        <v>210</v>
      </c>
      <c r="C215" s="15">
        <v>-0.10094290821287497</v>
      </c>
      <c r="D215" s="15">
        <v>-0.18289675987127577</v>
      </c>
      <c r="E215" s="15">
        <v>-0.26574811225484413</v>
      </c>
      <c r="F215" s="15">
        <v>-0.34016521114313047</v>
      </c>
      <c r="G215" s="15">
        <v>-0.40691059313697292</v>
      </c>
      <c r="H215" s="15">
        <v>-0.46674679483720921</v>
      </c>
      <c r="I215" s="15">
        <v>-0.52043635284467737</v>
      </c>
      <c r="J215" s="15">
        <v>-0.56874180376021533</v>
      </c>
      <c r="K215" s="15">
        <v>-0.61242568418466103</v>
      </c>
      <c r="L215" s="15">
        <v>-0.65225053071885264</v>
      </c>
      <c r="M215" s="15">
        <v>-0.68897887996362783</v>
      </c>
      <c r="N215" s="15">
        <v>-0.72337326851982464</v>
      </c>
      <c r="O215" s="15">
        <v>-0.75619623298828098</v>
      </c>
      <c r="P215" s="15">
        <v>-0.78821030996983499</v>
      </c>
      <c r="Q215" s="15">
        <v>-0.82017803606532436</v>
      </c>
      <c r="S215" s="17">
        <f t="shared" si="30"/>
        <v>-0.18667819438808098</v>
      </c>
      <c r="T215" s="17">
        <f t="shared" si="31"/>
        <v>-0.16749890215197089</v>
      </c>
      <c r="U215" s="17">
        <f t="shared" si="32"/>
        <v>-0.15022595141795575</v>
      </c>
      <c r="V215" s="17">
        <f t="shared" si="33"/>
        <v>-0.13485934218603535</v>
      </c>
      <c r="W215" s="17">
        <f t="shared" si="34"/>
        <v>-0.12139907445620984</v>
      </c>
      <c r="X215" s="17">
        <f t="shared" si="35"/>
        <v>-0.10984514822847938</v>
      </c>
      <c r="Y215" s="17">
        <f t="shared" si="36"/>
        <v>-0.10019756350284376</v>
      </c>
      <c r="Z215" s="17">
        <f t="shared" si="37"/>
        <v>-9.2456320279303006E-2</v>
      </c>
      <c r="AA215" s="17">
        <f t="shared" si="38"/>
        <v>-8.6621418557856961E-2</v>
      </c>
    </row>
    <row r="216" spans="1:27" x14ac:dyDescent="0.3">
      <c r="A216" s="13" t="s">
        <v>170</v>
      </c>
      <c r="B216" s="14" t="s">
        <v>211</v>
      </c>
      <c r="C216" s="15">
        <v>-9.9760107301286718E-2</v>
      </c>
      <c r="D216" s="15">
        <v>-0.18137408738753258</v>
      </c>
      <c r="E216" s="15">
        <v>-0.26443468293004385</v>
      </c>
      <c r="F216" s="15">
        <v>-0.33957534090046376</v>
      </c>
      <c r="G216" s="15">
        <v>-0.4074055190005641</v>
      </c>
      <c r="H216" s="15">
        <v>-0.46853467493211703</v>
      </c>
      <c r="I216" s="15">
        <v>-0.52357226639689414</v>
      </c>
      <c r="J216" s="15">
        <v>-0.57312775109666769</v>
      </c>
      <c r="K216" s="15">
        <v>-0.6178105867332091</v>
      </c>
      <c r="L216" s="15">
        <v>-0.65823023100829059</v>
      </c>
      <c r="M216" s="15">
        <v>-0.69499614162368417</v>
      </c>
      <c r="N216" s="15">
        <v>-0.72871777628116163</v>
      </c>
      <c r="O216" s="15">
        <v>-0.76000459268249465</v>
      </c>
      <c r="P216" s="15">
        <v>-0.78946604852945534</v>
      </c>
      <c r="Q216" s="15">
        <v>-0.81771160152381561</v>
      </c>
      <c r="S216" s="17">
        <f t="shared" si="30"/>
        <v>-0.18835952634419295</v>
      </c>
      <c r="T216" s="17">
        <f t="shared" si="31"/>
        <v>-0.17008332666839432</v>
      </c>
      <c r="U216" s="17">
        <f t="shared" si="32"/>
        <v>-0.15333077124702532</v>
      </c>
      <c r="V216" s="17">
        <f t="shared" si="33"/>
        <v>-0.13810186008008632</v>
      </c>
      <c r="W216" s="17">
        <f t="shared" si="34"/>
        <v>-0.12439659316757673</v>
      </c>
      <c r="X216" s="17">
        <f t="shared" si="35"/>
        <v>-0.11221497050949705</v>
      </c>
      <c r="Y216" s="17">
        <f t="shared" si="36"/>
        <v>-0.10155699210584707</v>
      </c>
      <c r="Z216" s="17">
        <f t="shared" si="37"/>
        <v>-9.2422657956627102E-2</v>
      </c>
      <c r="AA216" s="17">
        <f t="shared" si="38"/>
        <v>-8.4811968061836718E-2</v>
      </c>
    </row>
    <row r="217" spans="1:27" x14ac:dyDescent="0.3">
      <c r="A217" s="13" t="s">
        <v>170</v>
      </c>
      <c r="B217" s="14" t="s">
        <v>212</v>
      </c>
      <c r="C217" s="15">
        <v>-0.10094290821287497</v>
      </c>
      <c r="D217" s="15">
        <v>-0.18289675987127577</v>
      </c>
      <c r="E217" s="15">
        <v>-0.26574811225484413</v>
      </c>
      <c r="F217" s="15">
        <v>-0.34016521114313047</v>
      </c>
      <c r="G217" s="15">
        <v>-0.40691059313697292</v>
      </c>
      <c r="H217" s="15">
        <v>-0.46674679483720921</v>
      </c>
      <c r="I217" s="15">
        <v>-0.52043635284467737</v>
      </c>
      <c r="J217" s="15">
        <v>-0.56874180376021533</v>
      </c>
      <c r="K217" s="15">
        <v>-0.61242568418466103</v>
      </c>
      <c r="L217" s="15">
        <v>-0.65225053071885264</v>
      </c>
      <c r="M217" s="15">
        <v>-0.68897887996362783</v>
      </c>
      <c r="N217" s="15">
        <v>-0.72337326851982464</v>
      </c>
      <c r="O217" s="15">
        <v>-0.75619623298828098</v>
      </c>
      <c r="P217" s="15">
        <v>-0.78821030996983499</v>
      </c>
      <c r="Q217" s="15">
        <v>-0.82017803606532436</v>
      </c>
      <c r="S217" s="17">
        <f t="shared" si="30"/>
        <v>-0.18667819438808098</v>
      </c>
      <c r="T217" s="17">
        <f t="shared" si="31"/>
        <v>-0.16749890215197089</v>
      </c>
      <c r="U217" s="17">
        <f t="shared" si="32"/>
        <v>-0.15022595141795575</v>
      </c>
      <c r="V217" s="17">
        <f t="shared" si="33"/>
        <v>-0.13485934218603535</v>
      </c>
      <c r="W217" s="17">
        <f t="shared" si="34"/>
        <v>-0.12139907445620984</v>
      </c>
      <c r="X217" s="17">
        <f t="shared" si="35"/>
        <v>-0.10984514822847938</v>
      </c>
      <c r="Y217" s="17">
        <f t="shared" si="36"/>
        <v>-0.10019756350284376</v>
      </c>
      <c r="Z217" s="17">
        <f t="shared" si="37"/>
        <v>-9.2456320279303006E-2</v>
      </c>
      <c r="AA217" s="17">
        <f t="shared" si="38"/>
        <v>-8.6621418557856961E-2</v>
      </c>
    </row>
    <row r="218" spans="1:27" x14ac:dyDescent="0.3">
      <c r="A218" s="13" t="s">
        <v>170</v>
      </c>
      <c r="B218" s="14" t="s">
        <v>213</v>
      </c>
      <c r="C218" s="15">
        <v>-9.0063138878132304E-2</v>
      </c>
      <c r="D218" s="15">
        <v>-0.16580686662086416</v>
      </c>
      <c r="E218" s="15">
        <v>-0.24482378112611441</v>
      </c>
      <c r="F218" s="15">
        <v>-0.31829680657375126</v>
      </c>
      <c r="G218" s="15">
        <v>-0.38641518103145595</v>
      </c>
      <c r="H218" s="15">
        <v>-0.44936814256690977</v>
      </c>
      <c r="I218" s="15">
        <v>-0.50734492924779417</v>
      </c>
      <c r="J218" s="15">
        <v>-0.56053477914179051</v>
      </c>
      <c r="K218" s="15">
        <v>-0.60912693031658016</v>
      </c>
      <c r="L218" s="15">
        <v>-0.65331062083984426</v>
      </c>
      <c r="M218" s="15">
        <v>-0.69327508877926425</v>
      </c>
      <c r="N218" s="15">
        <v>-0.72920957220252136</v>
      </c>
      <c r="O218" s="15">
        <v>-0.76130330917729716</v>
      </c>
      <c r="P218" s="15">
        <v>-0.7897455377712731</v>
      </c>
      <c r="Q218" s="15">
        <v>-0.81472549605213018</v>
      </c>
      <c r="S218" s="17">
        <f t="shared" si="30"/>
        <v>-0.18384026200882647</v>
      </c>
      <c r="T218" s="17">
        <f t="shared" si="31"/>
        <v>-0.17045363453399615</v>
      </c>
      <c r="U218" s="17">
        <f t="shared" si="32"/>
        <v>-0.15754010222836912</v>
      </c>
      <c r="V218" s="17">
        <f t="shared" si="33"/>
        <v>-0.14509966509194547</v>
      </c>
      <c r="W218" s="17">
        <f t="shared" si="34"/>
        <v>-0.13313232312472534</v>
      </c>
      <c r="X218" s="17">
        <f t="shared" si="35"/>
        <v>-0.12163807632670839</v>
      </c>
      <c r="Y218" s="17">
        <f t="shared" si="36"/>
        <v>-0.11061692469789478</v>
      </c>
      <c r="Z218" s="17">
        <f t="shared" si="37"/>
        <v>-0.10006886823828434</v>
      </c>
      <c r="AA218" s="17">
        <f t="shared" si="38"/>
        <v>-8.9993906947877428E-2</v>
      </c>
    </row>
    <row r="219" spans="1:27" x14ac:dyDescent="0.3">
      <c r="A219" s="13" t="s">
        <v>170</v>
      </c>
      <c r="B219" s="14" t="s">
        <v>214</v>
      </c>
      <c r="C219" s="15">
        <v>-8.1705551006903104E-2</v>
      </c>
      <c r="D219" s="15">
        <v>-0.1528257699171581</v>
      </c>
      <c r="E219" s="15">
        <v>-0.22916916750662614</v>
      </c>
      <c r="F219" s="15">
        <v>-0.3022715321519357</v>
      </c>
      <c r="G219" s="15">
        <v>-0.37183920733040543</v>
      </c>
      <c r="H219" s="15">
        <v>-0.43757853651935441</v>
      </c>
      <c r="I219" s="15">
        <v>-0.4991958631961011</v>
      </c>
      <c r="J219" s="15">
        <v>-0.55639753083796462</v>
      </c>
      <c r="K219" s="15">
        <v>-0.60888988292226365</v>
      </c>
      <c r="L219" s="15">
        <v>-0.65637926292631665</v>
      </c>
      <c r="M219" s="15">
        <v>-0.69857201432744298</v>
      </c>
      <c r="N219" s="15">
        <v>-0.73517448060296109</v>
      </c>
      <c r="O219" s="15">
        <v>-0.76589300523018988</v>
      </c>
      <c r="P219" s="15">
        <v>-0.79043393168644793</v>
      </c>
      <c r="Q219" s="15">
        <v>-0.80850360344905425</v>
      </c>
      <c r="S219" s="17">
        <f t="shared" si="30"/>
        <v>-0.18251119784437278</v>
      </c>
      <c r="T219" s="17">
        <f t="shared" si="31"/>
        <v>-0.17367447417727358</v>
      </c>
      <c r="U219" s="17">
        <f t="shared" si="32"/>
        <v>-0.16410360920347117</v>
      </c>
      <c r="V219" s="17">
        <f t="shared" si="33"/>
        <v>-0.15379860292296599</v>
      </c>
      <c r="W219" s="17">
        <f t="shared" si="34"/>
        <v>-0.14275945533575771</v>
      </c>
      <c r="X219" s="17">
        <f t="shared" si="35"/>
        <v>-0.1309861664418463</v>
      </c>
      <c r="Y219" s="17">
        <f t="shared" si="36"/>
        <v>-0.11847873624123198</v>
      </c>
      <c r="Z219" s="17">
        <f t="shared" si="37"/>
        <v>-0.10523716473391453</v>
      </c>
      <c r="AA219" s="17">
        <f t="shared" si="38"/>
        <v>-9.1261451919894349E-2</v>
      </c>
    </row>
    <row r="220" spans="1:27" x14ac:dyDescent="0.3">
      <c r="A220" s="13" t="s">
        <v>170</v>
      </c>
      <c r="B220" s="14" t="s">
        <v>215</v>
      </c>
      <c r="C220" s="15">
        <v>-0.10094290821287497</v>
      </c>
      <c r="D220" s="15">
        <v>-0.18289675987127577</v>
      </c>
      <c r="E220" s="15">
        <v>-0.26574811225484413</v>
      </c>
      <c r="F220" s="15">
        <v>-0.34016521114313047</v>
      </c>
      <c r="G220" s="15">
        <v>-0.40691059313697292</v>
      </c>
      <c r="H220" s="15">
        <v>-0.46674679483720921</v>
      </c>
      <c r="I220" s="15">
        <v>-0.52043635284467737</v>
      </c>
      <c r="J220" s="15">
        <v>-0.56874180376021533</v>
      </c>
      <c r="K220" s="15">
        <v>-0.61242568418466103</v>
      </c>
      <c r="L220" s="15">
        <v>-0.65225053071885264</v>
      </c>
      <c r="M220" s="15">
        <v>-0.68897887996362783</v>
      </c>
      <c r="N220" s="15">
        <v>-0.72337326851982464</v>
      </c>
      <c r="O220" s="15">
        <v>-0.75619623298828098</v>
      </c>
      <c r="P220" s="15">
        <v>-0.78821030996983499</v>
      </c>
      <c r="Q220" s="15">
        <v>-0.82017803606532436</v>
      </c>
      <c r="S220" s="17">
        <f t="shared" si="30"/>
        <v>-0.18667819438808098</v>
      </c>
      <c r="T220" s="17">
        <f t="shared" si="31"/>
        <v>-0.16749890215197089</v>
      </c>
      <c r="U220" s="17">
        <f t="shared" si="32"/>
        <v>-0.15022595141795575</v>
      </c>
      <c r="V220" s="17">
        <f t="shared" si="33"/>
        <v>-0.13485934218603535</v>
      </c>
      <c r="W220" s="17">
        <f t="shared" si="34"/>
        <v>-0.12139907445620984</v>
      </c>
      <c r="X220" s="17">
        <f t="shared" si="35"/>
        <v>-0.10984514822847938</v>
      </c>
      <c r="Y220" s="17">
        <f t="shared" si="36"/>
        <v>-0.10019756350284376</v>
      </c>
      <c r="Z220" s="17">
        <f t="shared" si="37"/>
        <v>-9.2456320279303006E-2</v>
      </c>
      <c r="AA220" s="17">
        <f t="shared" si="38"/>
        <v>-8.6621418557856961E-2</v>
      </c>
    </row>
    <row r="221" spans="1:27" x14ac:dyDescent="0.3">
      <c r="A221" s="13" t="s">
        <v>170</v>
      </c>
      <c r="B221" s="14" t="s">
        <v>216</v>
      </c>
      <c r="C221" s="15">
        <v>-8.7193745242265919E-2</v>
      </c>
      <c r="D221" s="15">
        <v>-0.16098396559725014</v>
      </c>
      <c r="E221" s="15">
        <v>-0.23840467679551622</v>
      </c>
      <c r="F221" s="15">
        <v>-0.31086509079457203</v>
      </c>
      <c r="G221" s="15">
        <v>-0.37849379407615191</v>
      </c>
      <c r="H221" s="15">
        <v>-0.44141937312199037</v>
      </c>
      <c r="I221" s="15">
        <v>-0.49977041441382175</v>
      </c>
      <c r="J221" s="15">
        <v>-0.55367550443338054</v>
      </c>
      <c r="K221" s="15">
        <v>-0.6032632296624012</v>
      </c>
      <c r="L221" s="15">
        <v>-0.64866217658261793</v>
      </c>
      <c r="M221" s="15">
        <v>-0.69000093167576526</v>
      </c>
      <c r="N221" s="15">
        <v>-0.72740808142357771</v>
      </c>
      <c r="O221" s="15">
        <v>-0.76101221230778959</v>
      </c>
      <c r="P221" s="15">
        <v>-0.79094191081013521</v>
      </c>
      <c r="Q221" s="15">
        <v>-0.8173257634123493</v>
      </c>
      <c r="S221" s="17">
        <f t="shared" si="30"/>
        <v>-0.18125819039908481</v>
      </c>
      <c r="T221" s="17">
        <f t="shared" si="31"/>
        <v>-0.16917891360539511</v>
      </c>
      <c r="U221" s="17">
        <f t="shared" si="32"/>
        <v>-0.15742110301604145</v>
      </c>
      <c r="V221" s="17">
        <f t="shared" si="33"/>
        <v>-0.14598475863102386</v>
      </c>
      <c r="W221" s="17">
        <f t="shared" si="34"/>
        <v>-0.13486988045034237</v>
      </c>
      <c r="X221" s="17">
        <f t="shared" si="35"/>
        <v>-0.12407646847399681</v>
      </c>
      <c r="Y221" s="17">
        <f t="shared" si="36"/>
        <v>-0.11360452270198726</v>
      </c>
      <c r="Z221" s="17">
        <f t="shared" si="37"/>
        <v>-0.10345404313431375</v>
      </c>
      <c r="AA221" s="17">
        <f t="shared" si="38"/>
        <v>-9.3625029770976392E-2</v>
      </c>
    </row>
    <row r="222" spans="1:27" x14ac:dyDescent="0.3">
      <c r="A222" s="13" t="s">
        <v>170</v>
      </c>
      <c r="B222" s="14" t="s">
        <v>217</v>
      </c>
      <c r="C222" s="15">
        <v>-0.10094290821287497</v>
      </c>
      <c r="D222" s="15">
        <v>-0.18289675987127577</v>
      </c>
      <c r="E222" s="15">
        <v>-0.26574811225484413</v>
      </c>
      <c r="F222" s="15">
        <v>-0.34016521114313047</v>
      </c>
      <c r="G222" s="15">
        <v>-0.40691059313697292</v>
      </c>
      <c r="H222" s="15">
        <v>-0.46674679483720921</v>
      </c>
      <c r="I222" s="15">
        <v>-0.52043635284467737</v>
      </c>
      <c r="J222" s="15">
        <v>-0.56874180376021533</v>
      </c>
      <c r="K222" s="15">
        <v>-0.61242568418466103</v>
      </c>
      <c r="L222" s="15">
        <v>-0.65225053071885264</v>
      </c>
      <c r="M222" s="15">
        <v>-0.68897887996362783</v>
      </c>
      <c r="N222" s="15">
        <v>-0.72337326851982464</v>
      </c>
      <c r="O222" s="15">
        <v>-0.75619623298828098</v>
      </c>
      <c r="P222" s="15">
        <v>-0.78821030996983499</v>
      </c>
      <c r="Q222" s="15">
        <v>-0.82017803606532436</v>
      </c>
      <c r="S222" s="17">
        <f t="shared" si="30"/>
        <v>-0.18667819438808098</v>
      </c>
      <c r="T222" s="17">
        <f t="shared" si="31"/>
        <v>-0.16749890215197089</v>
      </c>
      <c r="U222" s="17">
        <f t="shared" si="32"/>
        <v>-0.15022595141795575</v>
      </c>
      <c r="V222" s="17">
        <f t="shared" si="33"/>
        <v>-0.13485934218603535</v>
      </c>
      <c r="W222" s="17">
        <f t="shared" si="34"/>
        <v>-0.12139907445620984</v>
      </c>
      <c r="X222" s="17">
        <f t="shared" si="35"/>
        <v>-0.10984514822847938</v>
      </c>
      <c r="Y222" s="17">
        <f t="shared" si="36"/>
        <v>-0.10019756350284376</v>
      </c>
      <c r="Z222" s="17">
        <f t="shared" si="37"/>
        <v>-9.2456320279303006E-2</v>
      </c>
      <c r="AA222" s="17">
        <f t="shared" si="38"/>
        <v>-8.6621418557856961E-2</v>
      </c>
    </row>
    <row r="223" spans="1:27" x14ac:dyDescent="0.3">
      <c r="A223" s="13" t="s">
        <v>170</v>
      </c>
      <c r="B223" s="14" t="s">
        <v>218</v>
      </c>
      <c r="C223" s="15">
        <v>-0.10094290821287497</v>
      </c>
      <c r="D223" s="15">
        <v>-0.18289675987127577</v>
      </c>
      <c r="E223" s="15">
        <v>-0.26574811225484413</v>
      </c>
      <c r="F223" s="15">
        <v>-0.34016521114313047</v>
      </c>
      <c r="G223" s="15">
        <v>-0.40691059313697292</v>
      </c>
      <c r="H223" s="15">
        <v>-0.46674679483720921</v>
      </c>
      <c r="I223" s="15">
        <v>-0.52043635284467737</v>
      </c>
      <c r="J223" s="15">
        <v>-0.56874180376021533</v>
      </c>
      <c r="K223" s="15">
        <v>-0.61242568418466103</v>
      </c>
      <c r="L223" s="15">
        <v>-0.65225053071885264</v>
      </c>
      <c r="M223" s="15">
        <v>-0.68897887996362783</v>
      </c>
      <c r="N223" s="15">
        <v>-0.72337326851982464</v>
      </c>
      <c r="O223" s="15">
        <v>-0.75619623298828098</v>
      </c>
      <c r="P223" s="15">
        <v>-0.78821030996983499</v>
      </c>
      <c r="Q223" s="15">
        <v>-0.82017803606532436</v>
      </c>
      <c r="S223" s="17">
        <f t="shared" si="30"/>
        <v>-0.18667819438808098</v>
      </c>
      <c r="T223" s="17">
        <f t="shared" si="31"/>
        <v>-0.16749890215197089</v>
      </c>
      <c r="U223" s="17">
        <f t="shared" si="32"/>
        <v>-0.15022595141795575</v>
      </c>
      <c r="V223" s="17">
        <f t="shared" si="33"/>
        <v>-0.13485934218603535</v>
      </c>
      <c r="W223" s="17">
        <f t="shared" si="34"/>
        <v>-0.12139907445620984</v>
      </c>
      <c r="X223" s="17">
        <f t="shared" si="35"/>
        <v>-0.10984514822847938</v>
      </c>
      <c r="Y223" s="17">
        <f t="shared" si="36"/>
        <v>-0.10019756350284376</v>
      </c>
      <c r="Z223" s="17">
        <f t="shared" si="37"/>
        <v>-9.2456320279303006E-2</v>
      </c>
      <c r="AA223" s="17">
        <f t="shared" si="38"/>
        <v>-8.6621418557856961E-2</v>
      </c>
    </row>
    <row r="224" spans="1:27" x14ac:dyDescent="0.3">
      <c r="A224" s="13" t="s">
        <v>170</v>
      </c>
      <c r="B224" s="14" t="s">
        <v>219</v>
      </c>
      <c r="C224" s="15">
        <v>-8.8327103810661806E-2</v>
      </c>
      <c r="D224" s="15">
        <v>-0.16346176337282764</v>
      </c>
      <c r="E224" s="15">
        <v>-0.24257324241281783</v>
      </c>
      <c r="F224" s="15">
        <v>-0.31681578370328478</v>
      </c>
      <c r="G224" s="15">
        <v>-0.38617634039794713</v>
      </c>
      <c r="H224" s="15">
        <v>-0.45064186565052372</v>
      </c>
      <c r="I224" s="15">
        <v>-0.51019931261473306</v>
      </c>
      <c r="J224" s="15">
        <v>-0.56483563444429374</v>
      </c>
      <c r="K224" s="15">
        <v>-0.6145377842929246</v>
      </c>
      <c r="L224" s="15">
        <v>-0.65929271531434419</v>
      </c>
      <c r="M224" s="15">
        <v>-0.69908738066227127</v>
      </c>
      <c r="N224" s="15">
        <v>-0.7339087334904244</v>
      </c>
      <c r="O224" s="15">
        <v>-0.76374372695252213</v>
      </c>
      <c r="P224" s="15">
        <v>-0.78857931420228355</v>
      </c>
      <c r="Q224" s="15">
        <v>-0.80840244839342668</v>
      </c>
      <c r="S224" s="17">
        <f t="shared" si="30"/>
        <v>-0.18559548085426622</v>
      </c>
      <c r="T224" s="17">
        <f t="shared" si="31"/>
        <v>-0.17339051936475491</v>
      </c>
      <c r="U224" s="17">
        <f t="shared" si="32"/>
        <v>-0.16115294075954023</v>
      </c>
      <c r="V224" s="17">
        <f t="shared" si="33"/>
        <v>-0.14888274503862217</v>
      </c>
      <c r="W224" s="17">
        <f t="shared" si="34"/>
        <v>-0.13657993220200074</v>
      </c>
      <c r="X224" s="17">
        <f t="shared" si="35"/>
        <v>-0.12424450224967595</v>
      </c>
      <c r="Y224" s="17">
        <f t="shared" si="36"/>
        <v>-0.11187645518164793</v>
      </c>
      <c r="Z224" s="17">
        <f t="shared" si="37"/>
        <v>-9.9475790997916508E-2</v>
      </c>
      <c r="AA224" s="17">
        <f t="shared" si="38"/>
        <v>-8.7042509698481624E-2</v>
      </c>
    </row>
    <row r="225" spans="1:27" x14ac:dyDescent="0.3">
      <c r="A225" s="13" t="s">
        <v>170</v>
      </c>
      <c r="B225" s="14" t="s">
        <v>220</v>
      </c>
      <c r="C225" s="15">
        <v>-0.10094290821287497</v>
      </c>
      <c r="D225" s="15">
        <v>-0.18289675987127577</v>
      </c>
      <c r="E225" s="15">
        <v>-0.26574811225484413</v>
      </c>
      <c r="F225" s="15">
        <v>-0.34016521114313047</v>
      </c>
      <c r="G225" s="15">
        <v>-0.40691059313697292</v>
      </c>
      <c r="H225" s="15">
        <v>-0.46674679483720921</v>
      </c>
      <c r="I225" s="15">
        <v>-0.52043635284467737</v>
      </c>
      <c r="J225" s="15">
        <v>-0.56874180376021533</v>
      </c>
      <c r="K225" s="15">
        <v>-0.61242568418466103</v>
      </c>
      <c r="L225" s="15">
        <v>-0.65225053071885264</v>
      </c>
      <c r="M225" s="15">
        <v>-0.68897887996362783</v>
      </c>
      <c r="N225" s="15">
        <v>-0.72337326851982464</v>
      </c>
      <c r="O225" s="15">
        <v>-0.75619623298828098</v>
      </c>
      <c r="P225" s="15">
        <v>-0.78821030996983499</v>
      </c>
      <c r="Q225" s="15">
        <v>-0.82017803606532436</v>
      </c>
      <c r="S225" s="17">
        <f t="shared" si="30"/>
        <v>-0.18667819438808098</v>
      </c>
      <c r="T225" s="17">
        <f t="shared" si="31"/>
        <v>-0.16749890215197089</v>
      </c>
      <c r="U225" s="17">
        <f t="shared" si="32"/>
        <v>-0.15022595141795575</v>
      </c>
      <c r="V225" s="17">
        <f t="shared" si="33"/>
        <v>-0.13485934218603535</v>
      </c>
      <c r="W225" s="17">
        <f t="shared" si="34"/>
        <v>-0.12139907445620984</v>
      </c>
      <c r="X225" s="17">
        <f t="shared" si="35"/>
        <v>-0.10984514822847938</v>
      </c>
      <c r="Y225" s="17">
        <f t="shared" si="36"/>
        <v>-0.10019756350284376</v>
      </c>
      <c r="Z225" s="17">
        <f t="shared" si="37"/>
        <v>-9.2456320279303006E-2</v>
      </c>
      <c r="AA225" s="17">
        <f t="shared" si="38"/>
        <v>-8.6621418557856961E-2</v>
      </c>
    </row>
    <row r="226" spans="1:27" x14ac:dyDescent="0.3">
      <c r="A226" s="13" t="s">
        <v>170</v>
      </c>
      <c r="B226" s="14" t="s">
        <v>221</v>
      </c>
      <c r="C226" s="15">
        <v>-0.10094290821287497</v>
      </c>
      <c r="D226" s="15">
        <v>-0.18289675987127577</v>
      </c>
      <c r="E226" s="15">
        <v>-0.26574811225484413</v>
      </c>
      <c r="F226" s="15">
        <v>-0.34016521114313047</v>
      </c>
      <c r="G226" s="15">
        <v>-0.40691059313697292</v>
      </c>
      <c r="H226" s="15">
        <v>-0.46674679483720921</v>
      </c>
      <c r="I226" s="15">
        <v>-0.52043635284467737</v>
      </c>
      <c r="J226" s="15">
        <v>-0.56874180376021533</v>
      </c>
      <c r="K226" s="15">
        <v>-0.61242568418466103</v>
      </c>
      <c r="L226" s="15">
        <v>-0.65225053071885264</v>
      </c>
      <c r="M226" s="15">
        <v>-0.68897887996362783</v>
      </c>
      <c r="N226" s="15">
        <v>-0.72337326851982464</v>
      </c>
      <c r="O226" s="15">
        <v>-0.75619623298828098</v>
      </c>
      <c r="P226" s="15">
        <v>-0.78821030996983499</v>
      </c>
      <c r="Q226" s="15">
        <v>-0.82017803606532436</v>
      </c>
      <c r="S226" s="17">
        <f t="shared" si="30"/>
        <v>-0.18667819438808098</v>
      </c>
      <c r="T226" s="17">
        <f t="shared" si="31"/>
        <v>-0.16749890215197089</v>
      </c>
      <c r="U226" s="17">
        <f t="shared" si="32"/>
        <v>-0.15022595141795575</v>
      </c>
      <c r="V226" s="17">
        <f t="shared" si="33"/>
        <v>-0.13485934218603535</v>
      </c>
      <c r="W226" s="17">
        <f t="shared" si="34"/>
        <v>-0.12139907445620984</v>
      </c>
      <c r="X226" s="17">
        <f t="shared" si="35"/>
        <v>-0.10984514822847938</v>
      </c>
      <c r="Y226" s="17">
        <f t="shared" si="36"/>
        <v>-0.10019756350284376</v>
      </c>
      <c r="Z226" s="17">
        <f t="shared" si="37"/>
        <v>-9.2456320279303006E-2</v>
      </c>
      <c r="AA226" s="17">
        <f t="shared" si="38"/>
        <v>-8.6621418557856961E-2</v>
      </c>
    </row>
    <row r="227" spans="1:27" x14ac:dyDescent="0.3">
      <c r="A227" s="13" t="s">
        <v>170</v>
      </c>
      <c r="B227" s="14" t="s">
        <v>222</v>
      </c>
      <c r="C227" s="15">
        <v>-0.10094290821287497</v>
      </c>
      <c r="D227" s="15">
        <v>-0.18289675987127577</v>
      </c>
      <c r="E227" s="15">
        <v>-0.26574811225484413</v>
      </c>
      <c r="F227" s="15">
        <v>-0.34016521114313047</v>
      </c>
      <c r="G227" s="15">
        <v>-0.40691059313697292</v>
      </c>
      <c r="H227" s="15">
        <v>-0.46674679483720921</v>
      </c>
      <c r="I227" s="15">
        <v>-0.52043635284467737</v>
      </c>
      <c r="J227" s="15">
        <v>-0.56874180376021533</v>
      </c>
      <c r="K227" s="15">
        <v>-0.61242568418466103</v>
      </c>
      <c r="L227" s="15">
        <v>-0.65225053071885264</v>
      </c>
      <c r="M227" s="15">
        <v>-0.68897887996362783</v>
      </c>
      <c r="N227" s="15">
        <v>-0.72337326851982464</v>
      </c>
      <c r="O227" s="15">
        <v>-0.75619623298828098</v>
      </c>
      <c r="P227" s="15">
        <v>-0.78821030996983499</v>
      </c>
      <c r="Q227" s="15">
        <v>-0.82017803606532436</v>
      </c>
      <c r="S227" s="17">
        <f t="shared" si="30"/>
        <v>-0.18667819438808098</v>
      </c>
      <c r="T227" s="17">
        <f t="shared" si="31"/>
        <v>-0.16749890215197089</v>
      </c>
      <c r="U227" s="17">
        <f t="shared" si="32"/>
        <v>-0.15022595141795575</v>
      </c>
      <c r="V227" s="17">
        <f t="shared" si="33"/>
        <v>-0.13485934218603535</v>
      </c>
      <c r="W227" s="17">
        <f t="shared" si="34"/>
        <v>-0.12139907445620984</v>
      </c>
      <c r="X227" s="17">
        <f t="shared" si="35"/>
        <v>-0.10984514822847938</v>
      </c>
      <c r="Y227" s="17">
        <f t="shared" si="36"/>
        <v>-0.10019756350284376</v>
      </c>
      <c r="Z227" s="17">
        <f t="shared" si="37"/>
        <v>-9.2456320279303006E-2</v>
      </c>
      <c r="AA227" s="17">
        <f t="shared" si="38"/>
        <v>-8.6621418557856961E-2</v>
      </c>
    </row>
    <row r="228" spans="1:27" x14ac:dyDescent="0.3">
      <c r="A228" s="13" t="s">
        <v>170</v>
      </c>
      <c r="B228" s="14" t="s">
        <v>223</v>
      </c>
      <c r="C228" s="15">
        <v>-0.10094290821287497</v>
      </c>
      <c r="D228" s="15">
        <v>-0.18289675987127577</v>
      </c>
      <c r="E228" s="15">
        <v>-0.26574811225484413</v>
      </c>
      <c r="F228" s="15">
        <v>-0.34016521114313047</v>
      </c>
      <c r="G228" s="15">
        <v>-0.40691059313697292</v>
      </c>
      <c r="H228" s="15">
        <v>-0.46674679483720921</v>
      </c>
      <c r="I228" s="15">
        <v>-0.52043635284467737</v>
      </c>
      <c r="J228" s="15">
        <v>-0.56874180376021533</v>
      </c>
      <c r="K228" s="15">
        <v>-0.61242568418466103</v>
      </c>
      <c r="L228" s="15">
        <v>-0.65225053071885264</v>
      </c>
      <c r="M228" s="15">
        <v>-0.68897887996362783</v>
      </c>
      <c r="N228" s="15">
        <v>-0.72337326851982464</v>
      </c>
      <c r="O228" s="15">
        <v>-0.75619623298828098</v>
      </c>
      <c r="P228" s="15">
        <v>-0.78821030996983499</v>
      </c>
      <c r="Q228" s="15">
        <v>-0.82017803606532436</v>
      </c>
      <c r="S228" s="17">
        <f t="shared" si="30"/>
        <v>-0.18667819438808098</v>
      </c>
      <c r="T228" s="17">
        <f t="shared" si="31"/>
        <v>-0.16749890215197089</v>
      </c>
      <c r="U228" s="17">
        <f t="shared" si="32"/>
        <v>-0.15022595141795575</v>
      </c>
      <c r="V228" s="17">
        <f t="shared" si="33"/>
        <v>-0.13485934218603535</v>
      </c>
      <c r="W228" s="17">
        <f t="shared" si="34"/>
        <v>-0.12139907445620984</v>
      </c>
      <c r="X228" s="17">
        <f t="shared" si="35"/>
        <v>-0.10984514822847938</v>
      </c>
      <c r="Y228" s="17">
        <f t="shared" si="36"/>
        <v>-0.10019756350284376</v>
      </c>
      <c r="Z228" s="17">
        <f t="shared" si="37"/>
        <v>-9.2456320279303006E-2</v>
      </c>
      <c r="AA228" s="17">
        <f t="shared" si="38"/>
        <v>-8.6621418557856961E-2</v>
      </c>
    </row>
    <row r="229" spans="1:27" x14ac:dyDescent="0.3">
      <c r="A229" s="13" t="s">
        <v>170</v>
      </c>
      <c r="B229" s="14" t="s">
        <v>224</v>
      </c>
      <c r="C229" s="15">
        <v>-0.10094290821287497</v>
      </c>
      <c r="D229" s="15">
        <v>-0.18289675987127577</v>
      </c>
      <c r="E229" s="15">
        <v>-0.26574811225484413</v>
      </c>
      <c r="F229" s="15">
        <v>-0.34016521114313047</v>
      </c>
      <c r="G229" s="15">
        <v>-0.40691059313697292</v>
      </c>
      <c r="H229" s="15">
        <v>-0.46674679483720921</v>
      </c>
      <c r="I229" s="15">
        <v>-0.52043635284467737</v>
      </c>
      <c r="J229" s="15">
        <v>-0.56874180376021533</v>
      </c>
      <c r="K229" s="15">
        <v>-0.61242568418466103</v>
      </c>
      <c r="L229" s="15">
        <v>-0.65225053071885264</v>
      </c>
      <c r="M229" s="15">
        <v>-0.68897887996362783</v>
      </c>
      <c r="N229" s="15">
        <v>-0.72337326851982464</v>
      </c>
      <c r="O229" s="15">
        <v>-0.75619623298828098</v>
      </c>
      <c r="P229" s="15">
        <v>-0.78821030996983499</v>
      </c>
      <c r="Q229" s="15">
        <v>-0.82017803606532436</v>
      </c>
      <c r="S229" s="17">
        <f t="shared" si="30"/>
        <v>-0.18667819438808098</v>
      </c>
      <c r="T229" s="17">
        <f t="shared" si="31"/>
        <v>-0.16749890215197089</v>
      </c>
      <c r="U229" s="17">
        <f t="shared" si="32"/>
        <v>-0.15022595141795575</v>
      </c>
      <c r="V229" s="17">
        <f t="shared" si="33"/>
        <v>-0.13485934218603535</v>
      </c>
      <c r="W229" s="17">
        <f t="shared" si="34"/>
        <v>-0.12139907445620984</v>
      </c>
      <c r="X229" s="17">
        <f t="shared" si="35"/>
        <v>-0.10984514822847938</v>
      </c>
      <c r="Y229" s="17">
        <f t="shared" si="36"/>
        <v>-0.10019756350284376</v>
      </c>
      <c r="Z229" s="17">
        <f t="shared" si="37"/>
        <v>-9.2456320279303006E-2</v>
      </c>
      <c r="AA229" s="17">
        <f t="shared" si="38"/>
        <v>-8.6621418557856961E-2</v>
      </c>
    </row>
    <row r="230" spans="1:27" x14ac:dyDescent="0.3">
      <c r="A230" s="13" t="s">
        <v>170</v>
      </c>
      <c r="B230" s="14" t="s">
        <v>225</v>
      </c>
      <c r="C230" s="15">
        <v>-0.10051187680751388</v>
      </c>
      <c r="D230" s="15">
        <v>-0.18234187392104551</v>
      </c>
      <c r="E230" s="15">
        <v>-0.26526947791466526</v>
      </c>
      <c r="F230" s="15">
        <v>-0.33995025332075002</v>
      </c>
      <c r="G230" s="15">
        <v>-0.40709095235242804</v>
      </c>
      <c r="H230" s="15">
        <v>-0.46739832722282765</v>
      </c>
      <c r="I230" s="15">
        <v>-0.52157913014507717</v>
      </c>
      <c r="J230" s="15">
        <v>-0.57034011333230472</v>
      </c>
      <c r="K230" s="15">
        <v>-0.61438802899763878</v>
      </c>
      <c r="L230" s="15">
        <v>-0.65442962935420779</v>
      </c>
      <c r="M230" s="15">
        <v>-0.69117166661513951</v>
      </c>
      <c r="N230" s="15">
        <v>-0.7253208929935625</v>
      </c>
      <c r="O230" s="15">
        <v>-0.7575840607026052</v>
      </c>
      <c r="P230" s="15">
        <v>-0.78866792195539592</v>
      </c>
      <c r="Q230" s="15">
        <v>-0.81927922896506256</v>
      </c>
      <c r="S230" s="17">
        <f t="shared" si="30"/>
        <v>-0.18729089869281876</v>
      </c>
      <c r="T230" s="17">
        <f t="shared" si="31"/>
        <v>-0.16844070775680201</v>
      </c>
      <c r="U230" s="17">
        <f t="shared" si="32"/>
        <v>-0.15135739735360595</v>
      </c>
      <c r="V230" s="17">
        <f t="shared" si="33"/>
        <v>-0.13604096748323058</v>
      </c>
      <c r="W230" s="17">
        <f t="shared" si="34"/>
        <v>-0.12249141814567593</v>
      </c>
      <c r="X230" s="17">
        <f t="shared" si="35"/>
        <v>-0.11070874934094219</v>
      </c>
      <c r="Y230" s="17">
        <f t="shared" si="36"/>
        <v>-0.100692961069029</v>
      </c>
      <c r="Z230" s="17">
        <f t="shared" si="37"/>
        <v>-9.2444053329936438E-2</v>
      </c>
      <c r="AA230" s="17">
        <f t="shared" si="38"/>
        <v>-8.596202612366452E-2</v>
      </c>
    </row>
    <row r="231" spans="1:27" x14ac:dyDescent="0.3">
      <c r="A231" s="13" t="s">
        <v>170</v>
      </c>
      <c r="B231" s="14" t="s">
        <v>226</v>
      </c>
      <c r="C231" s="15">
        <v>-0.10094290821287497</v>
      </c>
      <c r="D231" s="15">
        <v>-0.18289675987127577</v>
      </c>
      <c r="E231" s="15">
        <v>-0.26574811225484413</v>
      </c>
      <c r="F231" s="15">
        <v>-0.34016521114313047</v>
      </c>
      <c r="G231" s="15">
        <v>-0.40691059313697292</v>
      </c>
      <c r="H231" s="15">
        <v>-0.46674679483720921</v>
      </c>
      <c r="I231" s="15">
        <v>-0.52043635284467737</v>
      </c>
      <c r="J231" s="15">
        <v>-0.56874180376021533</v>
      </c>
      <c r="K231" s="15">
        <v>-0.61242568418466103</v>
      </c>
      <c r="L231" s="15">
        <v>-0.65225053071885264</v>
      </c>
      <c r="M231" s="15">
        <v>-0.68897887996362783</v>
      </c>
      <c r="N231" s="15">
        <v>-0.72337326851982464</v>
      </c>
      <c r="O231" s="15">
        <v>-0.75619623298828098</v>
      </c>
      <c r="P231" s="15">
        <v>-0.78821030996983499</v>
      </c>
      <c r="Q231" s="15">
        <v>-0.82017803606532436</v>
      </c>
      <c r="S231" s="17">
        <f t="shared" si="30"/>
        <v>-0.18667819438808098</v>
      </c>
      <c r="T231" s="17">
        <f t="shared" si="31"/>
        <v>-0.16749890215197089</v>
      </c>
      <c r="U231" s="17">
        <f t="shared" si="32"/>
        <v>-0.15022595141795575</v>
      </c>
      <c r="V231" s="17">
        <f t="shared" si="33"/>
        <v>-0.13485934218603535</v>
      </c>
      <c r="W231" s="17">
        <f t="shared" si="34"/>
        <v>-0.12139907445620984</v>
      </c>
      <c r="X231" s="17">
        <f t="shared" si="35"/>
        <v>-0.10984514822847938</v>
      </c>
      <c r="Y231" s="17">
        <f t="shared" si="36"/>
        <v>-0.10019756350284376</v>
      </c>
      <c r="Z231" s="17">
        <f t="shared" si="37"/>
        <v>-9.2456320279303006E-2</v>
      </c>
      <c r="AA231" s="17">
        <f t="shared" si="38"/>
        <v>-8.6621418557856961E-2</v>
      </c>
    </row>
    <row r="232" spans="1:27" x14ac:dyDescent="0.3">
      <c r="A232" s="13" t="s">
        <v>170</v>
      </c>
      <c r="B232" s="14" t="s">
        <v>227</v>
      </c>
      <c r="C232" s="15">
        <v>-0.10094290821287497</v>
      </c>
      <c r="D232" s="15">
        <v>-0.18289675987127577</v>
      </c>
      <c r="E232" s="15">
        <v>-0.26574811225484413</v>
      </c>
      <c r="F232" s="15">
        <v>-0.34016521114313047</v>
      </c>
      <c r="G232" s="15">
        <v>-0.40691059313697292</v>
      </c>
      <c r="H232" s="15">
        <v>-0.46674679483720921</v>
      </c>
      <c r="I232" s="15">
        <v>-0.52043635284467737</v>
      </c>
      <c r="J232" s="15">
        <v>-0.56874180376021533</v>
      </c>
      <c r="K232" s="15">
        <v>-0.61242568418466103</v>
      </c>
      <c r="L232" s="15">
        <v>-0.65225053071885264</v>
      </c>
      <c r="M232" s="15">
        <v>-0.68897887996362783</v>
      </c>
      <c r="N232" s="15">
        <v>-0.72337326851982464</v>
      </c>
      <c r="O232" s="15">
        <v>-0.75619623298828098</v>
      </c>
      <c r="P232" s="15">
        <v>-0.78821030996983499</v>
      </c>
      <c r="Q232" s="15">
        <v>-0.82017803606532436</v>
      </c>
      <c r="S232" s="17">
        <f t="shared" si="30"/>
        <v>-0.18667819438808098</v>
      </c>
      <c r="T232" s="17">
        <f t="shared" si="31"/>
        <v>-0.16749890215197089</v>
      </c>
      <c r="U232" s="17">
        <f t="shared" si="32"/>
        <v>-0.15022595141795575</v>
      </c>
      <c r="V232" s="17">
        <f t="shared" si="33"/>
        <v>-0.13485934218603535</v>
      </c>
      <c r="W232" s="17">
        <f t="shared" si="34"/>
        <v>-0.12139907445620984</v>
      </c>
      <c r="X232" s="17">
        <f t="shared" si="35"/>
        <v>-0.10984514822847938</v>
      </c>
      <c r="Y232" s="17">
        <f t="shared" si="36"/>
        <v>-0.10019756350284376</v>
      </c>
      <c r="Z232" s="17">
        <f t="shared" si="37"/>
        <v>-9.2456320279303006E-2</v>
      </c>
      <c r="AA232" s="17">
        <f t="shared" si="38"/>
        <v>-8.6621418557856961E-2</v>
      </c>
    </row>
    <row r="233" spans="1:27" x14ac:dyDescent="0.3">
      <c r="A233" s="13" t="s">
        <v>170</v>
      </c>
      <c r="B233" s="14" t="s">
        <v>228</v>
      </c>
      <c r="C233" s="15">
        <v>-0.10094290821287497</v>
      </c>
      <c r="D233" s="15">
        <v>-0.18289675987127577</v>
      </c>
      <c r="E233" s="15">
        <v>-0.26574811225484413</v>
      </c>
      <c r="F233" s="15">
        <v>-0.34016521114313047</v>
      </c>
      <c r="G233" s="15">
        <v>-0.40691059313697292</v>
      </c>
      <c r="H233" s="15">
        <v>-0.46674679483720921</v>
      </c>
      <c r="I233" s="15">
        <v>-0.52043635284467737</v>
      </c>
      <c r="J233" s="15">
        <v>-0.56874180376021533</v>
      </c>
      <c r="K233" s="15">
        <v>-0.61242568418466103</v>
      </c>
      <c r="L233" s="15">
        <v>-0.65225053071885264</v>
      </c>
      <c r="M233" s="15">
        <v>-0.68897887996362783</v>
      </c>
      <c r="N233" s="15">
        <v>-0.72337326851982464</v>
      </c>
      <c r="O233" s="15">
        <v>-0.75619623298828098</v>
      </c>
      <c r="P233" s="15">
        <v>-0.78821030996983499</v>
      </c>
      <c r="Q233" s="15">
        <v>-0.82017803606532436</v>
      </c>
      <c r="S233" s="17">
        <f t="shared" si="30"/>
        <v>-0.18667819438808098</v>
      </c>
      <c r="T233" s="17">
        <f t="shared" si="31"/>
        <v>-0.16749890215197089</v>
      </c>
      <c r="U233" s="17">
        <f t="shared" si="32"/>
        <v>-0.15022595141795575</v>
      </c>
      <c r="V233" s="17">
        <f t="shared" si="33"/>
        <v>-0.13485934218603535</v>
      </c>
      <c r="W233" s="17">
        <f t="shared" si="34"/>
        <v>-0.12139907445620984</v>
      </c>
      <c r="X233" s="17">
        <f t="shared" si="35"/>
        <v>-0.10984514822847938</v>
      </c>
      <c r="Y233" s="17">
        <f t="shared" si="36"/>
        <v>-0.10019756350284376</v>
      </c>
      <c r="Z233" s="17">
        <f t="shared" si="37"/>
        <v>-9.2456320279303006E-2</v>
      </c>
      <c r="AA233" s="17">
        <f t="shared" si="38"/>
        <v>-8.6621418557856961E-2</v>
      </c>
    </row>
    <row r="234" spans="1:27" x14ac:dyDescent="0.3">
      <c r="A234" s="13" t="s">
        <v>170</v>
      </c>
      <c r="B234" s="14" t="s">
        <v>229</v>
      </c>
      <c r="C234" s="15">
        <v>-0.10094290821287497</v>
      </c>
      <c r="D234" s="15">
        <v>-0.18289675987127577</v>
      </c>
      <c r="E234" s="15">
        <v>-0.26574811225484413</v>
      </c>
      <c r="F234" s="15">
        <v>-0.34016521114313047</v>
      </c>
      <c r="G234" s="15">
        <v>-0.40691059313697292</v>
      </c>
      <c r="H234" s="15">
        <v>-0.46674679483720921</v>
      </c>
      <c r="I234" s="15">
        <v>-0.52043635284467737</v>
      </c>
      <c r="J234" s="15">
        <v>-0.56874180376021533</v>
      </c>
      <c r="K234" s="15">
        <v>-0.61242568418466103</v>
      </c>
      <c r="L234" s="15">
        <v>-0.65225053071885264</v>
      </c>
      <c r="M234" s="15">
        <v>-0.68897887996362783</v>
      </c>
      <c r="N234" s="15">
        <v>-0.72337326851982464</v>
      </c>
      <c r="O234" s="15">
        <v>-0.75619623298828098</v>
      </c>
      <c r="P234" s="15">
        <v>-0.78821030996983499</v>
      </c>
      <c r="Q234" s="15">
        <v>-0.82017803606532436</v>
      </c>
      <c r="S234" s="17">
        <f t="shared" si="30"/>
        <v>-0.18667819438808098</v>
      </c>
      <c r="T234" s="17">
        <f t="shared" si="31"/>
        <v>-0.16749890215197089</v>
      </c>
      <c r="U234" s="17">
        <f t="shared" si="32"/>
        <v>-0.15022595141795575</v>
      </c>
      <c r="V234" s="17">
        <f t="shared" si="33"/>
        <v>-0.13485934218603535</v>
      </c>
      <c r="W234" s="17">
        <f t="shared" si="34"/>
        <v>-0.12139907445620984</v>
      </c>
      <c r="X234" s="17">
        <f t="shared" si="35"/>
        <v>-0.10984514822847938</v>
      </c>
      <c r="Y234" s="17">
        <f t="shared" si="36"/>
        <v>-0.10019756350284376</v>
      </c>
      <c r="Z234" s="17">
        <f t="shared" si="37"/>
        <v>-9.2456320279303006E-2</v>
      </c>
      <c r="AA234" s="17">
        <f t="shared" si="38"/>
        <v>-8.6621418557856961E-2</v>
      </c>
    </row>
    <row r="235" spans="1:27" x14ac:dyDescent="0.3">
      <c r="A235" s="13" t="s">
        <v>170</v>
      </c>
      <c r="B235" s="14" t="s">
        <v>230</v>
      </c>
      <c r="C235" s="15">
        <v>-0.10055790421616881</v>
      </c>
      <c r="D235" s="15">
        <v>-0.18234948369085888</v>
      </c>
      <c r="E235" s="15">
        <v>-0.26517440669390524</v>
      </c>
      <c r="F235" s="15">
        <v>-0.33970568788508299</v>
      </c>
      <c r="G235" s="15">
        <v>-0.40667213234578364</v>
      </c>
      <c r="H235" s="15">
        <v>-0.46680254515739927</v>
      </c>
      <c r="I235" s="15">
        <v>-0.5208257314013216</v>
      </c>
      <c r="J235" s="15">
        <v>-0.5694704961589423</v>
      </c>
      <c r="K235" s="15">
        <v>-0.61346564451165331</v>
      </c>
      <c r="L235" s="15">
        <v>-0.65353998154084636</v>
      </c>
      <c r="M235" s="15">
        <v>-0.6904223123279134</v>
      </c>
      <c r="N235" s="15">
        <v>-0.72484144195424627</v>
      </c>
      <c r="O235" s="15">
        <v>-0.75752617550123658</v>
      </c>
      <c r="P235" s="15">
        <v>-0.78920531805027594</v>
      </c>
      <c r="Q235" s="15">
        <v>-0.82060767468275653</v>
      </c>
      <c r="S235" s="17">
        <f t="shared" si="30"/>
        <v>-0.18693554054577063</v>
      </c>
      <c r="T235" s="17">
        <f t="shared" si="31"/>
        <v>-0.16802344871957836</v>
      </c>
      <c r="U235" s="17">
        <f t="shared" si="32"/>
        <v>-0.15093336959686551</v>
      </c>
      <c r="V235" s="17">
        <f t="shared" si="33"/>
        <v>-0.1356653031776322</v>
      </c>
      <c r="W235" s="17">
        <f t="shared" si="34"/>
        <v>-0.12221924946187837</v>
      </c>
      <c r="X235" s="17">
        <f t="shared" si="35"/>
        <v>-0.11059520844960397</v>
      </c>
      <c r="Y235" s="17">
        <f t="shared" si="36"/>
        <v>-0.10079318014080926</v>
      </c>
      <c r="Z235" s="17">
        <f t="shared" si="37"/>
        <v>-9.2813164535494125E-2</v>
      </c>
      <c r="AA235" s="17">
        <f t="shared" si="38"/>
        <v>-8.6655161633658523E-2</v>
      </c>
    </row>
    <row r="236" spans="1:27" x14ac:dyDescent="0.3">
      <c r="A236" s="13" t="s">
        <v>170</v>
      </c>
      <c r="B236" s="14" t="s">
        <v>231</v>
      </c>
      <c r="C236" s="15">
        <v>-0.10094290821287497</v>
      </c>
      <c r="D236" s="15">
        <v>-0.18289675987127577</v>
      </c>
      <c r="E236" s="15">
        <v>-0.26574811225484413</v>
      </c>
      <c r="F236" s="15">
        <v>-0.34016521114313047</v>
      </c>
      <c r="G236" s="15">
        <v>-0.40691059313697292</v>
      </c>
      <c r="H236" s="15">
        <v>-0.46674679483720921</v>
      </c>
      <c r="I236" s="15">
        <v>-0.52043635284467737</v>
      </c>
      <c r="J236" s="15">
        <v>-0.56874180376021533</v>
      </c>
      <c r="K236" s="15">
        <v>-0.61242568418466103</v>
      </c>
      <c r="L236" s="15">
        <v>-0.65225053071885264</v>
      </c>
      <c r="M236" s="15">
        <v>-0.68897887996362783</v>
      </c>
      <c r="N236" s="15">
        <v>-0.72337326851982464</v>
      </c>
      <c r="O236" s="15">
        <v>-0.75619623298828098</v>
      </c>
      <c r="P236" s="15">
        <v>-0.78821030996983499</v>
      </c>
      <c r="Q236" s="15">
        <v>-0.82017803606532436</v>
      </c>
      <c r="S236" s="17">
        <f t="shared" si="30"/>
        <v>-0.18667819438808098</v>
      </c>
      <c r="T236" s="17">
        <f t="shared" si="31"/>
        <v>-0.16749890215197089</v>
      </c>
      <c r="U236" s="17">
        <f t="shared" si="32"/>
        <v>-0.15022595141795575</v>
      </c>
      <c r="V236" s="17">
        <f t="shared" si="33"/>
        <v>-0.13485934218603535</v>
      </c>
      <c r="W236" s="17">
        <f t="shared" si="34"/>
        <v>-0.12139907445620984</v>
      </c>
      <c r="X236" s="17">
        <f t="shared" si="35"/>
        <v>-0.10984514822847938</v>
      </c>
      <c r="Y236" s="17">
        <f t="shared" si="36"/>
        <v>-0.10019756350284376</v>
      </c>
      <c r="Z236" s="17">
        <f t="shared" si="37"/>
        <v>-9.2456320279303006E-2</v>
      </c>
      <c r="AA236" s="17">
        <f t="shared" si="38"/>
        <v>-8.6621418557856961E-2</v>
      </c>
    </row>
    <row r="237" spans="1:27" x14ac:dyDescent="0.3">
      <c r="A237" s="13" t="s">
        <v>170</v>
      </c>
      <c r="B237" s="14" t="s">
        <v>232</v>
      </c>
      <c r="C237" s="15">
        <v>-9.9635532259654158E-2</v>
      </c>
      <c r="D237" s="15">
        <v>-0.18096254660208622</v>
      </c>
      <c r="E237" s="15">
        <v>-0.26359395729377016</v>
      </c>
      <c r="F237" s="15">
        <v>-0.33824735123493138</v>
      </c>
      <c r="G237" s="15">
        <v>-0.40560386855176056</v>
      </c>
      <c r="H237" s="15">
        <v>-0.46634464937044845</v>
      </c>
      <c r="I237" s="15">
        <v>-0.52115083381718585</v>
      </c>
      <c r="J237" s="15">
        <v>-0.57070356201816352</v>
      </c>
      <c r="K237" s="15">
        <v>-0.61568397409957221</v>
      </c>
      <c r="L237" s="15">
        <v>-0.65677321018760237</v>
      </c>
      <c r="M237" s="15">
        <v>-0.69465241040844539</v>
      </c>
      <c r="N237" s="15">
        <v>-0.73000271488829149</v>
      </c>
      <c r="O237" s="15">
        <v>-0.7635052637533315</v>
      </c>
      <c r="P237" s="15">
        <v>-0.79584119712975632</v>
      </c>
      <c r="Q237" s="15">
        <v>-0.82769165514375664</v>
      </c>
      <c r="S237" s="17">
        <f t="shared" si="30"/>
        <v>-0.18720110162472864</v>
      </c>
      <c r="T237" s="17">
        <f t="shared" si="31"/>
        <v>-0.16895891006389857</v>
      </c>
      <c r="U237" s="17">
        <f t="shared" si="32"/>
        <v>-0.1524195688185454</v>
      </c>
      <c r="V237" s="17">
        <f t="shared" si="33"/>
        <v>-0.13758307788866914</v>
      </c>
      <c r="W237" s="17">
        <f t="shared" si="34"/>
        <v>-0.1244494372742698</v>
      </c>
      <c r="X237" s="17">
        <f t="shared" si="35"/>
        <v>-0.11301864697534711</v>
      </c>
      <c r="Y237" s="17">
        <f t="shared" si="36"/>
        <v>-0.10329070699190154</v>
      </c>
      <c r="Z237" s="17">
        <f t="shared" si="37"/>
        <v>-9.5265617323932739E-2</v>
      </c>
      <c r="AA237" s="17">
        <f t="shared" si="38"/>
        <v>-8.8943377971440946E-2</v>
      </c>
    </row>
    <row r="238" spans="1:27" x14ac:dyDescent="0.3">
      <c r="A238" s="13" t="s">
        <v>170</v>
      </c>
      <c r="B238" s="14" t="s">
        <v>233</v>
      </c>
      <c r="C238" s="15">
        <v>-0.10094290821287497</v>
      </c>
      <c r="D238" s="15">
        <v>-0.18289675987127577</v>
      </c>
      <c r="E238" s="15">
        <v>-0.26574811225484413</v>
      </c>
      <c r="F238" s="15">
        <v>-0.34016521114313047</v>
      </c>
      <c r="G238" s="15">
        <v>-0.40691059313697292</v>
      </c>
      <c r="H238" s="15">
        <v>-0.46674679483720921</v>
      </c>
      <c r="I238" s="15">
        <v>-0.52043635284467737</v>
      </c>
      <c r="J238" s="15">
        <v>-0.56874180376021533</v>
      </c>
      <c r="K238" s="15">
        <v>-0.61242568418466103</v>
      </c>
      <c r="L238" s="15">
        <v>-0.65225053071885264</v>
      </c>
      <c r="M238" s="15">
        <v>-0.68897887996362783</v>
      </c>
      <c r="N238" s="15">
        <v>-0.72337326851982464</v>
      </c>
      <c r="O238" s="15">
        <v>-0.75619623298828098</v>
      </c>
      <c r="P238" s="15">
        <v>-0.78821030996983499</v>
      </c>
      <c r="Q238" s="15">
        <v>-0.82017803606532436</v>
      </c>
      <c r="S238" s="17">
        <f t="shared" si="30"/>
        <v>-0.18667819438808098</v>
      </c>
      <c r="T238" s="17">
        <f t="shared" si="31"/>
        <v>-0.16749890215197089</v>
      </c>
      <c r="U238" s="17">
        <f t="shared" si="32"/>
        <v>-0.15022595141795575</v>
      </c>
      <c r="V238" s="17">
        <f t="shared" si="33"/>
        <v>-0.13485934218603535</v>
      </c>
      <c r="W238" s="17">
        <f t="shared" si="34"/>
        <v>-0.12139907445620984</v>
      </c>
      <c r="X238" s="17">
        <f t="shared" si="35"/>
        <v>-0.10984514822847938</v>
      </c>
      <c r="Y238" s="17">
        <f t="shared" si="36"/>
        <v>-0.10019756350284376</v>
      </c>
      <c r="Z238" s="17">
        <f t="shared" si="37"/>
        <v>-9.2456320279303006E-2</v>
      </c>
      <c r="AA238" s="17">
        <f t="shared" si="38"/>
        <v>-8.6621418557856961E-2</v>
      </c>
    </row>
    <row r="239" spans="1:27" x14ac:dyDescent="0.3">
      <c r="A239" s="13" t="s">
        <v>170</v>
      </c>
      <c r="B239" s="14" t="s">
        <v>234</v>
      </c>
      <c r="C239" s="15">
        <v>-0.10094290821287497</v>
      </c>
      <c r="D239" s="15">
        <v>-0.18289675987127577</v>
      </c>
      <c r="E239" s="15">
        <v>-0.26574811225484413</v>
      </c>
      <c r="F239" s="15">
        <v>-0.34016521114313047</v>
      </c>
      <c r="G239" s="15">
        <v>-0.40691059313697292</v>
      </c>
      <c r="H239" s="15">
        <v>-0.46674679483720921</v>
      </c>
      <c r="I239" s="15">
        <v>-0.52043635284467737</v>
      </c>
      <c r="J239" s="15">
        <v>-0.56874180376021533</v>
      </c>
      <c r="K239" s="15">
        <v>-0.61242568418466103</v>
      </c>
      <c r="L239" s="15">
        <v>-0.65225053071885264</v>
      </c>
      <c r="M239" s="15">
        <v>-0.68897887996362783</v>
      </c>
      <c r="N239" s="15">
        <v>-0.72337326851982464</v>
      </c>
      <c r="O239" s="15">
        <v>-0.75619623298828098</v>
      </c>
      <c r="P239" s="15">
        <v>-0.78821030996983499</v>
      </c>
      <c r="Q239" s="15">
        <v>-0.82017803606532436</v>
      </c>
      <c r="S239" s="17">
        <f t="shared" si="30"/>
        <v>-0.18667819438808098</v>
      </c>
      <c r="T239" s="17">
        <f t="shared" si="31"/>
        <v>-0.16749890215197089</v>
      </c>
      <c r="U239" s="17">
        <f t="shared" si="32"/>
        <v>-0.15022595141795575</v>
      </c>
      <c r="V239" s="17">
        <f t="shared" si="33"/>
        <v>-0.13485934218603535</v>
      </c>
      <c r="W239" s="17">
        <f t="shared" si="34"/>
        <v>-0.12139907445620984</v>
      </c>
      <c r="X239" s="17">
        <f t="shared" si="35"/>
        <v>-0.10984514822847938</v>
      </c>
      <c r="Y239" s="17">
        <f t="shared" si="36"/>
        <v>-0.10019756350284376</v>
      </c>
      <c r="Z239" s="17">
        <f t="shared" si="37"/>
        <v>-9.2456320279303006E-2</v>
      </c>
      <c r="AA239" s="17">
        <f t="shared" si="38"/>
        <v>-8.6621418557856961E-2</v>
      </c>
    </row>
    <row r="240" spans="1:27" x14ac:dyDescent="0.3">
      <c r="A240" s="13" t="s">
        <v>170</v>
      </c>
      <c r="B240" s="14" t="s">
        <v>235</v>
      </c>
      <c r="C240" s="15">
        <v>-9.5817768774433695E-2</v>
      </c>
      <c r="D240" s="15">
        <v>-0.17597178588393902</v>
      </c>
      <c r="E240" s="15">
        <v>-0.25906355759062916</v>
      </c>
      <c r="F240" s="15">
        <v>-0.33563767088774271</v>
      </c>
      <c r="G240" s="15">
        <v>-0.40582048964596146</v>
      </c>
      <c r="H240" s="15">
        <v>-0.46973837773596722</v>
      </c>
      <c r="I240" s="15">
        <v>-0.52751769902844203</v>
      </c>
      <c r="J240" s="15">
        <v>-0.57928481739406779</v>
      </c>
      <c r="K240" s="15">
        <v>-0.62516609670352619</v>
      </c>
      <c r="L240" s="15">
        <v>-0.66528790082749922</v>
      </c>
      <c r="M240" s="15">
        <v>-0.69977659363666866</v>
      </c>
      <c r="N240" s="15">
        <v>-0.7287585390017165</v>
      </c>
      <c r="O240" s="15">
        <v>-0.75236010079332472</v>
      </c>
      <c r="P240" s="15">
        <v>-0.77070764288217497</v>
      </c>
      <c r="Q240" s="15">
        <v>-0.78392752913894914</v>
      </c>
      <c r="S240" s="17">
        <f t="shared" si="30"/>
        <v>-0.19154058646835201</v>
      </c>
      <c r="T240" s="17">
        <f t="shared" si="31"/>
        <v>-0.17556235012111507</v>
      </c>
      <c r="U240" s="17">
        <f t="shared" si="32"/>
        <v>-0.15990002345058277</v>
      </c>
      <c r="V240" s="17">
        <f t="shared" si="33"/>
        <v>-0.14455360645675527</v>
      </c>
      <c r="W240" s="17">
        <f t="shared" si="34"/>
        <v>-0.12952309913963247</v>
      </c>
      <c r="X240" s="17">
        <f t="shared" si="35"/>
        <v>-0.11480850149921432</v>
      </c>
      <c r="Y240" s="17">
        <f t="shared" si="36"/>
        <v>-0.10040981353550074</v>
      </c>
      <c r="Z240" s="17">
        <f t="shared" si="37"/>
        <v>-8.6327035248491918E-2</v>
      </c>
      <c r="AA240" s="17">
        <f t="shared" si="38"/>
        <v>-7.2560166638187915E-2</v>
      </c>
    </row>
    <row r="241" spans="1:27" x14ac:dyDescent="0.3">
      <c r="A241" s="13" t="s">
        <v>170</v>
      </c>
      <c r="B241" s="14" t="s">
        <v>236</v>
      </c>
      <c r="C241" s="15">
        <v>-0.10094290821287497</v>
      </c>
      <c r="D241" s="15">
        <v>-0.18289675987127577</v>
      </c>
      <c r="E241" s="15">
        <v>-0.26574811225484413</v>
      </c>
      <c r="F241" s="15">
        <v>-0.34016521114313047</v>
      </c>
      <c r="G241" s="15">
        <v>-0.40691059313697292</v>
      </c>
      <c r="H241" s="15">
        <v>-0.46674679483720921</v>
      </c>
      <c r="I241" s="15">
        <v>-0.52043635284467737</v>
      </c>
      <c r="J241" s="15">
        <v>-0.56874180376021533</v>
      </c>
      <c r="K241" s="15">
        <v>-0.61242568418466103</v>
      </c>
      <c r="L241" s="15">
        <v>-0.65225053071885264</v>
      </c>
      <c r="M241" s="15">
        <v>-0.68897887996362783</v>
      </c>
      <c r="N241" s="15">
        <v>-0.72337326851982464</v>
      </c>
      <c r="O241" s="15">
        <v>-0.75619623298828098</v>
      </c>
      <c r="P241" s="15">
        <v>-0.78821030996983499</v>
      </c>
      <c r="Q241" s="15">
        <v>-0.82017803606532436</v>
      </c>
      <c r="S241" s="17">
        <f t="shared" si="30"/>
        <v>-0.18667819438808098</v>
      </c>
      <c r="T241" s="17">
        <f t="shared" si="31"/>
        <v>-0.16749890215197089</v>
      </c>
      <c r="U241" s="17">
        <f t="shared" si="32"/>
        <v>-0.15022595141795575</v>
      </c>
      <c r="V241" s="17">
        <f t="shared" si="33"/>
        <v>-0.13485934218603535</v>
      </c>
      <c r="W241" s="17">
        <f t="shared" si="34"/>
        <v>-0.12139907445620984</v>
      </c>
      <c r="X241" s="17">
        <f t="shared" si="35"/>
        <v>-0.10984514822847938</v>
      </c>
      <c r="Y241" s="17">
        <f t="shared" si="36"/>
        <v>-0.10019756350284376</v>
      </c>
      <c r="Z241" s="17">
        <f t="shared" si="37"/>
        <v>-9.2456320279303006E-2</v>
      </c>
      <c r="AA241" s="17">
        <f t="shared" si="38"/>
        <v>-8.6621418557856961E-2</v>
      </c>
    </row>
    <row r="242" spans="1:27" x14ac:dyDescent="0.3">
      <c r="A242" s="13" t="s">
        <v>170</v>
      </c>
      <c r="B242" s="14" t="s">
        <v>237</v>
      </c>
      <c r="C242" s="15">
        <v>-0.10094290821287497</v>
      </c>
      <c r="D242" s="15">
        <v>-0.18289675987127577</v>
      </c>
      <c r="E242" s="15">
        <v>-0.26574811225484413</v>
      </c>
      <c r="F242" s="15">
        <v>-0.34016521114313047</v>
      </c>
      <c r="G242" s="15">
        <v>-0.40691059313697292</v>
      </c>
      <c r="H242" s="15">
        <v>-0.46674679483720921</v>
      </c>
      <c r="I242" s="15">
        <v>-0.52043635284467737</v>
      </c>
      <c r="J242" s="15">
        <v>-0.56874180376021533</v>
      </c>
      <c r="K242" s="15">
        <v>-0.61242568418466103</v>
      </c>
      <c r="L242" s="15">
        <v>-0.65225053071885264</v>
      </c>
      <c r="M242" s="15">
        <v>-0.68897887996362783</v>
      </c>
      <c r="N242" s="15">
        <v>-0.72337326851982464</v>
      </c>
      <c r="O242" s="15">
        <v>-0.75619623298828098</v>
      </c>
      <c r="P242" s="15">
        <v>-0.78821030996983499</v>
      </c>
      <c r="Q242" s="15">
        <v>-0.82017803606532436</v>
      </c>
      <c r="S242" s="17">
        <f t="shared" si="30"/>
        <v>-0.18667819438808098</v>
      </c>
      <c r="T242" s="17">
        <f t="shared" si="31"/>
        <v>-0.16749890215197089</v>
      </c>
      <c r="U242" s="17">
        <f t="shared" si="32"/>
        <v>-0.15022595141795575</v>
      </c>
      <c r="V242" s="17">
        <f t="shared" si="33"/>
        <v>-0.13485934218603535</v>
      </c>
      <c r="W242" s="17">
        <f t="shared" si="34"/>
        <v>-0.12139907445620984</v>
      </c>
      <c r="X242" s="17">
        <f t="shared" si="35"/>
        <v>-0.10984514822847938</v>
      </c>
      <c r="Y242" s="17">
        <f t="shared" si="36"/>
        <v>-0.10019756350284376</v>
      </c>
      <c r="Z242" s="17">
        <f t="shared" si="37"/>
        <v>-9.2456320279303006E-2</v>
      </c>
      <c r="AA242" s="17">
        <f t="shared" si="38"/>
        <v>-8.6621418557856961E-2</v>
      </c>
    </row>
    <row r="243" spans="1:27" x14ac:dyDescent="0.3">
      <c r="A243" s="13" t="s">
        <v>170</v>
      </c>
      <c r="B243" s="14" t="s">
        <v>238</v>
      </c>
      <c r="C243" s="15">
        <v>-0.10094290821287497</v>
      </c>
      <c r="D243" s="15">
        <v>-0.18289675987127577</v>
      </c>
      <c r="E243" s="15">
        <v>-0.26574811225484413</v>
      </c>
      <c r="F243" s="15">
        <v>-0.34016521114313047</v>
      </c>
      <c r="G243" s="15">
        <v>-0.40691059313697292</v>
      </c>
      <c r="H243" s="15">
        <v>-0.46674679483720921</v>
      </c>
      <c r="I243" s="15">
        <v>-0.52043635284467737</v>
      </c>
      <c r="J243" s="15">
        <v>-0.56874180376021533</v>
      </c>
      <c r="K243" s="15">
        <v>-0.61242568418466103</v>
      </c>
      <c r="L243" s="15">
        <v>-0.65225053071885264</v>
      </c>
      <c r="M243" s="15">
        <v>-0.68897887996362783</v>
      </c>
      <c r="N243" s="15">
        <v>-0.72337326851982464</v>
      </c>
      <c r="O243" s="15">
        <v>-0.75619623298828098</v>
      </c>
      <c r="P243" s="15">
        <v>-0.78821030996983499</v>
      </c>
      <c r="Q243" s="15">
        <v>-0.82017803606532436</v>
      </c>
      <c r="S243" s="17">
        <f t="shared" si="30"/>
        <v>-0.18667819438808098</v>
      </c>
      <c r="T243" s="17">
        <f t="shared" si="31"/>
        <v>-0.16749890215197089</v>
      </c>
      <c r="U243" s="17">
        <f t="shared" si="32"/>
        <v>-0.15022595141795575</v>
      </c>
      <c r="V243" s="17">
        <f t="shared" si="33"/>
        <v>-0.13485934218603535</v>
      </c>
      <c r="W243" s="17">
        <f t="shared" si="34"/>
        <v>-0.12139907445620984</v>
      </c>
      <c r="X243" s="17">
        <f t="shared" si="35"/>
        <v>-0.10984514822847938</v>
      </c>
      <c r="Y243" s="17">
        <f t="shared" si="36"/>
        <v>-0.10019756350284376</v>
      </c>
      <c r="Z243" s="17">
        <f t="shared" si="37"/>
        <v>-9.2456320279303006E-2</v>
      </c>
      <c r="AA243" s="17">
        <f t="shared" si="38"/>
        <v>-8.6621418557856961E-2</v>
      </c>
    </row>
    <row r="244" spans="1:27" x14ac:dyDescent="0.3">
      <c r="A244" s="13" t="s">
        <v>239</v>
      </c>
      <c r="B244" s="14" t="s">
        <v>240</v>
      </c>
      <c r="C244" s="15">
        <v>-0.14134270451528408</v>
      </c>
      <c r="D244" s="15">
        <v>-1.4134270451528402E-2</v>
      </c>
      <c r="E244" s="15">
        <v>-0.29585789419346759</v>
      </c>
      <c r="F244" s="15">
        <v>-0.38010684823404628</v>
      </c>
      <c r="G244" s="15">
        <v>-0.42184843337866884</v>
      </c>
      <c r="H244" s="15">
        <v>-0.4515099907892513</v>
      </c>
      <c r="I244" s="15">
        <v>-0.47461086969901162</v>
      </c>
      <c r="J244" s="15">
        <v>-0.49667041934116812</v>
      </c>
      <c r="K244" s="15">
        <v>-0.52320798894893894</v>
      </c>
      <c r="L244" s="15">
        <v>-5.2591204545860526E-2</v>
      </c>
      <c r="M244" s="15">
        <v>0</v>
      </c>
      <c r="N244" s="15">
        <v>0</v>
      </c>
      <c r="O244" s="15">
        <v>0</v>
      </c>
      <c r="P244" s="15">
        <v>0</v>
      </c>
      <c r="Q244" s="15">
        <v>0</v>
      </c>
      <c r="S244" s="17">
        <f t="shared" si="30"/>
        <v>-0.33976180243928372</v>
      </c>
      <c r="T244" s="17">
        <f t="shared" si="31"/>
        <v>-0.12971008049648644</v>
      </c>
      <c r="U244" s="17">
        <f t="shared" si="32"/>
        <v>-7.8753351220804457E-2</v>
      </c>
      <c r="V244" s="17">
        <f t="shared" si="33"/>
        <v>-6.2351654968749406E-2</v>
      </c>
      <c r="W244" s="17">
        <f t="shared" si="34"/>
        <v>-5.9748331799739693E-2</v>
      </c>
      <c r="X244" s="17">
        <f t="shared" si="35"/>
        <v>0.35168305429429259</v>
      </c>
      <c r="Y244" s="17">
        <f t="shared" si="36"/>
        <v>0.41389201611764009</v>
      </c>
      <c r="Z244" s="17">
        <f t="shared" si="37"/>
        <v>0.43600665745744915</v>
      </c>
      <c r="AA244" s="17">
        <f t="shared" si="38"/>
        <v>4.3826003788217105E-2</v>
      </c>
    </row>
    <row r="245" spans="1:27" x14ac:dyDescent="0.3">
      <c r="A245" s="13" t="s">
        <v>239</v>
      </c>
      <c r="B245" s="14" t="s">
        <v>241</v>
      </c>
      <c r="C245" s="15">
        <v>-0.14134270451528408</v>
      </c>
      <c r="D245" s="15">
        <v>-1.4134270451528402E-2</v>
      </c>
      <c r="E245" s="15">
        <v>-0.29585789419346759</v>
      </c>
      <c r="F245" s="15">
        <v>-0.38010684823404628</v>
      </c>
      <c r="G245" s="15">
        <v>-0.42184843337866884</v>
      </c>
      <c r="H245" s="15">
        <v>-0.4515099907892513</v>
      </c>
      <c r="I245" s="15">
        <v>-0.47461086969901162</v>
      </c>
      <c r="J245" s="15">
        <v>-0.49667041934116812</v>
      </c>
      <c r="K245" s="15">
        <v>-0.52320798894893894</v>
      </c>
      <c r="L245" s="15">
        <v>-5.2591204545860526E-2</v>
      </c>
      <c r="M245" s="15">
        <v>0</v>
      </c>
      <c r="N245" s="15">
        <v>0</v>
      </c>
      <c r="O245" s="15">
        <v>0</v>
      </c>
      <c r="P245" s="15">
        <v>0</v>
      </c>
      <c r="Q245" s="15">
        <v>0</v>
      </c>
      <c r="S245" s="17">
        <f t="shared" si="30"/>
        <v>-0.33976180243928372</v>
      </c>
      <c r="T245" s="17">
        <f t="shared" si="31"/>
        <v>-0.12971008049648644</v>
      </c>
      <c r="U245" s="17">
        <f t="shared" si="32"/>
        <v>-7.8753351220804457E-2</v>
      </c>
      <c r="V245" s="17">
        <f t="shared" si="33"/>
        <v>-6.2351654968749406E-2</v>
      </c>
      <c r="W245" s="17">
        <f t="shared" si="34"/>
        <v>-5.9748331799739693E-2</v>
      </c>
      <c r="X245" s="17">
        <f t="shared" si="35"/>
        <v>0.35168305429429259</v>
      </c>
      <c r="Y245" s="17">
        <f t="shared" si="36"/>
        <v>0.41389201611764009</v>
      </c>
      <c r="Z245" s="17">
        <f t="shared" si="37"/>
        <v>0.43600665745744915</v>
      </c>
      <c r="AA245" s="17">
        <f t="shared" si="38"/>
        <v>4.3826003788217105E-2</v>
      </c>
    </row>
    <row r="246" spans="1:27" x14ac:dyDescent="0.3">
      <c r="A246" s="13" t="s">
        <v>239</v>
      </c>
      <c r="B246" s="14" t="s">
        <v>242</v>
      </c>
      <c r="C246" s="15">
        <v>-0.10513031611915323</v>
      </c>
      <c r="D246" s="15">
        <v>-1.0513031611915316E-2</v>
      </c>
      <c r="E246" s="15">
        <v>-0.25491505457554681</v>
      </c>
      <c r="F246" s="15">
        <v>-0.34768947435172615</v>
      </c>
      <c r="G246" s="15">
        <v>-0.40801562130085334</v>
      </c>
      <c r="H246" s="15">
        <v>-0.45518729088219401</v>
      </c>
      <c r="I246" s="15">
        <v>-0.48852117157478697</v>
      </c>
      <c r="J246" s="15">
        <v>-0.50733395185767094</v>
      </c>
      <c r="K246" s="15">
        <v>-0.51094232020988462</v>
      </c>
      <c r="L246" s="15">
        <v>-5.1115042961427826E-2</v>
      </c>
      <c r="M246" s="15">
        <v>0</v>
      </c>
      <c r="N246" s="15">
        <v>0</v>
      </c>
      <c r="O246" s="15">
        <v>0</v>
      </c>
      <c r="P246" s="15">
        <v>0</v>
      </c>
      <c r="Q246" s="15">
        <v>0</v>
      </c>
      <c r="S246" s="17">
        <f t="shared" si="30"/>
        <v>-0.33125215807411507</v>
      </c>
      <c r="T246" s="17">
        <f t="shared" si="31"/>
        <v>-0.16689353025553935</v>
      </c>
      <c r="U246" s="17">
        <f t="shared" si="32"/>
        <v>-0.11735974768588403</v>
      </c>
      <c r="V246" s="17">
        <f t="shared" si="33"/>
        <v>-8.2765275464014659E-2</v>
      </c>
      <c r="W246" s="17">
        <f t="shared" si="34"/>
        <v>-4.6462524439742178E-2</v>
      </c>
      <c r="X246" s="17">
        <f t="shared" si="35"/>
        <v>0.36450510717779933</v>
      </c>
      <c r="Y246" s="17">
        <f t="shared" si="36"/>
        <v>0.42277829321472582</v>
      </c>
      <c r="Z246" s="17">
        <f t="shared" si="37"/>
        <v>0.42578526684157048</v>
      </c>
      <c r="AA246" s="17">
        <f t="shared" si="38"/>
        <v>4.2595869134523193E-2</v>
      </c>
    </row>
    <row r="247" spans="1:27" x14ac:dyDescent="0.3">
      <c r="A247" s="13" t="s">
        <v>239</v>
      </c>
      <c r="B247" s="14" t="s">
        <v>243</v>
      </c>
      <c r="C247" s="15">
        <v>-0.14134270451528408</v>
      </c>
      <c r="D247" s="15">
        <v>-1.4134270451528402E-2</v>
      </c>
      <c r="E247" s="15">
        <v>-0.29585789419346759</v>
      </c>
      <c r="F247" s="15">
        <v>-0.38010684823404628</v>
      </c>
      <c r="G247" s="15">
        <v>-0.42184843337866884</v>
      </c>
      <c r="H247" s="15">
        <v>-0.4515099907892513</v>
      </c>
      <c r="I247" s="15">
        <v>-0.47461086969901162</v>
      </c>
      <c r="J247" s="15">
        <v>-0.49667041934116812</v>
      </c>
      <c r="K247" s="15">
        <v>-0.52320798894893894</v>
      </c>
      <c r="L247" s="15">
        <v>-5.2591204545860526E-2</v>
      </c>
      <c r="M247" s="15">
        <v>0</v>
      </c>
      <c r="N247" s="15">
        <v>0</v>
      </c>
      <c r="O247" s="15">
        <v>0</v>
      </c>
      <c r="P247" s="15">
        <v>0</v>
      </c>
      <c r="Q247" s="15">
        <v>0</v>
      </c>
      <c r="S247" s="17">
        <f t="shared" si="30"/>
        <v>-0.33976180243928372</v>
      </c>
      <c r="T247" s="17">
        <f t="shared" si="31"/>
        <v>-0.12971008049648644</v>
      </c>
      <c r="U247" s="17">
        <f t="shared" si="32"/>
        <v>-7.8753351220804457E-2</v>
      </c>
      <c r="V247" s="17">
        <f t="shared" si="33"/>
        <v>-6.2351654968749406E-2</v>
      </c>
      <c r="W247" s="17">
        <f t="shared" si="34"/>
        <v>-5.9748331799739693E-2</v>
      </c>
      <c r="X247" s="17">
        <f t="shared" si="35"/>
        <v>0.35168305429429259</v>
      </c>
      <c r="Y247" s="17">
        <f t="shared" si="36"/>
        <v>0.41389201611764009</v>
      </c>
      <c r="Z247" s="17">
        <f t="shared" si="37"/>
        <v>0.43600665745744915</v>
      </c>
      <c r="AA247" s="17">
        <f t="shared" si="38"/>
        <v>4.3826003788217105E-2</v>
      </c>
    </row>
    <row r="248" spans="1:27" x14ac:dyDescent="0.3">
      <c r="A248" s="13" t="s">
        <v>239</v>
      </c>
      <c r="B248" s="14" t="s">
        <v>244</v>
      </c>
      <c r="C248" s="15">
        <v>-0.14134270451528408</v>
      </c>
      <c r="D248" s="15">
        <v>-1.4134270451528402E-2</v>
      </c>
      <c r="E248" s="15">
        <v>-0.29585789419346759</v>
      </c>
      <c r="F248" s="15">
        <v>-0.38010684823404628</v>
      </c>
      <c r="G248" s="15">
        <v>-0.42184843337866884</v>
      </c>
      <c r="H248" s="15">
        <v>-0.4515099907892513</v>
      </c>
      <c r="I248" s="15">
        <v>-0.47461086969901162</v>
      </c>
      <c r="J248" s="15">
        <v>-0.49667041934116812</v>
      </c>
      <c r="K248" s="15">
        <v>-0.52320798894893894</v>
      </c>
      <c r="L248" s="15">
        <v>-5.2591204545860526E-2</v>
      </c>
      <c r="M248" s="15">
        <v>0</v>
      </c>
      <c r="N248" s="15">
        <v>0</v>
      </c>
      <c r="O248" s="15">
        <v>0</v>
      </c>
      <c r="P248" s="15">
        <v>0</v>
      </c>
      <c r="Q248" s="15">
        <v>0</v>
      </c>
      <c r="S248" s="17">
        <f t="shared" si="30"/>
        <v>-0.33976180243928372</v>
      </c>
      <c r="T248" s="17">
        <f t="shared" si="31"/>
        <v>-0.12971008049648644</v>
      </c>
      <c r="U248" s="17">
        <f t="shared" si="32"/>
        <v>-7.8753351220804457E-2</v>
      </c>
      <c r="V248" s="17">
        <f t="shared" si="33"/>
        <v>-6.2351654968749406E-2</v>
      </c>
      <c r="W248" s="17">
        <f t="shared" si="34"/>
        <v>-5.9748331799739693E-2</v>
      </c>
      <c r="X248" s="17">
        <f t="shared" si="35"/>
        <v>0.35168305429429259</v>
      </c>
      <c r="Y248" s="17">
        <f t="shared" si="36"/>
        <v>0.41389201611764009</v>
      </c>
      <c r="Z248" s="17">
        <f t="shared" si="37"/>
        <v>0.43600665745744915</v>
      </c>
      <c r="AA248" s="17">
        <f t="shared" si="38"/>
        <v>4.3826003788217105E-2</v>
      </c>
    </row>
    <row r="249" spans="1:27" x14ac:dyDescent="0.3">
      <c r="A249" s="13" t="s">
        <v>245</v>
      </c>
      <c r="B249" s="14" t="s">
        <v>246</v>
      </c>
      <c r="C249" s="15">
        <v>-0.10288030654750491</v>
      </c>
      <c r="D249" s="15">
        <v>-1.0288030654750493E-2</v>
      </c>
      <c r="E249" s="15">
        <v>-0.24196074737816362</v>
      </c>
      <c r="F249" s="15">
        <v>-0.32842907895090057</v>
      </c>
      <c r="G249" s="15">
        <v>-0.38643809027155407</v>
      </c>
      <c r="H249" s="15">
        <v>-0.43674511090360224</v>
      </c>
      <c r="I249" s="15">
        <v>-0.48090992334350036</v>
      </c>
      <c r="J249" s="15">
        <v>-0.5204923100877038</v>
      </c>
      <c r="K249" s="15">
        <v>-0.55705205363266808</v>
      </c>
      <c r="L249" s="15">
        <v>-0.59214893647484845</v>
      </c>
      <c r="M249" s="15">
        <v>-0.62734274111070043</v>
      </c>
      <c r="N249" s="15">
        <v>-0.66419325003667917</v>
      </c>
      <c r="O249" s="15">
        <v>-0.70426024574923995</v>
      </c>
      <c r="P249" s="15">
        <v>-0.7491035107448385</v>
      </c>
      <c r="Q249" s="15">
        <v>-0.80028282751992996</v>
      </c>
      <c r="S249" s="17">
        <f t="shared" si="30"/>
        <v>-0.31345838301400303</v>
      </c>
      <c r="T249" s="17">
        <f t="shared" si="31"/>
        <v>-0.16232030293786553</v>
      </c>
      <c r="U249" s="17">
        <f t="shared" si="32"/>
        <v>-0.1270673703271665</v>
      </c>
      <c r="V249" s="17">
        <f t="shared" si="33"/>
        <v>-0.11171184984679144</v>
      </c>
      <c r="W249" s="17">
        <f t="shared" si="34"/>
        <v>-0.10025578560755485</v>
      </c>
      <c r="X249" s="17">
        <f t="shared" si="35"/>
        <v>-9.2699177609456757E-2</v>
      </c>
      <c r="Y249" s="17">
        <f t="shared" si="36"/>
        <v>-8.9042025852497181E-2</v>
      </c>
      <c r="Z249" s="17">
        <f t="shared" si="37"/>
        <v>-8.9284330336675904E-2</v>
      </c>
      <c r="AA249" s="17">
        <f t="shared" si="38"/>
        <v>-9.3426091061992927E-2</v>
      </c>
    </row>
    <row r="250" spans="1:27" x14ac:dyDescent="0.3">
      <c r="A250" s="13" t="s">
        <v>245</v>
      </c>
      <c r="B250" s="14" t="s">
        <v>247</v>
      </c>
      <c r="C250" s="15">
        <v>-0.10370288659540669</v>
      </c>
      <c r="D250" s="15">
        <v>-1.0370288659540663E-2</v>
      </c>
      <c r="E250" s="15">
        <v>-0.24662933627969305</v>
      </c>
      <c r="F250" s="15">
        <v>-0.33621350188224269</v>
      </c>
      <c r="G250" s="15">
        <v>-0.39713626575679029</v>
      </c>
      <c r="H250" s="15">
        <v>-0.45009282165898956</v>
      </c>
      <c r="I250" s="15">
        <v>-0.49631470603770522</v>
      </c>
      <c r="J250" s="15">
        <v>-0.53703345534180147</v>
      </c>
      <c r="K250" s="15">
        <v>-0.57348060602014295</v>
      </c>
      <c r="L250" s="15">
        <v>-0.60688769452159397</v>
      </c>
      <c r="M250" s="15">
        <v>-0.63848625729501918</v>
      </c>
      <c r="N250" s="15">
        <v>-0.66950783078928278</v>
      </c>
      <c r="O250" s="15">
        <v>-0.70118395145324952</v>
      </c>
      <c r="P250" s="15">
        <v>-0.73474615573578372</v>
      </c>
      <c r="Q250" s="15">
        <v>-0.77142598008574992</v>
      </c>
      <c r="S250" s="17">
        <f t="shared" si="30"/>
        <v>-0.32230498091437471</v>
      </c>
      <c r="T250" s="17">
        <f t="shared" si="31"/>
        <v>-0.1695529044827471</v>
      </c>
      <c r="U250" s="17">
        <f t="shared" si="32"/>
        <v>-0.13341767012955211</v>
      </c>
      <c r="V250" s="17">
        <f t="shared" si="33"/>
        <v>-0.11658099132084265</v>
      </c>
      <c r="W250" s="17">
        <f t="shared" si="34"/>
        <v>-0.10282315363429448</v>
      </c>
      <c r="X250" s="17">
        <f t="shared" si="35"/>
        <v>-9.2144157069907279E-2</v>
      </c>
      <c r="Y250" s="17">
        <f t="shared" si="36"/>
        <v>-8.4544001627681414E-2</v>
      </c>
      <c r="Z250" s="17">
        <f t="shared" si="37"/>
        <v>-8.0022687307616525E-2</v>
      </c>
      <c r="AA250" s="17">
        <f t="shared" si="38"/>
        <v>-7.858021410971297E-2</v>
      </c>
    </row>
    <row r="251" spans="1:27" x14ac:dyDescent="0.3">
      <c r="A251" s="13" t="s">
        <v>245</v>
      </c>
      <c r="B251" s="14" t="s">
        <v>248</v>
      </c>
      <c r="C251" s="15">
        <v>-9.8625536373369765E-2</v>
      </c>
      <c r="D251" s="15">
        <v>-9.862553637336971E-3</v>
      </c>
      <c r="E251" s="15">
        <v>-0.23652638776483856</v>
      </c>
      <c r="F251" s="15">
        <v>-0.32383849204353382</v>
      </c>
      <c r="G251" s="15">
        <v>-0.38443826212708604</v>
      </c>
      <c r="H251" s="15">
        <v>-0.43803919554771376</v>
      </c>
      <c r="I251" s="15">
        <v>-0.48576961021334686</v>
      </c>
      <c r="J251" s="15">
        <v>-0.52875782403191518</v>
      </c>
      <c r="K251" s="15">
        <v>-0.5681321549113485</v>
      </c>
      <c r="L251" s="15">
        <v>-0.60502092075957636</v>
      </c>
      <c r="M251" s="15">
        <v>-0.64055243948452878</v>
      </c>
      <c r="N251" s="15">
        <v>-0.67585502899413552</v>
      </c>
      <c r="O251" s="15">
        <v>-0.71205700719632659</v>
      </c>
      <c r="P251" s="15">
        <v>-0.7502866919990312</v>
      </c>
      <c r="Q251" s="15">
        <v>-0.79167240131017969</v>
      </c>
      <c r="S251" s="17">
        <f t="shared" si="30"/>
        <v>-0.31214642374145757</v>
      </c>
      <c r="T251" s="17">
        <f t="shared" si="31"/>
        <v>-0.16792733981906266</v>
      </c>
      <c r="U251" s="17">
        <f t="shared" si="32"/>
        <v>-0.13494259847484419</v>
      </c>
      <c r="V251" s="17">
        <f t="shared" si="33"/>
        <v>-0.12026630158735763</v>
      </c>
      <c r="W251" s="17">
        <f t="shared" si="34"/>
        <v>-0.10841079946969562</v>
      </c>
      <c r="X251" s="17">
        <f t="shared" si="35"/>
        <v>-9.9376092121857912E-2</v>
      </c>
      <c r="Y251" s="17">
        <f t="shared" si="36"/>
        <v>-9.3162179543844675E-2</v>
      </c>
      <c r="Z251" s="17">
        <f t="shared" si="37"/>
        <v>-8.9769061735655853E-2</v>
      </c>
      <c r="AA251" s="17">
        <f t="shared" si="38"/>
        <v>-8.9196738697291861E-2</v>
      </c>
    </row>
    <row r="252" spans="1:27" x14ac:dyDescent="0.3">
      <c r="A252" s="13" t="s">
        <v>245</v>
      </c>
      <c r="B252" s="14" t="s">
        <v>249</v>
      </c>
      <c r="C252" s="15">
        <v>-0.10020771659610311</v>
      </c>
      <c r="D252" s="15">
        <v>-1.0020771659610309E-2</v>
      </c>
      <c r="E252" s="15">
        <v>-0.2390784934087784</v>
      </c>
      <c r="F252" s="15">
        <v>-0.32655848712299107</v>
      </c>
      <c r="G252" s="15">
        <v>-0.3866966537987499</v>
      </c>
      <c r="H252" s="15">
        <v>-0.43955597375630528</v>
      </c>
      <c r="I252" s="15">
        <v>-0.48636484318065715</v>
      </c>
      <c r="J252" s="15">
        <v>-0.52835165825680563</v>
      </c>
      <c r="K252" s="15">
        <v>-0.56674481516975095</v>
      </c>
      <c r="L252" s="15">
        <v>-0.60277271010449285</v>
      </c>
      <c r="M252" s="15">
        <v>-0.63766373924603148</v>
      </c>
      <c r="N252" s="15">
        <v>-0.67264629877936721</v>
      </c>
      <c r="O252" s="15">
        <v>-0.70894878488949975</v>
      </c>
      <c r="P252" s="15">
        <v>-0.74779959376142913</v>
      </c>
      <c r="Q252" s="15">
        <v>-0.79042712158015582</v>
      </c>
      <c r="S252" s="17">
        <f t="shared" si="30"/>
        <v>-0.31389656844928304</v>
      </c>
      <c r="T252" s="17">
        <f t="shared" si="31"/>
        <v>-0.16706456695627242</v>
      </c>
      <c r="U252" s="17">
        <f t="shared" si="32"/>
        <v>-0.1331719633813884</v>
      </c>
      <c r="V252" s="17">
        <f t="shared" si="33"/>
        <v>-0.11804583704837979</v>
      </c>
      <c r="W252" s="17">
        <f t="shared" si="34"/>
        <v>-0.10599070117787138</v>
      </c>
      <c r="X252" s="17">
        <f t="shared" si="35"/>
        <v>-9.7006555769863084E-2</v>
      </c>
      <c r="Y252" s="17">
        <f t="shared" si="36"/>
        <v>-9.1093400824354881E-2</v>
      </c>
      <c r="Z252" s="17">
        <f t="shared" si="37"/>
        <v>-8.8251236341346878E-2</v>
      </c>
      <c r="AA252" s="17">
        <f t="shared" si="38"/>
        <v>-8.8480062320839076E-2</v>
      </c>
    </row>
    <row r="253" spans="1:27" x14ac:dyDescent="0.3">
      <c r="A253" s="13" t="s">
        <v>245</v>
      </c>
      <c r="B253" s="14" t="s">
        <v>250</v>
      </c>
      <c r="C253" s="15">
        <v>-8.2277636573369867E-2</v>
      </c>
      <c r="D253" s="15">
        <v>-8.2277636573369894E-3</v>
      </c>
      <c r="E253" s="15">
        <v>-0.21548542500399578</v>
      </c>
      <c r="F253" s="15">
        <v>-0.30609170502362709</v>
      </c>
      <c r="G253" s="15">
        <v>-0.37697784714881066</v>
      </c>
      <c r="H253" s="15">
        <v>-0.4439646955846327</v>
      </c>
      <c r="I253" s="15">
        <v>-0.50665101469068052</v>
      </c>
      <c r="J253" s="15">
        <v>-0.56463556882654142</v>
      </c>
      <c r="K253" s="15">
        <v>-0.61751712235180301</v>
      </c>
      <c r="L253" s="15">
        <v>-0.66489443962605255</v>
      </c>
      <c r="M253" s="15">
        <v>-0.70636628500887744</v>
      </c>
      <c r="N253" s="15">
        <v>-0.74153142285986506</v>
      </c>
      <c r="O253" s="15">
        <v>-0.76998861753860282</v>
      </c>
      <c r="P253" s="15">
        <v>-0.79133663340467808</v>
      </c>
      <c r="Q253" s="15">
        <v>-0.80517423481767825</v>
      </c>
      <c r="S253" s="17">
        <f t="shared" si="30"/>
        <v>-0.30729173624289469</v>
      </c>
      <c r="T253" s="17">
        <f t="shared" si="31"/>
        <v>-0.19039939215053076</v>
      </c>
      <c r="U253" s="17">
        <f t="shared" si="32"/>
        <v>-0.16713275805587788</v>
      </c>
      <c r="V253" s="17">
        <f t="shared" si="33"/>
        <v>-0.15638143473144228</v>
      </c>
      <c r="W253" s="17">
        <f t="shared" si="34"/>
        <v>-0.14462702230597527</v>
      </c>
      <c r="X253" s="17">
        <f t="shared" si="35"/>
        <v>-0.1318695207794767</v>
      </c>
      <c r="Y253" s="17">
        <f t="shared" si="36"/>
        <v>-0.11810893015194668</v>
      </c>
      <c r="Z253" s="17">
        <f t="shared" si="37"/>
        <v>-0.10334525042338505</v>
      </c>
      <c r="AA253" s="17">
        <f t="shared" si="38"/>
        <v>-8.757848159379189E-2</v>
      </c>
    </row>
    <row r="254" spans="1:27" x14ac:dyDescent="0.3">
      <c r="A254" s="13" t="s">
        <v>245</v>
      </c>
      <c r="B254" s="14" t="s">
        <v>251</v>
      </c>
      <c r="C254" s="15">
        <v>-9.4030756569741414E-2</v>
      </c>
      <c r="D254" s="15">
        <v>-9.4030756569741386E-3</v>
      </c>
      <c r="E254" s="15">
        <v>-0.22934416167908006</v>
      </c>
      <c r="F254" s="15">
        <v>-0.31656354482756027</v>
      </c>
      <c r="G254" s="15">
        <v>-0.37917744771246659</v>
      </c>
      <c r="H254" s="15">
        <v>-0.43596815681692147</v>
      </c>
      <c r="I254" s="15">
        <v>-0.48785117139866158</v>
      </c>
      <c r="J254" s="15">
        <v>-0.53574199071542328</v>
      </c>
      <c r="K254" s="15">
        <v>-0.58055611402494323</v>
      </c>
      <c r="L254" s="15">
        <v>-0.62320904058495774</v>
      </c>
      <c r="M254" s="15">
        <v>-0.66461626965320375</v>
      </c>
      <c r="N254" s="15">
        <v>-0.70569330048741741</v>
      </c>
      <c r="O254" s="15">
        <v>-0.74735563234533564</v>
      </c>
      <c r="P254" s="15">
        <v>-0.7905187644846946</v>
      </c>
      <c r="Q254" s="15">
        <v>-0.83609819616323122</v>
      </c>
      <c r="S254" s="17">
        <f t="shared" si="30"/>
        <v>-0.30814531004624374</v>
      </c>
      <c r="T254" s="17">
        <f t="shared" si="31"/>
        <v>-0.17218666261486784</v>
      </c>
      <c r="U254" s="17">
        <f t="shared" si="32"/>
        <v>-0.14273968880925109</v>
      </c>
      <c r="V254" s="17">
        <f t="shared" si="33"/>
        <v>-0.13047045250246392</v>
      </c>
      <c r="W254" s="17">
        <f t="shared" si="34"/>
        <v>-0.12048996434001813</v>
      </c>
      <c r="X254" s="17">
        <f t="shared" si="35"/>
        <v>-0.11279822432191347</v>
      </c>
      <c r="Y254" s="17">
        <f t="shared" si="36"/>
        <v>-0.10739523244815039</v>
      </c>
      <c r="Z254" s="17">
        <f t="shared" si="37"/>
        <v>-0.10428098871872848</v>
      </c>
      <c r="AA254" s="17">
        <f t="shared" si="38"/>
        <v>-0.10345549313364824</v>
      </c>
    </row>
    <row r="255" spans="1:27" x14ac:dyDescent="0.3">
      <c r="A255" s="13" t="s">
        <v>245</v>
      </c>
      <c r="B255" s="14" t="s">
        <v>252</v>
      </c>
      <c r="C255" s="15">
        <v>-8.9095596563646171E-2</v>
      </c>
      <c r="D255" s="15">
        <v>-8.9095596563646129E-3</v>
      </c>
      <c r="E255" s="15">
        <v>-0.21948419869588412</v>
      </c>
      <c r="F255" s="15">
        <v>-0.30416136286034223</v>
      </c>
      <c r="G255" s="15">
        <v>-0.365696190284659</v>
      </c>
      <c r="H255" s="15">
        <v>-0.42175986422035139</v>
      </c>
      <c r="I255" s="15">
        <v>-0.47300677694225585</v>
      </c>
      <c r="J255" s="15">
        <v>-0.52009132072520881</v>
      </c>
      <c r="K255" s="15">
        <v>-0.56366788784404687</v>
      </c>
      <c r="L255" s="15">
        <v>-0.60439087057360619</v>
      </c>
      <c r="M255" s="15">
        <v>-0.64291466118872309</v>
      </c>
      <c r="N255" s="15">
        <v>-0.67989365196423446</v>
      </c>
      <c r="O255" s="15">
        <v>-0.7159822351749765</v>
      </c>
      <c r="P255" s="15">
        <v>-0.75183480309578543</v>
      </c>
      <c r="Q255" s="15">
        <v>-0.78810574800149802</v>
      </c>
      <c r="S255" s="17">
        <f t="shared" si="30"/>
        <v>-0.29732219219024536</v>
      </c>
      <c r="T255" s="17">
        <f t="shared" si="31"/>
        <v>-0.16856305460372273</v>
      </c>
      <c r="U255" s="17">
        <f t="shared" si="32"/>
        <v>-0.14070451173492801</v>
      </c>
      <c r="V255" s="17">
        <f t="shared" si="33"/>
        <v>-0.12866260870045818</v>
      </c>
      <c r="W255" s="17">
        <f t="shared" si="34"/>
        <v>-0.11825668635307957</v>
      </c>
      <c r="X255" s="17">
        <f t="shared" si="35"/>
        <v>-0.10948674469279196</v>
      </c>
      <c r="Y255" s="17">
        <f t="shared" si="36"/>
        <v>-0.10235278371959525</v>
      </c>
      <c r="Z255" s="17">
        <f t="shared" si="37"/>
        <v>-9.685480343348965E-2</v>
      </c>
      <c r="AA255" s="17">
        <f t="shared" si="38"/>
        <v>-9.2992803834475252E-2</v>
      </c>
    </row>
    <row r="256" spans="1:27" x14ac:dyDescent="0.3">
      <c r="A256" s="13" t="s">
        <v>253</v>
      </c>
      <c r="B256" s="14" t="s">
        <v>254</v>
      </c>
      <c r="C256" s="15">
        <v>-0.12202937258887563</v>
      </c>
      <c r="D256" s="15">
        <v>-0.21400175717889003</v>
      </c>
      <c r="E256" s="15">
        <v>-0.30037889415074548</v>
      </c>
      <c r="F256" s="15">
        <v>-0.37122412322164305</v>
      </c>
      <c r="G256" s="15">
        <v>-0.42880372136767153</v>
      </c>
      <c r="H256" s="15">
        <v>-0.47538396556491963</v>
      </c>
      <c r="I256" s="15">
        <v>-0.51323113278947585</v>
      </c>
      <c r="J256" s="15">
        <v>-0.54461150001742908</v>
      </c>
      <c r="K256" s="15">
        <v>-0.57179134422486777</v>
      </c>
      <c r="L256" s="15">
        <v>-0.59703694238788096</v>
      </c>
      <c r="M256" s="15">
        <v>-0.62261457148255706</v>
      </c>
      <c r="N256" s="15">
        <v>-0.65079050848498476</v>
      </c>
      <c r="O256" s="15">
        <v>-0.6838310303712527</v>
      </c>
      <c r="P256" s="15">
        <v>-0.72400241411744992</v>
      </c>
      <c r="Q256" s="15">
        <v>-0.77357093669966459</v>
      </c>
      <c r="S256" s="17">
        <f t="shared" si="30"/>
        <v>-0.17900163682398457</v>
      </c>
      <c r="T256" s="17">
        <f t="shared" si="31"/>
        <v>-0.14583755951181179</v>
      </c>
      <c r="U256" s="17">
        <f t="shared" si="32"/>
        <v>-0.11833917463986066</v>
      </c>
      <c r="V256" s="17">
        <f t="shared" si="33"/>
        <v>-9.6506482208131295E-2</v>
      </c>
      <c r="W256" s="17">
        <f t="shared" si="34"/>
        <v>-8.0339482216623459E-2</v>
      </c>
      <c r="X256" s="17">
        <f t="shared" si="35"/>
        <v>-6.9838174665337593E-2</v>
      </c>
      <c r="Y256" s="17">
        <f t="shared" si="36"/>
        <v>-6.5002559554273309E-2</v>
      </c>
      <c r="Z256" s="17">
        <f t="shared" si="37"/>
        <v>-6.5832636883430828E-2</v>
      </c>
      <c r="AA256" s="17">
        <f t="shared" si="38"/>
        <v>-7.2328406652809776E-2</v>
      </c>
    </row>
    <row r="257" spans="1:27" x14ac:dyDescent="0.3">
      <c r="A257" s="13" t="s">
        <v>253</v>
      </c>
      <c r="B257" s="14" t="s">
        <v>255</v>
      </c>
      <c r="C257" s="15">
        <v>-0.12202937258887563</v>
      </c>
      <c r="D257" s="15">
        <v>-0.21400175717889003</v>
      </c>
      <c r="E257" s="15">
        <v>-0.30037889415074548</v>
      </c>
      <c r="F257" s="15">
        <v>-0.37122412322164305</v>
      </c>
      <c r="G257" s="15">
        <v>-0.42880372136767153</v>
      </c>
      <c r="H257" s="15">
        <v>-0.47538396556491963</v>
      </c>
      <c r="I257" s="15">
        <v>-0.51323113278947585</v>
      </c>
      <c r="J257" s="15">
        <v>-0.54461150001742908</v>
      </c>
      <c r="K257" s="15">
        <v>-0.57179134422486777</v>
      </c>
      <c r="L257" s="15">
        <v>-0.59703694238788096</v>
      </c>
      <c r="M257" s="15">
        <v>-0.62261457148255706</v>
      </c>
      <c r="N257" s="15">
        <v>-0.65079050848498476</v>
      </c>
      <c r="O257" s="15">
        <v>-0.6838310303712527</v>
      </c>
      <c r="P257" s="15">
        <v>-0.72400241411744992</v>
      </c>
      <c r="Q257" s="15">
        <v>-0.77357093669966459</v>
      </c>
      <c r="S257" s="17">
        <f t="shared" si="30"/>
        <v>-0.17900163682398457</v>
      </c>
      <c r="T257" s="17">
        <f t="shared" si="31"/>
        <v>-0.14583755951181179</v>
      </c>
      <c r="U257" s="17">
        <f t="shared" si="32"/>
        <v>-0.11833917463986066</v>
      </c>
      <c r="V257" s="17">
        <f t="shared" si="33"/>
        <v>-9.6506482208131295E-2</v>
      </c>
      <c r="W257" s="17">
        <f t="shared" si="34"/>
        <v>-8.0339482216623459E-2</v>
      </c>
      <c r="X257" s="17">
        <f t="shared" si="35"/>
        <v>-6.9838174665337593E-2</v>
      </c>
      <c r="Y257" s="17">
        <f t="shared" si="36"/>
        <v>-6.5002559554273309E-2</v>
      </c>
      <c r="Z257" s="17">
        <f t="shared" si="37"/>
        <v>-6.5832636883430828E-2</v>
      </c>
      <c r="AA257" s="17">
        <f t="shared" si="38"/>
        <v>-7.2328406652809776E-2</v>
      </c>
    </row>
    <row r="258" spans="1:27" x14ac:dyDescent="0.3">
      <c r="A258" s="13" t="s">
        <v>253</v>
      </c>
      <c r="B258" s="14" t="s">
        <v>256</v>
      </c>
      <c r="C258" s="15">
        <v>-0.12178537087138205</v>
      </c>
      <c r="D258" s="15">
        <v>-0.21311704555403765</v>
      </c>
      <c r="E258" s="15">
        <v>-0.2984762920709918</v>
      </c>
      <c r="F258" s="15">
        <v>-0.36807875898205999</v>
      </c>
      <c r="G258" s="15">
        <v>-0.42431863193419606</v>
      </c>
      <c r="H258" s="15">
        <v>-0.46959009657435358</v>
      </c>
      <c r="I258" s="15">
        <v>-0.50628733854948638</v>
      </c>
      <c r="J258" s="15">
        <v>-0.53680454350654838</v>
      </c>
      <c r="K258" s="15">
        <v>-0.5635358970924933</v>
      </c>
      <c r="L258" s="15">
        <v>-0.5888755849542745</v>
      </c>
      <c r="M258" s="15">
        <v>-0.61521779273884603</v>
      </c>
      <c r="N258" s="15">
        <v>-0.6449567060931618</v>
      </c>
      <c r="O258" s="15">
        <v>-0.6804865106641752</v>
      </c>
      <c r="P258" s="15">
        <v>-0.72420139209884016</v>
      </c>
      <c r="Q258" s="15">
        <v>-0.77849553604411048</v>
      </c>
      <c r="S258" s="17">
        <f t="shared" si="30"/>
        <v>-0.17600132198346535</v>
      </c>
      <c r="T258" s="17">
        <f t="shared" si="31"/>
        <v>-0.14259483708613482</v>
      </c>
      <c r="U258" s="17">
        <f t="shared" si="32"/>
        <v>-0.11517381630618864</v>
      </c>
      <c r="V258" s="17">
        <f t="shared" si="33"/>
        <v>-9.3738259643626948E-2</v>
      </c>
      <c r="W258" s="17">
        <f t="shared" si="34"/>
        <v>-7.8288167098449768E-2</v>
      </c>
      <c r="X258" s="17">
        <f t="shared" si="35"/>
        <v>-6.882353867065677E-2</v>
      </c>
      <c r="Y258" s="17">
        <f t="shared" si="36"/>
        <v>-6.5344374360248036E-2</v>
      </c>
      <c r="Z258" s="17">
        <f t="shared" si="37"/>
        <v>-6.7850674167223748E-2</v>
      </c>
      <c r="AA258" s="17">
        <f t="shared" si="38"/>
        <v>-7.634243809158392E-2</v>
      </c>
    </row>
    <row r="259" spans="1:27" x14ac:dyDescent="0.3">
      <c r="A259" s="13" t="s">
        <v>253</v>
      </c>
      <c r="B259" s="14" t="s">
        <v>257</v>
      </c>
      <c r="C259" s="15">
        <v>-0.12183836422683939</v>
      </c>
      <c r="D259" s="15">
        <v>-0.21293436155736259</v>
      </c>
      <c r="E259" s="15">
        <v>-0.29781760600057006</v>
      </c>
      <c r="F259" s="15">
        <v>-0.36677537236171942</v>
      </c>
      <c r="G259" s="15">
        <v>-0.42227877186875218</v>
      </c>
      <c r="H259" s="15">
        <v>-0.46679891574960941</v>
      </c>
      <c r="I259" s="15">
        <v>-0.50280691523223309</v>
      </c>
      <c r="J259" s="15">
        <v>-0.53277388154456451</v>
      </c>
      <c r="K259" s="15">
        <v>-0.55917092591454498</v>
      </c>
      <c r="L259" s="15">
        <v>-0.58446915957011614</v>
      </c>
      <c r="M259" s="15">
        <v>-0.61113969373921928</v>
      </c>
      <c r="N259" s="15">
        <v>-0.64165363964979572</v>
      </c>
      <c r="O259" s="15">
        <v>-0.67848210852978741</v>
      </c>
      <c r="P259" s="15">
        <v>-0.72409621160713589</v>
      </c>
      <c r="Q259" s="15">
        <v>-0.78096706010978179</v>
      </c>
      <c r="S259" s="17">
        <f t="shared" si="30"/>
        <v>-0.17445367525949132</v>
      </c>
      <c r="T259" s="17">
        <f t="shared" si="31"/>
        <v>-0.14081775812419947</v>
      </c>
      <c r="U259" s="17">
        <f t="shared" si="32"/>
        <v>-0.11335961905876138</v>
      </c>
      <c r="V259" s="17">
        <f t="shared" si="33"/>
        <v>-9.2079258063176933E-2</v>
      </c>
      <c r="W259" s="17">
        <f t="shared" si="34"/>
        <v>-7.6976675137446313E-2</v>
      </c>
      <c r="X259" s="17">
        <f t="shared" si="35"/>
        <v>-6.8051870281569213E-2</v>
      </c>
      <c r="Y259" s="17">
        <f t="shared" si="36"/>
        <v>-6.5304843495545647E-2</v>
      </c>
      <c r="Z259" s="17">
        <f t="shared" si="37"/>
        <v>-6.8735594779375617E-2</v>
      </c>
      <c r="AA259" s="17">
        <f t="shared" si="38"/>
        <v>-7.8344124133059384E-2</v>
      </c>
    </row>
    <row r="260" spans="1:27" x14ac:dyDescent="0.3">
      <c r="A260" s="13" t="s">
        <v>253</v>
      </c>
      <c r="B260" s="14" t="s">
        <v>258</v>
      </c>
      <c r="C260" s="15">
        <v>-0.12202937258887563</v>
      </c>
      <c r="D260" s="15">
        <v>-0.21400175717889003</v>
      </c>
      <c r="E260" s="15">
        <v>-0.30037889415074548</v>
      </c>
      <c r="F260" s="15">
        <v>-0.37122412322164305</v>
      </c>
      <c r="G260" s="15">
        <v>-0.42880372136767153</v>
      </c>
      <c r="H260" s="15">
        <v>-0.47538396556491963</v>
      </c>
      <c r="I260" s="15">
        <v>-0.51323113278947585</v>
      </c>
      <c r="J260" s="15">
        <v>-0.54461150001742908</v>
      </c>
      <c r="K260" s="15">
        <v>-0.57179134422486777</v>
      </c>
      <c r="L260" s="15">
        <v>-0.59703694238788096</v>
      </c>
      <c r="M260" s="15">
        <v>-0.62261457148255706</v>
      </c>
      <c r="N260" s="15">
        <v>-0.65079050848498476</v>
      </c>
      <c r="O260" s="15">
        <v>-0.6838310303712527</v>
      </c>
      <c r="P260" s="15">
        <v>-0.72400241411744992</v>
      </c>
      <c r="Q260" s="15">
        <v>-0.77357093669966459</v>
      </c>
      <c r="S260" s="17">
        <f t="shared" si="30"/>
        <v>-0.17900163682398457</v>
      </c>
      <c r="T260" s="17">
        <f t="shared" si="31"/>
        <v>-0.14583755951181179</v>
      </c>
      <c r="U260" s="17">
        <f t="shared" si="32"/>
        <v>-0.11833917463986066</v>
      </c>
      <c r="V260" s="17">
        <f t="shared" si="33"/>
        <v>-9.6506482208131295E-2</v>
      </c>
      <c r="W260" s="17">
        <f t="shared" si="34"/>
        <v>-8.0339482216623459E-2</v>
      </c>
      <c r="X260" s="17">
        <f t="shared" si="35"/>
        <v>-6.9838174665337593E-2</v>
      </c>
      <c r="Y260" s="17">
        <f t="shared" si="36"/>
        <v>-6.5002559554273309E-2</v>
      </c>
      <c r="Z260" s="17">
        <f t="shared" si="37"/>
        <v>-6.5832636883430828E-2</v>
      </c>
      <c r="AA260" s="17">
        <f t="shared" si="38"/>
        <v>-7.2328406652809776E-2</v>
      </c>
    </row>
    <row r="261" spans="1:27" x14ac:dyDescent="0.3">
      <c r="A261" s="13" t="s">
        <v>253</v>
      </c>
      <c r="B261" s="14" t="s">
        <v>259</v>
      </c>
      <c r="C261" s="15">
        <v>-0.11499994323317102</v>
      </c>
      <c r="D261" s="15">
        <v>-0.20421174710908252</v>
      </c>
      <c r="E261" s="15">
        <v>-0.29039195243209204</v>
      </c>
      <c r="F261" s="15">
        <v>-0.36353403579906168</v>
      </c>
      <c r="G261" s="15">
        <v>-0.42513146813017078</v>
      </c>
      <c r="H261" s="15">
        <v>-0.47667772034559847</v>
      </c>
      <c r="I261" s="15">
        <v>-0.51966626336552413</v>
      </c>
      <c r="J261" s="15">
        <v>-0.55559056811012686</v>
      </c>
      <c r="K261" s="15">
        <v>-0.5859441054995862</v>
      </c>
      <c r="L261" s="15">
        <v>-0.61222034645408097</v>
      </c>
      <c r="M261" s="15">
        <v>-0.63591276189379076</v>
      </c>
      <c r="N261" s="15">
        <v>-0.65851482273889472</v>
      </c>
      <c r="O261" s="15">
        <v>-0.68151999990957202</v>
      </c>
      <c r="P261" s="15">
        <v>-0.70642176432600234</v>
      </c>
      <c r="Q261" s="15">
        <v>-0.73471358690836452</v>
      </c>
      <c r="S261" s="17">
        <f t="shared" si="30"/>
        <v>-0.18409976751757356</v>
      </c>
      <c r="T261" s="17">
        <f t="shared" si="31"/>
        <v>-0.15523813992792201</v>
      </c>
      <c r="U261" s="17">
        <f t="shared" si="32"/>
        <v>-0.1301101896387187</v>
      </c>
      <c r="V261" s="17">
        <f t="shared" si="33"/>
        <v>-0.10871591664996341</v>
      </c>
      <c r="W261" s="17">
        <f t="shared" si="34"/>
        <v>-9.1055320961656444E-2</v>
      </c>
      <c r="X261" s="17">
        <f t="shared" si="35"/>
        <v>-7.7128402573797369E-2</v>
      </c>
      <c r="Y261" s="17">
        <f t="shared" si="36"/>
        <v>-6.6935161486386577E-2</v>
      </c>
      <c r="Z261" s="17">
        <f t="shared" si="37"/>
        <v>-6.0475597699423775E-2</v>
      </c>
      <c r="AA261" s="17">
        <f t="shared" si="38"/>
        <v>-5.7749711212909213E-2</v>
      </c>
    </row>
    <row r="262" spans="1:27" x14ac:dyDescent="0.3">
      <c r="A262" s="13" t="s">
        <v>253</v>
      </c>
      <c r="B262" s="14" t="s">
        <v>260</v>
      </c>
      <c r="C262" s="15">
        <v>-0.13507892224612419</v>
      </c>
      <c r="D262" s="15">
        <v>-0.23622846703568567</v>
      </c>
      <c r="E262" s="15">
        <v>-0.33043962451260567</v>
      </c>
      <c r="F262" s="15">
        <v>-0.40669812424044693</v>
      </c>
      <c r="G262" s="15">
        <v>-0.46749758800738456</v>
      </c>
      <c r="H262" s="15">
        <v>-0.51533163760159362</v>
      </c>
      <c r="I262" s="15">
        <v>-0.55269389481124931</v>
      </c>
      <c r="J262" s="15">
        <v>-0.58207798142452682</v>
      </c>
      <c r="K262" s="15">
        <v>-0.60597751922960108</v>
      </c>
      <c r="L262" s="15">
        <v>-0.62688613001464732</v>
      </c>
      <c r="M262" s="15">
        <v>-0.64729743556784081</v>
      </c>
      <c r="N262" s="15">
        <v>-0.66970505767735622</v>
      </c>
      <c r="O262" s="15">
        <v>-0.69660261813136914</v>
      </c>
      <c r="P262" s="15">
        <v>-0.73048373871805439</v>
      </c>
      <c r="Q262" s="15">
        <v>-0.77384204122558731</v>
      </c>
      <c r="S262" s="17">
        <f t="shared" ref="S262:S325" si="39">+(G262-D262)/3*2.5</f>
        <v>-0.19272426747641572</v>
      </c>
      <c r="T262" s="17">
        <f t="shared" si="31"/>
        <v>-0.15407667757415663</v>
      </c>
      <c r="U262" s="17">
        <f t="shared" si="32"/>
        <v>-0.12166314214233531</v>
      </c>
      <c r="V262" s="17">
        <f t="shared" si="33"/>
        <v>-9.548366118095189E-2</v>
      </c>
      <c r="W262" s="17">
        <f t="shared" si="34"/>
        <v>-7.5538234690006215E-2</v>
      </c>
      <c r="X262" s="17">
        <f t="shared" si="35"/>
        <v>-6.1826862669498342E-2</v>
      </c>
      <c r="Y262" s="17">
        <f t="shared" si="36"/>
        <v>-5.4349545119428314E-2</v>
      </c>
      <c r="Z262" s="17">
        <f t="shared" si="37"/>
        <v>-5.3106282039795949E-2</v>
      </c>
      <c r="AA262" s="17">
        <f t="shared" si="38"/>
        <v>-5.8097073430601512E-2</v>
      </c>
    </row>
    <row r="263" spans="1:27" x14ac:dyDescent="0.3">
      <c r="A263" s="13" t="s">
        <v>253</v>
      </c>
      <c r="B263" s="14" t="s">
        <v>261</v>
      </c>
      <c r="C263" s="15">
        <v>-0.12202937258887563</v>
      </c>
      <c r="D263" s="15">
        <v>-0.21400175717889003</v>
      </c>
      <c r="E263" s="15">
        <v>-0.30037889415074548</v>
      </c>
      <c r="F263" s="15">
        <v>-0.37122412322164305</v>
      </c>
      <c r="G263" s="15">
        <v>-0.42880372136767153</v>
      </c>
      <c r="H263" s="15">
        <v>-0.47538396556491963</v>
      </c>
      <c r="I263" s="15">
        <v>-0.51323113278947585</v>
      </c>
      <c r="J263" s="15">
        <v>-0.54461150001742908</v>
      </c>
      <c r="K263" s="15">
        <v>-0.57179134422486777</v>
      </c>
      <c r="L263" s="15">
        <v>-0.59703694238788096</v>
      </c>
      <c r="M263" s="15">
        <v>-0.62261457148255706</v>
      </c>
      <c r="N263" s="15">
        <v>-0.65079050848498476</v>
      </c>
      <c r="O263" s="15">
        <v>-0.6838310303712527</v>
      </c>
      <c r="P263" s="15">
        <v>-0.72400241411744992</v>
      </c>
      <c r="Q263" s="15">
        <v>-0.77357093669966459</v>
      </c>
      <c r="S263" s="17">
        <f t="shared" si="39"/>
        <v>-0.17900163682398457</v>
      </c>
      <c r="T263" s="17">
        <f t="shared" si="31"/>
        <v>-0.14583755951181179</v>
      </c>
      <c r="U263" s="17">
        <f t="shared" si="32"/>
        <v>-0.11833917463986066</v>
      </c>
      <c r="V263" s="17">
        <f t="shared" si="33"/>
        <v>-9.6506482208131295E-2</v>
      </c>
      <c r="W263" s="17">
        <f t="shared" si="34"/>
        <v>-8.0339482216623459E-2</v>
      </c>
      <c r="X263" s="17">
        <f t="shared" si="35"/>
        <v>-6.9838174665337593E-2</v>
      </c>
      <c r="Y263" s="17">
        <f t="shared" si="36"/>
        <v>-6.5002559554273309E-2</v>
      </c>
      <c r="Z263" s="17">
        <f t="shared" si="37"/>
        <v>-6.5832636883430828E-2</v>
      </c>
      <c r="AA263" s="17">
        <f t="shared" si="38"/>
        <v>-7.2328406652809776E-2</v>
      </c>
    </row>
    <row r="264" spans="1:27" x14ac:dyDescent="0.3">
      <c r="A264" s="13" t="s">
        <v>253</v>
      </c>
      <c r="B264" s="14" t="s">
        <v>262</v>
      </c>
      <c r="C264" s="15">
        <v>-0.12264784727350528</v>
      </c>
      <c r="D264" s="15">
        <v>-0.21428274717004039</v>
      </c>
      <c r="E264" s="15">
        <v>-0.29959279290169766</v>
      </c>
      <c r="F264" s="15">
        <v>-0.36880392523077365</v>
      </c>
      <c r="G264" s="15">
        <v>-0.42440686964691543</v>
      </c>
      <c r="H264" s="15">
        <v>-0.46889235163977</v>
      </c>
      <c r="I264" s="15">
        <v>-0.50475109669898455</v>
      </c>
      <c r="J264" s="15">
        <v>-0.53447383031420614</v>
      </c>
      <c r="K264" s="15">
        <v>-0.56055127797508186</v>
      </c>
      <c r="L264" s="15">
        <v>-0.58547416517125872</v>
      </c>
      <c r="M264" s="15">
        <v>-0.61173321739238373</v>
      </c>
      <c r="N264" s="15">
        <v>-0.64181916012810403</v>
      </c>
      <c r="O264" s="15">
        <v>-0.67822271886806684</v>
      </c>
      <c r="P264" s="15">
        <v>-0.72343461910191897</v>
      </c>
      <c r="Q264" s="15">
        <v>-0.7799455863193081</v>
      </c>
      <c r="S264" s="17">
        <f t="shared" si="39"/>
        <v>-0.17510343539739587</v>
      </c>
      <c r="T264" s="17">
        <f t="shared" si="31"/>
        <v>-0.14108296561506029</v>
      </c>
      <c r="U264" s="17">
        <f t="shared" si="32"/>
        <v>-0.11328930955684241</v>
      </c>
      <c r="V264" s="17">
        <f t="shared" si="33"/>
        <v>-9.1722467222742271E-2</v>
      </c>
      <c r="W264" s="17">
        <f t="shared" si="34"/>
        <v>-7.6382438612759881E-2</v>
      </c>
      <c r="X264" s="17">
        <f t="shared" si="35"/>
        <v>-6.7269223726895144E-2</v>
      </c>
      <c r="Y264" s="17">
        <f t="shared" si="36"/>
        <v>-6.438282256514799E-2</v>
      </c>
      <c r="Z264" s="17">
        <f t="shared" si="37"/>
        <v>-6.7723235127518475E-2</v>
      </c>
      <c r="AA264" s="17">
        <f t="shared" si="38"/>
        <v>-7.7290461414006764E-2</v>
      </c>
    </row>
    <row r="265" spans="1:27" x14ac:dyDescent="0.3">
      <c r="A265" s="13" t="s">
        <v>253</v>
      </c>
      <c r="B265" s="14" t="s">
        <v>263</v>
      </c>
      <c r="C265" s="15">
        <v>-0.13382820667707235</v>
      </c>
      <c r="D265" s="15">
        <v>-0.23240544644554895</v>
      </c>
      <c r="E265" s="15">
        <v>-0.32270061318600762</v>
      </c>
      <c r="F265" s="15">
        <v>-0.39425649353288417</v>
      </c>
      <c r="G265" s="15">
        <v>-0.44999869478832177</v>
      </c>
      <c r="H265" s="15">
        <v>-0.49285282425446347</v>
      </c>
      <c r="I265" s="15">
        <v>-0.52574448923345218</v>
      </c>
      <c r="J265" s="15">
        <v>-0.55159929702743127</v>
      </c>
      <c r="K265" s="15">
        <v>-0.57334285493854353</v>
      </c>
      <c r="L265" s="15">
        <v>-0.59390077026893218</v>
      </c>
      <c r="M265" s="15">
        <v>-0.6161986503207405</v>
      </c>
      <c r="N265" s="15">
        <v>-0.64316210239611116</v>
      </c>
      <c r="O265" s="15">
        <v>-0.67771673379718755</v>
      </c>
      <c r="P265" s="15">
        <v>-0.72278815182611245</v>
      </c>
      <c r="Q265" s="15">
        <v>-0.78130196378502914</v>
      </c>
      <c r="S265" s="17">
        <f t="shared" si="39"/>
        <v>-0.18132770695231071</v>
      </c>
      <c r="T265" s="17">
        <f t="shared" si="31"/>
        <v>-0.1417935092237132</v>
      </c>
      <c r="U265" s="17">
        <f t="shared" si="32"/>
        <v>-0.10957332975047335</v>
      </c>
      <c r="V265" s="17">
        <f t="shared" si="33"/>
        <v>-8.4667168532591236E-2</v>
      </c>
      <c r="W265" s="17">
        <f t="shared" si="34"/>
        <v>-6.7075025570066713E-2</v>
      </c>
      <c r="X265" s="17">
        <f t="shared" si="35"/>
        <v>-5.6796900862899999E-2</v>
      </c>
      <c r="Y265" s="17">
        <f t="shared" si="36"/>
        <v>-5.3832794411091026E-2</v>
      </c>
      <c r="Z265" s="17">
        <f t="shared" si="37"/>
        <v>-5.8182706214639682E-2</v>
      </c>
      <c r="AA265" s="17">
        <f t="shared" si="38"/>
        <v>-6.9846636273546148E-2</v>
      </c>
    </row>
    <row r="266" spans="1:27" x14ac:dyDescent="0.3">
      <c r="A266" s="13" t="s">
        <v>253</v>
      </c>
      <c r="B266" s="14" t="s">
        <v>264</v>
      </c>
      <c r="C266" s="15">
        <v>-0.12261021232962292</v>
      </c>
      <c r="D266" s="15">
        <v>-0.21388653319167639</v>
      </c>
      <c r="E266" s="15">
        <v>-0.29853758226640109</v>
      </c>
      <c r="F266" s="15">
        <v>-0.36686432167434729</v>
      </c>
      <c r="G266" s="15">
        <v>-0.42142873476902754</v>
      </c>
      <c r="H266" s="15">
        <v>-0.46479280490395458</v>
      </c>
      <c r="I266" s="15">
        <v>-0.49951851543264092</v>
      </c>
      <c r="J266" s="15">
        <v>-0.52816784970859909</v>
      </c>
      <c r="K266" s="15">
        <v>-0.55330279108534175</v>
      </c>
      <c r="L266" s="15">
        <v>-0.57748532291638133</v>
      </c>
      <c r="M266" s="15">
        <v>-0.6032774285552307</v>
      </c>
      <c r="N266" s="15">
        <v>-0.63324109135540252</v>
      </c>
      <c r="O266" s="15">
        <v>-0.66993829467040944</v>
      </c>
      <c r="P266" s="15">
        <v>-0.71593102185376323</v>
      </c>
      <c r="Q266" s="15">
        <v>-0.77378125625897654</v>
      </c>
      <c r="S266" s="17">
        <f t="shared" si="39"/>
        <v>-0.17295183464779262</v>
      </c>
      <c r="T266" s="17">
        <f t="shared" si="31"/>
        <v>-0.13854601886462792</v>
      </c>
      <c r="U266" s="17">
        <f t="shared" si="32"/>
        <v>-0.11054516146524468</v>
      </c>
      <c r="V266" s="17">
        <f t="shared" si="33"/>
        <v>-8.8949262449642963E-2</v>
      </c>
      <c r="W266" s="17">
        <f t="shared" si="34"/>
        <v>-7.3758321817822645E-2</v>
      </c>
      <c r="X266" s="17">
        <f t="shared" si="35"/>
        <v>-6.4972339569783669E-2</v>
      </c>
      <c r="Y266" s="17">
        <f t="shared" si="36"/>
        <v>-6.259131570552634E-2</v>
      </c>
      <c r="Z266" s="17">
        <f t="shared" si="37"/>
        <v>-6.6615250225050646E-2</v>
      </c>
      <c r="AA266" s="17">
        <f t="shared" si="38"/>
        <v>-7.7044143128356765E-2</v>
      </c>
    </row>
    <row r="267" spans="1:27" x14ac:dyDescent="0.3">
      <c r="A267" s="13" t="s">
        <v>253</v>
      </c>
      <c r="B267" s="14" t="s">
        <v>265</v>
      </c>
      <c r="C267" s="15">
        <v>-0.11889051766509584</v>
      </c>
      <c r="D267" s="15">
        <v>-0.20969070389056083</v>
      </c>
      <c r="E267" s="15">
        <v>-0.29612455754637484</v>
      </c>
      <c r="F267" s="15">
        <v>-0.3682430685580983</v>
      </c>
      <c r="G267" s="15">
        <v>-0.4279862786178012</v>
      </c>
      <c r="H267" s="15">
        <v>-0.47729422941755367</v>
      </c>
      <c r="I267" s="15">
        <v>-0.5181069626494258</v>
      </c>
      <c r="J267" s="15">
        <v>-0.55236452000548741</v>
      </c>
      <c r="K267" s="15">
        <v>-0.58200694317780866</v>
      </c>
      <c r="L267" s="15">
        <v>-0.60897427385845948</v>
      </c>
      <c r="M267" s="15">
        <v>-0.63520655373951029</v>
      </c>
      <c r="N267" s="15">
        <v>-0.66264382451303061</v>
      </c>
      <c r="O267" s="15">
        <v>-0.69322612787109072</v>
      </c>
      <c r="P267" s="15">
        <v>-0.72889350550576082</v>
      </c>
      <c r="Q267" s="15">
        <v>-0.77158599910911085</v>
      </c>
      <c r="S267" s="17">
        <f t="shared" si="39"/>
        <v>-0.18191297893936698</v>
      </c>
      <c r="T267" s="17">
        <f t="shared" si="31"/>
        <v>-0.15097472655931568</v>
      </c>
      <c r="U267" s="17">
        <f t="shared" si="32"/>
        <v>-0.12488657840943959</v>
      </c>
      <c r="V267" s="17">
        <f t="shared" si="33"/>
        <v>-0.10364853448973851</v>
      </c>
      <c r="W267" s="17">
        <f t="shared" si="34"/>
        <v>-8.7260594800212476E-2</v>
      </c>
      <c r="X267" s="17">
        <f t="shared" si="35"/>
        <v>-7.5722759340861409E-2</v>
      </c>
      <c r="Y267" s="17">
        <f t="shared" si="36"/>
        <v>-6.9035028111685728E-2</v>
      </c>
      <c r="Z267" s="17">
        <f t="shared" si="37"/>
        <v>-6.7197401112684962E-2</v>
      </c>
      <c r="AA267" s="17">
        <f t="shared" si="38"/>
        <v>-7.0209878343859375E-2</v>
      </c>
    </row>
    <row r="268" spans="1:27" x14ac:dyDescent="0.3">
      <c r="A268" s="13" t="s">
        <v>253</v>
      </c>
      <c r="B268" s="14" t="s">
        <v>266</v>
      </c>
      <c r="C268" s="15">
        <v>-0.11333796679169419</v>
      </c>
      <c r="D268" s="15">
        <v>-0.20274565065608702</v>
      </c>
      <c r="E268" s="15">
        <v>-0.2908554846123298</v>
      </c>
      <c r="F268" s="15">
        <v>-0.36784972669673988</v>
      </c>
      <c r="G268" s="15">
        <v>-0.43524443162480431</v>
      </c>
      <c r="H268" s="15">
        <v>-0.49455565411200975</v>
      </c>
      <c r="I268" s="15">
        <v>-0.5472994488738433</v>
      </c>
      <c r="J268" s="15">
        <v>-0.59499187062579173</v>
      </c>
      <c r="K268" s="15">
        <v>-0.63914897408334193</v>
      </c>
      <c r="L268" s="15">
        <v>-0.68128681396198076</v>
      </c>
      <c r="M268" s="15">
        <v>-0.72292144497719502</v>
      </c>
      <c r="N268" s="15">
        <v>-0.76556892184447189</v>
      </c>
      <c r="O268" s="15">
        <v>-0.81074529927929784</v>
      </c>
      <c r="P268" s="15">
        <v>-0.85996663199716017</v>
      </c>
      <c r="Q268" s="15">
        <v>-0.91474897471354533</v>
      </c>
      <c r="S268" s="17">
        <f t="shared" si="39"/>
        <v>-0.19374898414059774</v>
      </c>
      <c r="T268" s="17">
        <f t="shared" si="31"/>
        <v>-0.16975014124973331</v>
      </c>
      <c r="U268" s="17">
        <f t="shared" si="32"/>
        <v>-0.14954143514758619</v>
      </c>
      <c r="V268" s="17">
        <f t="shared" si="33"/>
        <v>-0.1331228658341562</v>
      </c>
      <c r="W268" s="17">
        <f t="shared" si="34"/>
        <v>-0.12049443330944348</v>
      </c>
      <c r="X268" s="17">
        <f t="shared" si="35"/>
        <v>-0.11165613757344789</v>
      </c>
      <c r="Y268" s="17">
        <f t="shared" si="36"/>
        <v>-0.10660797862616941</v>
      </c>
      <c r="Z268" s="17">
        <f t="shared" si="37"/>
        <v>-0.10534995646760831</v>
      </c>
      <c r="AA268" s="17">
        <f t="shared" si="38"/>
        <v>-0.10788207109776424</v>
      </c>
    </row>
    <row r="269" spans="1:27" x14ac:dyDescent="0.3">
      <c r="A269" s="13" t="s">
        <v>267</v>
      </c>
      <c r="B269" s="14" t="s">
        <v>268</v>
      </c>
      <c r="C269" s="15">
        <v>-0.11116893080360229</v>
      </c>
      <c r="D269" s="15">
        <v>-0.19864552389422119</v>
      </c>
      <c r="E269" s="15">
        <v>-0.28448500366574575</v>
      </c>
      <c r="F269" s="15">
        <v>-0.35892459910338859</v>
      </c>
      <c r="G269" s="15">
        <v>-0.42331843227272253</v>
      </c>
      <c r="H269" s="15">
        <v>-0.47902062523932043</v>
      </c>
      <c r="I269" s="15">
        <v>-0.52738530006875539</v>
      </c>
      <c r="J269" s="15">
        <v>-0.56976657882659987</v>
      </c>
      <c r="K269" s="15">
        <v>-0.60751858357842692</v>
      </c>
      <c r="L269" s="15">
        <v>-0.6419954363898096</v>
      </c>
      <c r="M269" s="15">
        <v>-0.67455125932632065</v>
      </c>
      <c r="N269" s="15">
        <v>-0.70654017445353279</v>
      </c>
      <c r="O269" s="15">
        <v>-0.73931630383701907</v>
      </c>
      <c r="P269" s="15">
        <v>-0.77423376954235212</v>
      </c>
      <c r="Q269" s="15">
        <v>-0.81264669363510522</v>
      </c>
      <c r="S269" s="17">
        <f t="shared" si="39"/>
        <v>-0.18722742364875114</v>
      </c>
      <c r="T269" s="17">
        <f t="shared" si="31"/>
        <v>-0.16211301797797892</v>
      </c>
      <c r="U269" s="17">
        <f t="shared" si="32"/>
        <v>-0.14038391747113901</v>
      </c>
      <c r="V269" s="17">
        <f t="shared" si="33"/>
        <v>-0.12204012212823112</v>
      </c>
      <c r="W269" s="17">
        <f t="shared" si="34"/>
        <v>-0.10708163194925541</v>
      </c>
      <c r="X269" s="17">
        <f t="shared" si="35"/>
        <v>-9.5508446934211844E-2</v>
      </c>
      <c r="Y269" s="17">
        <f t="shared" si="36"/>
        <v>-8.7320567083100653E-2</v>
      </c>
      <c r="Z269" s="17">
        <f t="shared" si="37"/>
        <v>-8.2517992395921558E-2</v>
      </c>
      <c r="AA269" s="17">
        <f t="shared" si="38"/>
        <v>-8.1100722872674558E-2</v>
      </c>
    </row>
    <row r="270" spans="1:27" x14ac:dyDescent="0.3">
      <c r="A270" s="13" t="s">
        <v>267</v>
      </c>
      <c r="B270" s="14" t="s">
        <v>269</v>
      </c>
      <c r="C270" s="15">
        <v>-0.13593588906456858</v>
      </c>
      <c r="D270" s="15">
        <v>-0.23799786385762617</v>
      </c>
      <c r="E270" s="15">
        <v>-0.33337983121536097</v>
      </c>
      <c r="F270" s="15">
        <v>-0.41099942279607216</v>
      </c>
      <c r="G270" s="15">
        <v>-0.47336785916451574</v>
      </c>
      <c r="H270" s="15">
        <v>-0.52299636088544799</v>
      </c>
      <c r="I270" s="15">
        <v>-0.56239614852362474</v>
      </c>
      <c r="J270" s="15">
        <v>-0.59407844264380216</v>
      </c>
      <c r="K270" s="15">
        <v>-0.6205544638107362</v>
      </c>
      <c r="L270" s="15">
        <v>-0.64433543258918335</v>
      </c>
      <c r="M270" s="15">
        <v>-0.66793256954389923</v>
      </c>
      <c r="N270" s="15">
        <v>-0.69385709523964001</v>
      </c>
      <c r="O270" s="15">
        <v>-0.72462023024116173</v>
      </c>
      <c r="P270" s="15">
        <v>-0.76273319511322069</v>
      </c>
      <c r="Q270" s="15">
        <v>-0.81070721042057281</v>
      </c>
      <c r="S270" s="17">
        <f t="shared" si="39"/>
        <v>-0.19614166275574133</v>
      </c>
      <c r="T270" s="17">
        <f t="shared" si="31"/>
        <v>-0.1580137747250725</v>
      </c>
      <c r="U270" s="17">
        <f t="shared" si="32"/>
        <v>-0.12616393810629381</v>
      </c>
      <c r="V270" s="17">
        <f t="shared" si="33"/>
        <v>-0.10059215289940535</v>
      </c>
      <c r="W270" s="17">
        <f t="shared" si="34"/>
        <v>-8.1298419104406855E-2</v>
      </c>
      <c r="X270" s="17">
        <f t="shared" si="35"/>
        <v>-6.8282736721298851E-2</v>
      </c>
      <c r="Y270" s="17">
        <f t="shared" si="36"/>
        <v>-6.1545105750080889E-2</v>
      </c>
      <c r="Z270" s="17">
        <f t="shared" si="37"/>
        <v>-6.1085526190753178E-2</v>
      </c>
      <c r="AA270" s="17">
        <f t="shared" si="38"/>
        <v>-6.6903998043315316E-2</v>
      </c>
    </row>
    <row r="271" spans="1:27" x14ac:dyDescent="0.3">
      <c r="A271" s="13" t="s">
        <v>267</v>
      </c>
      <c r="B271" s="14" t="s">
        <v>270</v>
      </c>
      <c r="C271" s="15">
        <v>-0.1299781753495492</v>
      </c>
      <c r="D271" s="15">
        <v>-0.22992441715310336</v>
      </c>
      <c r="E271" s="15">
        <v>-0.32564057961749326</v>
      </c>
      <c r="F271" s="15">
        <v>-0.40601651042298992</v>
      </c>
      <c r="G271" s="15">
        <v>-0.47293987478481914</v>
      </c>
      <c r="H271" s="15">
        <v>-0.52829833791820668</v>
      </c>
      <c r="I271" s="15">
        <v>-0.57397956503837844</v>
      </c>
      <c r="J271" s="15">
        <v>-0.61187122136056016</v>
      </c>
      <c r="K271" s="15">
        <v>-0.64386097209997784</v>
      </c>
      <c r="L271" s="15">
        <v>-0.67183648247185723</v>
      </c>
      <c r="M271" s="15">
        <v>-0.697685417691424</v>
      </c>
      <c r="N271" s="15">
        <v>-0.72329544297390425</v>
      </c>
      <c r="O271" s="15">
        <v>-0.75055422353452361</v>
      </c>
      <c r="P271" s="15">
        <v>-0.78134942458850787</v>
      </c>
      <c r="Q271" s="15">
        <v>-0.81756871135108322</v>
      </c>
      <c r="S271" s="17">
        <f t="shared" si="39"/>
        <v>-0.20251288135976317</v>
      </c>
      <c r="T271" s="17">
        <f t="shared" si="31"/>
        <v>-0.1688814652505945</v>
      </c>
      <c r="U271" s="17">
        <f t="shared" si="32"/>
        <v>-0.13996921217949043</v>
      </c>
      <c r="V271" s="17">
        <f t="shared" si="33"/>
        <v>-0.11577612214645086</v>
      </c>
      <c r="W271" s="17">
        <f t="shared" si="34"/>
        <v>-9.630219515147595E-2</v>
      </c>
      <c r="X271" s="17">
        <f t="shared" si="35"/>
        <v>-8.1547431194565673E-2</v>
      </c>
      <c r="Y271" s="17">
        <f t="shared" si="36"/>
        <v>-7.1511830275719876E-2</v>
      </c>
      <c r="Z271" s="17">
        <f t="shared" si="37"/>
        <v>-6.6195392394938671E-2</v>
      </c>
      <c r="AA271" s="17">
        <f t="shared" si="38"/>
        <v>-6.5598117552221988E-2</v>
      </c>
    </row>
    <row r="272" spans="1:27" x14ac:dyDescent="0.3">
      <c r="A272" s="13" t="s">
        <v>267</v>
      </c>
      <c r="B272" s="14" t="s">
        <v>271</v>
      </c>
      <c r="C272" s="15">
        <v>-0.13411776365806558</v>
      </c>
      <c r="D272" s="15">
        <v>-0.23598065462048506</v>
      </c>
      <c r="E272" s="15">
        <v>-0.33235809639076735</v>
      </c>
      <c r="F272" s="15">
        <v>-0.4121044772051925</v>
      </c>
      <c r="G272" s="15">
        <v>-0.47748596166584745</v>
      </c>
      <c r="H272" s="15">
        <v>-0.53076871437481854</v>
      </c>
      <c r="I272" s="15">
        <v>-0.57421889993419239</v>
      </c>
      <c r="J272" s="15">
        <v>-0.61010268294605619</v>
      </c>
      <c r="K272" s="15">
        <v>-0.6406862280124962</v>
      </c>
      <c r="L272" s="15">
        <v>-0.66823569973559915</v>
      </c>
      <c r="M272" s="15">
        <v>-0.69501726271745135</v>
      </c>
      <c r="N272" s="15">
        <v>-0.7232970815601405</v>
      </c>
      <c r="O272" s="15">
        <v>-0.75534132086575223</v>
      </c>
      <c r="P272" s="15">
        <v>-0.79341614523637327</v>
      </c>
      <c r="Q272" s="15">
        <v>-0.83978771927409068</v>
      </c>
      <c r="S272" s="17">
        <f t="shared" si="39"/>
        <v>-0.20125442253780199</v>
      </c>
      <c r="T272" s="17">
        <f t="shared" si="31"/>
        <v>-0.16534218165337597</v>
      </c>
      <c r="U272" s="17">
        <f t="shared" si="32"/>
        <v>-0.13509535227416658</v>
      </c>
      <c r="V272" s="17">
        <f t="shared" si="33"/>
        <v>-0.11051393440017396</v>
      </c>
      <c r="W272" s="17">
        <f t="shared" si="34"/>
        <v>-9.1597928031398046E-2</v>
      </c>
      <c r="X272" s="17">
        <f t="shared" si="35"/>
        <v>-7.8347333167838956E-2</v>
      </c>
      <c r="Y272" s="17">
        <f t="shared" si="36"/>
        <v>-7.0762149809495967E-2</v>
      </c>
      <c r="Z272" s="17">
        <f t="shared" si="37"/>
        <v>-6.8842377956370257E-2</v>
      </c>
      <c r="AA272" s="17">
        <f t="shared" si="38"/>
        <v>-7.2588017608460897E-2</v>
      </c>
    </row>
    <row r="273" spans="1:27" x14ac:dyDescent="0.3">
      <c r="A273" s="13" t="s">
        <v>267</v>
      </c>
      <c r="B273" s="14" t="s">
        <v>272</v>
      </c>
      <c r="C273" s="15">
        <v>-0.18691578043472032</v>
      </c>
      <c r="D273" s="15">
        <v>-0.32073069164347223</v>
      </c>
      <c r="E273" s="15">
        <v>-0.43903126009885779</v>
      </c>
      <c r="F273" s="15">
        <v>-0.52759993549239526</v>
      </c>
      <c r="G273" s="15">
        <v>-0.59091074555907452</v>
      </c>
      <c r="H273" s="15">
        <v>-0.63343771803388549</v>
      </c>
      <c r="I273" s="15">
        <v>-0.65965488065181888</v>
      </c>
      <c r="J273" s="15">
        <v>-0.67403626114786375</v>
      </c>
      <c r="K273" s="15">
        <v>-0.68105588725701083</v>
      </c>
      <c r="L273" s="15">
        <v>-0.6851877867142504</v>
      </c>
      <c r="M273" s="15">
        <v>-0.69090598725457197</v>
      </c>
      <c r="N273" s="15">
        <v>-0.70268451661296549</v>
      </c>
      <c r="O273" s="15">
        <v>-0.7249974025244218</v>
      </c>
      <c r="P273" s="15">
        <v>-0.7623186727239305</v>
      </c>
      <c r="Q273" s="15">
        <v>-0.81912235494648122</v>
      </c>
      <c r="S273" s="17">
        <f t="shared" si="39"/>
        <v>-0.22515004492966856</v>
      </c>
      <c r="T273" s="17">
        <f t="shared" si="31"/>
        <v>-0.16200538161252306</v>
      </c>
      <c r="U273" s="17">
        <f t="shared" si="32"/>
        <v>-0.11004578763285303</v>
      </c>
      <c r="V273" s="17">
        <f t="shared" si="33"/>
        <v>-6.9271262990657681E-2</v>
      </c>
      <c r="W273" s="17">
        <f t="shared" si="34"/>
        <v>-3.9681807685937778E-2</v>
      </c>
      <c r="X273" s="17">
        <f t="shared" si="35"/>
        <v>-2.1277421718692936E-2</v>
      </c>
      <c r="Y273" s="17">
        <f t="shared" si="36"/>
        <v>-1.4058105088923523E-2</v>
      </c>
      <c r="Z273" s="17">
        <f t="shared" si="37"/>
        <v>-1.8023857796628889E-2</v>
      </c>
      <c r="AA273" s="17">
        <f t="shared" si="38"/>
        <v>-3.3174679841809496E-2</v>
      </c>
    </row>
    <row r="274" spans="1:27" x14ac:dyDescent="0.3">
      <c r="A274" s="13" t="s">
        <v>267</v>
      </c>
      <c r="B274" s="14" t="s">
        <v>273</v>
      </c>
      <c r="C274" s="15">
        <v>-0.13706335384601714</v>
      </c>
      <c r="D274" s="15">
        <v>-0.24018654333500666</v>
      </c>
      <c r="E274" s="15">
        <v>-0.33672833932044727</v>
      </c>
      <c r="F274" s="15">
        <v>-0.41542052119933032</v>
      </c>
      <c r="G274" s="15">
        <v>-0.47870120375324887</v>
      </c>
      <c r="H274" s="15">
        <v>-0.52900850176379599</v>
      </c>
      <c r="I274" s="15">
        <v>-0.56878053001256479</v>
      </c>
      <c r="J274" s="15">
        <v>-0.60045540328114821</v>
      </c>
      <c r="K274" s="15">
        <v>-0.62647123635113922</v>
      </c>
      <c r="L274" s="15">
        <v>-0.64926614400413096</v>
      </c>
      <c r="M274" s="15">
        <v>-0.67127824102171685</v>
      </c>
      <c r="N274" s="15">
        <v>-0.69494564218548938</v>
      </c>
      <c r="O274" s="15">
        <v>-0.72270646227704172</v>
      </c>
      <c r="P274" s="15">
        <v>-0.75699881607796737</v>
      </c>
      <c r="Q274" s="15">
        <v>-0.80026081836985874</v>
      </c>
      <c r="S274" s="17">
        <f t="shared" si="39"/>
        <v>-0.19876221701520186</v>
      </c>
      <c r="T274" s="17">
        <f t="shared" si="31"/>
        <v>-0.16023346870279062</v>
      </c>
      <c r="U274" s="17">
        <f t="shared" si="32"/>
        <v>-0.12780000734436206</v>
      </c>
      <c r="V274" s="17">
        <f t="shared" si="33"/>
        <v>-0.10146183293991612</v>
      </c>
      <c r="W274" s="17">
        <f t="shared" si="34"/>
        <v>-8.1218945489452687E-2</v>
      </c>
      <c r="X274" s="17">
        <f t="shared" si="35"/>
        <v>-6.7071344992971807E-2</v>
      </c>
      <c r="Y274" s="17">
        <f t="shared" si="36"/>
        <v>-5.9019031450473866E-2</v>
      </c>
      <c r="Z274" s="17">
        <f t="shared" si="37"/>
        <v>-5.7062004861958462E-2</v>
      </c>
      <c r="AA274" s="17">
        <f t="shared" si="38"/>
        <v>-6.1200265227425624E-2</v>
      </c>
    </row>
    <row r="275" spans="1:27" x14ac:dyDescent="0.3">
      <c r="A275" s="13" t="s">
        <v>267</v>
      </c>
      <c r="B275" s="14" t="s">
        <v>274</v>
      </c>
      <c r="C275" s="15">
        <v>-0.13456838981004243</v>
      </c>
      <c r="D275" s="15">
        <v>-0.23641632470701829</v>
      </c>
      <c r="E275" s="15">
        <v>-0.33238434256164506</v>
      </c>
      <c r="F275" s="15">
        <v>-0.41131256181396114</v>
      </c>
      <c r="G275" s="15">
        <v>-0.47549793988500905</v>
      </c>
      <c r="H275" s="15">
        <v>-0.52723743419583113</v>
      </c>
      <c r="I275" s="15">
        <v>-0.56882800216746998</v>
      </c>
      <c r="J275" s="15">
        <v>-0.60256660122096817</v>
      </c>
      <c r="K275" s="15">
        <v>-0.63075018877736799</v>
      </c>
      <c r="L275" s="15">
        <v>-0.6556757222577122</v>
      </c>
      <c r="M275" s="15">
        <v>-0.67964015908304309</v>
      </c>
      <c r="N275" s="15">
        <v>-0.70494045667440353</v>
      </c>
      <c r="O275" s="15">
        <v>-0.73387357245283524</v>
      </c>
      <c r="P275" s="15">
        <v>-0.76873646383938155</v>
      </c>
      <c r="Q275" s="15">
        <v>-0.81182608825508495</v>
      </c>
      <c r="S275" s="17">
        <f t="shared" si="39"/>
        <v>-0.19923467931499228</v>
      </c>
      <c r="T275" s="17">
        <f t="shared" si="31"/>
        <v>-0.16237757636182171</v>
      </c>
      <c r="U275" s="17">
        <f t="shared" si="32"/>
        <v>-0.13126286696125736</v>
      </c>
      <c r="V275" s="17">
        <f t="shared" si="33"/>
        <v>-0.10589055111329926</v>
      </c>
      <c r="W275" s="17">
        <f t="shared" si="34"/>
        <v>-8.6260628817947382E-2</v>
      </c>
      <c r="X275" s="17">
        <f t="shared" si="35"/>
        <v>-7.2373100075201854E-2</v>
      </c>
      <c r="Y275" s="17">
        <f t="shared" si="36"/>
        <v>-6.4227964885062439E-2</v>
      </c>
      <c r="Z275" s="17">
        <f t="shared" si="37"/>
        <v>-6.1825223247529607E-2</v>
      </c>
      <c r="AA275" s="17">
        <f t="shared" si="38"/>
        <v>-6.516487516260254E-2</v>
      </c>
    </row>
    <row r="276" spans="1:27" x14ac:dyDescent="0.3">
      <c r="A276" s="13" t="s">
        <v>267</v>
      </c>
      <c r="B276" s="14" t="s">
        <v>275</v>
      </c>
      <c r="C276" s="15">
        <v>-0.13428882462829445</v>
      </c>
      <c r="D276" s="15">
        <v>-0.23598718194082041</v>
      </c>
      <c r="E276" s="15">
        <v>-0.3318751606546706</v>
      </c>
      <c r="F276" s="15">
        <v>-0.41080319916823094</v>
      </c>
      <c r="G276" s="15">
        <v>-0.47505061834271661</v>
      </c>
      <c r="H276" s="15">
        <v>-0.52689673903934275</v>
      </c>
      <c r="I276" s="15">
        <v>-0.56862088211932516</v>
      </c>
      <c r="J276" s="15">
        <v>-0.60250236844387828</v>
      </c>
      <c r="K276" s="15">
        <v>-0.63082051887421797</v>
      </c>
      <c r="L276" s="15">
        <v>-0.65585465427155965</v>
      </c>
      <c r="M276" s="15">
        <v>-0.67988409549711792</v>
      </c>
      <c r="N276" s="15">
        <v>-0.70518816341210844</v>
      </c>
      <c r="O276" s="15">
        <v>-0.73404617887774681</v>
      </c>
      <c r="P276" s="15">
        <v>-0.7687374627552479</v>
      </c>
      <c r="Q276" s="15">
        <v>-0.81154133590582678</v>
      </c>
      <c r="S276" s="17">
        <f t="shared" si="39"/>
        <v>-0.19921953033491352</v>
      </c>
      <c r="T276" s="17">
        <f t="shared" si="31"/>
        <v>-0.16251798198722678</v>
      </c>
      <c r="U276" s="17">
        <f t="shared" si="32"/>
        <v>-0.13151473579257852</v>
      </c>
      <c r="V276" s="17">
        <f t="shared" si="33"/>
        <v>-0.10620979175096806</v>
      </c>
      <c r="W276" s="17">
        <f t="shared" si="34"/>
        <v>-8.6603149862396006E-2</v>
      </c>
      <c r="X276" s="17">
        <f t="shared" si="35"/>
        <v>-7.2694810126862075E-2</v>
      </c>
      <c r="Y276" s="17">
        <f t="shared" si="36"/>
        <v>-6.4484772544366367E-2</v>
      </c>
      <c r="Z276" s="17">
        <f t="shared" si="37"/>
        <v>-6.1973037114908716E-2</v>
      </c>
      <c r="AA276" s="17">
        <f t="shared" si="38"/>
        <v>-6.5159603838489302E-2</v>
      </c>
    </row>
    <row r="277" spans="1:27" x14ac:dyDescent="0.3">
      <c r="A277" s="13" t="s">
        <v>267</v>
      </c>
      <c r="B277" s="14" t="s">
        <v>20</v>
      </c>
      <c r="C277" s="15">
        <v>-0.13485899295606624</v>
      </c>
      <c r="D277" s="15">
        <v>-0.23686241106537176</v>
      </c>
      <c r="E277" s="15">
        <v>-0.33291362805641844</v>
      </c>
      <c r="F277" s="15">
        <v>-0.4118420349776431</v>
      </c>
      <c r="G277" s="15">
        <v>-0.47596292217308916</v>
      </c>
      <c r="H277" s="15">
        <v>-0.52759157998680017</v>
      </c>
      <c r="I277" s="15">
        <v>-0.56904329876281945</v>
      </c>
      <c r="J277" s="15">
        <v>-0.60263336884519059</v>
      </c>
      <c r="K277" s="15">
        <v>-0.63067708057795713</v>
      </c>
      <c r="L277" s="15">
        <v>-0.65548972430516184</v>
      </c>
      <c r="M277" s="15">
        <v>-0.67938659037084914</v>
      </c>
      <c r="N277" s="15">
        <v>-0.70468296911906203</v>
      </c>
      <c r="O277" s="15">
        <v>-0.73369415089384371</v>
      </c>
      <c r="P277" s="15">
        <v>-0.76873542603923739</v>
      </c>
      <c r="Q277" s="15">
        <v>-0.81212208489928739</v>
      </c>
      <c r="S277" s="17">
        <f t="shared" si="39"/>
        <v>-0.19925042592309786</v>
      </c>
      <c r="T277" s="17">
        <f t="shared" ref="T277:T340" si="40">+(H277-E277)/3*2.5</f>
        <v>-0.16223162660865142</v>
      </c>
      <c r="U277" s="17">
        <f t="shared" ref="U277:U340" si="41">+(I277-F277)/3*2.5</f>
        <v>-0.13100105315431362</v>
      </c>
      <c r="V277" s="17">
        <f t="shared" ref="V277:V340" si="42">+(J277-G277)/3*2.5</f>
        <v>-0.10555870556008451</v>
      </c>
      <c r="W277" s="17">
        <f t="shared" ref="W277:W340" si="43">+(K277-H277)/3*2.5</f>
        <v>-8.5904583825964137E-2</v>
      </c>
      <c r="X277" s="17">
        <f t="shared" ref="X277:X340" si="44">+(L277-I277)/3*2.5</f>
        <v>-7.2038687951951993E-2</v>
      </c>
      <c r="Y277" s="17">
        <f t="shared" ref="Y277:Y340" si="45">+(M277-J277)/3*2.5</f>
        <v>-6.39610179380488E-2</v>
      </c>
      <c r="Z277" s="17">
        <f t="shared" ref="Z277:Z340" si="46">+(N277-K277)/3*2.5</f>
        <v>-6.1671573784254086E-2</v>
      </c>
      <c r="AA277" s="17">
        <f t="shared" ref="AA277:AA340" si="47">+(O277-L277)/3*2.5</f>
        <v>-6.5170355490568224E-2</v>
      </c>
    </row>
    <row r="278" spans="1:27" x14ac:dyDescent="0.3">
      <c r="A278" s="13" t="s">
        <v>267</v>
      </c>
      <c r="B278" s="14" t="s">
        <v>276</v>
      </c>
      <c r="C278" s="15">
        <v>-0.13543947207916085</v>
      </c>
      <c r="D278" s="15">
        <v>-0.23739613849192953</v>
      </c>
      <c r="E278" s="15">
        <v>-0.33294589947884701</v>
      </c>
      <c r="F278" s="15">
        <v>-0.41099306843457173</v>
      </c>
      <c r="G278" s="15">
        <v>-0.47398590596167844</v>
      </c>
      <c r="H278" s="15">
        <v>-0.52437267266274212</v>
      </c>
      <c r="I278" s="15">
        <v>-0.56460162914033685</v>
      </c>
      <c r="J278" s="15">
        <v>-0.5971210359970377</v>
      </c>
      <c r="K278" s="15">
        <v>-0.62437915383541931</v>
      </c>
      <c r="L278" s="15">
        <v>-0.6488242432580561</v>
      </c>
      <c r="M278" s="15">
        <v>-0.67290456486752293</v>
      </c>
      <c r="N278" s="15">
        <v>-0.69906837926639487</v>
      </c>
      <c r="O278" s="15">
        <v>-0.7297639470572459</v>
      </c>
      <c r="P278" s="15">
        <v>-0.76743952884265088</v>
      </c>
      <c r="Q278" s="15">
        <v>-0.81454338522518477</v>
      </c>
      <c r="S278" s="17">
        <f t="shared" si="39"/>
        <v>-0.19715813955812411</v>
      </c>
      <c r="T278" s="17">
        <f t="shared" si="40"/>
        <v>-0.15952231098657926</v>
      </c>
      <c r="U278" s="17">
        <f t="shared" si="41"/>
        <v>-0.12800713392147092</v>
      </c>
      <c r="V278" s="17">
        <f t="shared" si="42"/>
        <v>-0.10261260836279937</v>
      </c>
      <c r="W278" s="17">
        <f t="shared" si="43"/>
        <v>-8.3338734310564322E-2</v>
      </c>
      <c r="X278" s="17">
        <f t="shared" si="44"/>
        <v>-7.0185511764766048E-2</v>
      </c>
      <c r="Y278" s="17">
        <f t="shared" si="45"/>
        <v>-6.3152940725404352E-2</v>
      </c>
      <c r="Z278" s="17">
        <f t="shared" si="46"/>
        <v>-6.2241021192479637E-2</v>
      </c>
      <c r="AA278" s="17">
        <f t="shared" si="47"/>
        <v>-6.74497531659915E-2</v>
      </c>
    </row>
    <row r="279" spans="1:27" x14ac:dyDescent="0.3">
      <c r="A279" s="13" t="s">
        <v>267</v>
      </c>
      <c r="B279" s="14" t="s">
        <v>277</v>
      </c>
      <c r="C279" s="15">
        <v>-0.13327854884337417</v>
      </c>
      <c r="D279" s="15">
        <v>-0.23661744191721854</v>
      </c>
      <c r="E279" s="15">
        <v>-0.3363280001449801</v>
      </c>
      <c r="F279" s="15">
        <v>-0.42075055398530203</v>
      </c>
      <c r="G279" s="15">
        <v>-0.491553288781165</v>
      </c>
      <c r="H279" s="15">
        <v>-0.55040438987554929</v>
      </c>
      <c r="I279" s="15">
        <v>-0.59897204261143566</v>
      </c>
      <c r="J279" s="15">
        <v>-0.63892443233180451</v>
      </c>
      <c r="K279" s="15">
        <v>-0.67192974437963637</v>
      </c>
      <c r="L279" s="15">
        <v>-0.69965616409791209</v>
      </c>
      <c r="M279" s="15">
        <v>-0.72377187682961175</v>
      </c>
      <c r="N279" s="15">
        <v>-0.74594506791771609</v>
      </c>
      <c r="O279" s="15">
        <v>-0.76784392270520585</v>
      </c>
      <c r="P279" s="15">
        <v>-0.79113662653506145</v>
      </c>
      <c r="Q279" s="15">
        <v>-0.81749136475026318</v>
      </c>
      <c r="S279" s="17">
        <f t="shared" si="39"/>
        <v>-0.2124465390532887</v>
      </c>
      <c r="T279" s="17">
        <f t="shared" si="40"/>
        <v>-0.178396991442141</v>
      </c>
      <c r="U279" s="17">
        <f t="shared" si="41"/>
        <v>-0.14851790718844468</v>
      </c>
      <c r="V279" s="17">
        <f t="shared" si="42"/>
        <v>-0.12280928629219959</v>
      </c>
      <c r="W279" s="17">
        <f t="shared" si="43"/>
        <v>-0.10127112875340591</v>
      </c>
      <c r="X279" s="17">
        <f t="shared" si="44"/>
        <v>-8.3903434572063701E-2</v>
      </c>
      <c r="Y279" s="17">
        <f t="shared" si="45"/>
        <v>-7.07062037481727E-2</v>
      </c>
      <c r="Z279" s="17">
        <f t="shared" si="46"/>
        <v>-6.1679436281733099E-2</v>
      </c>
      <c r="AA279" s="17">
        <f t="shared" si="47"/>
        <v>-5.6823132172744803E-2</v>
      </c>
    </row>
    <row r="280" spans="1:27" x14ac:dyDescent="0.3">
      <c r="A280" s="13" t="s">
        <v>267</v>
      </c>
      <c r="B280" s="14" t="s">
        <v>278</v>
      </c>
      <c r="C280" s="15">
        <v>-0.11000905648041016</v>
      </c>
      <c r="D280" s="15">
        <v>-0.19755645608419603</v>
      </c>
      <c r="E280" s="15">
        <v>-0.2843451083400137</v>
      </c>
      <c r="F280" s="15">
        <v>-0.36045690208398901</v>
      </c>
      <c r="G280" s="15">
        <v>-0.4269746318002885</v>
      </c>
      <c r="H280" s="15">
        <v>-0.48498109197307904</v>
      </c>
      <c r="I280" s="15">
        <v>-0.53555907708652728</v>
      </c>
      <c r="J280" s="15">
        <v>-0.57979138162479982</v>
      </c>
      <c r="K280" s="15">
        <v>-0.61876080007206358</v>
      </c>
      <c r="L280" s="15">
        <v>-0.65355012691248504</v>
      </c>
      <c r="M280" s="15">
        <v>-0.68524215663023136</v>
      </c>
      <c r="N280" s="15">
        <v>-0.71491968370946868</v>
      </c>
      <c r="O280" s="15">
        <v>-0.74366550263436415</v>
      </c>
      <c r="P280" s="15">
        <v>-0.77256240788908404</v>
      </c>
      <c r="Q280" s="15">
        <v>-0.80269319395779548</v>
      </c>
      <c r="S280" s="17">
        <f t="shared" si="39"/>
        <v>-0.1911818130967437</v>
      </c>
      <c r="T280" s="17">
        <f t="shared" si="40"/>
        <v>-0.16719665302755443</v>
      </c>
      <c r="U280" s="17">
        <f t="shared" si="41"/>
        <v>-0.14591847916878189</v>
      </c>
      <c r="V280" s="17">
        <f t="shared" si="42"/>
        <v>-0.12734729152042609</v>
      </c>
      <c r="W280" s="17">
        <f t="shared" si="43"/>
        <v>-0.11148309008248711</v>
      </c>
      <c r="X280" s="17">
        <f t="shared" si="44"/>
        <v>-9.8325874854964801E-2</v>
      </c>
      <c r="Y280" s="17">
        <f t="shared" si="45"/>
        <v>-8.7875645837859617E-2</v>
      </c>
      <c r="Z280" s="17">
        <f t="shared" si="46"/>
        <v>-8.0132403031170918E-2</v>
      </c>
      <c r="AA280" s="17">
        <f t="shared" si="47"/>
        <v>-7.5096146434899258E-2</v>
      </c>
    </row>
    <row r="281" spans="1:27" x14ac:dyDescent="0.3">
      <c r="A281" s="13" t="s">
        <v>267</v>
      </c>
      <c r="B281" s="14" t="s">
        <v>279</v>
      </c>
      <c r="C281" s="15">
        <v>-0.13016937327865705</v>
      </c>
      <c r="D281" s="15">
        <v>-0.23010282243155289</v>
      </c>
      <c r="E281" s="15">
        <v>-0.32567536429220267</v>
      </c>
      <c r="F281" s="15">
        <v>-0.4058193536806356</v>
      </c>
      <c r="G281" s="15">
        <v>-0.47248408274474663</v>
      </c>
      <c r="H281" s="15">
        <v>-0.52761884363243094</v>
      </c>
      <c r="I281" s="15">
        <v>-0.57317292849158319</v>
      </c>
      <c r="J281" s="15">
        <v>-0.61109562947009843</v>
      </c>
      <c r="K281" s="15">
        <v>-0.64333623871587176</v>
      </c>
      <c r="L281" s="15">
        <v>-0.67184404837679779</v>
      </c>
      <c r="M281" s="15">
        <v>-0.69856835060077183</v>
      </c>
      <c r="N281" s="15">
        <v>-0.72545843753568906</v>
      </c>
      <c r="O281" s="15">
        <v>-0.75446360132944379</v>
      </c>
      <c r="P281" s="15">
        <v>-0.78753313412993153</v>
      </c>
      <c r="Q281" s="15">
        <v>-0.82661632808504681</v>
      </c>
      <c r="S281" s="17">
        <f t="shared" si="39"/>
        <v>-0.20198438359432813</v>
      </c>
      <c r="T281" s="17">
        <f t="shared" si="40"/>
        <v>-0.16828623278352356</v>
      </c>
      <c r="U281" s="17">
        <f t="shared" si="41"/>
        <v>-0.13946131234245632</v>
      </c>
      <c r="V281" s="17">
        <f t="shared" si="42"/>
        <v>-0.11550962227112652</v>
      </c>
      <c r="W281" s="17">
        <f t="shared" si="43"/>
        <v>-9.6431162569534018E-2</v>
      </c>
      <c r="X281" s="17">
        <f t="shared" si="44"/>
        <v>-8.2225933237678822E-2</v>
      </c>
      <c r="Y281" s="17">
        <f t="shared" si="45"/>
        <v>-7.2893934275561165E-2</v>
      </c>
      <c r="Z281" s="17">
        <f t="shared" si="46"/>
        <v>-6.8435165683181087E-2</v>
      </c>
      <c r="AA281" s="17">
        <f t="shared" si="47"/>
        <v>-6.884962746053834E-2</v>
      </c>
    </row>
    <row r="282" spans="1:27" x14ac:dyDescent="0.3">
      <c r="A282" s="13" t="s">
        <v>267</v>
      </c>
      <c r="B282" s="14" t="s">
        <v>280</v>
      </c>
      <c r="C282" s="15">
        <v>-0.13511654974969156</v>
      </c>
      <c r="D282" s="15">
        <v>-0.23684662635123105</v>
      </c>
      <c r="E282" s="15">
        <v>-0.33235374828931979</v>
      </c>
      <c r="F282" s="15">
        <v>-0.4107357291057851</v>
      </c>
      <c r="G282" s="15">
        <v>-0.4746020373174234</v>
      </c>
      <c r="H282" s="15">
        <v>-0.52656214144103086</v>
      </c>
      <c r="I282" s="15">
        <v>-0.56922550999340404</v>
      </c>
      <c r="J282" s="15">
        <v>-0.60520161149133944</v>
      </c>
      <c r="K282" s="15">
        <v>-0.63709991445163316</v>
      </c>
      <c r="L282" s="15">
        <v>-0.66752988739108221</v>
      </c>
      <c r="M282" s="15">
        <v>-0.69910099882648191</v>
      </c>
      <c r="N282" s="15">
        <v>-0.73442271727462949</v>
      </c>
      <c r="O282" s="15">
        <v>-0.77610451125232094</v>
      </c>
      <c r="P282" s="15">
        <v>-0.82675584927635304</v>
      </c>
      <c r="Q282" s="15">
        <v>-0.88898619986352212</v>
      </c>
      <c r="S282" s="17">
        <f t="shared" si="39"/>
        <v>-0.19812950913849364</v>
      </c>
      <c r="T282" s="17">
        <f t="shared" si="40"/>
        <v>-0.16184032762642589</v>
      </c>
      <c r="U282" s="17">
        <f t="shared" si="41"/>
        <v>-0.13207481740634913</v>
      </c>
      <c r="V282" s="17">
        <f t="shared" si="42"/>
        <v>-0.10883297847826337</v>
      </c>
      <c r="W282" s="17">
        <f t="shared" si="43"/>
        <v>-9.2114810842168576E-2</v>
      </c>
      <c r="X282" s="17">
        <f t="shared" si="44"/>
        <v>-8.1920314498065139E-2</v>
      </c>
      <c r="Y282" s="17">
        <f t="shared" si="45"/>
        <v>-7.8249489445952058E-2</v>
      </c>
      <c r="Z282" s="17">
        <f t="shared" si="46"/>
        <v>-8.1102335685830279E-2</v>
      </c>
      <c r="AA282" s="17">
        <f t="shared" si="47"/>
        <v>-9.047885321769894E-2</v>
      </c>
    </row>
    <row r="283" spans="1:27" x14ac:dyDescent="0.3">
      <c r="A283" s="13" t="s">
        <v>267</v>
      </c>
      <c r="B283" s="14" t="s">
        <v>281</v>
      </c>
      <c r="C283" s="15">
        <v>-0.12989256538257254</v>
      </c>
      <c r="D283" s="15">
        <v>-0.23177062371459817</v>
      </c>
      <c r="E283" s="15">
        <v>-0.33121419088718529</v>
      </c>
      <c r="F283" s="15">
        <v>-0.41664620491067372</v>
      </c>
      <c r="G283" s="15">
        <v>-0.48947886033366045</v>
      </c>
      <c r="H283" s="15">
        <v>-0.55112435170474217</v>
      </c>
      <c r="I283" s="15">
        <v>-0.60299487357251613</v>
      </c>
      <c r="J283" s="15">
        <v>-0.64650262048557916</v>
      </c>
      <c r="K283" s="15">
        <v>-0.68305978699252823</v>
      </c>
      <c r="L283" s="15">
        <v>-0.71407856764196043</v>
      </c>
      <c r="M283" s="15">
        <v>-0.7409711569824724</v>
      </c>
      <c r="N283" s="15">
        <v>-0.76514974956266135</v>
      </c>
      <c r="O283" s="15">
        <v>-0.78802653993112426</v>
      </c>
      <c r="P283" s="15">
        <v>-0.81101372263645788</v>
      </c>
      <c r="Q283" s="15">
        <v>-0.83552349222725941</v>
      </c>
      <c r="S283" s="17">
        <f t="shared" si="39"/>
        <v>-0.21475686384921855</v>
      </c>
      <c r="T283" s="17">
        <f t="shared" si="40"/>
        <v>-0.18325846734796408</v>
      </c>
      <c r="U283" s="17">
        <f t="shared" si="41"/>
        <v>-0.15529055721820201</v>
      </c>
      <c r="V283" s="17">
        <f t="shared" si="42"/>
        <v>-0.13085313345993227</v>
      </c>
      <c r="W283" s="17">
        <f t="shared" si="43"/>
        <v>-0.10994619607315506</v>
      </c>
      <c r="X283" s="17">
        <f t="shared" si="44"/>
        <v>-9.2569745057870245E-2</v>
      </c>
      <c r="Y283" s="17">
        <f t="shared" si="45"/>
        <v>-7.872378041407771E-2</v>
      </c>
      <c r="Z283" s="17">
        <f t="shared" si="46"/>
        <v>-6.8408302141777608E-2</v>
      </c>
      <c r="AA283" s="17">
        <f t="shared" si="47"/>
        <v>-6.1623310240969856E-2</v>
      </c>
    </row>
    <row r="284" spans="1:27" x14ac:dyDescent="0.3">
      <c r="A284" s="13" t="s">
        <v>267</v>
      </c>
      <c r="B284" s="14" t="s">
        <v>282</v>
      </c>
      <c r="C284" s="15">
        <v>-0.14879174589831842</v>
      </c>
      <c r="D284" s="15">
        <v>-0.25881449311117943</v>
      </c>
      <c r="E284" s="15">
        <v>-0.35989953005836056</v>
      </c>
      <c r="F284" s="15">
        <v>-0.44019808674961658</v>
      </c>
      <c r="G284" s="15">
        <v>-0.5027405677845338</v>
      </c>
      <c r="H284" s="15">
        <v>-0.55055737776269886</v>
      </c>
      <c r="I284" s="15">
        <v>-0.58667892128369803</v>
      </c>
      <c r="J284" s="15">
        <v>-0.61413560294711811</v>
      </c>
      <c r="K284" s="15">
        <v>-0.63595782735254558</v>
      </c>
      <c r="L284" s="15">
        <v>-0.65517599909956636</v>
      </c>
      <c r="M284" s="15">
        <v>-0.6748205227877675</v>
      </c>
      <c r="N284" s="15">
        <v>-0.69792180301673523</v>
      </c>
      <c r="O284" s="15">
        <v>-0.72751024438605638</v>
      </c>
      <c r="P284" s="15">
        <v>-0.76661625149531687</v>
      </c>
      <c r="Q284" s="15">
        <v>-0.81827022894410351</v>
      </c>
      <c r="S284" s="17">
        <f t="shared" si="39"/>
        <v>-0.20327172889446199</v>
      </c>
      <c r="T284" s="17">
        <f t="shared" si="40"/>
        <v>-0.15888153975361527</v>
      </c>
      <c r="U284" s="17">
        <f t="shared" si="41"/>
        <v>-0.12206736211173455</v>
      </c>
      <c r="V284" s="17">
        <f t="shared" si="42"/>
        <v>-9.2829195968820249E-2</v>
      </c>
      <c r="W284" s="17">
        <f t="shared" si="43"/>
        <v>-7.1167041324872268E-2</v>
      </c>
      <c r="X284" s="17">
        <f t="shared" si="44"/>
        <v>-5.7080898179890274E-2</v>
      </c>
      <c r="Y284" s="17">
        <f t="shared" si="45"/>
        <v>-5.0570766533874489E-2</v>
      </c>
      <c r="Z284" s="17">
        <f t="shared" si="46"/>
        <v>-5.1636646386824706E-2</v>
      </c>
      <c r="AA284" s="17">
        <f t="shared" si="47"/>
        <v>-6.0278537738741686E-2</v>
      </c>
    </row>
    <row r="285" spans="1:27" x14ac:dyDescent="0.3">
      <c r="A285" s="13" t="s">
        <v>283</v>
      </c>
      <c r="B285" s="14">
        <v>107</v>
      </c>
      <c r="C285" s="15">
        <v>-0.15301214406258667</v>
      </c>
      <c r="D285" s="15">
        <v>-0.26129434276718205</v>
      </c>
      <c r="E285" s="15">
        <v>-0.35609100369746483</v>
      </c>
      <c r="F285" s="15">
        <v>-0.42644739885361893</v>
      </c>
      <c r="G285" s="15">
        <v>-0.47671001464208695</v>
      </c>
      <c r="H285" s="15">
        <v>-0.51122533746931176</v>
      </c>
      <c r="I285" s="15">
        <v>-0.53433985374173532</v>
      </c>
      <c r="J285" s="15">
        <v>-0.55040004986580093</v>
      </c>
      <c r="K285" s="15">
        <v>-0.56375241224795081</v>
      </c>
      <c r="L285" s="15">
        <v>-0.57874342729462747</v>
      </c>
      <c r="M285" s="15">
        <v>-0.59971958141227399</v>
      </c>
      <c r="N285" s="15">
        <v>-0.63102736100733292</v>
      </c>
      <c r="O285" s="15">
        <v>-0.677013252486246</v>
      </c>
      <c r="P285" s="15">
        <v>-0.74202374225545653</v>
      </c>
      <c r="Q285" s="15">
        <v>-0.83040531672140749</v>
      </c>
      <c r="S285" s="17">
        <f t="shared" si="39"/>
        <v>-0.17951305989575408</v>
      </c>
      <c r="T285" s="17">
        <f t="shared" si="40"/>
        <v>-0.1292786114765391</v>
      </c>
      <c r="U285" s="17">
        <f t="shared" si="41"/>
        <v>-8.991037907343033E-2</v>
      </c>
      <c r="V285" s="17">
        <f t="shared" si="42"/>
        <v>-6.1408362686428311E-2</v>
      </c>
      <c r="W285" s="17">
        <f t="shared" si="43"/>
        <v>-4.3772562315532546E-2</v>
      </c>
      <c r="X285" s="17">
        <f t="shared" si="44"/>
        <v>-3.7002977960743456E-2</v>
      </c>
      <c r="Y285" s="17">
        <f t="shared" si="45"/>
        <v>-4.1099609622060884E-2</v>
      </c>
      <c r="Z285" s="17">
        <f t="shared" si="46"/>
        <v>-5.6062457299485099E-2</v>
      </c>
      <c r="AA285" s="17">
        <f t="shared" si="47"/>
        <v>-8.1891520993015443E-2</v>
      </c>
    </row>
    <row r="286" spans="1:27" x14ac:dyDescent="0.3">
      <c r="A286" s="13" t="s">
        <v>283</v>
      </c>
      <c r="B286" s="14">
        <v>108</v>
      </c>
      <c r="C286" s="15">
        <v>-0.1293941375495232</v>
      </c>
      <c r="D286" s="15">
        <v>-0.22738094594833452</v>
      </c>
      <c r="E286" s="15">
        <v>-0.31987374320457634</v>
      </c>
      <c r="F286" s="15">
        <v>-0.39625142789414813</v>
      </c>
      <c r="G286" s="15">
        <v>-0.45883231234790156</v>
      </c>
      <c r="H286" s="15">
        <v>-0.50993470889668879</v>
      </c>
      <c r="I286" s="15">
        <v>-0.55187692987136105</v>
      </c>
      <c r="J286" s="15">
        <v>-0.58697728760277057</v>
      </c>
      <c r="K286" s="15">
        <v>-0.61755409442176878</v>
      </c>
      <c r="L286" s="15">
        <v>-0.6459256626592077</v>
      </c>
      <c r="M286" s="15">
        <v>-0.67441030464593932</v>
      </c>
      <c r="N286" s="15">
        <v>-0.7053263327128152</v>
      </c>
      <c r="O286" s="15">
        <v>-0.74099205919068689</v>
      </c>
      <c r="P286" s="15">
        <v>-0.78372579641040596</v>
      </c>
      <c r="Q286" s="15">
        <v>-0.83584585670282507</v>
      </c>
      <c r="S286" s="17">
        <f t="shared" si="39"/>
        <v>-0.19287613866630585</v>
      </c>
      <c r="T286" s="17">
        <f t="shared" si="40"/>
        <v>-0.15838413807676036</v>
      </c>
      <c r="U286" s="17">
        <f t="shared" si="41"/>
        <v>-0.12968791831434409</v>
      </c>
      <c r="V286" s="17">
        <f t="shared" si="42"/>
        <v>-0.1067874793790575</v>
      </c>
      <c r="W286" s="17">
        <f t="shared" si="43"/>
        <v>-8.9682821270899993E-2</v>
      </c>
      <c r="X286" s="17">
        <f t="shared" si="44"/>
        <v>-7.8373943989872213E-2</v>
      </c>
      <c r="Y286" s="17">
        <f t="shared" si="45"/>
        <v>-7.2860847535973952E-2</v>
      </c>
      <c r="Z286" s="17">
        <f t="shared" si="46"/>
        <v>-7.3143531909205348E-2</v>
      </c>
      <c r="AA286" s="17">
        <f t="shared" si="47"/>
        <v>-7.9221997109565984E-2</v>
      </c>
    </row>
    <row r="287" spans="1:27" x14ac:dyDescent="0.3">
      <c r="A287" s="13" t="s">
        <v>283</v>
      </c>
      <c r="B287" s="14">
        <v>2008</v>
      </c>
      <c r="C287" s="15">
        <v>-0.14103390303978083</v>
      </c>
      <c r="D287" s="15">
        <v>-0.24569918634801216</v>
      </c>
      <c r="E287" s="15">
        <v>-0.34235829384392269</v>
      </c>
      <c r="F287" s="15">
        <v>-0.41982958821477179</v>
      </c>
      <c r="G287" s="15">
        <v>-0.48103482245179707</v>
      </c>
      <c r="H287" s="15">
        <v>-0.52889574954623608</v>
      </c>
      <c r="I287" s="15">
        <v>-0.56633412248932624</v>
      </c>
      <c r="J287" s="15">
        <v>-0.5962716942723052</v>
      </c>
      <c r="K287" s="15">
        <v>-0.62163021788641015</v>
      </c>
      <c r="L287" s="15">
        <v>-0.64533144632287909</v>
      </c>
      <c r="M287" s="15">
        <v>-0.67029713257294932</v>
      </c>
      <c r="N287" s="15">
        <v>-0.69944902962785849</v>
      </c>
      <c r="O287" s="15">
        <v>-0.73570889047884391</v>
      </c>
      <c r="P287" s="15">
        <v>-0.78199846811714335</v>
      </c>
      <c r="Q287" s="15">
        <v>-0.84123951553399401</v>
      </c>
      <c r="S287" s="17">
        <f t="shared" si="39"/>
        <v>-0.19611303008648742</v>
      </c>
      <c r="T287" s="17">
        <f t="shared" si="40"/>
        <v>-0.15544787975192784</v>
      </c>
      <c r="U287" s="17">
        <f t="shared" si="41"/>
        <v>-0.12208711189546204</v>
      </c>
      <c r="V287" s="17">
        <f t="shared" si="42"/>
        <v>-9.6030726517090104E-2</v>
      </c>
      <c r="W287" s="17">
        <f t="shared" si="43"/>
        <v>-7.727872361681172E-2</v>
      </c>
      <c r="X287" s="17">
        <f t="shared" si="44"/>
        <v>-6.5831103194627372E-2</v>
      </c>
      <c r="Y287" s="17">
        <f t="shared" si="45"/>
        <v>-6.1687865250536766E-2</v>
      </c>
      <c r="Z287" s="17">
        <f t="shared" si="46"/>
        <v>-6.4849009784540279E-2</v>
      </c>
      <c r="AA287" s="17">
        <f t="shared" si="47"/>
        <v>-7.5314536796637355E-2</v>
      </c>
    </row>
    <row r="288" spans="1:27" x14ac:dyDescent="0.3">
      <c r="A288" s="13" t="s">
        <v>283</v>
      </c>
      <c r="B288" s="14">
        <v>206</v>
      </c>
      <c r="C288" s="15">
        <v>-0.14221156981911259</v>
      </c>
      <c r="D288" s="15">
        <v>-0.24814577638084678</v>
      </c>
      <c r="E288" s="15">
        <v>-0.34635813044731489</v>
      </c>
      <c r="F288" s="15">
        <v>-0.42547623768599779</v>
      </c>
      <c r="G288" s="15">
        <v>-0.48834886074628742</v>
      </c>
      <c r="H288" s="15">
        <v>-0.53782476227757592</v>
      </c>
      <c r="I288" s="15">
        <v>-0.57675270492925546</v>
      </c>
      <c r="J288" s="15">
        <v>-0.60798145135071779</v>
      </c>
      <c r="K288" s="15">
        <v>-0.63435976419135498</v>
      </c>
      <c r="L288" s="15">
        <v>-0.65873640610055939</v>
      </c>
      <c r="M288" s="15">
        <v>-0.68396013972772274</v>
      </c>
      <c r="N288" s="15">
        <v>-0.71287972772223762</v>
      </c>
      <c r="O288" s="15">
        <v>-0.74834393273349542</v>
      </c>
      <c r="P288" s="15">
        <v>-0.79320151741088873</v>
      </c>
      <c r="Q288" s="15">
        <v>-0.85030124440380883</v>
      </c>
      <c r="S288" s="17">
        <f t="shared" si="39"/>
        <v>-0.20016923697120051</v>
      </c>
      <c r="T288" s="17">
        <f t="shared" si="40"/>
        <v>-0.15955552652521754</v>
      </c>
      <c r="U288" s="17">
        <f t="shared" si="41"/>
        <v>-0.12606372270271471</v>
      </c>
      <c r="V288" s="17">
        <f t="shared" si="42"/>
        <v>-9.9693825503691991E-2</v>
      </c>
      <c r="W288" s="17">
        <f t="shared" si="43"/>
        <v>-8.0445834928149218E-2</v>
      </c>
      <c r="X288" s="17">
        <f t="shared" si="44"/>
        <v>-6.8319750976086613E-2</v>
      </c>
      <c r="Y288" s="17">
        <f t="shared" si="45"/>
        <v>-6.331557364750412E-2</v>
      </c>
      <c r="Z288" s="17">
        <f t="shared" si="46"/>
        <v>-6.5433302942402197E-2</v>
      </c>
      <c r="AA288" s="17">
        <f t="shared" si="47"/>
        <v>-7.4672938860780025E-2</v>
      </c>
    </row>
    <row r="289" spans="1:27" x14ac:dyDescent="0.3">
      <c r="A289" s="13" t="s">
        <v>283</v>
      </c>
      <c r="B289" s="14">
        <v>207</v>
      </c>
      <c r="C289" s="15">
        <v>-0.13883267901235452</v>
      </c>
      <c r="D289" s="15">
        <v>-0.24428818685581888</v>
      </c>
      <c r="E289" s="15">
        <v>-0.34401308421747445</v>
      </c>
      <c r="F289" s="15">
        <v>-0.42639745223672165</v>
      </c>
      <c r="G289" s="15">
        <v>-0.49371463995419634</v>
      </c>
      <c r="H289" s="15">
        <v>-0.54823799641053417</v>
      </c>
      <c r="I289" s="15">
        <v>-0.59224087064637121</v>
      </c>
      <c r="J289" s="15">
        <v>-0.627996611702343</v>
      </c>
      <c r="K289" s="15">
        <v>-0.65777856861908535</v>
      </c>
      <c r="L289" s="15">
        <v>-0.68386009043723428</v>
      </c>
      <c r="M289" s="15">
        <v>-0.70851452619742561</v>
      </c>
      <c r="N289" s="15">
        <v>-0.7340152249402947</v>
      </c>
      <c r="O289" s="15">
        <v>-0.76263553570647791</v>
      </c>
      <c r="P289" s="15">
        <v>-0.7966488075366106</v>
      </c>
      <c r="Q289" s="15">
        <v>-0.83832838947132893</v>
      </c>
      <c r="S289" s="17">
        <f t="shared" si="39"/>
        <v>-0.20785537758198122</v>
      </c>
      <c r="T289" s="17">
        <f t="shared" si="40"/>
        <v>-0.17018742682754978</v>
      </c>
      <c r="U289" s="17">
        <f t="shared" si="41"/>
        <v>-0.13820284867470797</v>
      </c>
      <c r="V289" s="17">
        <f t="shared" si="42"/>
        <v>-0.11190164312345555</v>
      </c>
      <c r="W289" s="17">
        <f t="shared" si="43"/>
        <v>-9.128381017379264E-2</v>
      </c>
      <c r="X289" s="17">
        <f t="shared" si="44"/>
        <v>-7.6349349825719226E-2</v>
      </c>
      <c r="Y289" s="17">
        <f t="shared" si="45"/>
        <v>-6.7098262079235513E-2</v>
      </c>
      <c r="Z289" s="17">
        <f t="shared" si="46"/>
        <v>-6.3530546934341126E-2</v>
      </c>
      <c r="AA289" s="17">
        <f t="shared" si="47"/>
        <v>-6.5646204391036356E-2</v>
      </c>
    </row>
    <row r="290" spans="1:27" x14ac:dyDescent="0.3">
      <c r="A290" s="13" t="s">
        <v>283</v>
      </c>
      <c r="B290" s="14">
        <v>208</v>
      </c>
      <c r="C290" s="15">
        <v>-0.14878327269350047</v>
      </c>
      <c r="D290" s="15">
        <v>-0.25788619352996256</v>
      </c>
      <c r="E290" s="15">
        <v>-0.3573027443627762</v>
      </c>
      <c r="F290" s="15">
        <v>-0.43548027328307276</v>
      </c>
      <c r="G290" s="15">
        <v>-0.49574445565133335</v>
      </c>
      <c r="H290" s="15">
        <v>-0.54142096682803953</v>
      </c>
      <c r="I290" s="15">
        <v>-0.5758354821736722</v>
      </c>
      <c r="J290" s="15">
        <v>-0.60231367704871286</v>
      </c>
      <c r="K290" s="15">
        <v>-0.62418122681364263</v>
      </c>
      <c r="L290" s="15">
        <v>-0.64476380682894274</v>
      </c>
      <c r="M290" s="15">
        <v>-0.66738709245509475</v>
      </c>
      <c r="N290" s="15">
        <v>-0.69537675905257967</v>
      </c>
      <c r="O290" s="15">
        <v>-0.73205848198187884</v>
      </c>
      <c r="P290" s="15">
        <v>-0.78075793660347337</v>
      </c>
      <c r="Q290" s="15">
        <v>-0.84480079827784449</v>
      </c>
      <c r="S290" s="17">
        <f t="shared" si="39"/>
        <v>-0.19821521843447568</v>
      </c>
      <c r="T290" s="17">
        <f t="shared" si="40"/>
        <v>-0.15343185205438611</v>
      </c>
      <c r="U290" s="17">
        <f t="shared" si="41"/>
        <v>-0.11696267407549954</v>
      </c>
      <c r="V290" s="17">
        <f t="shared" si="42"/>
        <v>-8.8807684497816258E-2</v>
      </c>
      <c r="W290" s="17">
        <f t="shared" si="43"/>
        <v>-6.8966883321335923E-2</v>
      </c>
      <c r="X290" s="17">
        <f t="shared" si="44"/>
        <v>-5.7440270546058783E-2</v>
      </c>
      <c r="Y290" s="17">
        <f t="shared" si="45"/>
        <v>-5.4227846171984909E-2</v>
      </c>
      <c r="Z290" s="17">
        <f t="shared" si="46"/>
        <v>-5.9329610199114202E-2</v>
      </c>
      <c r="AA290" s="17">
        <f t="shared" si="47"/>
        <v>-7.2745562627446747E-2</v>
      </c>
    </row>
    <row r="291" spans="1:27" x14ac:dyDescent="0.3">
      <c r="A291" s="13" t="s">
        <v>283</v>
      </c>
      <c r="B291" s="14">
        <v>3008</v>
      </c>
      <c r="C291" s="15">
        <v>-0.13970296537153742</v>
      </c>
      <c r="D291" s="15">
        <v>-0.24454001804060632</v>
      </c>
      <c r="E291" s="15">
        <v>-0.34245628921831112</v>
      </c>
      <c r="F291" s="15">
        <v>-0.42206623044113833</v>
      </c>
      <c r="G291" s="15">
        <v>-0.48595458978272849</v>
      </c>
      <c r="H291" s="15">
        <v>-0.53670611531672208</v>
      </c>
      <c r="I291" s="15">
        <v>-0.57690555511675912</v>
      </c>
      <c r="J291" s="15">
        <v>-0.60913765725648039</v>
      </c>
      <c r="K291" s="15">
        <v>-0.63598716980952619</v>
      </c>
      <c r="L291" s="15">
        <v>-0.66003884084953646</v>
      </c>
      <c r="M291" s="15">
        <v>-0.68387741845015226</v>
      </c>
      <c r="N291" s="15">
        <v>-0.71008765068501367</v>
      </c>
      <c r="O291" s="15">
        <v>-0.74125428562776097</v>
      </c>
      <c r="P291" s="15">
        <v>-0.77996207135203455</v>
      </c>
      <c r="Q291" s="15">
        <v>-0.82879575593147492</v>
      </c>
      <c r="S291" s="17">
        <f t="shared" si="39"/>
        <v>-0.2011788097851018</v>
      </c>
      <c r="T291" s="17">
        <f t="shared" si="40"/>
        <v>-0.16187485508200913</v>
      </c>
      <c r="U291" s="17">
        <f t="shared" si="41"/>
        <v>-0.12903277056301732</v>
      </c>
      <c r="V291" s="17">
        <f t="shared" si="42"/>
        <v>-0.10265255622812658</v>
      </c>
      <c r="W291" s="17">
        <f t="shared" si="43"/>
        <v>-8.273421207733675E-2</v>
      </c>
      <c r="X291" s="17">
        <f t="shared" si="44"/>
        <v>-6.9277738110647788E-2</v>
      </c>
      <c r="Y291" s="17">
        <f t="shared" si="45"/>
        <v>-6.2283134328059889E-2</v>
      </c>
      <c r="Z291" s="17">
        <f t="shared" si="46"/>
        <v>-6.1750400729572899E-2</v>
      </c>
      <c r="AA291" s="17">
        <f t="shared" si="47"/>
        <v>-6.7679537315187097E-2</v>
      </c>
    </row>
    <row r="292" spans="1:27" x14ac:dyDescent="0.3">
      <c r="A292" s="13" t="s">
        <v>283</v>
      </c>
      <c r="B292" s="14">
        <v>301</v>
      </c>
      <c r="C292" s="15">
        <v>-0.14565250986142986</v>
      </c>
      <c r="D292" s="15">
        <v>-0.25310879912662593</v>
      </c>
      <c r="E292" s="15">
        <v>-0.35168228476683061</v>
      </c>
      <c r="F292" s="15">
        <v>-0.42992835833919713</v>
      </c>
      <c r="G292" s="15">
        <v>-0.4909676623870215</v>
      </c>
      <c r="H292" s="15">
        <v>-0.53792083945359981</v>
      </c>
      <c r="I292" s="15">
        <v>-0.57390853208222814</v>
      </c>
      <c r="J292" s="15">
        <v>-0.60205138281620307</v>
      </c>
      <c r="K292" s="15">
        <v>-0.62547003419882019</v>
      </c>
      <c r="L292" s="15">
        <v>-0.64728512877337585</v>
      </c>
      <c r="M292" s="15">
        <v>-0.67061730908316608</v>
      </c>
      <c r="N292" s="15">
        <v>-0.69858721767148702</v>
      </c>
      <c r="O292" s="15">
        <v>-0.73431549708163502</v>
      </c>
      <c r="P292" s="15">
        <v>-0.78092278985690555</v>
      </c>
      <c r="Q292" s="15">
        <v>-0.84152973854059554</v>
      </c>
      <c r="S292" s="17">
        <f t="shared" si="39"/>
        <v>-0.19821571938366297</v>
      </c>
      <c r="T292" s="17">
        <f t="shared" si="40"/>
        <v>-0.15519879557230767</v>
      </c>
      <c r="U292" s="17">
        <f t="shared" si="41"/>
        <v>-0.11998347811919252</v>
      </c>
      <c r="V292" s="17">
        <f t="shared" si="42"/>
        <v>-9.2569767024317989E-2</v>
      </c>
      <c r="W292" s="17">
        <f t="shared" si="43"/>
        <v>-7.2957662287683647E-2</v>
      </c>
      <c r="X292" s="17">
        <f t="shared" si="44"/>
        <v>-6.1147163909289759E-2</v>
      </c>
      <c r="Y292" s="17">
        <f t="shared" si="45"/>
        <v>-5.7138271889135839E-2</v>
      </c>
      <c r="Z292" s="17">
        <f t="shared" si="46"/>
        <v>-6.0930986227222358E-2</v>
      </c>
      <c r="AA292" s="17">
        <f t="shared" si="47"/>
        <v>-7.2525306923549304E-2</v>
      </c>
    </row>
    <row r="293" spans="1:27" x14ac:dyDescent="0.3">
      <c r="A293" s="13" t="s">
        <v>283</v>
      </c>
      <c r="B293" s="14">
        <v>307</v>
      </c>
      <c r="C293" s="15">
        <v>-0.13939341121209375</v>
      </c>
      <c r="D293" s="15">
        <v>-0.24406514843094554</v>
      </c>
      <c r="E293" s="15">
        <v>-0.341964139118627</v>
      </c>
      <c r="F293" s="15">
        <v>-0.42179481250564577</v>
      </c>
      <c r="G293" s="15">
        <v>-0.48620093894371907</v>
      </c>
      <c r="H293" s="15">
        <v>-0.53782628878456418</v>
      </c>
      <c r="I293" s="15">
        <v>-0.57931463237989766</v>
      </c>
      <c r="J293" s="15">
        <v>-0.61330974008143702</v>
      </c>
      <c r="K293" s="15">
        <v>-0.64245538224089938</v>
      </c>
      <c r="L293" s="15">
        <v>-0.66939532921000144</v>
      </c>
      <c r="M293" s="15">
        <v>-0.69677335134046081</v>
      </c>
      <c r="N293" s="15">
        <v>-0.72723321898399473</v>
      </c>
      <c r="O293" s="15">
        <v>-0.76341870249231947</v>
      </c>
      <c r="P293" s="15">
        <v>-0.80797357221715249</v>
      </c>
      <c r="Q293" s="15">
        <v>-0.86354159851021117</v>
      </c>
      <c r="S293" s="17">
        <f t="shared" si="39"/>
        <v>-0.20177982542731127</v>
      </c>
      <c r="T293" s="17">
        <f t="shared" si="40"/>
        <v>-0.16321845805494767</v>
      </c>
      <c r="U293" s="17">
        <f t="shared" si="41"/>
        <v>-0.13126651656187657</v>
      </c>
      <c r="V293" s="17">
        <f t="shared" si="42"/>
        <v>-0.10592400094809828</v>
      </c>
      <c r="W293" s="17">
        <f t="shared" si="43"/>
        <v>-8.7190911213612665E-2</v>
      </c>
      <c r="X293" s="17">
        <f t="shared" si="44"/>
        <v>-7.5067247358419811E-2</v>
      </c>
      <c r="Y293" s="17">
        <f t="shared" si="45"/>
        <v>-6.9553009382519834E-2</v>
      </c>
      <c r="Z293" s="17">
        <f t="shared" si="46"/>
        <v>-7.0648197285912803E-2</v>
      </c>
      <c r="AA293" s="17">
        <f t="shared" si="47"/>
        <v>-7.8352811068598344E-2</v>
      </c>
    </row>
    <row r="294" spans="1:27" x14ac:dyDescent="0.3">
      <c r="A294" s="13" t="s">
        <v>283</v>
      </c>
      <c r="B294" s="14">
        <v>308</v>
      </c>
      <c r="C294" s="15">
        <v>-0.13956656797970246</v>
      </c>
      <c r="D294" s="15">
        <v>-0.24527771506403517</v>
      </c>
      <c r="E294" s="15">
        <v>-0.34493822103298033</v>
      </c>
      <c r="F294" s="15">
        <v>-0.42692747350261401</v>
      </c>
      <c r="G294" s="15">
        <v>-0.4935815168869826</v>
      </c>
      <c r="H294" s="15">
        <v>-0.54723639560013226</v>
      </c>
      <c r="I294" s="15">
        <v>-0.59022815405610951</v>
      </c>
      <c r="J294" s="15">
        <v>-0.62489283666896056</v>
      </c>
      <c r="K294" s="15">
        <v>-0.65356648785273175</v>
      </c>
      <c r="L294" s="15">
        <v>-0.6785851520214693</v>
      </c>
      <c r="M294" s="15">
        <v>-0.70228487358921976</v>
      </c>
      <c r="N294" s="15">
        <v>-0.72700169697002948</v>
      </c>
      <c r="O294" s="15">
        <v>-0.75507166657794433</v>
      </c>
      <c r="P294" s="15">
        <v>-0.78883082682701111</v>
      </c>
      <c r="Q294" s="15">
        <v>-0.83061522213127614</v>
      </c>
      <c r="S294" s="17">
        <f t="shared" si="39"/>
        <v>-0.20691983485245619</v>
      </c>
      <c r="T294" s="17">
        <f t="shared" si="40"/>
        <v>-0.1685818121392933</v>
      </c>
      <c r="U294" s="17">
        <f t="shared" si="41"/>
        <v>-0.13608390046124624</v>
      </c>
      <c r="V294" s="17">
        <f t="shared" si="42"/>
        <v>-0.10942609981831497</v>
      </c>
      <c r="W294" s="17">
        <f t="shared" si="43"/>
        <v>-8.8608410210499561E-2</v>
      </c>
      <c r="X294" s="17">
        <f t="shared" si="44"/>
        <v>-7.3630831637799821E-2</v>
      </c>
      <c r="Y294" s="17">
        <f t="shared" si="45"/>
        <v>-6.4493364100216E-2</v>
      </c>
      <c r="Z294" s="17">
        <f t="shared" si="46"/>
        <v>-6.1196007597748112E-2</v>
      </c>
      <c r="AA294" s="17">
        <f t="shared" si="47"/>
        <v>-6.3738762130395865E-2</v>
      </c>
    </row>
    <row r="295" spans="1:27" x14ac:dyDescent="0.3">
      <c r="A295" s="13" t="s">
        <v>283</v>
      </c>
      <c r="B295" s="14">
        <v>4007</v>
      </c>
      <c r="C295" s="15">
        <v>-0.14154604959522335</v>
      </c>
      <c r="D295" s="15">
        <v>-0.24781643030599679</v>
      </c>
      <c r="E295" s="15">
        <v>-0.34710529267644979</v>
      </c>
      <c r="F295" s="15">
        <v>-0.4278488378644294</v>
      </c>
      <c r="G295" s="15">
        <v>-0.49263787198730474</v>
      </c>
      <c r="H295" s="15">
        <v>-0.54406320116244544</v>
      </c>
      <c r="I295" s="15">
        <v>-0.58471563150722039</v>
      </c>
      <c r="J295" s="15">
        <v>-0.61718596913899904</v>
      </c>
      <c r="K295" s="15">
        <v>-0.64406502017515088</v>
      </c>
      <c r="L295" s="15">
        <v>-0.66794359073304477</v>
      </c>
      <c r="M295" s="15">
        <v>-0.69141248693005075</v>
      </c>
      <c r="N295" s="15">
        <v>-0.71706251488353712</v>
      </c>
      <c r="O295" s="15">
        <v>-0.74748448071087403</v>
      </c>
      <c r="P295" s="15">
        <v>-0.78526919052943045</v>
      </c>
      <c r="Q295" s="15">
        <v>-0.83300745045657509</v>
      </c>
      <c r="S295" s="17">
        <f t="shared" si="39"/>
        <v>-0.20401786806775662</v>
      </c>
      <c r="T295" s="17">
        <f t="shared" si="40"/>
        <v>-0.16413159040499639</v>
      </c>
      <c r="U295" s="17">
        <f t="shared" si="41"/>
        <v>-0.13072232803565917</v>
      </c>
      <c r="V295" s="17">
        <f t="shared" si="42"/>
        <v>-0.10379008095974523</v>
      </c>
      <c r="W295" s="17">
        <f t="shared" si="43"/>
        <v>-8.3334849177254533E-2</v>
      </c>
      <c r="X295" s="17">
        <f t="shared" si="44"/>
        <v>-6.9356632688186981E-2</v>
      </c>
      <c r="Y295" s="17">
        <f t="shared" si="45"/>
        <v>-6.1855431492543092E-2</v>
      </c>
      <c r="Z295" s="17">
        <f t="shared" si="46"/>
        <v>-6.0831245590321867E-2</v>
      </c>
      <c r="AA295" s="17">
        <f t="shared" si="47"/>
        <v>-6.6284074981524388E-2</v>
      </c>
    </row>
    <row r="296" spans="1:27" x14ac:dyDescent="0.3">
      <c r="A296" s="13" t="s">
        <v>283</v>
      </c>
      <c r="B296" s="14">
        <v>407</v>
      </c>
      <c r="C296" s="15">
        <v>-0.14105096032023987</v>
      </c>
      <c r="D296" s="15">
        <v>-0.24618084941594276</v>
      </c>
      <c r="E296" s="15">
        <v>-0.34378281269829686</v>
      </c>
      <c r="F296" s="15">
        <v>-0.42264836590278132</v>
      </c>
      <c r="G296" s="15">
        <v>-0.48567412079689903</v>
      </c>
      <c r="H296" s="15">
        <v>-0.53575668914815311</v>
      </c>
      <c r="I296" s="15">
        <v>-0.57579268272404671</v>
      </c>
      <c r="J296" s="15">
        <v>-0.6086787132920829</v>
      </c>
      <c r="K296" s="15">
        <v>-0.63731139261976466</v>
      </c>
      <c r="L296" s="15">
        <v>-0.66458733247459512</v>
      </c>
      <c r="M296" s="15">
        <v>-0.69340314462407715</v>
      </c>
      <c r="N296" s="15">
        <v>-0.72665544083571365</v>
      </c>
      <c r="O296" s="15">
        <v>-0.76724083287700862</v>
      </c>
      <c r="P296" s="15">
        <v>-0.81805593251546438</v>
      </c>
      <c r="Q296" s="15">
        <v>-0.88199735151858372</v>
      </c>
      <c r="S296" s="17">
        <f t="shared" si="39"/>
        <v>-0.19957772615079691</v>
      </c>
      <c r="T296" s="17">
        <f t="shared" si="40"/>
        <v>-0.15997823037488021</v>
      </c>
      <c r="U296" s="17">
        <f t="shared" si="41"/>
        <v>-0.12762026401772117</v>
      </c>
      <c r="V296" s="17">
        <f t="shared" si="42"/>
        <v>-0.10250382707931988</v>
      </c>
      <c r="W296" s="17">
        <f t="shared" si="43"/>
        <v>-8.4628919559676302E-2</v>
      </c>
      <c r="X296" s="17">
        <f t="shared" si="44"/>
        <v>-7.3995541458790337E-2</v>
      </c>
      <c r="Y296" s="17">
        <f t="shared" si="45"/>
        <v>-7.0603692776661883E-2</v>
      </c>
      <c r="Z296" s="17">
        <f t="shared" si="46"/>
        <v>-7.445337351329083E-2</v>
      </c>
      <c r="AA296" s="17">
        <f t="shared" si="47"/>
        <v>-8.5544583668677926E-2</v>
      </c>
    </row>
    <row r="297" spans="1:27" x14ac:dyDescent="0.3">
      <c r="A297" s="13" t="s">
        <v>283</v>
      </c>
      <c r="B297" s="14">
        <v>5008</v>
      </c>
      <c r="C297" s="15">
        <v>-0.14886235006260098</v>
      </c>
      <c r="D297" s="15">
        <v>-0.25871784779149293</v>
      </c>
      <c r="E297" s="15">
        <v>-0.35947503557193039</v>
      </c>
      <c r="F297" s="15">
        <v>-0.43937672391395688</v>
      </c>
      <c r="G297" s="15">
        <v>-0.50155195833387589</v>
      </c>
      <c r="H297" s="15">
        <v>-0.54912978434799076</v>
      </c>
      <c r="I297" s="15">
        <v>-0.58523924747260514</v>
      </c>
      <c r="J297" s="15">
        <v>-0.61300939322402248</v>
      </c>
      <c r="K297" s="15">
        <v>-0.63556926711854644</v>
      </c>
      <c r="L297" s="15">
        <v>-0.65604791467248036</v>
      </c>
      <c r="M297" s="15">
        <v>-0.67757438140212745</v>
      </c>
      <c r="N297" s="15">
        <v>-0.70327771282379159</v>
      </c>
      <c r="O297" s="15">
        <v>-0.73628695445377634</v>
      </c>
      <c r="P297" s="15">
        <v>-0.77973115180838548</v>
      </c>
      <c r="Q297" s="15">
        <v>-0.83673935040392189</v>
      </c>
      <c r="S297" s="17">
        <f t="shared" si="39"/>
        <v>-0.20236175878531912</v>
      </c>
      <c r="T297" s="17">
        <f t="shared" si="40"/>
        <v>-0.15804562398005029</v>
      </c>
      <c r="U297" s="17">
        <f t="shared" si="41"/>
        <v>-0.12155210296554023</v>
      </c>
      <c r="V297" s="17">
        <f t="shared" si="42"/>
        <v>-9.2881195741788825E-2</v>
      </c>
      <c r="W297" s="17">
        <f t="shared" si="43"/>
        <v>-7.2032902308796401E-2</v>
      </c>
      <c r="X297" s="17">
        <f t="shared" si="44"/>
        <v>-5.9007222666562678E-2</v>
      </c>
      <c r="Y297" s="17">
        <f t="shared" si="45"/>
        <v>-5.3804156815087475E-2</v>
      </c>
      <c r="Z297" s="17">
        <f t="shared" si="46"/>
        <v>-5.642370475437096E-2</v>
      </c>
      <c r="AA297" s="17">
        <f t="shared" si="47"/>
        <v>-6.6865866484413325E-2</v>
      </c>
    </row>
    <row r="298" spans="1:27" x14ac:dyDescent="0.3">
      <c r="A298" s="13" t="s">
        <v>283</v>
      </c>
      <c r="B298" s="14">
        <v>508</v>
      </c>
      <c r="C298" s="15">
        <v>-0.16647091743423689</v>
      </c>
      <c r="D298" s="15">
        <v>-0.28728675258778014</v>
      </c>
      <c r="E298" s="15">
        <v>-0.39593836200236721</v>
      </c>
      <c r="F298" s="15">
        <v>-0.47957841295078191</v>
      </c>
      <c r="G298" s="15">
        <v>-0.54200666444923151</v>
      </c>
      <c r="H298" s="15">
        <v>-0.58702287551392329</v>
      </c>
      <c r="I298" s="15">
        <v>-0.61842680516106507</v>
      </c>
      <c r="J298" s="15">
        <v>-0.64001821240686396</v>
      </c>
      <c r="K298" s="15">
        <v>-0.65559685626752773</v>
      </c>
      <c r="L298" s="15">
        <v>-0.66896249575926336</v>
      </c>
      <c r="M298" s="15">
        <v>-0.68391488989827864</v>
      </c>
      <c r="N298" s="15">
        <v>-0.70425379770078067</v>
      </c>
      <c r="O298" s="15">
        <v>-0.7337789781829771</v>
      </c>
      <c r="P298" s="15">
        <v>-0.77629019036107494</v>
      </c>
      <c r="Q298" s="15">
        <v>-0.83558719325128239</v>
      </c>
      <c r="S298" s="17">
        <f t="shared" si="39"/>
        <v>-0.21226659321787616</v>
      </c>
      <c r="T298" s="17">
        <f t="shared" si="40"/>
        <v>-0.15923709459296342</v>
      </c>
      <c r="U298" s="17">
        <f t="shared" si="41"/>
        <v>-0.11570699350856931</v>
      </c>
      <c r="V298" s="17">
        <f t="shared" si="42"/>
        <v>-8.1676289964693699E-2</v>
      </c>
      <c r="W298" s="17">
        <f t="shared" si="43"/>
        <v>-5.7144983961337034E-2</v>
      </c>
      <c r="X298" s="17">
        <f t="shared" si="44"/>
        <v>-4.2113075498498576E-2</v>
      </c>
      <c r="Y298" s="17">
        <f t="shared" si="45"/>
        <v>-3.6580564576178899E-2</v>
      </c>
      <c r="Z298" s="17">
        <f t="shared" si="46"/>
        <v>-4.0547451194377457E-2</v>
      </c>
      <c r="AA298" s="17">
        <f t="shared" si="47"/>
        <v>-5.4013735353094783E-2</v>
      </c>
    </row>
    <row r="299" spans="1:27" x14ac:dyDescent="0.3">
      <c r="A299" s="13" t="s">
        <v>283</v>
      </c>
      <c r="B299" s="14">
        <v>807</v>
      </c>
      <c r="C299" s="15">
        <v>-0.137555174834363</v>
      </c>
      <c r="D299" s="15">
        <v>-0.24198304975304905</v>
      </c>
      <c r="E299" s="15">
        <v>-0.34069445869272275</v>
      </c>
      <c r="F299" s="15">
        <v>-0.4222141277699934</v>
      </c>
      <c r="G299" s="15">
        <v>-0.48882230058490655</v>
      </c>
      <c r="H299" s="15">
        <v>-0.54279922073750786</v>
      </c>
      <c r="I299" s="15">
        <v>-0.58642513182784284</v>
      </c>
      <c r="J299" s="15">
        <v>-0.62198027745595685</v>
      </c>
      <c r="K299" s="15">
        <v>-0.65174490122189577</v>
      </c>
      <c r="L299" s="15">
        <v>-0.67799924672570522</v>
      </c>
      <c r="M299" s="15">
        <v>-0.70302355756743051</v>
      </c>
      <c r="N299" s="15">
        <v>-0.72909807734711729</v>
      </c>
      <c r="O299" s="15">
        <v>-0.75850304966481119</v>
      </c>
      <c r="P299" s="15">
        <v>-0.79351871812055774</v>
      </c>
      <c r="Q299" s="15">
        <v>-0.83642532631440225</v>
      </c>
      <c r="S299" s="17">
        <f t="shared" si="39"/>
        <v>-0.20569937569321459</v>
      </c>
      <c r="T299" s="17">
        <f t="shared" si="40"/>
        <v>-0.16842063503732091</v>
      </c>
      <c r="U299" s="17">
        <f t="shared" si="41"/>
        <v>-0.13684250338154119</v>
      </c>
      <c r="V299" s="17">
        <f t="shared" si="42"/>
        <v>-0.11096498072587524</v>
      </c>
      <c r="W299" s="17">
        <f t="shared" si="43"/>
        <v>-9.0788067070323247E-2</v>
      </c>
      <c r="X299" s="17">
        <f t="shared" si="44"/>
        <v>-7.6311762414885312E-2</v>
      </c>
      <c r="Y299" s="17">
        <f t="shared" si="45"/>
        <v>-6.7536066759561378E-2</v>
      </c>
      <c r="Z299" s="17">
        <f t="shared" si="46"/>
        <v>-6.4460980104351265E-2</v>
      </c>
      <c r="AA299" s="17">
        <f t="shared" si="47"/>
        <v>-6.7086502449254973E-2</v>
      </c>
    </row>
    <row r="300" spans="1:27" x14ac:dyDescent="0.3">
      <c r="A300" s="13" t="s">
        <v>283</v>
      </c>
      <c r="B300" s="14" t="s">
        <v>284</v>
      </c>
      <c r="C300" s="15">
        <v>-0.16181349240149898</v>
      </c>
      <c r="D300" s="15">
        <v>-0.27867160688906278</v>
      </c>
      <c r="E300" s="15">
        <v>-0.38326921097181532</v>
      </c>
      <c r="F300" s="15">
        <v>-0.46334638132728589</v>
      </c>
      <c r="G300" s="15">
        <v>-0.52282454387315391</v>
      </c>
      <c r="H300" s="15">
        <v>-0.56562512452709846</v>
      </c>
      <c r="I300" s="15">
        <v>-0.59566954920679893</v>
      </c>
      <c r="J300" s="15">
        <v>-0.61687924382993475</v>
      </c>
      <c r="K300" s="15">
        <v>-0.63317563431418489</v>
      </c>
      <c r="L300" s="15">
        <v>-0.64848014657722863</v>
      </c>
      <c r="M300" s="15">
        <v>-0.66671420653674596</v>
      </c>
      <c r="N300" s="15">
        <v>-0.69179924011041494</v>
      </c>
      <c r="O300" s="15">
        <v>-0.72765667321591565</v>
      </c>
      <c r="P300" s="15">
        <v>-0.77820793177092717</v>
      </c>
      <c r="Q300" s="15">
        <v>-0.84737444169312959</v>
      </c>
      <c r="S300" s="17">
        <f t="shared" si="39"/>
        <v>-0.20346078082007596</v>
      </c>
      <c r="T300" s="17">
        <f t="shared" si="40"/>
        <v>-0.15196326129606927</v>
      </c>
      <c r="U300" s="17">
        <f t="shared" si="41"/>
        <v>-0.11026930656626086</v>
      </c>
      <c r="V300" s="17">
        <f t="shared" si="42"/>
        <v>-7.8378916630650691E-2</v>
      </c>
      <c r="W300" s="17">
        <f t="shared" si="43"/>
        <v>-5.6292091489238694E-2</v>
      </c>
      <c r="X300" s="17">
        <f t="shared" si="44"/>
        <v>-4.4008831142024751E-2</v>
      </c>
      <c r="Y300" s="17">
        <f t="shared" si="45"/>
        <v>-4.1529135589009336E-2</v>
      </c>
      <c r="Z300" s="17">
        <f t="shared" si="46"/>
        <v>-4.8853004830191712E-2</v>
      </c>
      <c r="AA300" s="17">
        <f t="shared" si="47"/>
        <v>-6.5980438865572519E-2</v>
      </c>
    </row>
    <row r="301" spans="1:27" x14ac:dyDescent="0.3">
      <c r="A301" s="13" t="s">
        <v>283</v>
      </c>
      <c r="B301" s="14" t="s">
        <v>285</v>
      </c>
      <c r="C301" s="15">
        <v>-0.14563560943173462</v>
      </c>
      <c r="D301" s="15">
        <v>-0.25308110435768394</v>
      </c>
      <c r="E301" s="15">
        <v>-0.3516465056019627</v>
      </c>
      <c r="F301" s="15">
        <v>-0.42988833172788199</v>
      </c>
      <c r="G301" s="15">
        <v>-0.49092666224192605</v>
      </c>
      <c r="H301" s="15">
        <v>-0.53788157665057923</v>
      </c>
      <c r="I301" s="15">
        <v>-0.57387315446032594</v>
      </c>
      <c r="J301" s="15">
        <v>-0.60202147517765048</v>
      </c>
      <c r="K301" s="15">
        <v>-0.62544661830903725</v>
      </c>
      <c r="L301" s="15">
        <v>-0.64726866336097055</v>
      </c>
      <c r="M301" s="15">
        <v>-0.67060768983993491</v>
      </c>
      <c r="N301" s="15">
        <v>-0.69858377725241438</v>
      </c>
      <c r="O301" s="15">
        <v>-0.73431700510489351</v>
      </c>
      <c r="P301" s="15">
        <v>-0.78092745290385679</v>
      </c>
      <c r="Q301" s="15">
        <v>-0.84153520015578831</v>
      </c>
      <c r="S301" s="17">
        <f t="shared" si="39"/>
        <v>-0.19820463157020174</v>
      </c>
      <c r="T301" s="17">
        <f t="shared" si="40"/>
        <v>-0.15519589254051377</v>
      </c>
      <c r="U301" s="17">
        <f t="shared" si="41"/>
        <v>-0.11998735227703664</v>
      </c>
      <c r="V301" s="17">
        <f t="shared" si="42"/>
        <v>-9.2579010779770349E-2</v>
      </c>
      <c r="W301" s="17">
        <f t="shared" si="43"/>
        <v>-7.2970868048715012E-2</v>
      </c>
      <c r="X301" s="17">
        <f t="shared" si="44"/>
        <v>-6.1162924083870515E-2</v>
      </c>
      <c r="Y301" s="17">
        <f t="shared" si="45"/>
        <v>-5.7155178885237024E-2</v>
      </c>
      <c r="Z301" s="17">
        <f t="shared" si="46"/>
        <v>-6.0947632452814274E-2</v>
      </c>
      <c r="AA301" s="17">
        <f t="shared" si="47"/>
        <v>-7.254028478660246E-2</v>
      </c>
    </row>
    <row r="302" spans="1:27" x14ac:dyDescent="0.3">
      <c r="A302" s="13" t="s">
        <v>283</v>
      </c>
      <c r="B302" s="14" t="s">
        <v>286</v>
      </c>
      <c r="C302" s="15">
        <v>-0.14563560943173462</v>
      </c>
      <c r="D302" s="15">
        <v>-0.25308110435768394</v>
      </c>
      <c r="E302" s="15">
        <v>-0.3516465056019627</v>
      </c>
      <c r="F302" s="15">
        <v>-0.42988833172788199</v>
      </c>
      <c r="G302" s="15">
        <v>-0.49092666224192605</v>
      </c>
      <c r="H302" s="15">
        <v>-0.53788157665057923</v>
      </c>
      <c r="I302" s="15">
        <v>-0.57387315446032594</v>
      </c>
      <c r="J302" s="15">
        <v>-0.60202147517765048</v>
      </c>
      <c r="K302" s="15">
        <v>-0.62544661830903725</v>
      </c>
      <c r="L302" s="15">
        <v>-0.64726866336097055</v>
      </c>
      <c r="M302" s="15">
        <v>-0.67060768983993491</v>
      </c>
      <c r="N302" s="15">
        <v>-0.69858377725241438</v>
      </c>
      <c r="O302" s="15">
        <v>-0.73431700510489351</v>
      </c>
      <c r="P302" s="15">
        <v>-0.78092745290385679</v>
      </c>
      <c r="Q302" s="15">
        <v>-0.84153520015578831</v>
      </c>
      <c r="S302" s="17">
        <f t="shared" si="39"/>
        <v>-0.19820463157020174</v>
      </c>
      <c r="T302" s="17">
        <f t="shared" si="40"/>
        <v>-0.15519589254051377</v>
      </c>
      <c r="U302" s="17">
        <f t="shared" si="41"/>
        <v>-0.11998735227703664</v>
      </c>
      <c r="V302" s="17">
        <f t="shared" si="42"/>
        <v>-9.2579010779770349E-2</v>
      </c>
      <c r="W302" s="17">
        <f t="shared" si="43"/>
        <v>-7.2970868048715012E-2</v>
      </c>
      <c r="X302" s="17">
        <f t="shared" si="44"/>
        <v>-6.1162924083870515E-2</v>
      </c>
      <c r="Y302" s="17">
        <f t="shared" si="45"/>
        <v>-5.7155178885237024E-2</v>
      </c>
      <c r="Z302" s="17">
        <f t="shared" si="46"/>
        <v>-6.0947632452814274E-2</v>
      </c>
      <c r="AA302" s="17">
        <f t="shared" si="47"/>
        <v>-7.254028478660246E-2</v>
      </c>
    </row>
    <row r="303" spans="1:27" x14ac:dyDescent="0.3">
      <c r="A303" s="13" t="s">
        <v>283</v>
      </c>
      <c r="B303" s="14" t="s">
        <v>287</v>
      </c>
      <c r="C303" s="15">
        <v>-0.14563560943173462</v>
      </c>
      <c r="D303" s="15">
        <v>-0.25308110435768394</v>
      </c>
      <c r="E303" s="15">
        <v>-0.3516465056019627</v>
      </c>
      <c r="F303" s="15">
        <v>-0.42988833172788199</v>
      </c>
      <c r="G303" s="15">
        <v>-0.49092666224192605</v>
      </c>
      <c r="H303" s="15">
        <v>-0.53788157665057923</v>
      </c>
      <c r="I303" s="15">
        <v>-0.57387315446032594</v>
      </c>
      <c r="J303" s="15">
        <v>-0.60202147517765048</v>
      </c>
      <c r="K303" s="15">
        <v>-0.62544661830903725</v>
      </c>
      <c r="L303" s="15">
        <v>-0.64726866336097055</v>
      </c>
      <c r="M303" s="15">
        <v>-0.67060768983993491</v>
      </c>
      <c r="N303" s="15">
        <v>-0.69858377725241438</v>
      </c>
      <c r="O303" s="15">
        <v>-0.73431700510489351</v>
      </c>
      <c r="P303" s="15">
        <v>-0.78092745290385679</v>
      </c>
      <c r="Q303" s="15">
        <v>-0.84153520015578831</v>
      </c>
      <c r="S303" s="17">
        <f t="shared" si="39"/>
        <v>-0.19820463157020174</v>
      </c>
      <c r="T303" s="17">
        <f t="shared" si="40"/>
        <v>-0.15519589254051377</v>
      </c>
      <c r="U303" s="17">
        <f t="shared" si="41"/>
        <v>-0.11998735227703664</v>
      </c>
      <c r="V303" s="17">
        <f t="shared" si="42"/>
        <v>-9.2579010779770349E-2</v>
      </c>
      <c r="W303" s="17">
        <f t="shared" si="43"/>
        <v>-7.2970868048715012E-2</v>
      </c>
      <c r="X303" s="17">
        <f t="shared" si="44"/>
        <v>-6.1162924083870515E-2</v>
      </c>
      <c r="Y303" s="17">
        <f t="shared" si="45"/>
        <v>-5.7155178885237024E-2</v>
      </c>
      <c r="Z303" s="17">
        <f t="shared" si="46"/>
        <v>-6.0947632452814274E-2</v>
      </c>
      <c r="AA303" s="17">
        <f t="shared" si="47"/>
        <v>-7.254028478660246E-2</v>
      </c>
    </row>
    <row r="304" spans="1:27" x14ac:dyDescent="0.3">
      <c r="A304" s="13" t="s">
        <v>288</v>
      </c>
      <c r="B304" s="14">
        <v>911</v>
      </c>
      <c r="C304" s="15" t="s">
        <v>61</v>
      </c>
      <c r="D304" s="15">
        <v>0</v>
      </c>
      <c r="E304" s="15">
        <v>0</v>
      </c>
      <c r="F304" s="15">
        <v>-0.35576612808128677</v>
      </c>
      <c r="G304" s="15">
        <v>-3.9529569786809604E-2</v>
      </c>
      <c r="H304" s="15">
        <v>-0.46035910557049908</v>
      </c>
      <c r="I304" s="15">
        <v>-5.1151011730055429E-2</v>
      </c>
      <c r="J304" s="15">
        <v>-0.53353491717267654</v>
      </c>
      <c r="K304" s="15">
        <v>-0.62171122099864495</v>
      </c>
      <c r="L304" s="15">
        <v>-0.65086790547437068</v>
      </c>
      <c r="M304" s="15">
        <v>-0.67838377422532437</v>
      </c>
      <c r="N304" s="15">
        <v>-0.70607579514878938</v>
      </c>
      <c r="O304" s="15">
        <v>-0.7357609361420494</v>
      </c>
      <c r="P304" s="15">
        <v>-0.76925616510238715</v>
      </c>
      <c r="Q304" s="15">
        <v>-0.80837844992708585</v>
      </c>
      <c r="S304" s="17">
        <f t="shared" si="39"/>
        <v>-3.294130815567467E-2</v>
      </c>
      <c r="T304" s="17">
        <f t="shared" si="40"/>
        <v>-0.38363258797541594</v>
      </c>
      <c r="U304" s="17">
        <f t="shared" si="41"/>
        <v>0.25384593029269276</v>
      </c>
      <c r="V304" s="17">
        <f t="shared" si="42"/>
        <v>-0.41167112282155577</v>
      </c>
      <c r="W304" s="17">
        <f t="shared" si="43"/>
        <v>-0.13446009619012156</v>
      </c>
      <c r="X304" s="17">
        <f t="shared" si="44"/>
        <v>-0.49976407812026274</v>
      </c>
      <c r="Y304" s="17">
        <f t="shared" si="45"/>
        <v>-0.12070738087720653</v>
      </c>
      <c r="Z304" s="17">
        <f t="shared" si="46"/>
        <v>-7.0303811791787019E-2</v>
      </c>
      <c r="AA304" s="17">
        <f t="shared" si="47"/>
        <v>-7.0744192223065605E-2</v>
      </c>
    </row>
    <row r="305" spans="1:27" x14ac:dyDescent="0.3">
      <c r="A305" s="13" t="s">
        <v>288</v>
      </c>
      <c r="B305" s="14" t="s">
        <v>289</v>
      </c>
      <c r="C305" s="15" t="s">
        <v>61</v>
      </c>
      <c r="D305" s="15">
        <v>0</v>
      </c>
      <c r="E305" s="15">
        <v>0</v>
      </c>
      <c r="F305" s="15">
        <v>-0.35677311648462134</v>
      </c>
      <c r="G305" s="15">
        <v>-3.9641457387180112E-2</v>
      </c>
      <c r="H305" s="15">
        <v>-0.46170034564707529</v>
      </c>
      <c r="I305" s="15">
        <v>-5.1300038405230564E-2</v>
      </c>
      <c r="J305" s="15">
        <v>-0.53430855959540868</v>
      </c>
      <c r="K305" s="15">
        <v>-0.62176390457502162</v>
      </c>
      <c r="L305" s="15">
        <v>-0.64957663777475938</v>
      </c>
      <c r="M305" s="15">
        <v>-0.67517750177674429</v>
      </c>
      <c r="N305" s="15">
        <v>-0.70030127479338389</v>
      </c>
      <c r="O305" s="15">
        <v>-0.72668273503708669</v>
      </c>
      <c r="P305" s="15">
        <v>-0.75605666072026012</v>
      </c>
      <c r="Q305" s="15">
        <v>-0.7901578300553127</v>
      </c>
      <c r="S305" s="17">
        <f t="shared" si="39"/>
        <v>-3.3034547822650091E-2</v>
      </c>
      <c r="T305" s="17">
        <f t="shared" si="40"/>
        <v>-0.38475028803922945</v>
      </c>
      <c r="U305" s="17">
        <f t="shared" si="41"/>
        <v>0.25456089839949231</v>
      </c>
      <c r="V305" s="17">
        <f t="shared" si="42"/>
        <v>-0.41222258517352384</v>
      </c>
      <c r="W305" s="17">
        <f t="shared" si="43"/>
        <v>-0.13338629910662195</v>
      </c>
      <c r="X305" s="17">
        <f t="shared" si="44"/>
        <v>-0.49856383280794064</v>
      </c>
      <c r="Y305" s="17">
        <f t="shared" si="45"/>
        <v>-0.11739078515111301</v>
      </c>
      <c r="Z305" s="17">
        <f t="shared" si="46"/>
        <v>-6.5447808515301895E-2</v>
      </c>
      <c r="AA305" s="17">
        <f t="shared" si="47"/>
        <v>-6.4255081051939431E-2</v>
      </c>
    </row>
    <row r="306" spans="1:27" x14ac:dyDescent="0.3">
      <c r="A306" s="13" t="s">
        <v>288</v>
      </c>
      <c r="B306" s="14" t="s">
        <v>290</v>
      </c>
      <c r="C306" s="15" t="s">
        <v>61</v>
      </c>
      <c r="D306" s="15">
        <v>0</v>
      </c>
      <c r="E306" s="15">
        <v>0</v>
      </c>
      <c r="F306" s="15">
        <v>-0.34492596589737906</v>
      </c>
      <c r="G306" s="15">
        <v>-3.8325107321931007E-2</v>
      </c>
      <c r="H306" s="15">
        <v>-0.45686106238911817</v>
      </c>
      <c r="I306" s="15">
        <v>-5.0762340265457562E-2</v>
      </c>
      <c r="J306" s="15">
        <v>-0.54194156158442464</v>
      </c>
      <c r="K306" s="15">
        <v>-0.63779050227839873</v>
      </c>
      <c r="L306" s="15">
        <v>-0.67446543354094479</v>
      </c>
      <c r="M306" s="15">
        <v>-0.70916404354045259</v>
      </c>
      <c r="N306" s="15">
        <v>-0.74329230384027567</v>
      </c>
      <c r="O306" s="15">
        <v>-0.77825618600376911</v>
      </c>
      <c r="P306" s="15">
        <v>-0.81546166159428668</v>
      </c>
      <c r="Q306" s="15">
        <v>-0.85631470217518257</v>
      </c>
      <c r="S306" s="17">
        <f t="shared" si="39"/>
        <v>-3.1937589434942508E-2</v>
      </c>
      <c r="T306" s="17">
        <f t="shared" si="40"/>
        <v>-0.38071755199093177</v>
      </c>
      <c r="U306" s="17">
        <f t="shared" si="41"/>
        <v>0.24513635469326792</v>
      </c>
      <c r="V306" s="17">
        <f t="shared" si="42"/>
        <v>-0.41968037855207807</v>
      </c>
      <c r="W306" s="17">
        <f t="shared" si="43"/>
        <v>-0.15077453324106713</v>
      </c>
      <c r="X306" s="17">
        <f t="shared" si="44"/>
        <v>-0.51975257772957273</v>
      </c>
      <c r="Y306" s="17">
        <f t="shared" si="45"/>
        <v>-0.13935206829668997</v>
      </c>
      <c r="Z306" s="17">
        <f t="shared" si="46"/>
        <v>-8.7918167968230793E-2</v>
      </c>
      <c r="AA306" s="17">
        <f t="shared" si="47"/>
        <v>-8.6492293719020258E-2</v>
      </c>
    </row>
    <row r="307" spans="1:27" x14ac:dyDescent="0.3">
      <c r="A307" s="13" t="s">
        <v>288</v>
      </c>
      <c r="B307" s="14" t="s">
        <v>291</v>
      </c>
      <c r="C307" s="15" t="s">
        <v>61</v>
      </c>
      <c r="D307" s="15">
        <v>0</v>
      </c>
      <c r="E307" s="15">
        <v>0</v>
      </c>
      <c r="F307" s="15">
        <v>-0.36015280299537233</v>
      </c>
      <c r="G307" s="15">
        <v>-4.0016978110596901E-2</v>
      </c>
      <c r="H307" s="15">
        <v>-0.46176209474749047</v>
      </c>
      <c r="I307" s="15">
        <v>-5.130689941638783E-2</v>
      </c>
      <c r="J307" s="15">
        <v>-0.53083985289680047</v>
      </c>
      <c r="K307" s="15">
        <v>-0.61679752045741143</v>
      </c>
      <c r="L307" s="15">
        <v>-0.64420046151175681</v>
      </c>
      <c r="M307" s="15">
        <v>-0.67060243881749504</v>
      </c>
      <c r="N307" s="15">
        <v>-0.69806385580110863</v>
      </c>
      <c r="O307" s="15">
        <v>-0.7286451158890811</v>
      </c>
      <c r="P307" s="15">
        <v>-0.76440662250789548</v>
      </c>
      <c r="Q307" s="15">
        <v>-0.80740877908403497</v>
      </c>
      <c r="S307" s="17">
        <f t="shared" si="39"/>
        <v>-3.3347481758830753E-2</v>
      </c>
      <c r="T307" s="17">
        <f t="shared" si="40"/>
        <v>-0.3848017456229087</v>
      </c>
      <c r="U307" s="17">
        <f t="shared" si="41"/>
        <v>0.25737158631582041</v>
      </c>
      <c r="V307" s="17">
        <f t="shared" si="42"/>
        <v>-0.40901906232183627</v>
      </c>
      <c r="W307" s="17">
        <f t="shared" si="43"/>
        <v>-0.1291961880916008</v>
      </c>
      <c r="X307" s="17">
        <f t="shared" si="44"/>
        <v>-0.49407796841280749</v>
      </c>
      <c r="Y307" s="17">
        <f t="shared" si="45"/>
        <v>-0.11646882160057881</v>
      </c>
      <c r="Z307" s="17">
        <f t="shared" si="46"/>
        <v>-6.7721946119747675E-2</v>
      </c>
      <c r="AA307" s="17">
        <f t="shared" si="47"/>
        <v>-7.0370545314436914E-2</v>
      </c>
    </row>
    <row r="308" spans="1:27" x14ac:dyDescent="0.3">
      <c r="A308" s="13" t="s">
        <v>288</v>
      </c>
      <c r="B308" s="14" t="s">
        <v>292</v>
      </c>
      <c r="C308" s="15" t="s">
        <v>61</v>
      </c>
      <c r="D308" s="15">
        <v>0</v>
      </c>
      <c r="E308" s="15">
        <v>0</v>
      </c>
      <c r="F308" s="15">
        <v>-0.35576612808128677</v>
      </c>
      <c r="G308" s="15">
        <v>-3.9529569786809604E-2</v>
      </c>
      <c r="H308" s="15">
        <v>-0.46035910557049908</v>
      </c>
      <c r="I308" s="15">
        <v>-5.1151011730055429E-2</v>
      </c>
      <c r="J308" s="15">
        <v>-0.53353491717267654</v>
      </c>
      <c r="K308" s="15">
        <v>-0.62171122099864495</v>
      </c>
      <c r="L308" s="15">
        <v>-0.65086790547437068</v>
      </c>
      <c r="M308" s="15">
        <v>-0.67838377422532437</v>
      </c>
      <c r="N308" s="15">
        <v>-0.70607579514878938</v>
      </c>
      <c r="O308" s="15">
        <v>-0.7357609361420494</v>
      </c>
      <c r="P308" s="15">
        <v>-0.76925616510238715</v>
      </c>
      <c r="Q308" s="15">
        <v>-0.80837844992708585</v>
      </c>
      <c r="S308" s="17">
        <f t="shared" si="39"/>
        <v>-3.294130815567467E-2</v>
      </c>
      <c r="T308" s="17">
        <f t="shared" si="40"/>
        <v>-0.38363258797541594</v>
      </c>
      <c r="U308" s="17">
        <f t="shared" si="41"/>
        <v>0.25384593029269276</v>
      </c>
      <c r="V308" s="17">
        <f t="shared" si="42"/>
        <v>-0.41167112282155577</v>
      </c>
      <c r="W308" s="17">
        <f t="shared" si="43"/>
        <v>-0.13446009619012156</v>
      </c>
      <c r="X308" s="17">
        <f t="shared" si="44"/>
        <v>-0.49976407812026274</v>
      </c>
      <c r="Y308" s="17">
        <f t="shared" si="45"/>
        <v>-0.12070738087720653</v>
      </c>
      <c r="Z308" s="17">
        <f t="shared" si="46"/>
        <v>-7.0303811791787019E-2</v>
      </c>
      <c r="AA308" s="17">
        <f t="shared" si="47"/>
        <v>-7.0744192223065605E-2</v>
      </c>
    </row>
    <row r="309" spans="1:27" x14ac:dyDescent="0.3">
      <c r="A309" s="13" t="s">
        <v>293</v>
      </c>
      <c r="B309" s="14" t="s">
        <v>294</v>
      </c>
      <c r="C309" s="15">
        <v>-0.1104664696509797</v>
      </c>
      <c r="D309" s="15">
        <v>-0.19964806161537621</v>
      </c>
      <c r="E309" s="15">
        <v>-0.28924008930210537</v>
      </c>
      <c r="F309" s="15">
        <v>-0.36901768426828707</v>
      </c>
      <c r="G309" s="15">
        <v>-0.43980262503613915</v>
      </c>
      <c r="H309" s="15">
        <v>-0.50241669012787937</v>
      </c>
      <c r="I309" s="15">
        <v>-0.55768165806572556</v>
      </c>
      <c r="J309" s="15">
        <v>-0.60641930737189587</v>
      </c>
      <c r="K309" s="15">
        <v>-0.64945141656860783</v>
      </c>
      <c r="L309" s="15">
        <v>-0.687599764178079</v>
      </c>
      <c r="M309" s="15">
        <v>-0.7216861287225278</v>
      </c>
      <c r="N309" s="15">
        <v>-0.75253228872417188</v>
      </c>
      <c r="O309" s="15">
        <v>-0.7809600227052288</v>
      </c>
      <c r="P309" s="15">
        <v>-0.80779110918791674</v>
      </c>
      <c r="Q309" s="15">
        <v>-0.83384732669445349</v>
      </c>
      <c r="S309" s="17">
        <f t="shared" si="39"/>
        <v>-0.20012880285063578</v>
      </c>
      <c r="T309" s="17">
        <f t="shared" si="40"/>
        <v>-0.17764716735481165</v>
      </c>
      <c r="U309" s="17">
        <f t="shared" si="41"/>
        <v>-0.15721997816453209</v>
      </c>
      <c r="V309" s="17">
        <f t="shared" si="42"/>
        <v>-0.13884723527979725</v>
      </c>
      <c r="W309" s="17">
        <f t="shared" si="43"/>
        <v>-0.12252893870060705</v>
      </c>
      <c r="X309" s="17">
        <f t="shared" si="44"/>
        <v>-0.1082650884269612</v>
      </c>
      <c r="Y309" s="17">
        <f t="shared" si="45"/>
        <v>-9.6055684458859952E-2</v>
      </c>
      <c r="Z309" s="17">
        <f t="shared" si="46"/>
        <v>-8.5900726796303367E-2</v>
      </c>
      <c r="AA309" s="17">
        <f t="shared" si="47"/>
        <v>-7.7800215439291498E-2</v>
      </c>
    </row>
    <row r="310" spans="1:27" x14ac:dyDescent="0.3">
      <c r="A310" s="13" t="s">
        <v>293</v>
      </c>
      <c r="B310" s="14" t="s">
        <v>295</v>
      </c>
      <c r="C310" s="15">
        <v>-0.16948987006964847</v>
      </c>
      <c r="D310" s="15">
        <v>-0.29208586039495288</v>
      </c>
      <c r="E310" s="15">
        <v>-0.40187653494808218</v>
      </c>
      <c r="F310" s="15">
        <v>-0.48582157368028556</v>
      </c>
      <c r="G310" s="15">
        <v>-0.54782964354977692</v>
      </c>
      <c r="H310" s="15">
        <v>-0.59180941151477018</v>
      </c>
      <c r="I310" s="15">
        <v>-0.62166954453347922</v>
      </c>
      <c r="J310" s="15">
        <v>-0.64131870956411829</v>
      </c>
      <c r="K310" s="15">
        <v>-0.65466557356490096</v>
      </c>
      <c r="L310" s="15">
        <v>-0.66561880349404123</v>
      </c>
      <c r="M310" s="15">
        <v>-0.67808706630975302</v>
      </c>
      <c r="N310" s="15">
        <v>-0.69597902897025088</v>
      </c>
      <c r="O310" s="15">
        <v>-0.72320335843374783</v>
      </c>
      <c r="P310" s="15">
        <v>-0.76366872165845823</v>
      </c>
      <c r="Q310" s="15">
        <v>-0.82128378560259596</v>
      </c>
      <c r="S310" s="17">
        <f t="shared" si="39"/>
        <v>-0.21311981929568669</v>
      </c>
      <c r="T310" s="17">
        <f t="shared" si="40"/>
        <v>-0.15827739713890665</v>
      </c>
      <c r="U310" s="17">
        <f t="shared" si="41"/>
        <v>-0.1132066423776614</v>
      </c>
      <c r="V310" s="17">
        <f t="shared" si="42"/>
        <v>-7.7907555011951138E-2</v>
      </c>
      <c r="W310" s="17">
        <f t="shared" si="43"/>
        <v>-5.2380135041775647E-2</v>
      </c>
      <c r="X310" s="17">
        <f t="shared" si="44"/>
        <v>-3.6624382467135008E-2</v>
      </c>
      <c r="Y310" s="17">
        <f t="shared" si="45"/>
        <v>-3.0640297288028938E-2</v>
      </c>
      <c r="Z310" s="17">
        <f t="shared" si="46"/>
        <v>-3.4427879504458268E-2</v>
      </c>
      <c r="AA310" s="17">
        <f t="shared" si="47"/>
        <v>-4.7987129116422167E-2</v>
      </c>
    </row>
    <row r="311" spans="1:27" x14ac:dyDescent="0.3">
      <c r="A311" s="13" t="s">
        <v>293</v>
      </c>
      <c r="B311" s="14" t="s">
        <v>296</v>
      </c>
      <c r="C311" s="15">
        <v>-0.1459619700767818</v>
      </c>
      <c r="D311" s="15">
        <v>-0.25669414638370908</v>
      </c>
      <c r="E311" s="15">
        <v>-0.361202664824532</v>
      </c>
      <c r="F311" s="15">
        <v>-0.44723173255919246</v>
      </c>
      <c r="G311" s="15">
        <v>-0.51712175375531033</v>
      </c>
      <c r="H311" s="15">
        <v>-0.57321313258050566</v>
      </c>
      <c r="I311" s="15">
        <v>-0.61784627320239849</v>
      </c>
      <c r="J311" s="15">
        <v>-0.65336157978860843</v>
      </c>
      <c r="K311" s="15">
        <v>-0.68209945650675574</v>
      </c>
      <c r="L311" s="15">
        <v>-0.70640030752446037</v>
      </c>
      <c r="M311" s="15">
        <v>-0.72860453700934258</v>
      </c>
      <c r="N311" s="15">
        <v>-0.75105254912902164</v>
      </c>
      <c r="O311" s="15">
        <v>-0.77608474805111771</v>
      </c>
      <c r="P311" s="15">
        <v>-0.80604153794325129</v>
      </c>
      <c r="Q311" s="15">
        <v>-0.84326332297304196</v>
      </c>
      <c r="S311" s="17">
        <f t="shared" si="39"/>
        <v>-0.21702300614300105</v>
      </c>
      <c r="T311" s="17">
        <f t="shared" si="40"/>
        <v>-0.17667538979664471</v>
      </c>
      <c r="U311" s="17">
        <f t="shared" si="41"/>
        <v>-0.14217878386933835</v>
      </c>
      <c r="V311" s="17">
        <f t="shared" si="42"/>
        <v>-0.11353318836108175</v>
      </c>
      <c r="W311" s="17">
        <f t="shared" si="43"/>
        <v>-9.0738603271875079E-2</v>
      </c>
      <c r="X311" s="17">
        <f t="shared" si="44"/>
        <v>-7.3795028601718229E-2</v>
      </c>
      <c r="Y311" s="17">
        <f t="shared" si="45"/>
        <v>-6.2702464350611789E-2</v>
      </c>
      <c r="Z311" s="17">
        <f t="shared" si="46"/>
        <v>-5.7460910518554911E-2</v>
      </c>
      <c r="AA311" s="17">
        <f t="shared" si="47"/>
        <v>-5.807036710554779E-2</v>
      </c>
    </row>
    <row r="312" spans="1:27" x14ac:dyDescent="0.3">
      <c r="A312" s="13" t="s">
        <v>293</v>
      </c>
      <c r="B312" s="14" t="s">
        <v>297</v>
      </c>
      <c r="C312" s="15">
        <v>-0.15086500468237238</v>
      </c>
      <c r="D312" s="15">
        <v>-0.26355769950606378</v>
      </c>
      <c r="E312" s="15">
        <v>-0.36822629229241477</v>
      </c>
      <c r="F312" s="15">
        <v>-0.45260683459223011</v>
      </c>
      <c r="G312" s="15">
        <v>-0.51952187842455166</v>
      </c>
      <c r="H312" s="15">
        <v>-0.57179397580842128</v>
      </c>
      <c r="I312" s="15">
        <v>-0.61224567876288083</v>
      </c>
      <c r="J312" s="15">
        <v>-0.64369953930697243</v>
      </c>
      <c r="K312" s="15">
        <v>-0.66897810945973768</v>
      </c>
      <c r="L312" s="15">
        <v>-0.69090394124021881</v>
      </c>
      <c r="M312" s="15">
        <v>-0.71229958666745741</v>
      </c>
      <c r="N312" s="15">
        <v>-0.73598759776049538</v>
      </c>
      <c r="O312" s="15">
        <v>-0.76479052653837487</v>
      </c>
      <c r="P312" s="15">
        <v>-0.80153092502013745</v>
      </c>
      <c r="Q312" s="15">
        <v>-0.84903134522482582</v>
      </c>
      <c r="S312" s="17">
        <f t="shared" si="39"/>
        <v>-0.21330348243207325</v>
      </c>
      <c r="T312" s="17">
        <f t="shared" si="40"/>
        <v>-0.16963973626333878</v>
      </c>
      <c r="U312" s="17">
        <f t="shared" si="41"/>
        <v>-0.13303237014220892</v>
      </c>
      <c r="V312" s="17">
        <f t="shared" si="42"/>
        <v>-0.10348138406868398</v>
      </c>
      <c r="W312" s="17">
        <f t="shared" si="43"/>
        <v>-8.0986778042763663E-2</v>
      </c>
      <c r="X312" s="17">
        <f t="shared" si="44"/>
        <v>-6.5548552064448318E-2</v>
      </c>
      <c r="Y312" s="17">
        <f t="shared" si="45"/>
        <v>-5.7166706133737477E-2</v>
      </c>
      <c r="Z312" s="17">
        <f t="shared" si="46"/>
        <v>-5.5841240250631419E-2</v>
      </c>
      <c r="AA312" s="17">
        <f t="shared" si="47"/>
        <v>-6.1572154415130045E-2</v>
      </c>
    </row>
    <row r="313" spans="1:27" x14ac:dyDescent="0.3">
      <c r="A313" s="13" t="s">
        <v>293</v>
      </c>
      <c r="B313" s="14" t="s">
        <v>298</v>
      </c>
      <c r="C313" s="15">
        <v>-0.15670537631866438</v>
      </c>
      <c r="D313" s="15">
        <v>-0.27379087331696167</v>
      </c>
      <c r="E313" s="15">
        <v>-0.38248914526257743</v>
      </c>
      <c r="F313" s="15">
        <v>-0.46996589560069163</v>
      </c>
      <c r="G313" s="15">
        <v>-0.53905736540835048</v>
      </c>
      <c r="H313" s="15">
        <v>-0.59259979576260069</v>
      </c>
      <c r="I313" s="15">
        <v>-0.63342942774048805</v>
      </c>
      <c r="J313" s="15">
        <v>-0.66438250241905961</v>
      </c>
      <c r="K313" s="15">
        <v>-0.68829526087536141</v>
      </c>
      <c r="L313" s="15">
        <v>-0.7080039441864393</v>
      </c>
      <c r="M313" s="15">
        <v>-0.72634479342934033</v>
      </c>
      <c r="N313" s="15">
        <v>-0.74615404968111065</v>
      </c>
      <c r="O313" s="15">
        <v>-0.77026795401879655</v>
      </c>
      <c r="P313" s="15">
        <v>-0.80152274751944386</v>
      </c>
      <c r="Q313" s="15">
        <v>-0.84275467126010017</v>
      </c>
      <c r="S313" s="17">
        <f t="shared" si="39"/>
        <v>-0.22105541007615734</v>
      </c>
      <c r="T313" s="17">
        <f t="shared" si="40"/>
        <v>-0.17509220875001938</v>
      </c>
      <c r="U313" s="17">
        <f t="shared" si="41"/>
        <v>-0.13621961011649703</v>
      </c>
      <c r="V313" s="17">
        <f t="shared" si="42"/>
        <v>-0.10443761417559094</v>
      </c>
      <c r="W313" s="17">
        <f t="shared" si="43"/>
        <v>-7.9746220927300604E-2</v>
      </c>
      <c r="X313" s="17">
        <f t="shared" si="44"/>
        <v>-6.2145430371626051E-2</v>
      </c>
      <c r="Y313" s="17">
        <f t="shared" si="45"/>
        <v>-5.1635242508567269E-2</v>
      </c>
      <c r="Z313" s="17">
        <f t="shared" si="46"/>
        <v>-4.8215657338124371E-2</v>
      </c>
      <c r="AA313" s="17">
        <f t="shared" si="47"/>
        <v>-5.1886674860297702E-2</v>
      </c>
    </row>
    <row r="314" spans="1:27" x14ac:dyDescent="0.3">
      <c r="A314" s="13" t="s">
        <v>293</v>
      </c>
      <c r="B314" s="14" t="s">
        <v>299</v>
      </c>
      <c r="C314" s="15">
        <v>-0.14347896549853753</v>
      </c>
      <c r="D314" s="15">
        <v>-0.25211743328813108</v>
      </c>
      <c r="E314" s="15">
        <v>-0.35448208894686944</v>
      </c>
      <c r="F314" s="15">
        <v>-0.43861153388348184</v>
      </c>
      <c r="G314" s="15">
        <v>-0.50689226605655124</v>
      </c>
      <c r="H314" s="15">
        <v>-0.56171078342466085</v>
      </c>
      <c r="I314" s="15">
        <v>-0.60545358394639326</v>
      </c>
      <c r="J314" s="15">
        <v>-0.64050716558033183</v>
      </c>
      <c r="K314" s="15">
        <v>-0.66925802628505948</v>
      </c>
      <c r="L314" s="15">
        <v>-0.6940926640191587</v>
      </c>
      <c r="M314" s="15">
        <v>-0.71739757674121318</v>
      </c>
      <c r="N314" s="15">
        <v>-0.74155926240980563</v>
      </c>
      <c r="O314" s="15">
        <v>-0.76896421898351919</v>
      </c>
      <c r="P314" s="15">
        <v>-0.801998944420936</v>
      </c>
      <c r="Q314" s="15">
        <v>-0.8430499366806401</v>
      </c>
      <c r="S314" s="17">
        <f t="shared" si="39"/>
        <v>-0.21231236064035014</v>
      </c>
      <c r="T314" s="17">
        <f t="shared" si="40"/>
        <v>-0.17269057873149282</v>
      </c>
      <c r="U314" s="17">
        <f t="shared" si="41"/>
        <v>-0.13903504171909284</v>
      </c>
      <c r="V314" s="17">
        <f t="shared" si="42"/>
        <v>-0.1113457496031505</v>
      </c>
      <c r="W314" s="17">
        <f t="shared" si="43"/>
        <v>-8.9622702383665515E-2</v>
      </c>
      <c r="X314" s="17">
        <f t="shared" si="44"/>
        <v>-7.3865900060637868E-2</v>
      </c>
      <c r="Y314" s="17">
        <f t="shared" si="45"/>
        <v>-6.4075342634067792E-2</v>
      </c>
      <c r="Z314" s="17">
        <f t="shared" si="46"/>
        <v>-6.0251030103955119E-2</v>
      </c>
      <c r="AA314" s="17">
        <f t="shared" si="47"/>
        <v>-6.2392962470300406E-2</v>
      </c>
    </row>
    <row r="315" spans="1:27" x14ac:dyDescent="0.3">
      <c r="A315" s="13" t="s">
        <v>293</v>
      </c>
      <c r="B315" s="14" t="s">
        <v>300</v>
      </c>
      <c r="C315" s="15">
        <v>-0.14486394096290775</v>
      </c>
      <c r="D315" s="15">
        <v>-0.2544413915917596</v>
      </c>
      <c r="E315" s="15">
        <v>-0.35762200986327597</v>
      </c>
      <c r="F315" s="15">
        <v>-0.44239494789042694</v>
      </c>
      <c r="G315" s="15">
        <v>-0.51123575188247361</v>
      </c>
      <c r="H315" s="15">
        <v>-0.56661996804867709</v>
      </c>
      <c r="I315" s="15">
        <v>-0.61102314259829793</v>
      </c>
      <c r="J315" s="15">
        <v>-0.64692082174059762</v>
      </c>
      <c r="K315" s="15">
        <v>-0.67678855168483687</v>
      </c>
      <c r="L315" s="15">
        <v>-0.70310187864027662</v>
      </c>
      <c r="M315" s="15">
        <v>-0.72833634881617848</v>
      </c>
      <c r="N315" s="15">
        <v>-0.75496750842180271</v>
      </c>
      <c r="O315" s="15">
        <v>-0.78547090366641015</v>
      </c>
      <c r="P315" s="15">
        <v>-0.82232208075926227</v>
      </c>
      <c r="Q315" s="15">
        <v>-0.86799658590962048</v>
      </c>
      <c r="S315" s="17">
        <f t="shared" si="39"/>
        <v>-0.21399530024226165</v>
      </c>
      <c r="T315" s="17">
        <f t="shared" si="40"/>
        <v>-0.17416496515450092</v>
      </c>
      <c r="U315" s="17">
        <f t="shared" si="41"/>
        <v>-0.14052349558989249</v>
      </c>
      <c r="V315" s="17">
        <f t="shared" si="42"/>
        <v>-0.11307089154843666</v>
      </c>
      <c r="W315" s="17">
        <f t="shared" si="43"/>
        <v>-9.1807153030133148E-2</v>
      </c>
      <c r="X315" s="17">
        <f t="shared" si="44"/>
        <v>-7.6732280034982239E-2</v>
      </c>
      <c r="Y315" s="17">
        <f t="shared" si="45"/>
        <v>-6.7846272562984047E-2</v>
      </c>
      <c r="Z315" s="17">
        <f t="shared" si="46"/>
        <v>-6.5149130614138198E-2</v>
      </c>
      <c r="AA315" s="17">
        <f t="shared" si="47"/>
        <v>-6.8640854188444608E-2</v>
      </c>
    </row>
    <row r="316" spans="1:27" x14ac:dyDescent="0.3">
      <c r="A316" s="13" t="s">
        <v>293</v>
      </c>
      <c r="B316" s="14" t="s">
        <v>301</v>
      </c>
      <c r="C316" s="15">
        <v>-0.14128019236034897</v>
      </c>
      <c r="D316" s="15">
        <v>-0.24987390511388732</v>
      </c>
      <c r="E316" s="15">
        <v>-0.35379145001129197</v>
      </c>
      <c r="F316" s="15">
        <v>-0.44092294607310073</v>
      </c>
      <c r="G316" s="15">
        <v>-0.51328653155588655</v>
      </c>
      <c r="H316" s="15">
        <v>-0.5729003447162222</v>
      </c>
      <c r="I316" s="15">
        <v>-0.62178252381068044</v>
      </c>
      <c r="J316" s="15">
        <v>-0.66195120709583433</v>
      </c>
      <c r="K316" s="15">
        <v>-0.69542453282825667</v>
      </c>
      <c r="L316" s="15">
        <v>-0.72422063926451985</v>
      </c>
      <c r="M316" s="15">
        <v>-0.75035766466119702</v>
      </c>
      <c r="N316" s="15">
        <v>-0.77585374727486134</v>
      </c>
      <c r="O316" s="15">
        <v>-0.80272702536208507</v>
      </c>
      <c r="P316" s="15">
        <v>-0.83299563717944092</v>
      </c>
      <c r="Q316" s="15">
        <v>-0.8686777209835026</v>
      </c>
      <c r="S316" s="17">
        <f t="shared" si="39"/>
        <v>-0.21951052203499938</v>
      </c>
      <c r="T316" s="17">
        <f t="shared" si="40"/>
        <v>-0.18259074558744187</v>
      </c>
      <c r="U316" s="17">
        <f t="shared" si="41"/>
        <v>-0.15071631478131642</v>
      </c>
      <c r="V316" s="17">
        <f t="shared" si="42"/>
        <v>-0.12388722961662316</v>
      </c>
      <c r="W316" s="17">
        <f t="shared" si="43"/>
        <v>-0.10210349009336206</v>
      </c>
      <c r="X316" s="17">
        <f t="shared" si="44"/>
        <v>-8.5365096211532848E-2</v>
      </c>
      <c r="Y316" s="17">
        <f t="shared" si="45"/>
        <v>-7.3672047971135579E-2</v>
      </c>
      <c r="Z316" s="17">
        <f t="shared" si="46"/>
        <v>-6.7024345372170557E-2</v>
      </c>
      <c r="AA316" s="17">
        <f t="shared" si="47"/>
        <v>-6.5421988414637686E-2</v>
      </c>
    </row>
    <row r="317" spans="1:27" x14ac:dyDescent="0.3">
      <c r="A317" s="13" t="s">
        <v>293</v>
      </c>
      <c r="B317" s="14" t="s">
        <v>302</v>
      </c>
      <c r="C317" s="15">
        <v>-0.13961764951498906</v>
      </c>
      <c r="D317" s="15">
        <v>-0.24430432551561138</v>
      </c>
      <c r="E317" s="15">
        <v>-0.34203331872282761</v>
      </c>
      <c r="F317" s="15">
        <v>-0.42148694516347651</v>
      </c>
      <c r="G317" s="15">
        <v>-0.48530928581589566</v>
      </c>
      <c r="H317" s="15">
        <v>-0.5361444216584228</v>
      </c>
      <c r="I317" s="15">
        <v>-0.57663643366939554</v>
      </c>
      <c r="J317" s="15">
        <v>-0.60942940282715119</v>
      </c>
      <c r="K317" s="15">
        <v>-0.63716741011002775</v>
      </c>
      <c r="L317" s="15">
        <v>-0.6624945364963627</v>
      </c>
      <c r="M317" s="15">
        <v>-0.6880548629644937</v>
      </c>
      <c r="N317" s="15">
        <v>-0.71649247049275799</v>
      </c>
      <c r="O317" s="15">
        <v>-0.75045144005949349</v>
      </c>
      <c r="P317" s="15">
        <v>-0.79257585264303831</v>
      </c>
      <c r="Q317" s="15">
        <v>-0.84550978922172926</v>
      </c>
      <c r="S317" s="17">
        <f t="shared" si="39"/>
        <v>-0.20083746691690357</v>
      </c>
      <c r="T317" s="17">
        <f t="shared" si="40"/>
        <v>-0.16175925244632933</v>
      </c>
      <c r="U317" s="17">
        <f t="shared" si="41"/>
        <v>-0.1292912404215992</v>
      </c>
      <c r="V317" s="17">
        <f t="shared" si="42"/>
        <v>-0.10343343084271295</v>
      </c>
      <c r="W317" s="17">
        <f t="shared" si="43"/>
        <v>-8.4185823709670787E-2</v>
      </c>
      <c r="X317" s="17">
        <f t="shared" si="44"/>
        <v>-7.1548419022472623E-2</v>
      </c>
      <c r="Y317" s="17">
        <f t="shared" si="45"/>
        <v>-6.552121678111876E-2</v>
      </c>
      <c r="Z317" s="17">
        <f t="shared" si="46"/>
        <v>-6.6104216985608533E-2</v>
      </c>
      <c r="AA317" s="17">
        <f t="shared" si="47"/>
        <v>-7.3297419635942329E-2</v>
      </c>
    </row>
    <row r="318" spans="1:27" x14ac:dyDescent="0.3">
      <c r="A318" s="13" t="s">
        <v>303</v>
      </c>
      <c r="B318" s="14" t="s">
        <v>304</v>
      </c>
      <c r="C318" s="15">
        <v>-0.11919666073455537</v>
      </c>
      <c r="D318" s="15">
        <v>-0.21094568249287088</v>
      </c>
      <c r="E318" s="15">
        <v>-0.29903535964333949</v>
      </c>
      <c r="F318" s="15">
        <v>-0.37340635116140963</v>
      </c>
      <c r="G318" s="15">
        <v>-0.43591898209598534</v>
      </c>
      <c r="H318" s="15">
        <v>-0.48843357749597049</v>
      </c>
      <c r="I318" s="15">
        <v>-0.53281046241026897</v>
      </c>
      <c r="J318" s="15">
        <v>-0.57090996188778487</v>
      </c>
      <c r="K318" s="15">
        <v>-0.60459240097742195</v>
      </c>
      <c r="L318" s="15">
        <v>-0.63571810472808454</v>
      </c>
      <c r="M318" s="15">
        <v>-0.6661473981886763</v>
      </c>
      <c r="N318" s="15">
        <v>-0.69774060640810109</v>
      </c>
      <c r="O318" s="15">
        <v>-0.7323580544352627</v>
      </c>
      <c r="P318" s="15">
        <v>-0.77186006731906598</v>
      </c>
      <c r="Q318" s="15">
        <v>-0.81810697010841416</v>
      </c>
      <c r="S318" s="17">
        <f t="shared" si="39"/>
        <v>-0.18747774966926203</v>
      </c>
      <c r="T318" s="17">
        <f t="shared" si="40"/>
        <v>-0.15783184821052582</v>
      </c>
      <c r="U318" s="17">
        <f t="shared" si="41"/>
        <v>-0.13283675937404946</v>
      </c>
      <c r="V318" s="17">
        <f t="shared" si="42"/>
        <v>-0.11249248315983293</v>
      </c>
      <c r="W318" s="17">
        <f t="shared" si="43"/>
        <v>-9.6799019567876204E-2</v>
      </c>
      <c r="X318" s="17">
        <f t="shared" si="44"/>
        <v>-8.5756368598179644E-2</v>
      </c>
      <c r="Y318" s="17">
        <f t="shared" si="45"/>
        <v>-7.936453025074286E-2</v>
      </c>
      <c r="Z318" s="17">
        <f t="shared" si="46"/>
        <v>-7.7623504525565948E-2</v>
      </c>
      <c r="AA318" s="17">
        <f t="shared" si="47"/>
        <v>-8.0533291422648451E-2</v>
      </c>
    </row>
    <row r="319" spans="1:27" x14ac:dyDescent="0.3">
      <c r="A319" s="13" t="s">
        <v>303</v>
      </c>
      <c r="B319" s="14" t="s">
        <v>305</v>
      </c>
      <c r="C319" s="15">
        <v>-0.12154726689211702</v>
      </c>
      <c r="D319" s="15">
        <v>-0.21443640516651435</v>
      </c>
      <c r="E319" s="15">
        <v>-0.30297758595334812</v>
      </c>
      <c r="F319" s="15">
        <v>-0.37705433709354302</v>
      </c>
      <c r="G319" s="15">
        <v>-0.4387049131172352</v>
      </c>
      <c r="H319" s="15">
        <v>-0.4899675685545607</v>
      </c>
      <c r="I319" s="15">
        <v>-0.53288055793565592</v>
      </c>
      <c r="J319" s="15">
        <v>-0.56948213579065698</v>
      </c>
      <c r="K319" s="15">
        <v>-0.60181055664970018</v>
      </c>
      <c r="L319" s="15">
        <v>-0.63190407504292201</v>
      </c>
      <c r="M319" s="15">
        <v>-0.66180094550045787</v>
      </c>
      <c r="N319" s="15">
        <v>-0.69353942255244472</v>
      </c>
      <c r="O319" s="15">
        <v>-0.72915776072901861</v>
      </c>
      <c r="P319" s="15">
        <v>-0.77069421456031573</v>
      </c>
      <c r="Q319" s="15">
        <v>-0.82018703857647235</v>
      </c>
      <c r="S319" s="17">
        <f t="shared" si="39"/>
        <v>-0.18689042329226735</v>
      </c>
      <c r="T319" s="17">
        <f t="shared" si="40"/>
        <v>-0.15582498550101048</v>
      </c>
      <c r="U319" s="17">
        <f t="shared" si="41"/>
        <v>-0.12985518403509408</v>
      </c>
      <c r="V319" s="17">
        <f t="shared" si="42"/>
        <v>-0.10898101889451817</v>
      </c>
      <c r="W319" s="17">
        <f t="shared" si="43"/>
        <v>-9.3202490079282913E-2</v>
      </c>
      <c r="X319" s="17">
        <f t="shared" si="44"/>
        <v>-8.2519597589388399E-2</v>
      </c>
      <c r="Y319" s="17">
        <f t="shared" si="45"/>
        <v>-7.6932341424834072E-2</v>
      </c>
      <c r="Z319" s="17">
        <f t="shared" si="46"/>
        <v>-7.6440721585620444E-2</v>
      </c>
      <c r="AA319" s="17">
        <f t="shared" si="47"/>
        <v>-8.1044738071747169E-2</v>
      </c>
    </row>
    <row r="320" spans="1:27" x14ac:dyDescent="0.3">
      <c r="A320" s="13" t="s">
        <v>303</v>
      </c>
      <c r="B320" s="14" t="s">
        <v>306</v>
      </c>
      <c r="C320" s="15">
        <v>-0.12107421473518444</v>
      </c>
      <c r="D320" s="15">
        <v>-0.21371025281140757</v>
      </c>
      <c r="E320" s="15">
        <v>-0.30211599936724026</v>
      </c>
      <c r="F320" s="15">
        <v>-0.37619244464635526</v>
      </c>
      <c r="G320" s="15">
        <v>-0.43794800036594383</v>
      </c>
      <c r="H320" s="15">
        <v>-0.48939107824319728</v>
      </c>
      <c r="I320" s="15">
        <v>-0.53253008999530671</v>
      </c>
      <c r="J320" s="15">
        <v>-0.56937344733946327</v>
      </c>
      <c r="K320" s="15">
        <v>-0.6019295619928583</v>
      </c>
      <c r="L320" s="15">
        <v>-0.63220684567268293</v>
      </c>
      <c r="M320" s="15">
        <v>-0.66221371009612873</v>
      </c>
      <c r="N320" s="15">
        <v>-0.69395856698038649</v>
      </c>
      <c r="O320" s="15">
        <v>-0.72944982804264769</v>
      </c>
      <c r="P320" s="15">
        <v>-0.77069590500010343</v>
      </c>
      <c r="Q320" s="15">
        <v>-0.81970520956994442</v>
      </c>
      <c r="S320" s="17">
        <f t="shared" si="39"/>
        <v>-0.18686478962878023</v>
      </c>
      <c r="T320" s="17">
        <f t="shared" si="40"/>
        <v>-0.15606256572996419</v>
      </c>
      <c r="U320" s="17">
        <f t="shared" si="41"/>
        <v>-0.13028137112412622</v>
      </c>
      <c r="V320" s="17">
        <f t="shared" si="42"/>
        <v>-0.1095212058112662</v>
      </c>
      <c r="W320" s="17">
        <f t="shared" si="43"/>
        <v>-9.3782069791384176E-2</v>
      </c>
      <c r="X320" s="17">
        <f t="shared" si="44"/>
        <v>-8.306396306448019E-2</v>
      </c>
      <c r="Y320" s="17">
        <f t="shared" si="45"/>
        <v>-7.7366885630554549E-2</v>
      </c>
      <c r="Z320" s="17">
        <f t="shared" si="46"/>
        <v>-7.6690837489606825E-2</v>
      </c>
      <c r="AA320" s="17">
        <f t="shared" si="47"/>
        <v>-8.1035818641637308E-2</v>
      </c>
    </row>
    <row r="321" spans="1:27" x14ac:dyDescent="0.3">
      <c r="A321" s="13" t="s">
        <v>303</v>
      </c>
      <c r="B321" s="14" t="s">
        <v>307</v>
      </c>
      <c r="C321" s="15">
        <v>-0.11759674147848803</v>
      </c>
      <c r="D321" s="15">
        <v>-0.20876579181284416</v>
      </c>
      <c r="E321" s="15">
        <v>-0.29691837963350814</v>
      </c>
      <c r="F321" s="15">
        <v>-0.37198556412707101</v>
      </c>
      <c r="G321" s="15">
        <v>-0.43565807862797257</v>
      </c>
      <c r="H321" s="15">
        <v>-0.48962665647065245</v>
      </c>
      <c r="I321" s="15">
        <v>-0.53558203098955071</v>
      </c>
      <c r="J321" s="15">
        <v>-0.57521493551910707</v>
      </c>
      <c r="K321" s="15">
        <v>-0.6102161033937612</v>
      </c>
      <c r="L321" s="15">
        <v>-0.64227626794795323</v>
      </c>
      <c r="M321" s="15">
        <v>-0.6730861625161223</v>
      </c>
      <c r="N321" s="15">
        <v>-0.70433652043270867</v>
      </c>
      <c r="O321" s="15">
        <v>-0.73771807503215237</v>
      </c>
      <c r="P321" s="15">
        <v>-0.77492155964889298</v>
      </c>
      <c r="Q321" s="15">
        <v>-0.81763770761736987</v>
      </c>
      <c r="S321" s="17">
        <f t="shared" si="39"/>
        <v>-0.18907690567927365</v>
      </c>
      <c r="T321" s="17">
        <f t="shared" si="40"/>
        <v>-0.16059023069762024</v>
      </c>
      <c r="U321" s="17">
        <f t="shared" si="41"/>
        <v>-0.1363303890520664</v>
      </c>
      <c r="V321" s="17">
        <f t="shared" si="42"/>
        <v>-0.11629738074261209</v>
      </c>
      <c r="W321" s="17">
        <f t="shared" si="43"/>
        <v>-0.1004912057692573</v>
      </c>
      <c r="X321" s="17">
        <f t="shared" si="44"/>
        <v>-8.8911864132002111E-2</v>
      </c>
      <c r="Y321" s="17">
        <f t="shared" si="45"/>
        <v>-8.1559355830846031E-2</v>
      </c>
      <c r="Z321" s="17">
        <f t="shared" si="46"/>
        <v>-7.8433680865789557E-2</v>
      </c>
      <c r="AA321" s="17">
        <f t="shared" si="47"/>
        <v>-7.9534839236832605E-2</v>
      </c>
    </row>
    <row r="322" spans="1:27" x14ac:dyDescent="0.3">
      <c r="A322" s="13" t="s">
        <v>303</v>
      </c>
      <c r="B322" s="14" t="s">
        <v>308</v>
      </c>
      <c r="C322" s="15">
        <v>-0.12953283590016546</v>
      </c>
      <c r="D322" s="15">
        <v>-0.22638218178634928</v>
      </c>
      <c r="E322" s="15">
        <v>-0.31661996428431088</v>
      </c>
      <c r="F322" s="15">
        <v>-0.38991246047508327</v>
      </c>
      <c r="G322" s="15">
        <v>-0.44887923102971611</v>
      </c>
      <c r="H322" s="15">
        <v>-0.49613983661925903</v>
      </c>
      <c r="I322" s="15">
        <v>-0.53431383791476139</v>
      </c>
      <c r="J322" s="15">
        <v>-0.56602079558727303</v>
      </c>
      <c r="K322" s="15">
        <v>-0.59388027030784352</v>
      </c>
      <c r="L322" s="15">
        <v>-0.62051182274752215</v>
      </c>
      <c r="M322" s="15">
        <v>-0.64853501357735899</v>
      </c>
      <c r="N322" s="15">
        <v>-0.68056940346840322</v>
      </c>
      <c r="O322" s="15">
        <v>-0.7192345530917047</v>
      </c>
      <c r="P322" s="15">
        <v>-0.76715002311831271</v>
      </c>
      <c r="Q322" s="15">
        <v>-0.82693537421927732</v>
      </c>
      <c r="S322" s="17">
        <f t="shared" si="39"/>
        <v>-0.18541420770280567</v>
      </c>
      <c r="T322" s="17">
        <f t="shared" si="40"/>
        <v>-0.14959989361245679</v>
      </c>
      <c r="U322" s="17">
        <f t="shared" si="41"/>
        <v>-0.12033448119973178</v>
      </c>
      <c r="V322" s="17">
        <f t="shared" si="42"/>
        <v>-9.7617970464630777E-2</v>
      </c>
      <c r="W322" s="17">
        <f t="shared" si="43"/>
        <v>-8.1450361407153726E-2</v>
      </c>
      <c r="X322" s="17">
        <f t="shared" si="44"/>
        <v>-7.1831654027300629E-2</v>
      </c>
      <c r="Y322" s="17">
        <f t="shared" si="45"/>
        <v>-6.8761848325071637E-2</v>
      </c>
      <c r="Z322" s="17">
        <f t="shared" si="46"/>
        <v>-7.2240944300466417E-2</v>
      </c>
      <c r="AA322" s="17">
        <f t="shared" si="47"/>
        <v>-8.2268941953485469E-2</v>
      </c>
    </row>
    <row r="323" spans="1:27" x14ac:dyDescent="0.3">
      <c r="A323" s="13" t="s">
        <v>303</v>
      </c>
      <c r="B323" s="14" t="s">
        <v>309</v>
      </c>
      <c r="C323" s="15">
        <v>-0.12215671731019949</v>
      </c>
      <c r="D323" s="15">
        <v>-0.21593450855785301</v>
      </c>
      <c r="E323" s="15">
        <v>-0.30570811360405642</v>
      </c>
      <c r="F323" s="15">
        <v>-0.38119443132557113</v>
      </c>
      <c r="G323" s="15">
        <v>-0.44432603233017864</v>
      </c>
      <c r="H323" s="15">
        <v>-0.49703548722566043</v>
      </c>
      <c r="I323" s="15">
        <v>-0.5412553666197979</v>
      </c>
      <c r="J323" s="15">
        <v>-0.57891824112037249</v>
      </c>
      <c r="K323" s="15">
        <v>-0.61195668133516568</v>
      </c>
      <c r="L323" s="15">
        <v>-0.64230325787195885</v>
      </c>
      <c r="M323" s="15">
        <v>-0.67189054133853365</v>
      </c>
      <c r="N323" s="15">
        <v>-0.70265110234267125</v>
      </c>
      <c r="O323" s="15">
        <v>-0.73651751149215294</v>
      </c>
      <c r="P323" s="15">
        <v>-0.7754223393947608</v>
      </c>
      <c r="Q323" s="15">
        <v>-0.82129815665827577</v>
      </c>
      <c r="S323" s="17">
        <f t="shared" si="39"/>
        <v>-0.19032626981027134</v>
      </c>
      <c r="T323" s="17">
        <f t="shared" si="40"/>
        <v>-0.15943947801800334</v>
      </c>
      <c r="U323" s="17">
        <f t="shared" si="41"/>
        <v>-0.13338411274518897</v>
      </c>
      <c r="V323" s="17">
        <f t="shared" si="42"/>
        <v>-0.1121601739918282</v>
      </c>
      <c r="W323" s="17">
        <f t="shared" si="43"/>
        <v>-9.5767661757921035E-2</v>
      </c>
      <c r="X323" s="17">
        <f t="shared" si="44"/>
        <v>-8.4206576043467457E-2</v>
      </c>
      <c r="Y323" s="17">
        <f t="shared" si="45"/>
        <v>-7.7476916848467636E-2</v>
      </c>
      <c r="Z323" s="17">
        <f t="shared" si="46"/>
        <v>-7.5578684172921309E-2</v>
      </c>
      <c r="AA323" s="17">
        <f t="shared" si="47"/>
        <v>-7.8511878016828407E-2</v>
      </c>
    </row>
    <row r="324" spans="1:27" x14ac:dyDescent="0.3">
      <c r="A324" s="13" t="s">
        <v>303</v>
      </c>
      <c r="B324" s="14" t="s">
        <v>310</v>
      </c>
      <c r="C324" s="15">
        <v>-9.6861626334010603E-2</v>
      </c>
      <c r="D324" s="15">
        <v>-0.17542302674376861</v>
      </c>
      <c r="E324" s="15">
        <v>-0.25482416684734699</v>
      </c>
      <c r="F324" s="15">
        <v>-0.32618417122767646</v>
      </c>
      <c r="G324" s="15">
        <v>-0.39030832710108926</v>
      </c>
      <c r="H324" s="15">
        <v>-0.44800192168391706</v>
      </c>
      <c r="I324" s="15">
        <v>-0.50007024219249185</v>
      </c>
      <c r="J324" s="15">
        <v>-0.5473185758431458</v>
      </c>
      <c r="K324" s="15">
        <v>-0.59055220985221057</v>
      </c>
      <c r="L324" s="15">
        <v>-0.63057643143601849</v>
      </c>
      <c r="M324" s="15">
        <v>-0.66819652781090111</v>
      </c>
      <c r="N324" s="15">
        <v>-0.70421778619319064</v>
      </c>
      <c r="O324" s="15">
        <v>-0.73944549379921876</v>
      </c>
      <c r="P324" s="15">
        <v>-0.77468493784531778</v>
      </c>
      <c r="Q324" s="15">
        <v>-0.81074140554781926</v>
      </c>
      <c r="S324" s="17">
        <f t="shared" si="39"/>
        <v>-0.17907108363110052</v>
      </c>
      <c r="T324" s="17">
        <f t="shared" si="40"/>
        <v>-0.16098146236380839</v>
      </c>
      <c r="U324" s="17">
        <f t="shared" si="41"/>
        <v>-0.14490505913734616</v>
      </c>
      <c r="V324" s="17">
        <f t="shared" si="42"/>
        <v>-0.13084187395171379</v>
      </c>
      <c r="W324" s="17">
        <f t="shared" si="43"/>
        <v>-0.11879190680691126</v>
      </c>
      <c r="X324" s="17">
        <f t="shared" si="44"/>
        <v>-0.10875515770293886</v>
      </c>
      <c r="Y324" s="17">
        <f t="shared" si="45"/>
        <v>-0.1007316266397961</v>
      </c>
      <c r="Z324" s="17">
        <f t="shared" si="46"/>
        <v>-9.4721313617483399E-2</v>
      </c>
      <c r="AA324" s="17">
        <f t="shared" si="47"/>
        <v>-9.072421863600022E-2</v>
      </c>
    </row>
    <row r="325" spans="1:27" x14ac:dyDescent="0.3">
      <c r="A325" s="13" t="s">
        <v>303</v>
      </c>
      <c r="B325" s="14" t="s">
        <v>311</v>
      </c>
      <c r="C325" s="15">
        <v>-0.13551813816834496</v>
      </c>
      <c r="D325" s="15">
        <v>-0.23630101729899794</v>
      </c>
      <c r="E325" s="15">
        <v>-0.32963172013867253</v>
      </c>
      <c r="F325" s="15">
        <v>-0.4047730675913071</v>
      </c>
      <c r="G325" s="15">
        <v>-0.46453969437767423</v>
      </c>
      <c r="H325" s="15">
        <v>-0.51174623521854656</v>
      </c>
      <c r="I325" s="15">
        <v>-0.54920732483469692</v>
      </c>
      <c r="J325" s="15">
        <v>-0.57973759794689794</v>
      </c>
      <c r="K325" s="15">
        <v>-0.60615168927592245</v>
      </c>
      <c r="L325" s="15">
        <v>-0.63126423354254313</v>
      </c>
      <c r="M325" s="15">
        <v>-0.65788986546753259</v>
      </c>
      <c r="N325" s="15">
        <v>-0.68884321977166352</v>
      </c>
      <c r="O325" s="15">
        <v>-0.72693893117570907</v>
      </c>
      <c r="P325" s="15">
        <v>-0.77499163440044139</v>
      </c>
      <c r="Q325" s="15">
        <v>-0.8358159641666334</v>
      </c>
      <c r="S325" s="17">
        <f t="shared" si="39"/>
        <v>-0.19019889756556357</v>
      </c>
      <c r="T325" s="17">
        <f t="shared" si="40"/>
        <v>-0.15176209589989503</v>
      </c>
      <c r="U325" s="17">
        <f t="shared" si="41"/>
        <v>-0.12036188103615819</v>
      </c>
      <c r="V325" s="17">
        <f t="shared" si="42"/>
        <v>-9.5998252974353104E-2</v>
      </c>
      <c r="W325" s="17">
        <f t="shared" si="43"/>
        <v>-7.8671211714479911E-2</v>
      </c>
      <c r="X325" s="17">
        <f t="shared" si="44"/>
        <v>-6.8380757256538513E-2</v>
      </c>
      <c r="Y325" s="17">
        <f t="shared" si="45"/>
        <v>-6.512688960052887E-2</v>
      </c>
      <c r="Z325" s="17">
        <f t="shared" si="46"/>
        <v>-6.8909608746450898E-2</v>
      </c>
      <c r="AA325" s="17">
        <f t="shared" si="47"/>
        <v>-7.9728914694304959E-2</v>
      </c>
    </row>
    <row r="326" spans="1:27" x14ac:dyDescent="0.3">
      <c r="A326" s="13" t="s">
        <v>312</v>
      </c>
      <c r="B326" s="14" t="s">
        <v>313</v>
      </c>
      <c r="C326" s="15">
        <v>-9.8914206975881769E-2</v>
      </c>
      <c r="D326" s="15">
        <v>-0.17857554999952702</v>
      </c>
      <c r="E326" s="15">
        <v>-0.25865319307854129</v>
      </c>
      <c r="F326" s="15">
        <v>-0.33028514104206624</v>
      </c>
      <c r="G326" s="15">
        <v>-0.39450081941683168</v>
      </c>
      <c r="H326" s="15">
        <v>-0.45232965372956735</v>
      </c>
      <c r="I326" s="15">
        <v>-0.50480106950700321</v>
      </c>
      <c r="J326" s="15">
        <v>-0.55294449227586873</v>
      </c>
      <c r="K326" s="15">
        <v>-0.59778934756289404</v>
      </c>
      <c r="L326" s="15">
        <v>-0.64036506089480894</v>
      </c>
      <c r="M326" s="15">
        <v>-0.681701057798343</v>
      </c>
      <c r="N326" s="15">
        <v>-0.72282676380022592</v>
      </c>
      <c r="O326" s="15">
        <v>-7.2693826091692393E-2</v>
      </c>
      <c r="P326" s="15">
        <v>0</v>
      </c>
      <c r="Q326" s="15">
        <v>0</v>
      </c>
      <c r="S326" s="17">
        <f t="shared" ref="S326:S389" si="48">+(G326-D326)/3*2.5</f>
        <v>-0.17993772451442056</v>
      </c>
      <c r="T326" s="17">
        <f t="shared" si="40"/>
        <v>-0.16139705054252174</v>
      </c>
      <c r="U326" s="17">
        <f t="shared" si="41"/>
        <v>-0.14542994038744747</v>
      </c>
      <c r="V326" s="17">
        <f t="shared" si="42"/>
        <v>-0.13203639404919754</v>
      </c>
      <c r="W326" s="17">
        <f t="shared" si="43"/>
        <v>-0.12121641152777224</v>
      </c>
      <c r="X326" s="17">
        <f t="shared" si="44"/>
        <v>-0.11296999282317144</v>
      </c>
      <c r="Y326" s="17">
        <f t="shared" si="45"/>
        <v>-0.10729713793539522</v>
      </c>
      <c r="Z326" s="17">
        <f t="shared" si="46"/>
        <v>-0.10419784686444325</v>
      </c>
      <c r="AA326" s="17">
        <f t="shared" si="47"/>
        <v>0.47305936233593049</v>
      </c>
    </row>
    <row r="327" spans="1:27" x14ac:dyDescent="0.3">
      <c r="A327" s="13" t="s">
        <v>312</v>
      </c>
      <c r="B327" s="14" t="s">
        <v>314</v>
      </c>
      <c r="C327" s="15">
        <v>-0.12212076083796189</v>
      </c>
      <c r="D327" s="15">
        <v>-0.21605853646834372</v>
      </c>
      <c r="E327" s="15">
        <v>-0.30616413133475362</v>
      </c>
      <c r="F327" s="15">
        <v>-0.38211568905807769</v>
      </c>
      <c r="G327" s="15">
        <v>-0.4458034293429981</v>
      </c>
      <c r="H327" s="15">
        <v>-0.49911757189419714</v>
      </c>
      <c r="I327" s="15">
        <v>-0.54394833641635687</v>
      </c>
      <c r="J327" s="15">
        <v>-0.5821859426141599</v>
      </c>
      <c r="K327" s="15">
        <v>-0.61572061019228808</v>
      </c>
      <c r="L327" s="15">
        <v>-0.64644255885542379</v>
      </c>
      <c r="M327" s="15">
        <v>-0.67624200830824932</v>
      </c>
      <c r="N327" s="15">
        <v>-0.70700917825544651</v>
      </c>
      <c r="O327" s="15">
        <v>-7.1009746267481466E-2</v>
      </c>
      <c r="P327" s="15">
        <v>0</v>
      </c>
      <c r="Q327" s="15">
        <v>0</v>
      </c>
      <c r="S327" s="17">
        <f t="shared" si="48"/>
        <v>-0.19145407739554532</v>
      </c>
      <c r="T327" s="17">
        <f t="shared" si="40"/>
        <v>-0.16079453379953629</v>
      </c>
      <c r="U327" s="17">
        <f t="shared" si="41"/>
        <v>-0.13486053946523266</v>
      </c>
      <c r="V327" s="17">
        <f t="shared" si="42"/>
        <v>-0.11365209439263482</v>
      </c>
      <c r="W327" s="17">
        <f t="shared" si="43"/>
        <v>-9.7169198581742444E-2</v>
      </c>
      <c r="X327" s="17">
        <f t="shared" si="44"/>
        <v>-8.5411852032555774E-2</v>
      </c>
      <c r="Y327" s="17">
        <f t="shared" si="45"/>
        <v>-7.8380054745074507E-2</v>
      </c>
      <c r="Z327" s="17">
        <f t="shared" si="46"/>
        <v>-7.6073806719298698E-2</v>
      </c>
      <c r="AA327" s="17">
        <f t="shared" si="47"/>
        <v>0.47952734382328527</v>
      </c>
    </row>
    <row r="328" spans="1:27" x14ac:dyDescent="0.3">
      <c r="A328" s="13" t="s">
        <v>312</v>
      </c>
      <c r="B328" s="14" t="s">
        <v>315</v>
      </c>
      <c r="C328" s="15">
        <v>-0.11751393246195352</v>
      </c>
      <c r="D328" s="15">
        <v>-0.20980784387681384</v>
      </c>
      <c r="E328" s="15">
        <v>-0.30005297866037683</v>
      </c>
      <c r="F328" s="15">
        <v>-0.37779235703700831</v>
      </c>
      <c r="G328" s="15">
        <v>-0.44432039247726929</v>
      </c>
      <c r="H328" s="15">
        <v>-0.50093149845172069</v>
      </c>
      <c r="I328" s="15">
        <v>-0.54892008843092366</v>
      </c>
      <c r="J328" s="15">
        <v>-0.58958057588543922</v>
      </c>
      <c r="K328" s="15">
        <v>-0.62420737428582851</v>
      </c>
      <c r="L328" s="15">
        <v>-0.65409489710265256</v>
      </c>
      <c r="M328" s="15">
        <v>-0.6805375578064724</v>
      </c>
      <c r="N328" s="15">
        <v>-0.70482976986784895</v>
      </c>
      <c r="O328" s="15">
        <v>-7.0723878100103277E-2</v>
      </c>
      <c r="P328" s="15">
        <v>0</v>
      </c>
      <c r="Q328" s="15">
        <v>0</v>
      </c>
      <c r="S328" s="17">
        <f t="shared" si="48"/>
        <v>-0.19542712383371286</v>
      </c>
      <c r="T328" s="17">
        <f t="shared" si="40"/>
        <v>-0.16739876649278657</v>
      </c>
      <c r="U328" s="17">
        <f t="shared" si="41"/>
        <v>-0.14260644282826279</v>
      </c>
      <c r="V328" s="17">
        <f t="shared" si="42"/>
        <v>-0.12105015284014162</v>
      </c>
      <c r="W328" s="17">
        <f t="shared" si="43"/>
        <v>-0.10272989652842318</v>
      </c>
      <c r="X328" s="17">
        <f t="shared" si="44"/>
        <v>-8.7645673893107429E-2</v>
      </c>
      <c r="Y328" s="17">
        <f t="shared" si="45"/>
        <v>-7.5797484934194317E-2</v>
      </c>
      <c r="Z328" s="17">
        <f t="shared" si="46"/>
        <v>-6.7185329651683709E-2</v>
      </c>
      <c r="AA328" s="17">
        <f t="shared" si="47"/>
        <v>0.4861425158354577</v>
      </c>
    </row>
    <row r="329" spans="1:27" x14ac:dyDescent="0.3">
      <c r="A329" s="13" t="s">
        <v>312</v>
      </c>
      <c r="B329" s="14" t="s">
        <v>316</v>
      </c>
      <c r="C329" s="15">
        <v>-0.12112105697449736</v>
      </c>
      <c r="D329" s="15">
        <v>-0.21501027443987047</v>
      </c>
      <c r="E329" s="15">
        <v>-0.30570737284860316</v>
      </c>
      <c r="F329" s="15">
        <v>-0.38276189037113878</v>
      </c>
      <c r="G329" s="15">
        <v>-0.4478354708753704</v>
      </c>
      <c r="H329" s="15">
        <v>-0.50258975822919083</v>
      </c>
      <c r="I329" s="15">
        <v>-0.54868639630049332</v>
      </c>
      <c r="J329" s="15">
        <v>-0.58778702895717105</v>
      </c>
      <c r="K329" s="15">
        <v>-0.62155330006711673</v>
      </c>
      <c r="L329" s="15">
        <v>-0.65164685349822382</v>
      </c>
      <c r="M329" s="15">
        <v>-0.6797293331183849</v>
      </c>
      <c r="N329" s="15">
        <v>-0.70746238279549312</v>
      </c>
      <c r="O329" s="15">
        <v>-7.1023385510764148E-2</v>
      </c>
      <c r="P329" s="15">
        <v>0</v>
      </c>
      <c r="Q329" s="15">
        <v>0</v>
      </c>
      <c r="S329" s="17">
        <f t="shared" si="48"/>
        <v>-0.19402099702958325</v>
      </c>
      <c r="T329" s="17">
        <f t="shared" si="40"/>
        <v>-0.16406865448382307</v>
      </c>
      <c r="U329" s="17">
        <f t="shared" si="41"/>
        <v>-0.13827042160779546</v>
      </c>
      <c r="V329" s="17">
        <f t="shared" si="42"/>
        <v>-0.11662629840150054</v>
      </c>
      <c r="W329" s="17">
        <f t="shared" si="43"/>
        <v>-9.9136284864938251E-2</v>
      </c>
      <c r="X329" s="17">
        <f t="shared" si="44"/>
        <v>-8.5800380998108744E-2</v>
      </c>
      <c r="Y329" s="17">
        <f t="shared" si="45"/>
        <v>-7.6618586801011537E-2</v>
      </c>
      <c r="Z329" s="17">
        <f t="shared" si="46"/>
        <v>-7.1590902273646992E-2</v>
      </c>
      <c r="AA329" s="17">
        <f t="shared" si="47"/>
        <v>0.48385288998954973</v>
      </c>
    </row>
    <row r="330" spans="1:27" x14ac:dyDescent="0.3">
      <c r="A330" s="13" t="s">
        <v>312</v>
      </c>
      <c r="B330" s="14" t="s">
        <v>317</v>
      </c>
      <c r="C330" s="15">
        <v>-0.12019638522229177</v>
      </c>
      <c r="D330" s="15">
        <v>-0.21367665237468889</v>
      </c>
      <c r="E330" s="15">
        <v>-0.3042578916143539</v>
      </c>
      <c r="F330" s="15">
        <v>-0.38148797029090992</v>
      </c>
      <c r="G330" s="15">
        <v>-0.44693439427620923</v>
      </c>
      <c r="H330" s="15">
        <v>-0.50216466944210403</v>
      </c>
      <c r="I330" s="15">
        <v>-0.54874630166044658</v>
      </c>
      <c r="J330" s="15">
        <v>-0.58824679680308911</v>
      </c>
      <c r="K330" s="15">
        <v>-0.62223366074188402</v>
      </c>
      <c r="L330" s="15">
        <v>-0.65227439934868336</v>
      </c>
      <c r="M330" s="15">
        <v>-0.67993651849533954</v>
      </c>
      <c r="N330" s="15">
        <v>-0.70678752405370471</v>
      </c>
      <c r="O330" s="15">
        <v>-7.0946608097952946E-2</v>
      </c>
      <c r="P330" s="15">
        <v>0</v>
      </c>
      <c r="Q330" s="15">
        <v>0</v>
      </c>
      <c r="S330" s="17">
        <f t="shared" si="48"/>
        <v>-0.1943814515846003</v>
      </c>
      <c r="T330" s="17">
        <f t="shared" si="40"/>
        <v>-0.16492231485645842</v>
      </c>
      <c r="U330" s="17">
        <f t="shared" si="41"/>
        <v>-0.13938194280794722</v>
      </c>
      <c r="V330" s="17">
        <f t="shared" si="42"/>
        <v>-0.11776033543906655</v>
      </c>
      <c r="W330" s="17">
        <f t="shared" si="43"/>
        <v>-0.10005749274981665</v>
      </c>
      <c r="X330" s="17">
        <f t="shared" si="44"/>
        <v>-8.6273414740197313E-2</v>
      </c>
      <c r="Y330" s="17">
        <f t="shared" si="45"/>
        <v>-7.6408101410208693E-2</v>
      </c>
      <c r="Z330" s="17">
        <f t="shared" si="46"/>
        <v>-7.0461552759850568E-2</v>
      </c>
      <c r="AA330" s="17">
        <f t="shared" si="47"/>
        <v>0.48443982604227531</v>
      </c>
    </row>
    <row r="331" spans="1:27" x14ac:dyDescent="0.3">
      <c r="A331" s="13" t="s">
        <v>312</v>
      </c>
      <c r="B331" s="14" t="s">
        <v>318</v>
      </c>
      <c r="C331" s="15">
        <v>-0.13177991386643534</v>
      </c>
      <c r="D331" s="15">
        <v>-0.23133905378298109</v>
      </c>
      <c r="E331" s="15">
        <v>-0.32506913690249389</v>
      </c>
      <c r="F331" s="15">
        <v>-0.40218283751479572</v>
      </c>
      <c r="G331" s="15">
        <v>-0.46507082129635224</v>
      </c>
      <c r="H331" s="15">
        <v>-0.51612375392362919</v>
      </c>
      <c r="I331" s="15">
        <v>-0.55773230107309191</v>
      </c>
      <c r="J331" s="15">
        <v>-0.59228712842120634</v>
      </c>
      <c r="K331" s="15">
        <v>-0.62217890164443801</v>
      </c>
      <c r="L331" s="15">
        <v>-0.64979828641925219</v>
      </c>
      <c r="M331" s="15">
        <v>-0.67753594842211495</v>
      </c>
      <c r="N331" s="15">
        <v>-0.70778255332949169</v>
      </c>
      <c r="O331" s="15">
        <v>-7.1083469391495124E-2</v>
      </c>
      <c r="P331" s="15">
        <v>0</v>
      </c>
      <c r="Q331" s="15">
        <v>0</v>
      </c>
      <c r="S331" s="17">
        <f t="shared" si="48"/>
        <v>-0.19477647292780928</v>
      </c>
      <c r="T331" s="17">
        <f t="shared" si="40"/>
        <v>-0.1592121808509461</v>
      </c>
      <c r="U331" s="17">
        <f t="shared" si="41"/>
        <v>-0.12962455296524683</v>
      </c>
      <c r="V331" s="17">
        <f t="shared" si="42"/>
        <v>-0.10601358927071175</v>
      </c>
      <c r="W331" s="17">
        <f t="shared" si="43"/>
        <v>-8.8379289767340691E-2</v>
      </c>
      <c r="X331" s="17">
        <f t="shared" si="44"/>
        <v>-7.672165445513357E-2</v>
      </c>
      <c r="Y331" s="17">
        <f t="shared" si="45"/>
        <v>-7.1040683334090513E-2</v>
      </c>
      <c r="Z331" s="17">
        <f t="shared" si="46"/>
        <v>-7.1336376404211407E-2</v>
      </c>
      <c r="AA331" s="17">
        <f t="shared" si="47"/>
        <v>0.48226234752313085</v>
      </c>
    </row>
    <row r="332" spans="1:27" x14ac:dyDescent="0.3">
      <c r="A332" s="13" t="s">
        <v>312</v>
      </c>
      <c r="B332" s="14" t="s">
        <v>319</v>
      </c>
      <c r="C332" s="15">
        <v>-0.12079419923409976</v>
      </c>
      <c r="D332" s="15">
        <v>-0.21882851263802858</v>
      </c>
      <c r="E332" s="15">
        <v>-0.31712062979479577</v>
      </c>
      <c r="F332" s="15">
        <v>-0.40364176208129565</v>
      </c>
      <c r="G332" s="15">
        <v>-0.47844254079783261</v>
      </c>
      <c r="H332" s="15">
        <v>-0.54157359724471121</v>
      </c>
      <c r="I332" s="15">
        <v>-0.59308556272223545</v>
      </c>
      <c r="J332" s="15">
        <v>-0.63302906853070984</v>
      </c>
      <c r="K332" s="15">
        <v>-0.66145474597043896</v>
      </c>
      <c r="L332" s="15">
        <v>-0.67841322634172685</v>
      </c>
      <c r="M332" s="15">
        <v>-0.68395514094487808</v>
      </c>
      <c r="N332" s="15">
        <v>-0.67813112108019702</v>
      </c>
      <c r="O332" s="15">
        <v>-6.7743511038035109E-2</v>
      </c>
      <c r="P332" s="15">
        <v>0</v>
      </c>
      <c r="Q332" s="15">
        <v>0</v>
      </c>
      <c r="S332" s="17">
        <f t="shared" si="48"/>
        <v>-0.21634502346650336</v>
      </c>
      <c r="T332" s="17">
        <f t="shared" si="40"/>
        <v>-0.18704413954159618</v>
      </c>
      <c r="U332" s="17">
        <f t="shared" si="41"/>
        <v>-0.15786983386744985</v>
      </c>
      <c r="V332" s="17">
        <f t="shared" si="42"/>
        <v>-0.12882210644406436</v>
      </c>
      <c r="W332" s="17">
        <f t="shared" si="43"/>
        <v>-9.99009572714398E-2</v>
      </c>
      <c r="X332" s="17">
        <f t="shared" si="44"/>
        <v>-7.1106386349576167E-2</v>
      </c>
      <c r="Y332" s="17">
        <f t="shared" si="45"/>
        <v>-4.2438393678473532E-2</v>
      </c>
      <c r="Z332" s="17">
        <f t="shared" si="46"/>
        <v>-1.3896979258131714E-2</v>
      </c>
      <c r="AA332" s="17">
        <f t="shared" si="47"/>
        <v>0.50889142941974308</v>
      </c>
    </row>
    <row r="333" spans="1:27" x14ac:dyDescent="0.3">
      <c r="A333" s="13" t="s">
        <v>312</v>
      </c>
      <c r="B333" s="14" t="s">
        <v>320</v>
      </c>
      <c r="C333" s="15">
        <v>-0.12019638522229177</v>
      </c>
      <c r="D333" s="15">
        <v>-0.21367665237468889</v>
      </c>
      <c r="E333" s="15">
        <v>-0.3042578916143539</v>
      </c>
      <c r="F333" s="15">
        <v>-0.38148797029090992</v>
      </c>
      <c r="G333" s="15">
        <v>-0.44693439427620923</v>
      </c>
      <c r="H333" s="15">
        <v>-0.50216466944210403</v>
      </c>
      <c r="I333" s="15">
        <v>-0.54874630166044658</v>
      </c>
      <c r="J333" s="15">
        <v>-0.58824679680308911</v>
      </c>
      <c r="K333" s="15">
        <v>-0.62223366074188402</v>
      </c>
      <c r="L333" s="15">
        <v>-0.65227439934868336</v>
      </c>
      <c r="M333" s="15">
        <v>-0.67993651849533954</v>
      </c>
      <c r="N333" s="15">
        <v>-0.70678752405370471</v>
      </c>
      <c r="O333" s="15">
        <v>-7.0946608097952946E-2</v>
      </c>
      <c r="P333" s="15">
        <v>0</v>
      </c>
      <c r="Q333" s="15">
        <v>0</v>
      </c>
      <c r="S333" s="17">
        <f t="shared" si="48"/>
        <v>-0.1943814515846003</v>
      </c>
      <c r="T333" s="17">
        <f t="shared" si="40"/>
        <v>-0.16492231485645842</v>
      </c>
      <c r="U333" s="17">
        <f t="shared" si="41"/>
        <v>-0.13938194280794722</v>
      </c>
      <c r="V333" s="17">
        <f t="shared" si="42"/>
        <v>-0.11776033543906655</v>
      </c>
      <c r="W333" s="17">
        <f t="shared" si="43"/>
        <v>-0.10005749274981665</v>
      </c>
      <c r="X333" s="17">
        <f t="shared" si="44"/>
        <v>-8.6273414740197313E-2</v>
      </c>
      <c r="Y333" s="17">
        <f t="shared" si="45"/>
        <v>-7.6408101410208693E-2</v>
      </c>
      <c r="Z333" s="17">
        <f t="shared" si="46"/>
        <v>-7.0461552759850568E-2</v>
      </c>
      <c r="AA333" s="17">
        <f t="shared" si="47"/>
        <v>0.48443982604227531</v>
      </c>
    </row>
    <row r="334" spans="1:27" x14ac:dyDescent="0.3">
      <c r="A334" s="13" t="s">
        <v>312</v>
      </c>
      <c r="B334" s="14" t="s">
        <v>321</v>
      </c>
      <c r="C334" s="15">
        <v>-0.12394433864021709</v>
      </c>
      <c r="D334" s="15">
        <v>-0.21823029645341813</v>
      </c>
      <c r="E334" s="15">
        <v>-0.30786619209156474</v>
      </c>
      <c r="F334" s="15">
        <v>-0.38283277752745692</v>
      </c>
      <c r="G334" s="15">
        <v>-0.44550523859791669</v>
      </c>
      <c r="H334" s="15">
        <v>-0.49825876113976592</v>
      </c>
      <c r="I334" s="15">
        <v>-0.54346853098982639</v>
      </c>
      <c r="J334" s="15">
        <v>-0.58350973398492023</v>
      </c>
      <c r="K334" s="15">
        <v>-0.6207575559618691</v>
      </c>
      <c r="L334" s="15">
        <v>-0.65758718275749484</v>
      </c>
      <c r="M334" s="15">
        <v>-0.69637380020861961</v>
      </c>
      <c r="N334" s="15">
        <v>-0.73949259415206503</v>
      </c>
      <c r="O334" s="15">
        <v>-7.4385017049716895E-2</v>
      </c>
      <c r="P334" s="15">
        <v>0</v>
      </c>
      <c r="Q334" s="15">
        <v>0</v>
      </c>
      <c r="S334" s="17">
        <f t="shared" si="48"/>
        <v>-0.18939578512041547</v>
      </c>
      <c r="T334" s="17">
        <f t="shared" si="40"/>
        <v>-0.1586604742068343</v>
      </c>
      <c r="U334" s="17">
        <f t="shared" si="41"/>
        <v>-0.13386312788530788</v>
      </c>
      <c r="V334" s="17">
        <f t="shared" si="42"/>
        <v>-0.11500374615583628</v>
      </c>
      <c r="W334" s="17">
        <f t="shared" si="43"/>
        <v>-0.10208232901841932</v>
      </c>
      <c r="X334" s="17">
        <f t="shared" si="44"/>
        <v>-9.5098876473057037E-2</v>
      </c>
      <c r="Y334" s="17">
        <f t="shared" si="45"/>
        <v>-9.4053388519749481E-2</v>
      </c>
      <c r="Z334" s="17">
        <f t="shared" si="46"/>
        <v>-9.8945865158496599E-2</v>
      </c>
      <c r="AA334" s="17">
        <f t="shared" si="47"/>
        <v>0.48600180475648158</v>
      </c>
    </row>
    <row r="335" spans="1:27" x14ac:dyDescent="0.3">
      <c r="A335" s="13" t="s">
        <v>312</v>
      </c>
      <c r="B335" s="14" t="s">
        <v>322</v>
      </c>
      <c r="C335" s="15">
        <v>-0.13288561705823099</v>
      </c>
      <c r="D335" s="15">
        <v>-0.23259461687202254</v>
      </c>
      <c r="E335" s="15">
        <v>-0.32582865928720028</v>
      </c>
      <c r="F335" s="15">
        <v>-0.40189287191229089</v>
      </c>
      <c r="G335" s="15">
        <v>-0.46338094406164393</v>
      </c>
      <c r="H335" s="15">
        <v>-0.51288656504960928</v>
      </c>
      <c r="I335" s="15">
        <v>-0.5530034241905365</v>
      </c>
      <c r="J335" s="15">
        <v>-0.58632521079877509</v>
      </c>
      <c r="K335" s="15">
        <v>-0.61544561418867483</v>
      </c>
      <c r="L335" s="15">
        <v>-0.64295832367458527</v>
      </c>
      <c r="M335" s="15">
        <v>-0.67145702857085654</v>
      </c>
      <c r="N335" s="15">
        <v>-0.70353541819183774</v>
      </c>
      <c r="O335" s="15">
        <v>-7.0678164769049756E-2</v>
      </c>
      <c r="P335" s="15">
        <v>0</v>
      </c>
      <c r="Q335" s="15">
        <v>0</v>
      </c>
      <c r="S335" s="17">
        <f t="shared" si="48"/>
        <v>-0.19232193932468447</v>
      </c>
      <c r="T335" s="17">
        <f t="shared" si="40"/>
        <v>-0.15588158813534084</v>
      </c>
      <c r="U335" s="17">
        <f t="shared" si="41"/>
        <v>-0.12592546023187134</v>
      </c>
      <c r="V335" s="17">
        <f t="shared" si="42"/>
        <v>-0.10245355561427597</v>
      </c>
      <c r="W335" s="17">
        <f t="shared" si="43"/>
        <v>-8.5465874282554616E-2</v>
      </c>
      <c r="X335" s="17">
        <f t="shared" si="44"/>
        <v>-7.496241623670731E-2</v>
      </c>
      <c r="Y335" s="17">
        <f t="shared" si="45"/>
        <v>-7.0943181476734549E-2</v>
      </c>
      <c r="Z335" s="17">
        <f t="shared" si="46"/>
        <v>-7.3408170002635761E-2</v>
      </c>
      <c r="AA335" s="17">
        <f t="shared" si="47"/>
        <v>0.4769001324212796</v>
      </c>
    </row>
    <row r="336" spans="1:27" x14ac:dyDescent="0.3">
      <c r="A336" s="13" t="s">
        <v>323</v>
      </c>
      <c r="B336" s="14" t="s">
        <v>324</v>
      </c>
      <c r="C336" s="15" t="s">
        <v>61</v>
      </c>
      <c r="D336" s="15">
        <v>-0.22196584422566329</v>
      </c>
      <c r="E336" s="15">
        <v>-0.32775246961471638</v>
      </c>
      <c r="F336" s="15">
        <v>-0.40148714335949115</v>
      </c>
      <c r="G336" s="15">
        <v>-4.0867835706189293E-2</v>
      </c>
      <c r="H336" s="15">
        <v>0</v>
      </c>
      <c r="I336" s="15">
        <v>0</v>
      </c>
      <c r="J336" s="15">
        <v>0</v>
      </c>
      <c r="K336" s="15">
        <v>0</v>
      </c>
      <c r="L336" s="15">
        <v>-0.55881445313995659</v>
      </c>
      <c r="M336" s="15">
        <v>-0.64437497388600429</v>
      </c>
      <c r="N336" s="15">
        <v>-0.67506964031011596</v>
      </c>
      <c r="O336" s="15">
        <v>-0.71352161225463673</v>
      </c>
      <c r="P336" s="15">
        <v>-0.76265029114967597</v>
      </c>
      <c r="Q336" s="15">
        <v>-0.82537507842534275</v>
      </c>
      <c r="S336" s="17">
        <f t="shared" si="48"/>
        <v>0.15091500709956165</v>
      </c>
      <c r="T336" s="17">
        <f t="shared" si="40"/>
        <v>0.27312705801226367</v>
      </c>
      <c r="U336" s="17">
        <f t="shared" si="41"/>
        <v>0.33457261946624262</v>
      </c>
      <c r="V336" s="17">
        <f t="shared" si="42"/>
        <v>3.4056529755157744E-2</v>
      </c>
      <c r="W336" s="17">
        <f t="shared" si="43"/>
        <v>0</v>
      </c>
      <c r="X336" s="17">
        <f t="shared" si="44"/>
        <v>-0.46567871094996383</v>
      </c>
      <c r="Y336" s="17">
        <f t="shared" si="45"/>
        <v>-0.53697914490500354</v>
      </c>
      <c r="Z336" s="17">
        <f t="shared" si="46"/>
        <v>-0.56255803359176326</v>
      </c>
      <c r="AA336" s="17">
        <f t="shared" si="47"/>
        <v>-0.12892263259556677</v>
      </c>
    </row>
    <row r="337" spans="1:27" x14ac:dyDescent="0.3">
      <c r="A337" s="13" t="s">
        <v>323</v>
      </c>
      <c r="B337" s="14" t="s">
        <v>325</v>
      </c>
      <c r="C337" s="15" t="s">
        <v>61</v>
      </c>
      <c r="D337" s="15">
        <v>-0.20263051720350722</v>
      </c>
      <c r="E337" s="15">
        <v>-0.29961799430332503</v>
      </c>
      <c r="F337" s="15">
        <v>-0.36777420282357598</v>
      </c>
      <c r="G337" s="15">
        <v>-3.7442769543461207E-2</v>
      </c>
      <c r="H337" s="15">
        <v>0</v>
      </c>
      <c r="I337" s="15">
        <v>0</v>
      </c>
      <c r="J337" s="15">
        <v>0</v>
      </c>
      <c r="K337" s="15">
        <v>0</v>
      </c>
      <c r="L337" s="15">
        <v>-0.52859033605696137</v>
      </c>
      <c r="M337" s="15">
        <v>-0.61443282961456258</v>
      </c>
      <c r="N337" s="15">
        <v>-0.64978365366284119</v>
      </c>
      <c r="O337" s="15">
        <v>-0.69342123185200222</v>
      </c>
      <c r="P337" s="15">
        <v>-0.74809832578201807</v>
      </c>
      <c r="Q337" s="15">
        <v>-0.81656769705286258</v>
      </c>
      <c r="S337" s="17">
        <f t="shared" si="48"/>
        <v>0.13765645638337168</v>
      </c>
      <c r="T337" s="17">
        <f t="shared" si="40"/>
        <v>0.24968166191943753</v>
      </c>
      <c r="U337" s="17">
        <f t="shared" si="41"/>
        <v>0.30647850235297996</v>
      </c>
      <c r="V337" s="17">
        <f t="shared" si="42"/>
        <v>3.1202307952884339E-2</v>
      </c>
      <c r="W337" s="17">
        <f t="shared" si="43"/>
        <v>0</v>
      </c>
      <c r="X337" s="17">
        <f t="shared" si="44"/>
        <v>-0.44049194671413444</v>
      </c>
      <c r="Y337" s="17">
        <f t="shared" si="45"/>
        <v>-0.5120273580121355</v>
      </c>
      <c r="Z337" s="17">
        <f t="shared" si="46"/>
        <v>-0.54148637805236766</v>
      </c>
      <c r="AA337" s="17">
        <f t="shared" si="47"/>
        <v>-0.1373590798292007</v>
      </c>
    </row>
    <row r="338" spans="1:27" x14ac:dyDescent="0.3">
      <c r="A338" s="13" t="s">
        <v>326</v>
      </c>
      <c r="B338" s="14" t="s">
        <v>327</v>
      </c>
      <c r="C338" s="15" t="s">
        <v>61</v>
      </c>
      <c r="D338" s="15">
        <v>0</v>
      </c>
      <c r="E338" s="15">
        <v>0</v>
      </c>
      <c r="F338" s="15">
        <v>0</v>
      </c>
      <c r="G338" s="15">
        <v>0</v>
      </c>
      <c r="H338" s="15">
        <v>-0.43164076563363796</v>
      </c>
      <c r="I338" s="15">
        <v>-4.7960085070404224E-2</v>
      </c>
      <c r="J338" s="15">
        <v>-0.52641164620656788</v>
      </c>
      <c r="K338" s="15">
        <v>-0.62730566424176193</v>
      </c>
      <c r="L338" s="15">
        <v>-0.67235223392387744</v>
      </c>
      <c r="M338" s="15">
        <v>-0.71603933453837909</v>
      </c>
      <c r="N338" s="15">
        <v>-0.75941052227824579</v>
      </c>
      <c r="O338" s="15">
        <v>-0.80350935333645723</v>
      </c>
      <c r="P338" s="15">
        <v>-0.84937938390599299</v>
      </c>
      <c r="Q338" s="15">
        <v>-0.89806417017983198</v>
      </c>
      <c r="S338" s="17">
        <f t="shared" si="48"/>
        <v>0</v>
      </c>
      <c r="T338" s="17">
        <f t="shared" si="40"/>
        <v>-0.35970063802803159</v>
      </c>
      <c r="U338" s="17">
        <f t="shared" si="41"/>
        <v>-3.9966737558670182E-2</v>
      </c>
      <c r="V338" s="17">
        <f t="shared" si="42"/>
        <v>-0.43867637183880653</v>
      </c>
      <c r="W338" s="17">
        <f t="shared" si="43"/>
        <v>-0.16305408217343664</v>
      </c>
      <c r="X338" s="17">
        <f t="shared" si="44"/>
        <v>-0.52032679071122767</v>
      </c>
      <c r="Y338" s="17">
        <f t="shared" si="45"/>
        <v>-0.15802307360984269</v>
      </c>
      <c r="Z338" s="17">
        <f t="shared" si="46"/>
        <v>-0.11008738169706989</v>
      </c>
      <c r="AA338" s="17">
        <f t="shared" si="47"/>
        <v>-0.10929759951048315</v>
      </c>
    </row>
    <row r="339" spans="1:27" x14ac:dyDescent="0.3">
      <c r="A339" s="13" t="s">
        <v>326</v>
      </c>
      <c r="B339" s="14" t="s">
        <v>328</v>
      </c>
      <c r="C339" s="15" t="s">
        <v>61</v>
      </c>
      <c r="D339" s="15">
        <v>0</v>
      </c>
      <c r="E339" s="15">
        <v>0</v>
      </c>
      <c r="F339" s="15">
        <v>0</v>
      </c>
      <c r="G339" s="15">
        <v>0</v>
      </c>
      <c r="H339" s="15">
        <v>-0.43973536751707604</v>
      </c>
      <c r="I339" s="15">
        <v>-4.8859485279675097E-2</v>
      </c>
      <c r="J339" s="15">
        <v>-0.51071438625408661</v>
      </c>
      <c r="K339" s="15">
        <v>-0.59722485123258473</v>
      </c>
      <c r="L339" s="15">
        <v>-0.62898335299217822</v>
      </c>
      <c r="M339" s="15">
        <v>-0.66116061377543411</v>
      </c>
      <c r="N339" s="15">
        <v>-0.69584300571803126</v>
      </c>
      <c r="O339" s="15">
        <v>-0.73511690095564919</v>
      </c>
      <c r="P339" s="15">
        <v>-0.78106867162396676</v>
      </c>
      <c r="Q339" s="15">
        <v>-0.83578468985866228</v>
      </c>
      <c r="S339" s="17">
        <f t="shared" si="48"/>
        <v>0</v>
      </c>
      <c r="T339" s="17">
        <f t="shared" si="40"/>
        <v>-0.36644613959756334</v>
      </c>
      <c r="U339" s="17">
        <f t="shared" si="41"/>
        <v>-4.0716237733062585E-2</v>
      </c>
      <c r="V339" s="17">
        <f t="shared" si="42"/>
        <v>-0.42559532187840554</v>
      </c>
      <c r="W339" s="17">
        <f t="shared" si="43"/>
        <v>-0.13124123642959057</v>
      </c>
      <c r="X339" s="17">
        <f t="shared" si="44"/>
        <v>-0.48343655642708594</v>
      </c>
      <c r="Y339" s="17">
        <f t="shared" si="45"/>
        <v>-0.1253718562677896</v>
      </c>
      <c r="Z339" s="17">
        <f t="shared" si="46"/>
        <v>-8.2181795404538766E-2</v>
      </c>
      <c r="AA339" s="17">
        <f t="shared" si="47"/>
        <v>-8.8444623302892461E-2</v>
      </c>
    </row>
    <row r="340" spans="1:27" x14ac:dyDescent="0.3">
      <c r="A340" s="13" t="s">
        <v>326</v>
      </c>
      <c r="B340" s="14" t="s">
        <v>329</v>
      </c>
      <c r="C340" s="15" t="s">
        <v>61</v>
      </c>
      <c r="D340" s="15">
        <v>0</v>
      </c>
      <c r="E340" s="15">
        <v>0</v>
      </c>
      <c r="F340" s="15">
        <v>0</v>
      </c>
      <c r="G340" s="15">
        <v>0</v>
      </c>
      <c r="H340" s="15">
        <v>-0.43315266459306023</v>
      </c>
      <c r="I340" s="15">
        <v>-4.8128073843673347E-2</v>
      </c>
      <c r="J340" s="15">
        <v>-0.50726417268429858</v>
      </c>
      <c r="K340" s="15">
        <v>-0.59624056367974076</v>
      </c>
      <c r="L340" s="15">
        <v>-0.63210452489844204</v>
      </c>
      <c r="M340" s="15">
        <v>-0.66949440615550715</v>
      </c>
      <c r="N340" s="15">
        <v>-0.71056677161537296</v>
      </c>
      <c r="O340" s="15">
        <v>-0.75747818544247725</v>
      </c>
      <c r="P340" s="15">
        <v>-0.81238521180125733</v>
      </c>
      <c r="Q340" s="15">
        <v>-0.87744441485615099</v>
      </c>
      <c r="S340" s="17">
        <f t="shared" si="48"/>
        <v>0</v>
      </c>
      <c r="T340" s="17">
        <f t="shared" si="40"/>
        <v>-0.36096055382755016</v>
      </c>
      <c r="U340" s="17">
        <f t="shared" si="41"/>
        <v>-4.0106728203061118E-2</v>
      </c>
      <c r="V340" s="17">
        <f t="shared" si="42"/>
        <v>-0.42272014390358215</v>
      </c>
      <c r="W340" s="17">
        <f t="shared" si="43"/>
        <v>-0.13590658257223379</v>
      </c>
      <c r="X340" s="17">
        <f t="shared" si="44"/>
        <v>-0.48664704254564062</v>
      </c>
      <c r="Y340" s="17">
        <f t="shared" si="45"/>
        <v>-0.13519186122600715</v>
      </c>
      <c r="Z340" s="17">
        <f t="shared" si="46"/>
        <v>-9.5271839946360154E-2</v>
      </c>
      <c r="AA340" s="17">
        <f t="shared" si="47"/>
        <v>-0.10447805045336267</v>
      </c>
    </row>
    <row r="341" spans="1:27" x14ac:dyDescent="0.3">
      <c r="A341" s="13" t="s">
        <v>326</v>
      </c>
      <c r="B341" s="14" t="s">
        <v>330</v>
      </c>
      <c r="C341" s="15" t="s">
        <v>61</v>
      </c>
      <c r="D341" s="15">
        <v>0</v>
      </c>
      <c r="E341" s="15">
        <v>0</v>
      </c>
      <c r="F341" s="15">
        <v>0</v>
      </c>
      <c r="G341" s="15">
        <v>0</v>
      </c>
      <c r="H341" s="15">
        <v>-0.43611214448433422</v>
      </c>
      <c r="I341" s="15">
        <v>-4.8456904942703771E-2</v>
      </c>
      <c r="J341" s="15">
        <v>-0.5176802691953114</v>
      </c>
      <c r="K341" s="15">
        <v>-0.61080747764932608</v>
      </c>
      <c r="L341" s="15">
        <v>-0.64893045032950258</v>
      </c>
      <c r="M341" s="15">
        <v>-0.686960824489946</v>
      </c>
      <c r="N341" s="15">
        <v>-0.72657418083063119</v>
      </c>
      <c r="O341" s="15">
        <v>-0.76944610005153291</v>
      </c>
      <c r="P341" s="15">
        <v>-0.81725216285262636</v>
      </c>
      <c r="Q341" s="15">
        <v>-0.87166794993388652</v>
      </c>
      <c r="S341" s="17">
        <f t="shared" si="48"/>
        <v>0</v>
      </c>
      <c r="T341" s="17">
        <f t="shared" ref="T341:T404" si="49">+(H341-E341)/3*2.5</f>
        <v>-0.36342678707027848</v>
      </c>
      <c r="U341" s="17">
        <f t="shared" ref="U341:U404" si="50">+(I341-F341)/3*2.5</f>
        <v>-4.0380754118919809E-2</v>
      </c>
      <c r="V341" s="17">
        <f t="shared" ref="V341:V404" si="51">+(J341-G341)/3*2.5</f>
        <v>-0.43140022432942621</v>
      </c>
      <c r="W341" s="17">
        <f t="shared" ref="W341:W404" si="52">+(K341-H341)/3*2.5</f>
        <v>-0.14557944430415989</v>
      </c>
      <c r="X341" s="17">
        <f t="shared" ref="X341:X404" si="53">+(L341-I341)/3*2.5</f>
        <v>-0.50039462115566569</v>
      </c>
      <c r="Y341" s="17">
        <f t="shared" ref="Y341:Y404" si="54">+(M341-J341)/3*2.5</f>
        <v>-0.14106712941219549</v>
      </c>
      <c r="Z341" s="17">
        <f t="shared" ref="Z341:Z404" si="55">+(N341-K341)/3*2.5</f>
        <v>-9.6472252651087581E-2</v>
      </c>
      <c r="AA341" s="17">
        <f t="shared" ref="AA341:AA404" si="56">+(O341-L341)/3*2.5</f>
        <v>-0.10042970810169194</v>
      </c>
    </row>
    <row r="342" spans="1:27" x14ac:dyDescent="0.3">
      <c r="A342" s="13" t="s">
        <v>326</v>
      </c>
      <c r="B342" s="14" t="s">
        <v>331</v>
      </c>
      <c r="C342" s="15" t="s">
        <v>61</v>
      </c>
      <c r="D342" s="15">
        <v>0</v>
      </c>
      <c r="E342" s="15">
        <v>0</v>
      </c>
      <c r="F342" s="15">
        <v>0</v>
      </c>
      <c r="G342" s="15">
        <v>0</v>
      </c>
      <c r="H342" s="15">
        <v>-0.43611214448433422</v>
      </c>
      <c r="I342" s="15">
        <v>-4.8456904942703771E-2</v>
      </c>
      <c r="J342" s="15">
        <v>-0.5176802691953114</v>
      </c>
      <c r="K342" s="15">
        <v>-0.61080747764932608</v>
      </c>
      <c r="L342" s="15">
        <v>-0.64893045032950258</v>
      </c>
      <c r="M342" s="15">
        <v>-0.686960824489946</v>
      </c>
      <c r="N342" s="15">
        <v>-0.72657418083063119</v>
      </c>
      <c r="O342" s="15">
        <v>-0.76944610005153291</v>
      </c>
      <c r="P342" s="15">
        <v>-0.81725216285262636</v>
      </c>
      <c r="Q342" s="15">
        <v>-0.87166794993388652</v>
      </c>
      <c r="S342" s="17">
        <f t="shared" si="48"/>
        <v>0</v>
      </c>
      <c r="T342" s="17">
        <f t="shared" si="49"/>
        <v>-0.36342678707027848</v>
      </c>
      <c r="U342" s="17">
        <f t="shared" si="50"/>
        <v>-4.0380754118919809E-2</v>
      </c>
      <c r="V342" s="17">
        <f t="shared" si="51"/>
        <v>-0.43140022432942621</v>
      </c>
      <c r="W342" s="17">
        <f t="shared" si="52"/>
        <v>-0.14557944430415989</v>
      </c>
      <c r="X342" s="17">
        <f t="shared" si="53"/>
        <v>-0.50039462115566569</v>
      </c>
      <c r="Y342" s="17">
        <f t="shared" si="54"/>
        <v>-0.14106712941219549</v>
      </c>
      <c r="Z342" s="17">
        <f t="shared" si="55"/>
        <v>-9.6472252651087581E-2</v>
      </c>
      <c r="AA342" s="17">
        <f t="shared" si="56"/>
        <v>-0.10042970810169194</v>
      </c>
    </row>
    <row r="343" spans="1:27" x14ac:dyDescent="0.3">
      <c r="A343" s="13" t="s">
        <v>326</v>
      </c>
      <c r="B343" s="14" t="s">
        <v>332</v>
      </c>
      <c r="C343" s="15" t="s">
        <v>61</v>
      </c>
      <c r="D343" s="15">
        <v>0</v>
      </c>
      <c r="E343" s="15">
        <v>0</v>
      </c>
      <c r="F343" s="15">
        <v>0</v>
      </c>
      <c r="G343" s="15">
        <v>0</v>
      </c>
      <c r="H343" s="15">
        <v>-0.43611214448433422</v>
      </c>
      <c r="I343" s="15">
        <v>-4.8456904942703771E-2</v>
      </c>
      <c r="J343" s="15">
        <v>-0.5176802691953114</v>
      </c>
      <c r="K343" s="15">
        <v>-0.61080747764932608</v>
      </c>
      <c r="L343" s="15">
        <v>-0.64893045032950258</v>
      </c>
      <c r="M343" s="15">
        <v>-0.686960824489946</v>
      </c>
      <c r="N343" s="15">
        <v>-0.72657418083063119</v>
      </c>
      <c r="O343" s="15">
        <v>-0.76944610005153291</v>
      </c>
      <c r="P343" s="15">
        <v>-0.81725216285262636</v>
      </c>
      <c r="Q343" s="15">
        <v>-0.87166794993388652</v>
      </c>
      <c r="S343" s="17">
        <f t="shared" si="48"/>
        <v>0</v>
      </c>
      <c r="T343" s="17">
        <f t="shared" si="49"/>
        <v>-0.36342678707027848</v>
      </c>
      <c r="U343" s="17">
        <f t="shared" si="50"/>
        <v>-4.0380754118919809E-2</v>
      </c>
      <c r="V343" s="17">
        <f t="shared" si="51"/>
        <v>-0.43140022432942621</v>
      </c>
      <c r="W343" s="17">
        <f t="shared" si="52"/>
        <v>-0.14557944430415989</v>
      </c>
      <c r="X343" s="17">
        <f t="shared" si="53"/>
        <v>-0.50039462115566569</v>
      </c>
      <c r="Y343" s="17">
        <f t="shared" si="54"/>
        <v>-0.14106712941219549</v>
      </c>
      <c r="Z343" s="17">
        <f t="shared" si="55"/>
        <v>-9.6472252651087581E-2</v>
      </c>
      <c r="AA343" s="17">
        <f t="shared" si="56"/>
        <v>-0.10042970810169194</v>
      </c>
    </row>
    <row r="344" spans="1:27" x14ac:dyDescent="0.3">
      <c r="A344" s="13" t="s">
        <v>326</v>
      </c>
      <c r="B344" s="14" t="s">
        <v>333</v>
      </c>
      <c r="C344" s="15" t="s">
        <v>61</v>
      </c>
      <c r="D344" s="15">
        <v>0</v>
      </c>
      <c r="E344" s="15">
        <v>0</v>
      </c>
      <c r="F344" s="15">
        <v>0</v>
      </c>
      <c r="G344" s="15">
        <v>0</v>
      </c>
      <c r="H344" s="15">
        <v>-0.43611214448433422</v>
      </c>
      <c r="I344" s="15">
        <v>-4.8456904942703771E-2</v>
      </c>
      <c r="J344" s="15">
        <v>-0.5176802691953114</v>
      </c>
      <c r="K344" s="15">
        <v>-0.61080747764932608</v>
      </c>
      <c r="L344" s="15">
        <v>-0.64893045032950258</v>
      </c>
      <c r="M344" s="15">
        <v>-0.686960824489946</v>
      </c>
      <c r="N344" s="15">
        <v>-0.72657418083063119</v>
      </c>
      <c r="O344" s="15">
        <v>-0.76944610005153291</v>
      </c>
      <c r="P344" s="15">
        <v>-0.81725216285262636</v>
      </c>
      <c r="Q344" s="15">
        <v>-0.87166794993388652</v>
      </c>
      <c r="S344" s="17">
        <f t="shared" si="48"/>
        <v>0</v>
      </c>
      <c r="T344" s="17">
        <f t="shared" si="49"/>
        <v>-0.36342678707027848</v>
      </c>
      <c r="U344" s="17">
        <f t="shared" si="50"/>
        <v>-4.0380754118919809E-2</v>
      </c>
      <c r="V344" s="17">
        <f t="shared" si="51"/>
        <v>-0.43140022432942621</v>
      </c>
      <c r="W344" s="17">
        <f t="shared" si="52"/>
        <v>-0.14557944430415989</v>
      </c>
      <c r="X344" s="17">
        <f t="shared" si="53"/>
        <v>-0.50039462115566569</v>
      </c>
      <c r="Y344" s="17">
        <f t="shared" si="54"/>
        <v>-0.14106712941219549</v>
      </c>
      <c r="Z344" s="17">
        <f t="shared" si="55"/>
        <v>-9.6472252651087581E-2</v>
      </c>
      <c r="AA344" s="17">
        <f t="shared" si="56"/>
        <v>-0.10042970810169194</v>
      </c>
    </row>
    <row r="345" spans="1:27" x14ac:dyDescent="0.3">
      <c r="A345" s="13" t="s">
        <v>326</v>
      </c>
      <c r="B345" s="14" t="s">
        <v>334</v>
      </c>
      <c r="C345" s="15" t="s">
        <v>61</v>
      </c>
      <c r="D345" s="15">
        <v>0</v>
      </c>
      <c r="E345" s="15">
        <v>0</v>
      </c>
      <c r="F345" s="15">
        <v>0</v>
      </c>
      <c r="G345" s="15">
        <v>0</v>
      </c>
      <c r="H345" s="15">
        <v>-0.43611214448433422</v>
      </c>
      <c r="I345" s="15">
        <v>-4.8456904942703771E-2</v>
      </c>
      <c r="J345" s="15">
        <v>-0.5176802691953114</v>
      </c>
      <c r="K345" s="15">
        <v>-0.61080747764932608</v>
      </c>
      <c r="L345" s="15">
        <v>-0.64893045032950258</v>
      </c>
      <c r="M345" s="15">
        <v>-0.686960824489946</v>
      </c>
      <c r="N345" s="15">
        <v>-0.72657418083063119</v>
      </c>
      <c r="O345" s="15">
        <v>-0.76944610005153291</v>
      </c>
      <c r="P345" s="15">
        <v>-0.81725216285262636</v>
      </c>
      <c r="Q345" s="15">
        <v>-0.87166794993388652</v>
      </c>
      <c r="S345" s="17">
        <f t="shared" si="48"/>
        <v>0</v>
      </c>
      <c r="T345" s="17">
        <f t="shared" si="49"/>
        <v>-0.36342678707027848</v>
      </c>
      <c r="U345" s="17">
        <f t="shared" si="50"/>
        <v>-4.0380754118919809E-2</v>
      </c>
      <c r="V345" s="17">
        <f t="shared" si="51"/>
        <v>-0.43140022432942621</v>
      </c>
      <c r="W345" s="17">
        <f t="shared" si="52"/>
        <v>-0.14557944430415989</v>
      </c>
      <c r="X345" s="17">
        <f t="shared" si="53"/>
        <v>-0.50039462115566569</v>
      </c>
      <c r="Y345" s="17">
        <f t="shared" si="54"/>
        <v>-0.14106712941219549</v>
      </c>
      <c r="Z345" s="17">
        <f t="shared" si="55"/>
        <v>-9.6472252651087581E-2</v>
      </c>
      <c r="AA345" s="17">
        <f t="shared" si="56"/>
        <v>-0.10042970810169194</v>
      </c>
    </row>
    <row r="346" spans="1:27" x14ac:dyDescent="0.3">
      <c r="A346" s="13" t="s">
        <v>335</v>
      </c>
      <c r="B346" s="14" t="s">
        <v>336</v>
      </c>
      <c r="C346" s="15">
        <v>-0.11372576706232786</v>
      </c>
      <c r="D346" s="15">
        <v>-0.20057318493770016</v>
      </c>
      <c r="E346" s="15">
        <v>-0.28319132335310082</v>
      </c>
      <c r="F346" s="15">
        <v>-0.35201513885061658</v>
      </c>
      <c r="G346" s="15">
        <v>-0.40885216467856694</v>
      </c>
      <c r="H346" s="15">
        <v>-0.4555099340852713</v>
      </c>
      <c r="I346" s="15">
        <v>-0.49379598031904937</v>
      </c>
      <c r="J346" s="15">
        <v>-0.52551783662822038</v>
      </c>
      <c r="K346" s="15">
        <v>-0.55248303626110407</v>
      </c>
      <c r="L346" s="15">
        <v>-0.5764991124660197</v>
      </c>
      <c r="M346" s="15">
        <v>-0.59937359849128702</v>
      </c>
      <c r="N346" s="15">
        <v>-0.62291402758522529</v>
      </c>
      <c r="O346" s="15">
        <v>-0.64892793299615426</v>
      </c>
      <c r="P346" s="15">
        <v>-0.67922284797239341</v>
      </c>
      <c r="Q346" s="15">
        <v>-0.71560630576226181</v>
      </c>
      <c r="S346" s="17">
        <f t="shared" si="48"/>
        <v>-0.1735658164507223</v>
      </c>
      <c r="T346" s="17">
        <f t="shared" si="49"/>
        <v>-0.14359884227680872</v>
      </c>
      <c r="U346" s="17">
        <f t="shared" si="50"/>
        <v>-0.11815070122369398</v>
      </c>
      <c r="V346" s="17">
        <f t="shared" si="51"/>
        <v>-9.7221393291377856E-2</v>
      </c>
      <c r="W346" s="17">
        <f t="shared" si="52"/>
        <v>-8.0810918479860633E-2</v>
      </c>
      <c r="X346" s="17">
        <f t="shared" si="53"/>
        <v>-6.8919276789141948E-2</v>
      </c>
      <c r="Y346" s="17">
        <f t="shared" si="54"/>
        <v>-6.1546468219222203E-2</v>
      </c>
      <c r="Z346" s="17">
        <f t="shared" si="55"/>
        <v>-5.8692492770101024E-2</v>
      </c>
      <c r="AA346" s="17">
        <f t="shared" si="56"/>
        <v>-6.0357350441778798E-2</v>
      </c>
    </row>
    <row r="347" spans="1:27" x14ac:dyDescent="0.3">
      <c r="A347" s="13" t="s">
        <v>335</v>
      </c>
      <c r="B347" s="14" t="s">
        <v>337</v>
      </c>
      <c r="C347" s="15">
        <v>-0.11677706276494101</v>
      </c>
      <c r="D347" s="15">
        <v>-0.20517094333007702</v>
      </c>
      <c r="E347" s="15">
        <v>-0.28852240330938417</v>
      </c>
      <c r="F347" s="15">
        <v>-0.35719986204022042</v>
      </c>
      <c r="G347" s="15">
        <v>-0.41324944513643797</v>
      </c>
      <c r="H347" s="15">
        <v>-0.45871727821188879</v>
      </c>
      <c r="I347" s="15">
        <v>-0.49564948688042509</v>
      </c>
      <c r="J347" s="15">
        <v>-0.52609219675589902</v>
      </c>
      <c r="K347" s="15">
        <v>-0.55209153345216277</v>
      </c>
      <c r="L347" s="15">
        <v>-0.57569362258306822</v>
      </c>
      <c r="M347" s="15">
        <v>-0.59894458976246745</v>
      </c>
      <c r="N347" s="15">
        <v>-0.623890560604213</v>
      </c>
      <c r="O347" s="15">
        <v>-0.65257766072215673</v>
      </c>
      <c r="P347" s="15">
        <v>-0.68705201573015029</v>
      </c>
      <c r="Q347" s="15">
        <v>-0.72935975124204666</v>
      </c>
      <c r="S347" s="17">
        <f t="shared" si="48"/>
        <v>-0.17339875150530079</v>
      </c>
      <c r="T347" s="17">
        <f t="shared" si="49"/>
        <v>-0.14182906241875384</v>
      </c>
      <c r="U347" s="17">
        <f t="shared" si="50"/>
        <v>-0.11537468736683723</v>
      </c>
      <c r="V347" s="17">
        <f t="shared" si="51"/>
        <v>-9.4035626349550872E-2</v>
      </c>
      <c r="W347" s="17">
        <f t="shared" si="52"/>
        <v>-7.7811879366894987E-2</v>
      </c>
      <c r="X347" s="17">
        <f t="shared" si="53"/>
        <v>-6.6703446418869272E-2</v>
      </c>
      <c r="Y347" s="17">
        <f t="shared" si="54"/>
        <v>-6.0710327505473685E-2</v>
      </c>
      <c r="Z347" s="17">
        <f t="shared" si="55"/>
        <v>-5.9832522626708518E-2</v>
      </c>
      <c r="AA347" s="17">
        <f t="shared" si="56"/>
        <v>-6.4070031782573755E-2</v>
      </c>
    </row>
    <row r="348" spans="1:27" x14ac:dyDescent="0.3">
      <c r="A348" s="13" t="s">
        <v>335</v>
      </c>
      <c r="B348" s="14" t="s">
        <v>338</v>
      </c>
      <c r="C348" s="15">
        <v>-0.11710582133690467</v>
      </c>
      <c r="D348" s="15">
        <v>-0.20567582516471195</v>
      </c>
      <c r="E348" s="15">
        <v>-0.28912180833118217</v>
      </c>
      <c r="F348" s="15">
        <v>-0.35779997001112118</v>
      </c>
      <c r="G348" s="15">
        <v>-0.41377709151302555</v>
      </c>
      <c r="H348" s="15">
        <v>-0.45911995414539181</v>
      </c>
      <c r="I348" s="15">
        <v>-0.49589533921671625</v>
      </c>
      <c r="J348" s="15">
        <v>-0.52617002803549529</v>
      </c>
      <c r="K348" s="15">
        <v>-0.55201080191022545</v>
      </c>
      <c r="L348" s="15">
        <v>-0.5754844421494032</v>
      </c>
      <c r="M348" s="15">
        <v>-0.59865773006152478</v>
      </c>
      <c r="N348" s="15">
        <v>-0.62359744695508701</v>
      </c>
      <c r="O348" s="15">
        <v>-0.65237037413858601</v>
      </c>
      <c r="P348" s="15">
        <v>-0.68704329292051869</v>
      </c>
      <c r="Q348" s="15">
        <v>-0.7296829846093803</v>
      </c>
      <c r="S348" s="17">
        <f t="shared" si="48"/>
        <v>-0.17341772195692801</v>
      </c>
      <c r="T348" s="17">
        <f t="shared" si="49"/>
        <v>-0.14166512151184135</v>
      </c>
      <c r="U348" s="17">
        <f t="shared" si="50"/>
        <v>-0.1150794743379959</v>
      </c>
      <c r="V348" s="17">
        <f t="shared" si="51"/>
        <v>-9.3660780435391444E-2</v>
      </c>
      <c r="W348" s="17">
        <f t="shared" si="52"/>
        <v>-7.7409039804028038E-2</v>
      </c>
      <c r="X348" s="17">
        <f t="shared" si="53"/>
        <v>-6.6324252443905787E-2</v>
      </c>
      <c r="Y348" s="17">
        <f t="shared" si="54"/>
        <v>-6.0406418355024583E-2</v>
      </c>
      <c r="Z348" s="17">
        <f t="shared" si="55"/>
        <v>-5.9655537537384631E-2</v>
      </c>
      <c r="AA348" s="17">
        <f t="shared" si="56"/>
        <v>-6.407160999098567E-2</v>
      </c>
    </row>
    <row r="349" spans="1:27" x14ac:dyDescent="0.3">
      <c r="A349" s="13" t="s">
        <v>335</v>
      </c>
      <c r="B349" s="14" t="s">
        <v>339</v>
      </c>
      <c r="C349" s="15">
        <v>-0.10750367509148041</v>
      </c>
      <c r="D349" s="15">
        <v>-0.19124369378897701</v>
      </c>
      <c r="E349" s="15">
        <v>-0.27275038149131964</v>
      </c>
      <c r="F349" s="15">
        <v>-0.34291282776462439</v>
      </c>
      <c r="G349" s="15">
        <v>-0.40337048968415551</v>
      </c>
      <c r="H349" s="15">
        <v>-0.4557628243251769</v>
      </c>
      <c r="I349" s="15">
        <v>-0.50172928876295286</v>
      </c>
      <c r="J349" s="15">
        <v>-0.54290934007274771</v>
      </c>
      <c r="K349" s="15">
        <v>-0.58094243532982537</v>
      </c>
      <c r="L349" s="15">
        <v>-0.61746803160944985</v>
      </c>
      <c r="M349" s="15">
        <v>-0.65412558598688553</v>
      </c>
      <c r="N349" s="15">
        <v>-0.69255455553739631</v>
      </c>
      <c r="O349" s="15">
        <v>-0.73439439733624678</v>
      </c>
      <c r="P349" s="15">
        <v>-0.78128456845870065</v>
      </c>
      <c r="Q349" s="15">
        <v>-0.83486452598002248</v>
      </c>
      <c r="S349" s="17">
        <f t="shared" si="48"/>
        <v>-0.17677232991264874</v>
      </c>
      <c r="T349" s="17">
        <f t="shared" si="49"/>
        <v>-0.15251036902821438</v>
      </c>
      <c r="U349" s="17">
        <f t="shared" si="50"/>
        <v>-0.1323470508319404</v>
      </c>
      <c r="V349" s="17">
        <f t="shared" si="51"/>
        <v>-0.11628237532382685</v>
      </c>
      <c r="W349" s="17">
        <f t="shared" si="52"/>
        <v>-0.10431634250387373</v>
      </c>
      <c r="X349" s="17">
        <f t="shared" si="53"/>
        <v>-9.6448952372080815E-2</v>
      </c>
      <c r="Y349" s="17">
        <f t="shared" si="54"/>
        <v>-9.2680204928448168E-2</v>
      </c>
      <c r="Z349" s="17">
        <f t="shared" si="55"/>
        <v>-9.3010100172975785E-2</v>
      </c>
      <c r="AA349" s="17">
        <f t="shared" si="56"/>
        <v>-9.743863810566411E-2</v>
      </c>
    </row>
    <row r="350" spans="1:27" x14ac:dyDescent="0.3">
      <c r="A350" s="13" t="s">
        <v>335</v>
      </c>
      <c r="B350" s="14" t="s">
        <v>340</v>
      </c>
      <c r="C350" s="15">
        <v>-0.11158012016683377</v>
      </c>
      <c r="D350" s="15">
        <v>-0.19767667781524026</v>
      </c>
      <c r="E350" s="15">
        <v>-0.28043805599044375</v>
      </c>
      <c r="F350" s="15">
        <v>-0.35028856139285502</v>
      </c>
      <c r="G350" s="15">
        <v>-0.40881051273956814</v>
      </c>
      <c r="H350" s="15">
        <v>-0.45758622874767729</v>
      </c>
      <c r="I350" s="15">
        <v>-0.49819802813427649</v>
      </c>
      <c r="J350" s="15">
        <v>-0.53222822961645988</v>
      </c>
      <c r="K350" s="15">
        <v>-0.56125915191132159</v>
      </c>
      <c r="L350" s="15">
        <v>-0.58687311373595563</v>
      </c>
      <c r="M350" s="15">
        <v>-0.61065243380745637</v>
      </c>
      <c r="N350" s="15">
        <v>-0.6341794308429175</v>
      </c>
      <c r="O350" s="15">
        <v>-0.6590364235594337</v>
      </c>
      <c r="P350" s="15">
        <v>-0.68680573067409834</v>
      </c>
      <c r="Q350" s="15">
        <v>-0.71906967090400631</v>
      </c>
      <c r="S350" s="17">
        <f t="shared" si="48"/>
        <v>-0.17594486243693991</v>
      </c>
      <c r="T350" s="17">
        <f t="shared" si="49"/>
        <v>-0.14762347729769462</v>
      </c>
      <c r="U350" s="17">
        <f t="shared" si="50"/>
        <v>-0.12325788895118456</v>
      </c>
      <c r="V350" s="17">
        <f t="shared" si="51"/>
        <v>-0.10284809739740977</v>
      </c>
      <c r="W350" s="17">
        <f t="shared" si="52"/>
        <v>-8.6394102636370235E-2</v>
      </c>
      <c r="X350" s="17">
        <f t="shared" si="53"/>
        <v>-7.3895904668065948E-2</v>
      </c>
      <c r="Y350" s="17">
        <f t="shared" si="54"/>
        <v>-6.5353503492497078E-2</v>
      </c>
      <c r="Z350" s="17">
        <f t="shared" si="55"/>
        <v>-6.0766899109663264E-2</v>
      </c>
      <c r="AA350" s="17">
        <f t="shared" si="56"/>
        <v>-6.013609151956506E-2</v>
      </c>
    </row>
    <row r="351" spans="1:27" x14ac:dyDescent="0.3">
      <c r="A351" s="13" t="s">
        <v>335</v>
      </c>
      <c r="B351" s="14" t="s">
        <v>341</v>
      </c>
      <c r="C351" s="15">
        <v>-0.11792208082477383</v>
      </c>
      <c r="D351" s="15">
        <v>-0.20594022017944716</v>
      </c>
      <c r="E351" s="15">
        <v>-0.28769726728692302</v>
      </c>
      <c r="F351" s="15">
        <v>-0.35370195615227423</v>
      </c>
      <c r="G351" s="15">
        <v>-0.40625522886305104</v>
      </c>
      <c r="H351" s="15">
        <v>-0.44765802750680384</v>
      </c>
      <c r="I351" s="15">
        <v>-0.48021129417108283</v>
      </c>
      <c r="J351" s="15">
        <v>-0.50621597094343829</v>
      </c>
      <c r="K351" s="15">
        <v>-0.52797299991142055</v>
      </c>
      <c r="L351" s="15">
        <v>-0.54778332316257961</v>
      </c>
      <c r="M351" s="15">
        <v>-0.56794788278446595</v>
      </c>
      <c r="N351" s="15">
        <v>-0.59076762086463008</v>
      </c>
      <c r="O351" s="15">
        <v>-0.61854347949062194</v>
      </c>
      <c r="P351" s="15">
        <v>-0.65357640074999179</v>
      </c>
      <c r="Q351" s="15">
        <v>-0.69816732673029003</v>
      </c>
      <c r="S351" s="17">
        <f t="shared" si="48"/>
        <v>-0.16692917390300324</v>
      </c>
      <c r="T351" s="17">
        <f t="shared" si="49"/>
        <v>-0.13330063351656735</v>
      </c>
      <c r="U351" s="17">
        <f t="shared" si="50"/>
        <v>-0.10542444834900716</v>
      </c>
      <c r="V351" s="17">
        <f t="shared" si="51"/>
        <v>-8.3300618400322712E-2</v>
      </c>
      <c r="W351" s="17">
        <f t="shared" si="52"/>
        <v>-6.6929143670513933E-2</v>
      </c>
      <c r="X351" s="17">
        <f t="shared" si="53"/>
        <v>-5.6310024159580654E-2</v>
      </c>
      <c r="Y351" s="17">
        <f t="shared" si="54"/>
        <v>-5.1443259867523058E-2</v>
      </c>
      <c r="Z351" s="17">
        <f t="shared" si="55"/>
        <v>-5.2328850794341283E-2</v>
      </c>
      <c r="AA351" s="17">
        <f t="shared" si="56"/>
        <v>-5.8966796940035274E-2</v>
      </c>
    </row>
    <row r="352" spans="1:27" x14ac:dyDescent="0.3">
      <c r="A352" s="13" t="s">
        <v>335</v>
      </c>
      <c r="B352" s="14" t="s">
        <v>342</v>
      </c>
      <c r="C352" s="15">
        <v>-0.11525374639706246</v>
      </c>
      <c r="D352" s="15">
        <v>-0.20214832880828609</v>
      </c>
      <c r="E352" s="15">
        <v>-0.28377765363252583</v>
      </c>
      <c r="F352" s="15">
        <v>-0.35074254418329953</v>
      </c>
      <c r="G352" s="15">
        <v>-0.4051691984138312</v>
      </c>
      <c r="H352" s="15">
        <v>-0.44918381427734494</v>
      </c>
      <c r="I352" s="15">
        <v>-0.48491258972706464</v>
      </c>
      <c r="J352" s="15">
        <v>-0.51448172271621462</v>
      </c>
      <c r="K352" s="15">
        <v>-0.5400174111980186</v>
      </c>
      <c r="L352" s="15">
        <v>-0.56364585312570092</v>
      </c>
      <c r="M352" s="15">
        <v>-0.58749324645248524</v>
      </c>
      <c r="N352" s="15">
        <v>-0.61368578913159622</v>
      </c>
      <c r="O352" s="15">
        <v>-0.64434967911625729</v>
      </c>
      <c r="P352" s="15">
        <v>-0.6816111143596929</v>
      </c>
      <c r="Q352" s="15">
        <v>-0.7275962928151265</v>
      </c>
      <c r="S352" s="17">
        <f t="shared" si="48"/>
        <v>-0.16918405800462094</v>
      </c>
      <c r="T352" s="17">
        <f t="shared" si="49"/>
        <v>-0.13783846720401594</v>
      </c>
      <c r="U352" s="17">
        <f t="shared" si="50"/>
        <v>-0.11180837128647092</v>
      </c>
      <c r="V352" s="17">
        <f t="shared" si="51"/>
        <v>-9.1093770251986173E-2</v>
      </c>
      <c r="W352" s="17">
        <f t="shared" si="52"/>
        <v>-7.5694664100561387E-2</v>
      </c>
      <c r="X352" s="17">
        <f t="shared" si="53"/>
        <v>-6.5611052832196912E-2</v>
      </c>
      <c r="Y352" s="17">
        <f t="shared" si="54"/>
        <v>-6.084293644689219E-2</v>
      </c>
      <c r="Z352" s="17">
        <f t="shared" si="55"/>
        <v>-6.1390314944648014E-2</v>
      </c>
      <c r="AA352" s="17">
        <f t="shared" si="56"/>
        <v>-6.7253188325463634E-2</v>
      </c>
    </row>
    <row r="353" spans="1:27" x14ac:dyDescent="0.3">
      <c r="A353" s="13" t="s">
        <v>335</v>
      </c>
      <c r="B353" s="14" t="s">
        <v>343</v>
      </c>
      <c r="C353" s="15">
        <v>-0.12696762004252091</v>
      </c>
      <c r="D353" s="15">
        <v>-0.22064735292697035</v>
      </c>
      <c r="E353" s="15">
        <v>-0.30655472539629075</v>
      </c>
      <c r="F353" s="15">
        <v>-0.37467064825657087</v>
      </c>
      <c r="G353" s="15">
        <v>-0.42767279431815181</v>
      </c>
      <c r="H353" s="15">
        <v>-0.46823883639137476</v>
      </c>
      <c r="I353" s="15">
        <v>-0.49904644728658054</v>
      </c>
      <c r="J353" s="15">
        <v>-0.52277329981411014</v>
      </c>
      <c r="K353" s="15">
        <v>-0.54209706678430492</v>
      </c>
      <c r="L353" s="15">
        <v>-0.55969542100750547</v>
      </c>
      <c r="M353" s="15">
        <v>-0.57824603529405316</v>
      </c>
      <c r="N353" s="15">
        <v>-0.60042658245428948</v>
      </c>
      <c r="O353" s="15">
        <v>-0.62891473529855424</v>
      </c>
      <c r="P353" s="15">
        <v>-0.66638816663718958</v>
      </c>
      <c r="Q353" s="15">
        <v>-0.71552454928053599</v>
      </c>
      <c r="S353" s="17">
        <f t="shared" si="48"/>
        <v>-0.17252120115931788</v>
      </c>
      <c r="T353" s="17">
        <f t="shared" si="49"/>
        <v>-0.13473675916257</v>
      </c>
      <c r="U353" s="17">
        <f t="shared" si="50"/>
        <v>-0.10364649919167473</v>
      </c>
      <c r="V353" s="17">
        <f t="shared" si="51"/>
        <v>-7.9250421246631952E-2</v>
      </c>
      <c r="W353" s="17">
        <f t="shared" si="52"/>
        <v>-6.1548525327441803E-2</v>
      </c>
      <c r="X353" s="17">
        <f t="shared" si="53"/>
        <v>-5.0540811434104105E-2</v>
      </c>
      <c r="Y353" s="17">
        <f t="shared" si="54"/>
        <v>-4.6227279566619192E-2</v>
      </c>
      <c r="Z353" s="17">
        <f t="shared" si="55"/>
        <v>-4.8607929724987134E-2</v>
      </c>
      <c r="AA353" s="17">
        <f t="shared" si="56"/>
        <v>-5.7682761909207306E-2</v>
      </c>
    </row>
    <row r="354" spans="1:27" x14ac:dyDescent="0.3">
      <c r="A354" s="13" t="s">
        <v>335</v>
      </c>
      <c r="B354" s="14" t="s">
        <v>344</v>
      </c>
      <c r="C354" s="15">
        <v>-0.11056061053219751</v>
      </c>
      <c r="D354" s="15">
        <v>-0.19661626199005769</v>
      </c>
      <c r="E354" s="15">
        <v>-0.28003550041936776</v>
      </c>
      <c r="F354" s="15">
        <v>-0.35115198247990131</v>
      </c>
      <c r="G354" s="15">
        <v>-0.4113554258846519</v>
      </c>
      <c r="H354" s="15">
        <v>-0.46203554834661298</v>
      </c>
      <c r="I354" s="15">
        <v>-0.50458206757877777</v>
      </c>
      <c r="J354" s="15">
        <v>-0.54038470129414018</v>
      </c>
      <c r="K354" s="15">
        <v>-0.57083316720569321</v>
      </c>
      <c r="L354" s="15">
        <v>-0.59731718302643044</v>
      </c>
      <c r="M354" s="15">
        <v>-0.62122646646934532</v>
      </c>
      <c r="N354" s="15">
        <v>-0.64395073524743152</v>
      </c>
      <c r="O354" s="15">
        <v>-0.66687970707368216</v>
      </c>
      <c r="P354" s="15">
        <v>-0.6914030996610907</v>
      </c>
      <c r="Q354" s="15">
        <v>-0.71891063072265093</v>
      </c>
      <c r="S354" s="17">
        <f t="shared" si="48"/>
        <v>-0.17894930324549518</v>
      </c>
      <c r="T354" s="17">
        <f t="shared" si="49"/>
        <v>-0.15166670660603768</v>
      </c>
      <c r="U354" s="17">
        <f t="shared" si="50"/>
        <v>-0.12785840424906372</v>
      </c>
      <c r="V354" s="17">
        <f t="shared" si="51"/>
        <v>-0.10752439617457357</v>
      </c>
      <c r="W354" s="17">
        <f t="shared" si="52"/>
        <v>-9.0664682382566864E-2</v>
      </c>
      <c r="X354" s="17">
        <f t="shared" si="53"/>
        <v>-7.7279262873043889E-2</v>
      </c>
      <c r="Y354" s="17">
        <f t="shared" si="54"/>
        <v>-6.7368137646004286E-2</v>
      </c>
      <c r="Z354" s="17">
        <f t="shared" si="55"/>
        <v>-6.0931306701448584E-2</v>
      </c>
      <c r="AA354" s="17">
        <f t="shared" si="56"/>
        <v>-5.7968770039376435E-2</v>
      </c>
    </row>
    <row r="355" spans="1:27" x14ac:dyDescent="0.3">
      <c r="A355" s="13" t="s">
        <v>335</v>
      </c>
      <c r="B355" s="14" t="s">
        <v>345</v>
      </c>
      <c r="C355" s="15">
        <v>-0.10323442599366892</v>
      </c>
      <c r="D355" s="15">
        <v>-0.18426943426743247</v>
      </c>
      <c r="E355" s="15">
        <v>-0.26353482495059122</v>
      </c>
      <c r="F355" s="15">
        <v>-0.3319321195790424</v>
      </c>
      <c r="G355" s="15">
        <v>-0.39068628228805019</v>
      </c>
      <c r="H355" s="15">
        <v>-0.44102227721287868</v>
      </c>
      <c r="I355" s="15">
        <v>-0.48416506848879204</v>
      </c>
      <c r="J355" s="15">
        <v>-0.5213396202510544</v>
      </c>
      <c r="K355" s="15">
        <v>-0.55377089663492984</v>
      </c>
      <c r="L355" s="15">
        <v>-0.58268386177568277</v>
      </c>
      <c r="M355" s="15">
        <v>-0.60930347980857702</v>
      </c>
      <c r="N355" s="15">
        <v>-0.63485471486887668</v>
      </c>
      <c r="O355" s="15">
        <v>-0.66056253109184637</v>
      </c>
      <c r="P355" s="15">
        <v>-0.68765189261274962</v>
      </c>
      <c r="Q355" s="15">
        <v>-0.71734776356685093</v>
      </c>
      <c r="S355" s="17">
        <f t="shared" si="48"/>
        <v>-0.17201404001718143</v>
      </c>
      <c r="T355" s="17">
        <f t="shared" si="49"/>
        <v>-0.14790621021857289</v>
      </c>
      <c r="U355" s="17">
        <f t="shared" si="50"/>
        <v>-0.1268607907581247</v>
      </c>
      <c r="V355" s="17">
        <f t="shared" si="51"/>
        <v>-0.10887778163583683</v>
      </c>
      <c r="W355" s="17">
        <f t="shared" si="52"/>
        <v>-9.3957182851709314E-2</v>
      </c>
      <c r="X355" s="17">
        <f t="shared" si="53"/>
        <v>-8.2098994405742282E-2</v>
      </c>
      <c r="Y355" s="17">
        <f t="shared" si="54"/>
        <v>-7.3303216297935514E-2</v>
      </c>
      <c r="Z355" s="17">
        <f t="shared" si="55"/>
        <v>-6.7569848528289025E-2</v>
      </c>
      <c r="AA355" s="17">
        <f t="shared" si="56"/>
        <v>-6.489889109680301E-2</v>
      </c>
    </row>
    <row r="356" spans="1:27" x14ac:dyDescent="0.3">
      <c r="A356" s="13" t="s">
        <v>335</v>
      </c>
      <c r="B356" s="14" t="s">
        <v>346</v>
      </c>
      <c r="C356" s="15">
        <v>-9.5941962031522846E-2</v>
      </c>
      <c r="D356" s="15">
        <v>-0.17234588510434309</v>
      </c>
      <c r="E356" s="15">
        <v>-0.24820748456147268</v>
      </c>
      <c r="F356" s="15">
        <v>-0.31494611348197121</v>
      </c>
      <c r="G356" s="15">
        <v>-0.37357532114805081</v>
      </c>
      <c r="H356" s="15">
        <v>-0.42510865684192328</v>
      </c>
      <c r="I356" s="15">
        <v>-0.4705596698458005</v>
      </c>
      <c r="J356" s="15">
        <v>-0.51094190944189466</v>
      </c>
      <c r="K356" s="15">
        <v>-0.54726892491241752</v>
      </c>
      <c r="L356" s="15">
        <v>-0.58055426553958112</v>
      </c>
      <c r="M356" s="15">
        <v>-0.6118114806055972</v>
      </c>
      <c r="N356" s="15">
        <v>-0.64205411939267809</v>
      </c>
      <c r="O356" s="15">
        <v>-0.67229573118303554</v>
      </c>
      <c r="P356" s="15">
        <v>-0.70354986525888119</v>
      </c>
      <c r="Q356" s="15">
        <v>-0.73683007090242747</v>
      </c>
      <c r="S356" s="17">
        <f t="shared" si="48"/>
        <v>-0.16769119670308977</v>
      </c>
      <c r="T356" s="17">
        <f t="shared" si="49"/>
        <v>-0.14741764356704218</v>
      </c>
      <c r="U356" s="17">
        <f t="shared" si="50"/>
        <v>-0.1296779636365244</v>
      </c>
      <c r="V356" s="17">
        <f t="shared" si="51"/>
        <v>-0.11447215691153653</v>
      </c>
      <c r="W356" s="17">
        <f t="shared" si="52"/>
        <v>-0.10180022339207853</v>
      </c>
      <c r="X356" s="17">
        <f t="shared" si="53"/>
        <v>-9.1662163078150505E-2</v>
      </c>
      <c r="Y356" s="17">
        <f t="shared" si="54"/>
        <v>-8.4057975969752119E-2</v>
      </c>
      <c r="Z356" s="17">
        <f t="shared" si="55"/>
        <v>-7.8987662066883818E-2</v>
      </c>
      <c r="AA356" s="17">
        <f t="shared" si="56"/>
        <v>-7.6451221369545352E-2</v>
      </c>
    </row>
    <row r="357" spans="1:27" x14ac:dyDescent="0.3">
      <c r="A357" s="13" t="s">
        <v>347</v>
      </c>
      <c r="B357" s="14" t="s">
        <v>348</v>
      </c>
      <c r="C357" s="15">
        <v>-0.12381391417116813</v>
      </c>
      <c r="D357" s="15">
        <v>-0.21731476649723391</v>
      </c>
      <c r="E357" s="15">
        <v>-0.30522035656933555</v>
      </c>
      <c r="F357" s="15">
        <v>-0.37731309806172997</v>
      </c>
      <c r="G357" s="15">
        <v>-0.43575679606579104</v>
      </c>
      <c r="H357" s="15">
        <v>-0.4827152556728922</v>
      </c>
      <c r="I357" s="15">
        <v>-0.52035228197440753</v>
      </c>
      <c r="J357" s="15">
        <v>-0.55083168006171046</v>
      </c>
      <c r="K357" s="15">
        <v>-0.57631725502617492</v>
      </c>
      <c r="L357" s="15">
        <v>-0.59897281195917429</v>
      </c>
      <c r="M357" s="15">
        <v>-0.62096215595208293</v>
      </c>
      <c r="N357" s="15">
        <v>-0.64444909209627377</v>
      </c>
      <c r="O357" s="15">
        <v>-0.67159742548312107</v>
      </c>
      <c r="P357" s="15">
        <v>-0.70457096120399865</v>
      </c>
      <c r="Q357" s="15">
        <v>-0.7455335043502801</v>
      </c>
      <c r="S357" s="17">
        <f t="shared" si="48"/>
        <v>-0.18203502464046425</v>
      </c>
      <c r="T357" s="17">
        <f t="shared" si="49"/>
        <v>-0.14791241591963053</v>
      </c>
      <c r="U357" s="17">
        <f t="shared" si="50"/>
        <v>-0.11919931992723129</v>
      </c>
      <c r="V357" s="17">
        <f t="shared" si="51"/>
        <v>-9.5895736663266173E-2</v>
      </c>
      <c r="W357" s="17">
        <f t="shared" si="52"/>
        <v>-7.8001666127735611E-2</v>
      </c>
      <c r="X357" s="17">
        <f t="shared" si="53"/>
        <v>-6.5517108320638964E-2</v>
      </c>
      <c r="Y357" s="17">
        <f t="shared" si="54"/>
        <v>-5.8442063241977052E-2</v>
      </c>
      <c r="Z357" s="17">
        <f t="shared" si="55"/>
        <v>-5.6776530891749041E-2</v>
      </c>
      <c r="AA357" s="17">
        <f t="shared" si="56"/>
        <v>-6.0520511269955654E-2</v>
      </c>
    </row>
    <row r="358" spans="1:27" x14ac:dyDescent="0.3">
      <c r="A358" s="13" t="s">
        <v>347</v>
      </c>
      <c r="B358" s="14" t="s">
        <v>349</v>
      </c>
      <c r="C358" s="15">
        <v>-0.12022065809621801</v>
      </c>
      <c r="D358" s="15">
        <v>-0.21064708715283387</v>
      </c>
      <c r="E358" s="15">
        <v>-0.29554239961106843</v>
      </c>
      <c r="F358" s="15">
        <v>-0.36532193591164247</v>
      </c>
      <c r="G358" s="15">
        <v>-0.42242310230489871</v>
      </c>
      <c r="H358" s="15">
        <v>-0.4692833050411801</v>
      </c>
      <c r="I358" s="15">
        <v>-0.50833995037082891</v>
      </c>
      <c r="J358" s="15">
        <v>-0.54203044454418803</v>
      </c>
      <c r="K358" s="15">
        <v>-0.57279219381160018</v>
      </c>
      <c r="L358" s="15">
        <v>-0.60306260442340776</v>
      </c>
      <c r="M358" s="15">
        <v>-0.63527908262995392</v>
      </c>
      <c r="N358" s="15">
        <v>-0.67187903468158106</v>
      </c>
      <c r="O358" s="15">
        <v>-0.71529986682863156</v>
      </c>
      <c r="P358" s="15">
        <v>-0.76797898532144881</v>
      </c>
      <c r="Q358" s="15">
        <v>-0.83235379641037466</v>
      </c>
      <c r="S358" s="17">
        <f t="shared" si="48"/>
        <v>-0.17648001262672072</v>
      </c>
      <c r="T358" s="17">
        <f t="shared" si="49"/>
        <v>-0.14478408785842639</v>
      </c>
      <c r="U358" s="17">
        <f t="shared" si="50"/>
        <v>-0.1191816787159887</v>
      </c>
      <c r="V358" s="17">
        <f t="shared" si="51"/>
        <v>-9.9672785199407754E-2</v>
      </c>
      <c r="W358" s="17">
        <f t="shared" si="52"/>
        <v>-8.6257407308683393E-2</v>
      </c>
      <c r="X358" s="17">
        <f t="shared" si="53"/>
        <v>-7.8935545043815697E-2</v>
      </c>
      <c r="Y358" s="17">
        <f t="shared" si="54"/>
        <v>-7.7707198404804903E-2</v>
      </c>
      <c r="Z358" s="17">
        <f t="shared" si="55"/>
        <v>-8.2572367391650719E-2</v>
      </c>
      <c r="AA358" s="17">
        <f t="shared" si="56"/>
        <v>-9.353105200435316E-2</v>
      </c>
    </row>
    <row r="359" spans="1:27" x14ac:dyDescent="0.3">
      <c r="A359" s="13" t="s">
        <v>347</v>
      </c>
      <c r="B359" s="14" t="s">
        <v>350</v>
      </c>
      <c r="C359" s="15">
        <v>-0.11230308559037519</v>
      </c>
      <c r="D359" s="15">
        <v>-0.19575250649695902</v>
      </c>
      <c r="E359" s="15">
        <v>-0.27300328397880191</v>
      </c>
      <c r="F359" s="15">
        <v>-0.33521683705631455</v>
      </c>
      <c r="G359" s="15">
        <v>-0.3847848933089455</v>
      </c>
      <c r="H359" s="15">
        <v>-0.42409918031614297</v>
      </c>
      <c r="I359" s="15">
        <v>-0.4555514256573554</v>
      </c>
      <c r="J359" s="15">
        <v>-0.4815333569120312</v>
      </c>
      <c r="K359" s="15">
        <v>-0.50443670165961851</v>
      </c>
      <c r="L359" s="15">
        <v>-0.52665318747956613</v>
      </c>
      <c r="M359" s="15">
        <v>-0.55057454195132194</v>
      </c>
      <c r="N359" s="15">
        <v>-0.57859249265433466</v>
      </c>
      <c r="O359" s="15">
        <v>-0.61309876716805245</v>
      </c>
      <c r="P359" s="15">
        <v>-0.6564850930719236</v>
      </c>
      <c r="Q359" s="15">
        <v>-0.71114319794539671</v>
      </c>
      <c r="S359" s="17">
        <f t="shared" si="48"/>
        <v>-0.15752698900998871</v>
      </c>
      <c r="T359" s="17">
        <f t="shared" si="49"/>
        <v>-0.12591324694778422</v>
      </c>
      <c r="U359" s="17">
        <f t="shared" si="50"/>
        <v>-0.1002788238342007</v>
      </c>
      <c r="V359" s="17">
        <f t="shared" si="51"/>
        <v>-8.0623719669238092E-2</v>
      </c>
      <c r="W359" s="17">
        <f t="shared" si="52"/>
        <v>-6.6947934452896291E-2</v>
      </c>
      <c r="X359" s="17">
        <f t="shared" si="53"/>
        <v>-5.9251468185175613E-2</v>
      </c>
      <c r="Y359" s="17">
        <f t="shared" si="54"/>
        <v>-5.7534320866075614E-2</v>
      </c>
      <c r="Z359" s="17">
        <f t="shared" si="55"/>
        <v>-6.179649249559678E-2</v>
      </c>
      <c r="AA359" s="17">
        <f t="shared" si="56"/>
        <v>-7.2037983073738598E-2</v>
      </c>
    </row>
    <row r="360" spans="1:27" x14ac:dyDescent="0.3">
      <c r="A360" s="13" t="s">
        <v>347</v>
      </c>
      <c r="B360" s="14" t="s">
        <v>351</v>
      </c>
      <c r="C360" s="15">
        <v>-0.1192115146700847</v>
      </c>
      <c r="D360" s="15">
        <v>-0.20879351764544987</v>
      </c>
      <c r="E360" s="15">
        <v>-0.29266470538045286</v>
      </c>
      <c r="F360" s="15">
        <v>-0.36117502540941532</v>
      </c>
      <c r="G360" s="15">
        <v>-0.41659557673366732</v>
      </c>
      <c r="H360" s="15">
        <v>-0.46119745835453929</v>
      </c>
      <c r="I360" s="15">
        <v>-0.49725176927336112</v>
      </c>
      <c r="J360" s="15">
        <v>-0.52702960849146308</v>
      </c>
      <c r="K360" s="15">
        <v>-0.55280207501017542</v>
      </c>
      <c r="L360" s="15">
        <v>-0.57684026783082798</v>
      </c>
      <c r="M360" s="15">
        <v>-0.60141528595475136</v>
      </c>
      <c r="N360" s="15">
        <v>-0.6287982283832757</v>
      </c>
      <c r="O360" s="15">
        <v>-0.66126019411773085</v>
      </c>
      <c r="P360" s="15">
        <v>-0.70107228215944695</v>
      </c>
      <c r="Q360" s="15">
        <v>-0.75050559150975449</v>
      </c>
      <c r="S360" s="17">
        <f t="shared" si="48"/>
        <v>-0.17316838257351452</v>
      </c>
      <c r="T360" s="17">
        <f t="shared" si="49"/>
        <v>-0.14044396081173868</v>
      </c>
      <c r="U360" s="17">
        <f t="shared" si="50"/>
        <v>-0.11339728655328818</v>
      </c>
      <c r="V360" s="17">
        <f t="shared" si="51"/>
        <v>-9.2028359798163123E-2</v>
      </c>
      <c r="W360" s="17">
        <f t="shared" si="52"/>
        <v>-7.6337180546363445E-2</v>
      </c>
      <c r="X360" s="17">
        <f t="shared" si="53"/>
        <v>-6.6323748797889048E-2</v>
      </c>
      <c r="Y360" s="17">
        <f t="shared" si="54"/>
        <v>-6.1988064552740238E-2</v>
      </c>
      <c r="Z360" s="17">
        <f t="shared" si="55"/>
        <v>-6.3330127810916903E-2</v>
      </c>
      <c r="AA360" s="17">
        <f t="shared" si="56"/>
        <v>-7.0349938572419057E-2</v>
      </c>
    </row>
    <row r="361" spans="1:27" x14ac:dyDescent="0.3">
      <c r="A361" s="13" t="s">
        <v>347</v>
      </c>
      <c r="B361" s="14" t="s">
        <v>352</v>
      </c>
      <c r="C361" s="15">
        <v>-0.12812148986736868</v>
      </c>
      <c r="D361" s="15">
        <v>-0.22306400686280578</v>
      </c>
      <c r="E361" s="15">
        <v>-0.31069516007202214</v>
      </c>
      <c r="F361" s="15">
        <v>-0.38098756889042024</v>
      </c>
      <c r="G361" s="15">
        <v>-0.43672600170013942</v>
      </c>
      <c r="H361" s="15">
        <v>-0.48069522688331923</v>
      </c>
      <c r="I361" s="15">
        <v>-0.51568001282209874</v>
      </c>
      <c r="J361" s="15">
        <v>-0.54446512789861745</v>
      </c>
      <c r="K361" s="15">
        <v>-0.56983534049501472</v>
      </c>
      <c r="L361" s="15">
        <v>-0.59457541899342992</v>
      </c>
      <c r="M361" s="15">
        <v>-0.62147013177600274</v>
      </c>
      <c r="N361" s="15">
        <v>-0.6533042472248719</v>
      </c>
      <c r="O361" s="15">
        <v>-0.69286253372217721</v>
      </c>
      <c r="P361" s="15">
        <v>-0.74292975965005814</v>
      </c>
      <c r="Q361" s="15">
        <v>-0.8062906933906534</v>
      </c>
      <c r="S361" s="17">
        <f t="shared" si="48"/>
        <v>-0.1780516623644447</v>
      </c>
      <c r="T361" s="17">
        <f t="shared" si="49"/>
        <v>-0.14166672234274758</v>
      </c>
      <c r="U361" s="17">
        <f t="shared" si="50"/>
        <v>-0.11224370327639877</v>
      </c>
      <c r="V361" s="17">
        <f t="shared" si="51"/>
        <v>-8.9782605165398349E-2</v>
      </c>
      <c r="W361" s="17">
        <f t="shared" si="52"/>
        <v>-7.4283428009746244E-2</v>
      </c>
      <c r="X361" s="17">
        <f t="shared" si="53"/>
        <v>-6.5746171809442644E-2</v>
      </c>
      <c r="Y361" s="17">
        <f t="shared" si="54"/>
        <v>-6.4170836564487743E-2</v>
      </c>
      <c r="Z361" s="17">
        <f t="shared" si="55"/>
        <v>-6.9557422274880987E-2</v>
      </c>
      <c r="AA361" s="17">
        <f t="shared" si="56"/>
        <v>-8.1905928940622735E-2</v>
      </c>
    </row>
    <row r="362" spans="1:27" x14ac:dyDescent="0.3">
      <c r="A362" s="13" t="s">
        <v>347</v>
      </c>
      <c r="B362" s="14" t="s">
        <v>353</v>
      </c>
      <c r="C362" s="15">
        <v>-0.12629061745677461</v>
      </c>
      <c r="D362" s="15">
        <v>-0.21914637953407143</v>
      </c>
      <c r="E362" s="15">
        <v>-0.3041428286392977</v>
      </c>
      <c r="F362" s="15">
        <v>-0.37157220720927864</v>
      </c>
      <c r="G362" s="15">
        <v>-0.42435581942651684</v>
      </c>
      <c r="H362" s="15">
        <v>-0.46541496947351479</v>
      </c>
      <c r="I362" s="15">
        <v>-0.4976709615327754</v>
      </c>
      <c r="J362" s="15">
        <v>-0.52404509978680114</v>
      </c>
      <c r="K362" s="15">
        <v>-0.54745868841809453</v>
      </c>
      <c r="L362" s="15">
        <v>-0.57083303160915855</v>
      </c>
      <c r="M362" s="15">
        <v>-0.59708943354249544</v>
      </c>
      <c r="N362" s="15">
        <v>-0.62914919840060812</v>
      </c>
      <c r="O362" s="15">
        <v>-0.66993363036599896</v>
      </c>
      <c r="P362" s="15">
        <v>-0.72236403362117085</v>
      </c>
      <c r="Q362" s="15">
        <v>-0.7893617123486264</v>
      </c>
      <c r="S362" s="17">
        <f t="shared" si="48"/>
        <v>-0.17100786657703784</v>
      </c>
      <c r="T362" s="17">
        <f t="shared" si="49"/>
        <v>-0.13439345069518091</v>
      </c>
      <c r="U362" s="17">
        <f t="shared" si="50"/>
        <v>-0.10508229526958063</v>
      </c>
      <c r="V362" s="17">
        <f t="shared" si="51"/>
        <v>-8.3074400300236911E-2</v>
      </c>
      <c r="W362" s="17">
        <f t="shared" si="52"/>
        <v>-6.8369765787149775E-2</v>
      </c>
      <c r="X362" s="17">
        <f t="shared" si="53"/>
        <v>-6.0968391730319288E-2</v>
      </c>
      <c r="Y362" s="17">
        <f t="shared" si="54"/>
        <v>-6.0870278129745256E-2</v>
      </c>
      <c r="Z362" s="17">
        <f t="shared" si="55"/>
        <v>-6.8075424985427999E-2</v>
      </c>
      <c r="AA362" s="17">
        <f t="shared" si="56"/>
        <v>-8.2583832297367016E-2</v>
      </c>
    </row>
    <row r="363" spans="1:27" x14ac:dyDescent="0.3">
      <c r="A363" s="13" t="s">
        <v>347</v>
      </c>
      <c r="B363" s="14" t="s">
        <v>354</v>
      </c>
      <c r="C363" s="15">
        <v>-0.12339072442082241</v>
      </c>
      <c r="D363" s="15">
        <v>-0.21523129167051663</v>
      </c>
      <c r="E363" s="15">
        <v>-0.30034061328177597</v>
      </c>
      <c r="F363" s="15">
        <v>-0.36890776305520995</v>
      </c>
      <c r="G363" s="15">
        <v>-0.4234608872335105</v>
      </c>
      <c r="H363" s="15">
        <v>-0.4665281320593696</v>
      </c>
      <c r="I363" s="15">
        <v>-0.50063764377547915</v>
      </c>
      <c r="J363" s="15">
        <v>-0.52831756862453083</v>
      </c>
      <c r="K363" s="15">
        <v>-0.5520960528492167</v>
      </c>
      <c r="L363" s="15">
        <v>-0.57450124269222869</v>
      </c>
      <c r="M363" s="15">
        <v>-0.59806128439625872</v>
      </c>
      <c r="N363" s="15">
        <v>-0.62530432420399851</v>
      </c>
      <c r="O363" s="15">
        <v>-0.6587585083581402</v>
      </c>
      <c r="P363" s="15">
        <v>-0.70095198310137574</v>
      </c>
      <c r="Q363" s="15">
        <v>-0.75441289467639616</v>
      </c>
      <c r="S363" s="17">
        <f t="shared" si="48"/>
        <v>-0.17352466296916155</v>
      </c>
      <c r="T363" s="17">
        <f t="shared" si="49"/>
        <v>-0.13848959898132804</v>
      </c>
      <c r="U363" s="17">
        <f t="shared" si="50"/>
        <v>-0.10977490060022432</v>
      </c>
      <c r="V363" s="17">
        <f t="shared" si="51"/>
        <v>-8.7380567825850269E-2</v>
      </c>
      <c r="W363" s="17">
        <f t="shared" si="52"/>
        <v>-7.1306600658205918E-2</v>
      </c>
      <c r="X363" s="17">
        <f t="shared" si="53"/>
        <v>-6.1552999097291283E-2</v>
      </c>
      <c r="Y363" s="17">
        <f t="shared" si="54"/>
        <v>-5.8119763143106573E-2</v>
      </c>
      <c r="Z363" s="17">
        <f t="shared" si="55"/>
        <v>-6.100689279565151E-2</v>
      </c>
      <c r="AA363" s="17">
        <f t="shared" si="56"/>
        <v>-7.0214388054926261E-2</v>
      </c>
    </row>
    <row r="364" spans="1:27" x14ac:dyDescent="0.3">
      <c r="A364" s="13" t="s">
        <v>347</v>
      </c>
      <c r="B364" s="14" t="s">
        <v>355</v>
      </c>
      <c r="C364" s="15">
        <v>-0.12448180636072369</v>
      </c>
      <c r="D364" s="15">
        <v>-0.21638985968925833</v>
      </c>
      <c r="E364" s="15">
        <v>-0.30084871762425708</v>
      </c>
      <c r="F364" s="15">
        <v>-0.36814838961541202</v>
      </c>
      <c r="G364" s="15">
        <v>-0.42102706574848758</v>
      </c>
      <c r="H364" s="15">
        <v>-0.46222293610924847</v>
      </c>
      <c r="I364" s="15">
        <v>-0.49447419078345883</v>
      </c>
      <c r="J364" s="15">
        <v>-0.52051901985688342</v>
      </c>
      <c r="K364" s="15">
        <v>-0.54309561341528689</v>
      </c>
      <c r="L364" s="15">
        <v>-0.56494216154443311</v>
      </c>
      <c r="M364" s="15">
        <v>-0.5887968543300871</v>
      </c>
      <c r="N364" s="15">
        <v>-0.61739788185801325</v>
      </c>
      <c r="O364" s="15">
        <v>-0.65348343421397614</v>
      </c>
      <c r="P364" s="15">
        <v>-0.69979170148373959</v>
      </c>
      <c r="Q364" s="15">
        <v>-0.75906087375306863</v>
      </c>
      <c r="S364" s="17">
        <f t="shared" si="48"/>
        <v>-0.17053100504935773</v>
      </c>
      <c r="T364" s="17">
        <f t="shared" si="49"/>
        <v>-0.1344785154041595</v>
      </c>
      <c r="U364" s="17">
        <f t="shared" si="50"/>
        <v>-0.10527150097337235</v>
      </c>
      <c r="V364" s="17">
        <f t="shared" si="51"/>
        <v>-8.2909961756996525E-2</v>
      </c>
      <c r="W364" s="17">
        <f t="shared" si="52"/>
        <v>-6.7393897755032017E-2</v>
      </c>
      <c r="X364" s="17">
        <f t="shared" si="53"/>
        <v>-5.8723308967478557E-2</v>
      </c>
      <c r="Y364" s="17">
        <f t="shared" si="54"/>
        <v>-5.6898195394336396E-2</v>
      </c>
      <c r="Z364" s="17">
        <f t="shared" si="55"/>
        <v>-6.1918557035605296E-2</v>
      </c>
      <c r="AA364" s="17">
        <f t="shared" si="56"/>
        <v>-7.3784393891285868E-2</v>
      </c>
    </row>
    <row r="365" spans="1:27" x14ac:dyDescent="0.3">
      <c r="A365" s="13" t="s">
        <v>347</v>
      </c>
      <c r="B365" s="14" t="s">
        <v>356</v>
      </c>
      <c r="C365" s="15">
        <v>-0.12339072442082241</v>
      </c>
      <c r="D365" s="15">
        <v>-0.21523129167051663</v>
      </c>
      <c r="E365" s="15">
        <v>-0.30034061328177597</v>
      </c>
      <c r="F365" s="15">
        <v>-0.36890776305520995</v>
      </c>
      <c r="G365" s="15">
        <v>-0.4234608872335105</v>
      </c>
      <c r="H365" s="15">
        <v>-0.4665281320593696</v>
      </c>
      <c r="I365" s="15">
        <v>-0.50063764377547915</v>
      </c>
      <c r="J365" s="15">
        <v>-0.52831756862453083</v>
      </c>
      <c r="K365" s="15">
        <v>-0.5520960528492167</v>
      </c>
      <c r="L365" s="15">
        <v>-0.57450124269222869</v>
      </c>
      <c r="M365" s="15">
        <v>-0.59806128439625872</v>
      </c>
      <c r="N365" s="15">
        <v>-0.62530432420399851</v>
      </c>
      <c r="O365" s="15">
        <v>-0.6587585083581402</v>
      </c>
      <c r="P365" s="15">
        <v>-0.70095198310137574</v>
      </c>
      <c r="Q365" s="15">
        <v>-0.75441289467639616</v>
      </c>
      <c r="S365" s="17">
        <f t="shared" si="48"/>
        <v>-0.17352466296916155</v>
      </c>
      <c r="T365" s="17">
        <f t="shared" si="49"/>
        <v>-0.13848959898132804</v>
      </c>
      <c r="U365" s="17">
        <f t="shared" si="50"/>
        <v>-0.10977490060022432</v>
      </c>
      <c r="V365" s="17">
        <f t="shared" si="51"/>
        <v>-8.7380567825850269E-2</v>
      </c>
      <c r="W365" s="17">
        <f t="shared" si="52"/>
        <v>-7.1306600658205918E-2</v>
      </c>
      <c r="X365" s="17">
        <f t="shared" si="53"/>
        <v>-6.1552999097291283E-2</v>
      </c>
      <c r="Y365" s="17">
        <f t="shared" si="54"/>
        <v>-5.8119763143106573E-2</v>
      </c>
      <c r="Z365" s="17">
        <f t="shared" si="55"/>
        <v>-6.100689279565151E-2</v>
      </c>
      <c r="AA365" s="17">
        <f t="shared" si="56"/>
        <v>-7.0214388054926261E-2</v>
      </c>
    </row>
    <row r="366" spans="1:27" x14ac:dyDescent="0.3">
      <c r="A366" s="13" t="s">
        <v>347</v>
      </c>
      <c r="B366" s="14" t="s">
        <v>357</v>
      </c>
      <c r="C366" s="15">
        <v>-0.11466778034663724</v>
      </c>
      <c r="D366" s="15">
        <v>-0.2045599259257577</v>
      </c>
      <c r="E366" s="15">
        <v>-0.29224887522550486</v>
      </c>
      <c r="F366" s="15">
        <v>-0.36750967718679473</v>
      </c>
      <c r="G366" s="15">
        <v>-0.43158415878520734</v>
      </c>
      <c r="H366" s="15">
        <v>-0.48571414699632243</v>
      </c>
      <c r="I366" s="15">
        <v>-0.53114146879571977</v>
      </c>
      <c r="J366" s="15">
        <v>-0.56910795115897939</v>
      </c>
      <c r="K366" s="15">
        <v>-0.60085542106168111</v>
      </c>
      <c r="L366" s="15">
        <v>-0.62762570547940477</v>
      </c>
      <c r="M366" s="15">
        <v>-0.65066063138773023</v>
      </c>
      <c r="N366" s="15">
        <v>-0.67120202576223753</v>
      </c>
      <c r="O366" s="15">
        <v>-0.69049171557850597</v>
      </c>
      <c r="P366" s="15">
        <v>-0.70977152781211605</v>
      </c>
      <c r="Q366" s="15">
        <v>-0.73028328943864718</v>
      </c>
      <c r="S366" s="17">
        <f t="shared" si="48"/>
        <v>-0.18918686071620805</v>
      </c>
      <c r="T366" s="17">
        <f t="shared" si="49"/>
        <v>-0.16122105980901466</v>
      </c>
      <c r="U366" s="17">
        <f t="shared" si="50"/>
        <v>-0.13635982634077087</v>
      </c>
      <c r="V366" s="17">
        <f t="shared" si="51"/>
        <v>-0.11460316031147672</v>
      </c>
      <c r="W366" s="17">
        <f t="shared" si="52"/>
        <v>-9.5951061721132241E-2</v>
      </c>
      <c r="X366" s="17">
        <f t="shared" si="53"/>
        <v>-8.0403530569737508E-2</v>
      </c>
      <c r="Y366" s="17">
        <f t="shared" si="54"/>
        <v>-6.7960566857292362E-2</v>
      </c>
      <c r="Z366" s="17">
        <f t="shared" si="55"/>
        <v>-5.8622170583797026E-2</v>
      </c>
      <c r="AA366" s="17">
        <f t="shared" si="56"/>
        <v>-5.2388341749251E-2</v>
      </c>
    </row>
    <row r="367" spans="1:27" x14ac:dyDescent="0.3">
      <c r="A367" s="13" t="s">
        <v>347</v>
      </c>
      <c r="B367" s="14" t="s">
        <v>358</v>
      </c>
      <c r="C367" s="15">
        <v>-0.12339072442082241</v>
      </c>
      <c r="D367" s="15">
        <v>-0.21523129167051663</v>
      </c>
      <c r="E367" s="15">
        <v>-0.30034061328177597</v>
      </c>
      <c r="F367" s="15">
        <v>-0.36890776305520995</v>
      </c>
      <c r="G367" s="15">
        <v>-0.4234608872335105</v>
      </c>
      <c r="H367" s="15">
        <v>-0.4665281320593696</v>
      </c>
      <c r="I367" s="15">
        <v>-0.50063764377547915</v>
      </c>
      <c r="J367" s="15">
        <v>-0.52831756862453083</v>
      </c>
      <c r="K367" s="15">
        <v>-0.5520960528492167</v>
      </c>
      <c r="L367" s="15">
        <v>-0.57450124269222869</v>
      </c>
      <c r="M367" s="15">
        <v>-0.59806128439625872</v>
      </c>
      <c r="N367" s="15">
        <v>-0.62530432420399851</v>
      </c>
      <c r="O367" s="15">
        <v>-0.6587585083581402</v>
      </c>
      <c r="P367" s="15">
        <v>-0.70095198310137574</v>
      </c>
      <c r="Q367" s="15">
        <v>-0.75441289467639616</v>
      </c>
      <c r="S367" s="17">
        <f t="shared" si="48"/>
        <v>-0.17352466296916155</v>
      </c>
      <c r="T367" s="17">
        <f t="shared" si="49"/>
        <v>-0.13848959898132804</v>
      </c>
      <c r="U367" s="17">
        <f t="shared" si="50"/>
        <v>-0.10977490060022432</v>
      </c>
      <c r="V367" s="17">
        <f t="shared" si="51"/>
        <v>-8.7380567825850269E-2</v>
      </c>
      <c r="W367" s="17">
        <f t="shared" si="52"/>
        <v>-7.1306600658205918E-2</v>
      </c>
      <c r="X367" s="17">
        <f t="shared" si="53"/>
        <v>-6.1552999097291283E-2</v>
      </c>
      <c r="Y367" s="17">
        <f t="shared" si="54"/>
        <v>-5.8119763143106573E-2</v>
      </c>
      <c r="Z367" s="17">
        <f t="shared" si="55"/>
        <v>-6.100689279565151E-2</v>
      </c>
      <c r="AA367" s="17">
        <f t="shared" si="56"/>
        <v>-7.0214388054926261E-2</v>
      </c>
    </row>
    <row r="368" spans="1:27" x14ac:dyDescent="0.3">
      <c r="A368" s="13" t="s">
        <v>347</v>
      </c>
      <c r="B368" s="14" t="s">
        <v>359</v>
      </c>
      <c r="C368" s="15">
        <v>-0.11009851542135882</v>
      </c>
      <c r="D368" s="15">
        <v>-0.19726857371827983</v>
      </c>
      <c r="E368" s="15">
        <v>-0.28344423324400547</v>
      </c>
      <c r="F368" s="15">
        <v>-0.35899191443208356</v>
      </c>
      <c r="G368" s="15">
        <v>-0.42528788925819777</v>
      </c>
      <c r="H368" s="15">
        <v>-0.48370842969803174</v>
      </c>
      <c r="I368" s="15">
        <v>-0.53562980772726931</v>
      </c>
      <c r="J368" s="15">
        <v>-0.58242829532159401</v>
      </c>
      <c r="K368" s="15">
        <v>-0.62548016445668964</v>
      </c>
      <c r="L368" s="15">
        <v>-0.66616168710823975</v>
      </c>
      <c r="M368" s="15">
        <v>-0.70584913525192816</v>
      </c>
      <c r="N368" s="15">
        <v>-0.74591878086343844</v>
      </c>
      <c r="O368" s="15">
        <v>-0.78774689591845437</v>
      </c>
      <c r="P368" s="15">
        <v>-0.83270975239265954</v>
      </c>
      <c r="Q368" s="15">
        <v>-0.88218362226173785</v>
      </c>
      <c r="S368" s="17">
        <f t="shared" si="48"/>
        <v>-0.19001609628326493</v>
      </c>
      <c r="T368" s="17">
        <f t="shared" si="49"/>
        <v>-0.16688683037835522</v>
      </c>
      <c r="U368" s="17">
        <f t="shared" si="50"/>
        <v>-0.14719824441265481</v>
      </c>
      <c r="V368" s="17">
        <f t="shared" si="51"/>
        <v>-0.13095033838616355</v>
      </c>
      <c r="W368" s="17">
        <f t="shared" si="52"/>
        <v>-0.11814311229888158</v>
      </c>
      <c r="X368" s="17">
        <f t="shared" si="53"/>
        <v>-0.10877656615080869</v>
      </c>
      <c r="Y368" s="17">
        <f t="shared" si="54"/>
        <v>-0.10285069994194512</v>
      </c>
      <c r="Z368" s="17">
        <f t="shared" si="55"/>
        <v>-0.10036551367229066</v>
      </c>
      <c r="AA368" s="17">
        <f t="shared" si="56"/>
        <v>-0.10132100734184551</v>
      </c>
    </row>
    <row r="369" spans="1:27" x14ac:dyDescent="0.3">
      <c r="A369" s="13" t="s">
        <v>347</v>
      </c>
      <c r="B369" s="14" t="s">
        <v>360</v>
      </c>
      <c r="C369" s="15">
        <v>-0.12393733260655861</v>
      </c>
      <c r="D369" s="15">
        <v>-0.21575248452687715</v>
      </c>
      <c r="E369" s="15">
        <v>-0.30042619000495396</v>
      </c>
      <c r="F369" s="15">
        <v>-0.36821506848751129</v>
      </c>
      <c r="G369" s="15">
        <v>-0.42176947268192744</v>
      </c>
      <c r="H369" s="15">
        <v>-0.46373975529558054</v>
      </c>
      <c r="I369" s="15">
        <v>-0.49677626903584887</v>
      </c>
      <c r="J369" s="15">
        <v>-0.52352936661011062</v>
      </c>
      <c r="K369" s="15">
        <v>-0.54664940072574375</v>
      </c>
      <c r="L369" s="15">
        <v>-0.56878672409012687</v>
      </c>
      <c r="M369" s="15">
        <v>-0.59259168941063811</v>
      </c>
      <c r="N369" s="15">
        <v>-0.62071464939465504</v>
      </c>
      <c r="O369" s="15">
        <v>-0.65580595674955644</v>
      </c>
      <c r="P369" s="15">
        <v>-0.70051596418272077</v>
      </c>
      <c r="Q369" s="15">
        <v>-0.75749502440152605</v>
      </c>
      <c r="S369" s="17">
        <f t="shared" si="48"/>
        <v>-0.1716808234625419</v>
      </c>
      <c r="T369" s="17">
        <f t="shared" si="49"/>
        <v>-0.1360946377421888</v>
      </c>
      <c r="U369" s="17">
        <f t="shared" si="50"/>
        <v>-0.10713433379028131</v>
      </c>
      <c r="V369" s="17">
        <f t="shared" si="51"/>
        <v>-8.4799911606819323E-2</v>
      </c>
      <c r="W369" s="17">
        <f t="shared" si="52"/>
        <v>-6.9091371191802683E-2</v>
      </c>
      <c r="X369" s="17">
        <f t="shared" si="53"/>
        <v>-6.0008712545231671E-2</v>
      </c>
      <c r="Y369" s="17">
        <f t="shared" si="54"/>
        <v>-5.7551935667106244E-2</v>
      </c>
      <c r="Z369" s="17">
        <f t="shared" si="55"/>
        <v>-6.1721040557426068E-2</v>
      </c>
      <c r="AA369" s="17">
        <f t="shared" si="56"/>
        <v>-7.2516027216191312E-2</v>
      </c>
    </row>
    <row r="370" spans="1:27" x14ac:dyDescent="0.3">
      <c r="A370" s="13" t="s">
        <v>347</v>
      </c>
      <c r="B370" s="14" t="s">
        <v>361</v>
      </c>
      <c r="C370" s="15">
        <v>-0.12423960888946617</v>
      </c>
      <c r="D370" s="15">
        <v>-0.21658420533375058</v>
      </c>
      <c r="E370" s="15">
        <v>-0.30202881909762697</v>
      </c>
      <c r="F370" s="15">
        <v>-0.370716776136366</v>
      </c>
      <c r="G370" s="15">
        <v>-0.42521536329418486</v>
      </c>
      <c r="H370" s="15">
        <v>-0.46809186741530096</v>
      </c>
      <c r="I370" s="15">
        <v>-0.50191357534393133</v>
      </c>
      <c r="J370" s="15">
        <v>-0.52924777392429345</v>
      </c>
      <c r="K370" s="15">
        <v>-0.55266175000060425</v>
      </c>
      <c r="L370" s="15">
        <v>-0.57472279041708119</v>
      </c>
      <c r="M370" s="15">
        <v>-0.59799818201794153</v>
      </c>
      <c r="N370" s="15">
        <v>-0.62505521164740263</v>
      </c>
      <c r="O370" s="15">
        <v>-0.65846116614968175</v>
      </c>
      <c r="P370" s="15">
        <v>-0.70078333236899548</v>
      </c>
      <c r="Q370" s="15">
        <v>-0.75458899714956196</v>
      </c>
      <c r="S370" s="17">
        <f t="shared" si="48"/>
        <v>-0.1738592983003619</v>
      </c>
      <c r="T370" s="17">
        <f t="shared" si="49"/>
        <v>-0.13838587359806165</v>
      </c>
      <c r="U370" s="17">
        <f t="shared" si="50"/>
        <v>-0.10933066600630445</v>
      </c>
      <c r="V370" s="17">
        <f t="shared" si="51"/>
        <v>-8.6693675525090497E-2</v>
      </c>
      <c r="W370" s="17">
        <f t="shared" si="52"/>
        <v>-7.0474902154419414E-2</v>
      </c>
      <c r="X370" s="17">
        <f t="shared" si="53"/>
        <v>-6.0674345894291548E-2</v>
      </c>
      <c r="Y370" s="17">
        <f t="shared" si="54"/>
        <v>-5.7292006744706733E-2</v>
      </c>
      <c r="Z370" s="17">
        <f t="shared" si="55"/>
        <v>-6.0327884705665316E-2</v>
      </c>
      <c r="AA370" s="17">
        <f t="shared" si="56"/>
        <v>-6.9781979777167144E-2</v>
      </c>
    </row>
    <row r="371" spans="1:27" x14ac:dyDescent="0.3">
      <c r="A371" s="13" t="s">
        <v>347</v>
      </c>
      <c r="B371" s="14" t="s">
        <v>362</v>
      </c>
      <c r="C371" s="15">
        <v>-0.12313809494603106</v>
      </c>
      <c r="D371" s="15">
        <v>-0.21460795557660245</v>
      </c>
      <c r="E371" s="15">
        <v>-0.29920728611378911</v>
      </c>
      <c r="F371" s="15">
        <v>-0.36720069581813314</v>
      </c>
      <c r="G371" s="15">
        <v>-0.42116660344477957</v>
      </c>
      <c r="H371" s="15">
        <v>-0.46368342774887372</v>
      </c>
      <c r="I371" s="15">
        <v>-0.49732958748556078</v>
      </c>
      <c r="J371" s="15">
        <v>-0.52468350140998565</v>
      </c>
      <c r="K371" s="15">
        <v>-0.54832358827729366</v>
      </c>
      <c r="L371" s="15">
        <v>-0.57082826684262988</v>
      </c>
      <c r="M371" s="15">
        <v>-0.59477595586113974</v>
      </c>
      <c r="N371" s="15">
        <v>-0.62274507408796809</v>
      </c>
      <c r="O371" s="15">
        <v>-0.65731404027826013</v>
      </c>
      <c r="P371" s="15">
        <v>-0.70106127318716105</v>
      </c>
      <c r="Q371" s="15">
        <v>-0.75656519156981605</v>
      </c>
      <c r="S371" s="17">
        <f t="shared" si="48"/>
        <v>-0.17213220655681427</v>
      </c>
      <c r="T371" s="17">
        <f t="shared" si="49"/>
        <v>-0.1370634513625705</v>
      </c>
      <c r="U371" s="17">
        <f t="shared" si="50"/>
        <v>-0.1084407430561897</v>
      </c>
      <c r="V371" s="17">
        <f t="shared" si="51"/>
        <v>-8.6264081637671741E-2</v>
      </c>
      <c r="W371" s="17">
        <f t="shared" si="52"/>
        <v>-7.053346710701662E-2</v>
      </c>
      <c r="X371" s="17">
        <f t="shared" si="53"/>
        <v>-6.1248899464224252E-2</v>
      </c>
      <c r="Y371" s="17">
        <f t="shared" si="54"/>
        <v>-5.8410378709295066E-2</v>
      </c>
      <c r="Z371" s="17">
        <f t="shared" si="55"/>
        <v>-6.2017904842228688E-2</v>
      </c>
      <c r="AA371" s="17">
        <f t="shared" si="56"/>
        <v>-7.2071477863025202E-2</v>
      </c>
    </row>
    <row r="372" spans="1:27" x14ac:dyDescent="0.3">
      <c r="A372" s="13" t="s">
        <v>347</v>
      </c>
      <c r="B372" s="14" t="s">
        <v>363</v>
      </c>
      <c r="C372" s="15">
        <v>-0.12549619315454091</v>
      </c>
      <c r="D372" s="15">
        <v>-0.21881176210291448</v>
      </c>
      <c r="E372" s="15">
        <v>-0.30515572702705013</v>
      </c>
      <c r="F372" s="15">
        <v>-0.37452402896333392</v>
      </c>
      <c r="G372" s="15">
        <v>-0.42946222826360592</v>
      </c>
      <c r="H372" s="15">
        <v>-0.47251588527970612</v>
      </c>
      <c r="I372" s="15">
        <v>-0.50623056036347502</v>
      </c>
      <c r="J372" s="15">
        <v>-0.53315181386675226</v>
      </c>
      <c r="K372" s="15">
        <v>-0.55582520614137831</v>
      </c>
      <c r="L372" s="15">
        <v>-0.57679629753919304</v>
      </c>
      <c r="M372" s="15">
        <v>-0.59861064841203671</v>
      </c>
      <c r="N372" s="15">
        <v>-0.62381381911174905</v>
      </c>
      <c r="O372" s="15">
        <v>-0.65495136999017056</v>
      </c>
      <c r="P372" s="15">
        <v>-0.69456886139914176</v>
      </c>
      <c r="Q372" s="15">
        <v>-0.7452118536905018</v>
      </c>
      <c r="S372" s="17">
        <f t="shared" si="48"/>
        <v>-0.17554205513390955</v>
      </c>
      <c r="T372" s="17">
        <f t="shared" si="49"/>
        <v>-0.13946679854388</v>
      </c>
      <c r="U372" s="17">
        <f t="shared" si="50"/>
        <v>-0.10975544283345093</v>
      </c>
      <c r="V372" s="17">
        <f t="shared" si="51"/>
        <v>-8.6407988002621949E-2</v>
      </c>
      <c r="W372" s="17">
        <f t="shared" si="52"/>
        <v>-6.9424434051393494E-2</v>
      </c>
      <c r="X372" s="17">
        <f t="shared" si="53"/>
        <v>-5.8804780979765006E-2</v>
      </c>
      <c r="Y372" s="17">
        <f t="shared" si="54"/>
        <v>-5.4549028787737042E-2</v>
      </c>
      <c r="Z372" s="17">
        <f t="shared" si="55"/>
        <v>-5.6657177475308948E-2</v>
      </c>
      <c r="AA372" s="17">
        <f t="shared" si="56"/>
        <v>-6.5129227042481266E-2</v>
      </c>
    </row>
    <row r="373" spans="1:27" x14ac:dyDescent="0.3">
      <c r="A373" s="13" t="s">
        <v>364</v>
      </c>
      <c r="B373" s="14" t="s">
        <v>365</v>
      </c>
      <c r="C373" s="15">
        <v>-0.11703438073185667</v>
      </c>
      <c r="D373" s="15">
        <v>-0.20663682902756983</v>
      </c>
      <c r="E373" s="15">
        <v>-0.29221997810130262</v>
      </c>
      <c r="F373" s="15">
        <v>-0.3640285760493861</v>
      </c>
      <c r="G373" s="15">
        <v>-0.4240108090413367</v>
      </c>
      <c r="H373" s="15">
        <v>-0.47411486324667118</v>
      </c>
      <c r="I373" s="15">
        <v>-0.51628892483490618</v>
      </c>
      <c r="J373" s="15">
        <v>-0.55248117997555801</v>
      </c>
      <c r="K373" s="15">
        <v>-0.58463981483814353</v>
      </c>
      <c r="L373" s="15">
        <v>-0.61471301559217939</v>
      </c>
      <c r="M373" s="15">
        <v>-0.644648968407182</v>
      </c>
      <c r="N373" s="15">
        <v>-0.676395859452668</v>
      </c>
      <c r="O373" s="15">
        <v>-0.71190187489815415</v>
      </c>
      <c r="P373" s="15">
        <v>-0.75311520091315709</v>
      </c>
      <c r="Q373" s="15">
        <v>-0.80198402366719324</v>
      </c>
      <c r="S373" s="17">
        <f t="shared" si="48"/>
        <v>-0.18114498334480572</v>
      </c>
      <c r="T373" s="17">
        <f t="shared" si="49"/>
        <v>-0.15157907095447379</v>
      </c>
      <c r="U373" s="17">
        <f t="shared" si="50"/>
        <v>-0.1268836239879334</v>
      </c>
      <c r="V373" s="17">
        <f t="shared" si="51"/>
        <v>-0.10705864244518443</v>
      </c>
      <c r="W373" s="17">
        <f t="shared" si="52"/>
        <v>-9.210412632622697E-2</v>
      </c>
      <c r="X373" s="17">
        <f t="shared" si="53"/>
        <v>-8.2020075631061007E-2</v>
      </c>
      <c r="Y373" s="17">
        <f t="shared" si="54"/>
        <v>-7.680649035968666E-2</v>
      </c>
      <c r="Z373" s="17">
        <f t="shared" si="55"/>
        <v>-7.6463370512103723E-2</v>
      </c>
      <c r="AA373" s="17">
        <f t="shared" si="56"/>
        <v>-8.0990716088312292E-2</v>
      </c>
    </row>
    <row r="374" spans="1:27" x14ac:dyDescent="0.3">
      <c r="A374" s="13" t="s">
        <v>364</v>
      </c>
      <c r="B374" s="14" t="s">
        <v>366</v>
      </c>
      <c r="C374" s="15">
        <v>-0.11660705068618787</v>
      </c>
      <c r="D374" s="15">
        <v>-0.20580911898793608</v>
      </c>
      <c r="E374" s="15">
        <v>-0.29100182439633915</v>
      </c>
      <c r="F374" s="15">
        <v>-0.36255065462062191</v>
      </c>
      <c r="G374" s="15">
        <v>-0.42248180243862798</v>
      </c>
      <c r="H374" s="15">
        <v>-0.47282146062820102</v>
      </c>
      <c r="I374" s="15">
        <v>-0.51559582196718456</v>
      </c>
      <c r="J374" s="15">
        <v>-0.55283107923342234</v>
      </c>
      <c r="K374" s="15">
        <v>-0.58655342520475795</v>
      </c>
      <c r="L374" s="15">
        <v>-0.61878905265903517</v>
      </c>
      <c r="M374" s="15">
        <v>-0.6515641543740972</v>
      </c>
      <c r="N374" s="15">
        <v>-0.68690492312778806</v>
      </c>
      <c r="O374" s="15">
        <v>-0.72683755169795128</v>
      </c>
      <c r="P374" s="15">
        <v>-0.77338823286243041</v>
      </c>
      <c r="Q374" s="15">
        <v>-0.82858315939906924</v>
      </c>
      <c r="S374" s="17">
        <f t="shared" si="48"/>
        <v>-0.18056056954224325</v>
      </c>
      <c r="T374" s="17">
        <f t="shared" si="49"/>
        <v>-0.15151636352655157</v>
      </c>
      <c r="U374" s="17">
        <f t="shared" si="50"/>
        <v>-0.12753763945546887</v>
      </c>
      <c r="V374" s="17">
        <f t="shared" si="51"/>
        <v>-0.10862439732899529</v>
      </c>
      <c r="W374" s="17">
        <f t="shared" si="52"/>
        <v>-9.4776637147130777E-2</v>
      </c>
      <c r="X374" s="17">
        <f t="shared" si="53"/>
        <v>-8.5994358909875501E-2</v>
      </c>
      <c r="Y374" s="17">
        <f t="shared" si="54"/>
        <v>-8.2277562617229044E-2</v>
      </c>
      <c r="Z374" s="17">
        <f t="shared" si="55"/>
        <v>-8.3626248269191766E-2</v>
      </c>
      <c r="AA374" s="17">
        <f t="shared" si="56"/>
        <v>-9.0040415865763418E-2</v>
      </c>
    </row>
    <row r="375" spans="1:27" x14ac:dyDescent="0.3">
      <c r="A375" s="13" t="s">
        <v>364</v>
      </c>
      <c r="B375" s="14" t="s">
        <v>367</v>
      </c>
      <c r="C375" s="15">
        <v>-0.11703438073185667</v>
      </c>
      <c r="D375" s="15">
        <v>-0.20663682902756983</v>
      </c>
      <c r="E375" s="15">
        <v>-0.29221997810130262</v>
      </c>
      <c r="F375" s="15">
        <v>-0.3640285760493861</v>
      </c>
      <c r="G375" s="15">
        <v>-0.4240108090413367</v>
      </c>
      <c r="H375" s="15">
        <v>-0.47411486324667118</v>
      </c>
      <c r="I375" s="15">
        <v>-0.51628892483490618</v>
      </c>
      <c r="J375" s="15">
        <v>-0.55248117997555801</v>
      </c>
      <c r="K375" s="15">
        <v>-0.58463981483814353</v>
      </c>
      <c r="L375" s="15">
        <v>-0.61471301559217939</v>
      </c>
      <c r="M375" s="15">
        <v>-0.644648968407182</v>
      </c>
      <c r="N375" s="15">
        <v>-0.676395859452668</v>
      </c>
      <c r="O375" s="15">
        <v>-0.71190187489815415</v>
      </c>
      <c r="P375" s="15">
        <v>-0.75311520091315709</v>
      </c>
      <c r="Q375" s="15">
        <v>-0.80198402366719324</v>
      </c>
      <c r="S375" s="17">
        <f t="shared" si="48"/>
        <v>-0.18114498334480572</v>
      </c>
      <c r="T375" s="17">
        <f t="shared" si="49"/>
        <v>-0.15157907095447379</v>
      </c>
      <c r="U375" s="17">
        <f t="shared" si="50"/>
        <v>-0.1268836239879334</v>
      </c>
      <c r="V375" s="17">
        <f t="shared" si="51"/>
        <v>-0.10705864244518443</v>
      </c>
      <c r="W375" s="17">
        <f t="shared" si="52"/>
        <v>-9.210412632622697E-2</v>
      </c>
      <c r="X375" s="17">
        <f t="shared" si="53"/>
        <v>-8.2020075631061007E-2</v>
      </c>
      <c r="Y375" s="17">
        <f t="shared" si="54"/>
        <v>-7.680649035968666E-2</v>
      </c>
      <c r="Z375" s="17">
        <f t="shared" si="55"/>
        <v>-7.6463370512103723E-2</v>
      </c>
      <c r="AA375" s="17">
        <f t="shared" si="56"/>
        <v>-8.0990716088312292E-2</v>
      </c>
    </row>
    <row r="376" spans="1:27" x14ac:dyDescent="0.3">
      <c r="A376" s="13" t="s">
        <v>364</v>
      </c>
      <c r="B376" s="14" t="s">
        <v>368</v>
      </c>
      <c r="C376" s="15">
        <v>-0.10777246443869562</v>
      </c>
      <c r="D376" s="15">
        <v>-0.19385343748872361</v>
      </c>
      <c r="E376" s="15">
        <v>-0.27950950359479976</v>
      </c>
      <c r="F376" s="15">
        <v>-0.35499095569053463</v>
      </c>
      <c r="G376" s="15">
        <v>-0.42132533315340814</v>
      </c>
      <c r="H376" s="15">
        <v>-0.47954017536090038</v>
      </c>
      <c r="I376" s="15">
        <v>-0.5306630216904914</v>
      </c>
      <c r="J376" s="15">
        <v>-0.57572141151966116</v>
      </c>
      <c r="K376" s="15">
        <v>-0.61574288422588985</v>
      </c>
      <c r="L376" s="15">
        <v>-0.65175497918665737</v>
      </c>
      <c r="M376" s="15">
        <v>-0.68478523577944361</v>
      </c>
      <c r="N376" s="15">
        <v>-0.71586119338172904</v>
      </c>
      <c r="O376" s="15">
        <v>-0.74601039137099323</v>
      </c>
      <c r="P376" s="15">
        <v>-0.77626036912471641</v>
      </c>
      <c r="Q376" s="15">
        <v>-0.80763866602037904</v>
      </c>
      <c r="S376" s="17">
        <f t="shared" si="48"/>
        <v>-0.18955991305390379</v>
      </c>
      <c r="T376" s="17">
        <f t="shared" si="49"/>
        <v>-0.1666922264717505</v>
      </c>
      <c r="U376" s="17">
        <f t="shared" si="50"/>
        <v>-0.14639338833329732</v>
      </c>
      <c r="V376" s="17">
        <f t="shared" si="51"/>
        <v>-0.12866339863854417</v>
      </c>
      <c r="W376" s="17">
        <f t="shared" si="52"/>
        <v>-0.11350225738749123</v>
      </c>
      <c r="X376" s="17">
        <f t="shared" si="53"/>
        <v>-0.10090996458013832</v>
      </c>
      <c r="Y376" s="17">
        <f t="shared" si="54"/>
        <v>-9.0886520216485384E-2</v>
      </c>
      <c r="Z376" s="17">
        <f t="shared" si="55"/>
        <v>-8.343192429653265E-2</v>
      </c>
      <c r="AA376" s="17">
        <f t="shared" si="56"/>
        <v>-7.8546176820279895E-2</v>
      </c>
    </row>
    <row r="377" spans="1:27" x14ac:dyDescent="0.3">
      <c r="A377" s="13" t="s">
        <v>364</v>
      </c>
      <c r="B377" s="14" t="s">
        <v>369</v>
      </c>
      <c r="C377" s="15">
        <v>-0.1209449656400053</v>
      </c>
      <c r="D377" s="15">
        <v>-0.21249310572812929</v>
      </c>
      <c r="E377" s="15">
        <v>-0.29882711234890319</v>
      </c>
      <c r="F377" s="15">
        <v>-0.36998157777741913</v>
      </c>
      <c r="G377" s="15">
        <v>-0.42808559085277009</v>
      </c>
      <c r="H377" s="15">
        <v>-0.47526824041404897</v>
      </c>
      <c r="I377" s="15">
        <v>-0.51365861530034829</v>
      </c>
      <c r="J377" s="15">
        <v>-0.54538580435076101</v>
      </c>
      <c r="K377" s="15">
        <v>-0.57257889640438009</v>
      </c>
      <c r="L377" s="15">
        <v>-0.59736698030029778</v>
      </c>
      <c r="M377" s="15">
        <v>-0.62187914487760787</v>
      </c>
      <c r="N377" s="15">
        <v>-0.64824447897540249</v>
      </c>
      <c r="O377" s="15">
        <v>-0.67859207143277411</v>
      </c>
      <c r="P377" s="15">
        <v>-0.7150510110888163</v>
      </c>
      <c r="Q377" s="15">
        <v>-0.75975038678262174</v>
      </c>
      <c r="S377" s="17">
        <f t="shared" si="48"/>
        <v>-0.17966040427053398</v>
      </c>
      <c r="T377" s="17">
        <f t="shared" si="49"/>
        <v>-0.14703427338762148</v>
      </c>
      <c r="U377" s="17">
        <f t="shared" si="50"/>
        <v>-0.11973086460244095</v>
      </c>
      <c r="V377" s="17">
        <f t="shared" si="51"/>
        <v>-9.7750177914992437E-2</v>
      </c>
      <c r="W377" s="17">
        <f t="shared" si="52"/>
        <v>-8.1092213325275941E-2</v>
      </c>
      <c r="X377" s="17">
        <f t="shared" si="53"/>
        <v>-6.9756970833291243E-2</v>
      </c>
      <c r="Y377" s="17">
        <f t="shared" si="54"/>
        <v>-6.3744450439039049E-2</v>
      </c>
      <c r="Z377" s="17">
        <f t="shared" si="55"/>
        <v>-6.3054652142518666E-2</v>
      </c>
      <c r="AA377" s="17">
        <f t="shared" si="56"/>
        <v>-6.7687575943730274E-2</v>
      </c>
    </row>
    <row r="378" spans="1:27" x14ac:dyDescent="0.3">
      <c r="A378" s="13" t="s">
        <v>364</v>
      </c>
      <c r="B378" s="14" t="s">
        <v>370</v>
      </c>
      <c r="C378" s="15">
        <v>-0.11522121376839117</v>
      </c>
      <c r="D378" s="15">
        <v>-0.20535186796860977</v>
      </c>
      <c r="E378" s="15">
        <v>-0.29321872211698363</v>
      </c>
      <c r="F378" s="15">
        <v>-0.36873312262126373</v>
      </c>
      <c r="G378" s="15">
        <v>-0.43332853726604026</v>
      </c>
      <c r="H378" s="15">
        <v>-0.48843843383590302</v>
      </c>
      <c r="I378" s="15">
        <v>-0.53549628011544226</v>
      </c>
      <c r="J378" s="15">
        <v>-0.57593554388924817</v>
      </c>
      <c r="K378" s="15">
        <v>-0.61118969294191083</v>
      </c>
      <c r="L378" s="15">
        <v>-0.64269219505802011</v>
      </c>
      <c r="M378" s="15">
        <v>-0.67187651802216619</v>
      </c>
      <c r="N378" s="15">
        <v>-0.70017612961893905</v>
      </c>
      <c r="O378" s="15">
        <v>-0.7290244976329292</v>
      </c>
      <c r="P378" s="15">
        <v>-0.75985508984872618</v>
      </c>
      <c r="Q378" s="15">
        <v>-0.79410137405092063</v>
      </c>
      <c r="S378" s="17">
        <f t="shared" si="48"/>
        <v>-0.18998055774785874</v>
      </c>
      <c r="T378" s="17">
        <f t="shared" si="49"/>
        <v>-0.16268309309909951</v>
      </c>
      <c r="U378" s="17">
        <f t="shared" si="50"/>
        <v>-0.13896929791181545</v>
      </c>
      <c r="V378" s="17">
        <f t="shared" si="51"/>
        <v>-0.11883917218600659</v>
      </c>
      <c r="W378" s="17">
        <f t="shared" si="52"/>
        <v>-0.10229271592167319</v>
      </c>
      <c r="X378" s="17">
        <f t="shared" si="53"/>
        <v>-8.9329929118814877E-2</v>
      </c>
      <c r="Y378" s="17">
        <f t="shared" si="54"/>
        <v>-7.9950811777431685E-2</v>
      </c>
      <c r="Z378" s="17">
        <f t="shared" si="55"/>
        <v>-7.4155363897523516E-2</v>
      </c>
      <c r="AA378" s="17">
        <f t="shared" si="56"/>
        <v>-7.194358547909091E-2</v>
      </c>
    </row>
    <row r="379" spans="1:27" x14ac:dyDescent="0.3">
      <c r="A379" s="13" t="s">
        <v>364</v>
      </c>
      <c r="B379" s="14" t="s">
        <v>371</v>
      </c>
      <c r="C379" s="15">
        <v>-0.11715911360311886</v>
      </c>
      <c r="D379" s="15">
        <v>-0.20871720060878685</v>
      </c>
      <c r="E379" s="15">
        <v>-0.29785423429462804</v>
      </c>
      <c r="F379" s="15">
        <v>-0.37428868234355794</v>
      </c>
      <c r="G379" s="15">
        <v>-0.43945492379880396</v>
      </c>
      <c r="H379" s="15">
        <v>-0.49478733770359351</v>
      </c>
      <c r="I379" s="15">
        <v>-0.54172030310115382</v>
      </c>
      <c r="J379" s="15">
        <v>-0.58168819903471258</v>
      </c>
      <c r="K379" s="15">
        <v>-0.61612540454749687</v>
      </c>
      <c r="L379" s="15">
        <v>-0.64646629868273442</v>
      </c>
      <c r="M379" s="15">
        <v>-0.6741452604836522</v>
      </c>
      <c r="N379" s="15">
        <v>-0.70059666899347817</v>
      </c>
      <c r="O379" s="15">
        <v>-0.72725490325543918</v>
      </c>
      <c r="P379" s="15">
        <v>-0.75555434231276286</v>
      </c>
      <c r="Q379" s="15">
        <v>-0.78692936520867651</v>
      </c>
      <c r="S379" s="17">
        <f t="shared" si="48"/>
        <v>-0.19228143599168093</v>
      </c>
      <c r="T379" s="17">
        <f t="shared" si="49"/>
        <v>-0.16411091950747123</v>
      </c>
      <c r="U379" s="17">
        <f t="shared" si="50"/>
        <v>-0.1395263506313299</v>
      </c>
      <c r="V379" s="17">
        <f t="shared" si="51"/>
        <v>-0.11852772936325717</v>
      </c>
      <c r="W379" s="17">
        <f t="shared" si="52"/>
        <v>-0.1011150557032528</v>
      </c>
      <c r="X379" s="17">
        <f t="shared" si="53"/>
        <v>-8.7288329651317165E-2</v>
      </c>
      <c r="Y379" s="17">
        <f t="shared" si="54"/>
        <v>-7.7047551207449674E-2</v>
      </c>
      <c r="Z379" s="17">
        <f t="shared" si="55"/>
        <v>-7.0392720371651077E-2</v>
      </c>
      <c r="AA379" s="17">
        <f t="shared" si="56"/>
        <v>-6.7323837143920637E-2</v>
      </c>
    </row>
    <row r="380" spans="1:27" x14ac:dyDescent="0.3">
      <c r="A380" s="13" t="s">
        <v>364</v>
      </c>
      <c r="B380" s="14" t="s">
        <v>372</v>
      </c>
      <c r="C380" s="15">
        <v>-0.12218723693344648</v>
      </c>
      <c r="D380" s="15">
        <v>-0.21483052280913564</v>
      </c>
      <c r="E380" s="15">
        <v>-0.30241430665063018</v>
      </c>
      <c r="F380" s="15">
        <v>-0.37491100576412528</v>
      </c>
      <c r="G380" s="15">
        <v>-0.43451176114916079</v>
      </c>
      <c r="H380" s="15">
        <v>-0.48340771380527636</v>
      </c>
      <c r="I380" s="15">
        <v>-0.5237900047320122</v>
      </c>
      <c r="J380" s="15">
        <v>-0.55784977492890797</v>
      </c>
      <c r="K380" s="15">
        <v>-0.58777816539550332</v>
      </c>
      <c r="L380" s="15">
        <v>-0.61576631713133856</v>
      </c>
      <c r="M380" s="15">
        <v>-0.64400537113595302</v>
      </c>
      <c r="N380" s="15">
        <v>-0.6746864684088868</v>
      </c>
      <c r="O380" s="15">
        <v>-0.71000074994967988</v>
      </c>
      <c r="P380" s="15">
        <v>-0.75213935675787169</v>
      </c>
      <c r="Q380" s="15">
        <v>-0.80329342983300278</v>
      </c>
      <c r="S380" s="17">
        <f t="shared" si="48"/>
        <v>-0.18306769861668762</v>
      </c>
      <c r="T380" s="17">
        <f t="shared" si="49"/>
        <v>-0.15082783929553847</v>
      </c>
      <c r="U380" s="17">
        <f t="shared" si="50"/>
        <v>-0.1240658324732391</v>
      </c>
      <c r="V380" s="17">
        <f t="shared" si="51"/>
        <v>-0.10278167814978931</v>
      </c>
      <c r="W380" s="17">
        <f t="shared" si="52"/>
        <v>-8.6975376325189119E-2</v>
      </c>
      <c r="X380" s="17">
        <f t="shared" si="53"/>
        <v>-7.6646926999438633E-2</v>
      </c>
      <c r="Y380" s="17">
        <f t="shared" si="54"/>
        <v>-7.1796330172537545E-2</v>
      </c>
      <c r="Z380" s="17">
        <f t="shared" si="55"/>
        <v>-7.242358584448623E-2</v>
      </c>
      <c r="AA380" s="17">
        <f t="shared" si="56"/>
        <v>-7.8528694015284423E-2</v>
      </c>
    </row>
    <row r="381" spans="1:27" x14ac:dyDescent="0.3">
      <c r="A381" s="13" t="s">
        <v>364</v>
      </c>
      <c r="B381" s="14" t="s">
        <v>373</v>
      </c>
      <c r="C381" s="15">
        <v>-0.13012191769683876</v>
      </c>
      <c r="D381" s="15">
        <v>-0.22784925079457818</v>
      </c>
      <c r="E381" s="15">
        <v>-0.31925926355904599</v>
      </c>
      <c r="F381" s="15">
        <v>-0.39379140858692324</v>
      </c>
      <c r="G381" s="15">
        <v>-0.45389733024457485</v>
      </c>
      <c r="H381" s="15">
        <v>-0.50202867289836584</v>
      </c>
      <c r="I381" s="15">
        <v>-0.54063708091466101</v>
      </c>
      <c r="J381" s="15">
        <v>-0.57217419865982533</v>
      </c>
      <c r="K381" s="15">
        <v>-0.59909167050022372</v>
      </c>
      <c r="L381" s="15">
        <v>-0.62384114080222108</v>
      </c>
      <c r="M381" s="15">
        <v>-0.64887425393218223</v>
      </c>
      <c r="N381" s="15">
        <v>-0.6766426542564723</v>
      </c>
      <c r="O381" s="15">
        <v>-0.70959798614145597</v>
      </c>
      <c r="P381" s="15">
        <v>-0.75019189395349839</v>
      </c>
      <c r="Q381" s="15">
        <v>-0.80087602205896424</v>
      </c>
      <c r="S381" s="17">
        <f t="shared" si="48"/>
        <v>-0.18837339954166391</v>
      </c>
      <c r="T381" s="17">
        <f t="shared" si="49"/>
        <v>-0.15230784111609988</v>
      </c>
      <c r="U381" s="17">
        <f t="shared" si="50"/>
        <v>-0.12237139360644814</v>
      </c>
      <c r="V381" s="17">
        <f t="shared" si="51"/>
        <v>-9.8564057012708733E-2</v>
      </c>
      <c r="W381" s="17">
        <f t="shared" si="52"/>
        <v>-8.0885831334881558E-2</v>
      </c>
      <c r="X381" s="17">
        <f t="shared" si="53"/>
        <v>-6.9336716572966736E-2</v>
      </c>
      <c r="Y381" s="17">
        <f t="shared" si="54"/>
        <v>-6.3916712726964087E-2</v>
      </c>
      <c r="Z381" s="17">
        <f t="shared" si="55"/>
        <v>-6.4625819796873818E-2</v>
      </c>
      <c r="AA381" s="17">
        <f t="shared" si="56"/>
        <v>-7.1464037782695736E-2</v>
      </c>
    </row>
    <row r="382" spans="1:27" x14ac:dyDescent="0.3">
      <c r="A382" s="13" t="s">
        <v>364</v>
      </c>
      <c r="B382" s="14" t="s">
        <v>374</v>
      </c>
      <c r="C382" s="15">
        <v>-0.13520465070001192</v>
      </c>
      <c r="D382" s="15">
        <v>-0.23641552164761984</v>
      </c>
      <c r="E382" s="15">
        <v>-0.33080005173362942</v>
      </c>
      <c r="F382" s="15">
        <v>-0.40750591088058652</v>
      </c>
      <c r="G382" s="15">
        <v>-0.46920123408103842</v>
      </c>
      <c r="H382" s="15">
        <v>-0.51855415632753232</v>
      </c>
      <c r="I382" s="15">
        <v>-0.55823281261261537</v>
      </c>
      <c r="J382" s="15">
        <v>-0.5909053379288346</v>
      </c>
      <c r="K382" s="15">
        <v>-0.61923986726873725</v>
      </c>
      <c r="L382" s="15">
        <v>-0.64590453562487082</v>
      </c>
      <c r="M382" s="15">
        <v>-0.673567477989782</v>
      </c>
      <c r="N382" s="15">
        <v>-0.70489682935601827</v>
      </c>
      <c r="O382" s="15">
        <v>-0.74256072471612689</v>
      </c>
      <c r="P382" s="15">
        <v>-0.78922729906265454</v>
      </c>
      <c r="Q382" s="15">
        <v>-0.8475646873881485</v>
      </c>
      <c r="S382" s="17">
        <f t="shared" si="48"/>
        <v>-0.19398809369451547</v>
      </c>
      <c r="T382" s="17">
        <f t="shared" si="49"/>
        <v>-0.15646175382825242</v>
      </c>
      <c r="U382" s="17">
        <f t="shared" si="50"/>
        <v>-0.12560575144335737</v>
      </c>
      <c r="V382" s="17">
        <f t="shared" si="51"/>
        <v>-0.10142008653983015</v>
      </c>
      <c r="W382" s="17">
        <f t="shared" si="52"/>
        <v>-8.3904759117670785E-2</v>
      </c>
      <c r="X382" s="17">
        <f t="shared" si="53"/>
        <v>-7.3059769176879549E-2</v>
      </c>
      <c r="Y382" s="17">
        <f t="shared" si="54"/>
        <v>-6.8885116717456174E-2</v>
      </c>
      <c r="Z382" s="17">
        <f t="shared" si="55"/>
        <v>-7.1380801739400854E-2</v>
      </c>
      <c r="AA382" s="17">
        <f t="shared" si="56"/>
        <v>-8.0546824242713394E-2</v>
      </c>
    </row>
    <row r="383" spans="1:27" x14ac:dyDescent="0.3">
      <c r="A383" s="13" t="s">
        <v>364</v>
      </c>
      <c r="B383" s="14" t="s">
        <v>375</v>
      </c>
      <c r="C383" s="15">
        <v>-0.1204595393462824</v>
      </c>
      <c r="D383" s="15">
        <v>-0.21163620839209024</v>
      </c>
      <c r="E383" s="15">
        <v>-0.29770560882425484</v>
      </c>
      <c r="F383" s="15">
        <v>-0.36884279420494059</v>
      </c>
      <c r="G383" s="15">
        <v>-0.42726877203094016</v>
      </c>
      <c r="H383" s="15">
        <v>-0.47520454979904592</v>
      </c>
      <c r="I383" s="15">
        <v>-0.51487113500605075</v>
      </c>
      <c r="J383" s="15">
        <v>-0.5484895351487471</v>
      </c>
      <c r="K383" s="15">
        <v>-0.5782807577239274</v>
      </c>
      <c r="L383" s="15">
        <v>-0.60646581022838475</v>
      </c>
      <c r="M383" s="15">
        <v>-0.63526570015891115</v>
      </c>
      <c r="N383" s="15">
        <v>-0.66690143501229959</v>
      </c>
      <c r="O383" s="15">
        <v>-0.70359402228534262</v>
      </c>
      <c r="P383" s="15">
        <v>-0.7475644694748329</v>
      </c>
      <c r="Q383" s="15">
        <v>-0.80103378407756276</v>
      </c>
      <c r="S383" s="17">
        <f t="shared" si="48"/>
        <v>-0.17969380303237495</v>
      </c>
      <c r="T383" s="17">
        <f t="shared" si="49"/>
        <v>-0.14791578414565923</v>
      </c>
      <c r="U383" s="17">
        <f t="shared" si="50"/>
        <v>-0.12169028400092513</v>
      </c>
      <c r="V383" s="17">
        <f t="shared" si="51"/>
        <v>-0.10101730259817246</v>
      </c>
      <c r="W383" s="17">
        <f t="shared" si="52"/>
        <v>-8.5896839937401243E-2</v>
      </c>
      <c r="X383" s="17">
        <f t="shared" si="53"/>
        <v>-7.6328896018611661E-2</v>
      </c>
      <c r="Y383" s="17">
        <f t="shared" si="54"/>
        <v>-7.2313470841803382E-2</v>
      </c>
      <c r="Z383" s="17">
        <f t="shared" si="55"/>
        <v>-7.3850564406976835E-2</v>
      </c>
      <c r="AA383" s="17">
        <f t="shared" si="56"/>
        <v>-8.0940176714131562E-2</v>
      </c>
    </row>
    <row r="384" spans="1:27" x14ac:dyDescent="0.3">
      <c r="A384" s="13" t="s">
        <v>364</v>
      </c>
      <c r="B384" s="14" t="s">
        <v>376</v>
      </c>
      <c r="C384" s="15">
        <v>-0.11746749781650097</v>
      </c>
      <c r="D384" s="15">
        <v>-0.20689542880443862</v>
      </c>
      <c r="E384" s="15">
        <v>-0.29180922108741192</v>
      </c>
      <c r="F384" s="15">
        <v>-0.36250905995656113</v>
      </c>
      <c r="G384" s="15">
        <v>-0.42104188048467678</v>
      </c>
      <c r="H384" s="15">
        <v>-0.46945461774454911</v>
      </c>
      <c r="I384" s="15">
        <v>-0.50979420680896859</v>
      </c>
      <c r="J384" s="15">
        <v>-0.54410758275072546</v>
      </c>
      <c r="K384" s="15">
        <v>-0.57444168064261036</v>
      </c>
      <c r="L384" s="15">
        <v>-0.60284343555741382</v>
      </c>
      <c r="M384" s="15">
        <v>-0.63135978256792569</v>
      </c>
      <c r="N384" s="15">
        <v>-0.66203765674693671</v>
      </c>
      <c r="O384" s="15">
        <v>-0.69692399316723741</v>
      </c>
      <c r="P384" s="15">
        <v>-0.73806572690161798</v>
      </c>
      <c r="Q384" s="15">
        <v>-0.78750979302286894</v>
      </c>
      <c r="S384" s="17">
        <f t="shared" si="48"/>
        <v>-0.17845537640019848</v>
      </c>
      <c r="T384" s="17">
        <f t="shared" si="49"/>
        <v>-0.14803783054761432</v>
      </c>
      <c r="U384" s="17">
        <f t="shared" si="50"/>
        <v>-0.12273762237700622</v>
      </c>
      <c r="V384" s="17">
        <f t="shared" si="51"/>
        <v>-0.1025547518883739</v>
      </c>
      <c r="W384" s="17">
        <f t="shared" si="52"/>
        <v>-8.7489219081717723E-2</v>
      </c>
      <c r="X384" s="17">
        <f t="shared" si="53"/>
        <v>-7.75410239570377E-2</v>
      </c>
      <c r="Y384" s="17">
        <f t="shared" si="54"/>
        <v>-7.2710166514333527E-2</v>
      </c>
      <c r="Z384" s="17">
        <f t="shared" si="55"/>
        <v>-7.2996646753605288E-2</v>
      </c>
      <c r="AA384" s="17">
        <f t="shared" si="56"/>
        <v>-7.8400464674852982E-2</v>
      </c>
    </row>
    <row r="385" spans="1:27" x14ac:dyDescent="0.3">
      <c r="A385" s="13" t="s">
        <v>364</v>
      </c>
      <c r="B385" s="14" t="s">
        <v>377</v>
      </c>
      <c r="C385" s="15">
        <v>-0.11973499616613237</v>
      </c>
      <c r="D385" s="15">
        <v>-0.20955854883968072</v>
      </c>
      <c r="E385" s="15">
        <v>-0.29363071579117506</v>
      </c>
      <c r="F385" s="15">
        <v>-0.36242929008445907</v>
      </c>
      <c r="G385" s="15">
        <v>-0.41840556439998972</v>
      </c>
      <c r="H385" s="15">
        <v>-0.46401083141822408</v>
      </c>
      <c r="I385" s="15">
        <v>-0.50169638381961923</v>
      </c>
      <c r="J385" s="15">
        <v>-0.53391351428463185</v>
      </c>
      <c r="K385" s="15">
        <v>-0.56311351549371924</v>
      </c>
      <c r="L385" s="15">
        <v>-0.59174768012733825</v>
      </c>
      <c r="M385" s="15">
        <v>-0.62226730086594606</v>
      </c>
      <c r="N385" s="15">
        <v>-0.6571236703899993</v>
      </c>
      <c r="O385" s="15">
        <v>-0.69876808137995539</v>
      </c>
      <c r="P385" s="15">
        <v>-0.74965182651627127</v>
      </c>
      <c r="Q385" s="15">
        <v>-0.81222619847940358</v>
      </c>
      <c r="S385" s="17">
        <f t="shared" si="48"/>
        <v>-0.17403917963359081</v>
      </c>
      <c r="T385" s="17">
        <f t="shared" si="49"/>
        <v>-0.14198342968920752</v>
      </c>
      <c r="U385" s="17">
        <f t="shared" si="50"/>
        <v>-0.1160559114459668</v>
      </c>
      <c r="V385" s="17">
        <f t="shared" si="51"/>
        <v>-9.6256624903868437E-2</v>
      </c>
      <c r="W385" s="17">
        <f t="shared" si="52"/>
        <v>-8.2585570062912644E-2</v>
      </c>
      <c r="X385" s="17">
        <f t="shared" si="53"/>
        <v>-7.5042746923099188E-2</v>
      </c>
      <c r="Y385" s="17">
        <f t="shared" si="54"/>
        <v>-7.3628155484428512E-2</v>
      </c>
      <c r="Z385" s="17">
        <f t="shared" si="55"/>
        <v>-7.8341795746900061E-2</v>
      </c>
      <c r="AA385" s="17">
        <f t="shared" si="56"/>
        <v>-8.9183667710514281E-2</v>
      </c>
    </row>
    <row r="386" spans="1:27" x14ac:dyDescent="0.3">
      <c r="A386" s="13" t="s">
        <v>364</v>
      </c>
      <c r="B386" s="14" t="s">
        <v>378</v>
      </c>
      <c r="C386" s="15">
        <v>-0.11703438073185667</v>
      </c>
      <c r="D386" s="15">
        <v>-0.20663682902756983</v>
      </c>
      <c r="E386" s="15">
        <v>-0.29221997810130262</v>
      </c>
      <c r="F386" s="15">
        <v>-0.3640285760493861</v>
      </c>
      <c r="G386" s="15">
        <v>-0.4240108090413367</v>
      </c>
      <c r="H386" s="15">
        <v>-0.47411486324667118</v>
      </c>
      <c r="I386" s="15">
        <v>-0.51628892483490618</v>
      </c>
      <c r="J386" s="15">
        <v>-0.55248117997555801</v>
      </c>
      <c r="K386" s="15">
        <v>-0.58463981483814353</v>
      </c>
      <c r="L386" s="15">
        <v>-0.61471301559217939</v>
      </c>
      <c r="M386" s="15">
        <v>-0.644648968407182</v>
      </c>
      <c r="N386" s="15">
        <v>-0.676395859452668</v>
      </c>
      <c r="O386" s="15">
        <v>-0.71190187489815415</v>
      </c>
      <c r="P386" s="15">
        <v>-0.75311520091315709</v>
      </c>
      <c r="Q386" s="15">
        <v>-0.80198402366719324</v>
      </c>
      <c r="S386" s="17">
        <f t="shared" si="48"/>
        <v>-0.18114498334480572</v>
      </c>
      <c r="T386" s="17">
        <f t="shared" si="49"/>
        <v>-0.15157907095447379</v>
      </c>
      <c r="U386" s="17">
        <f t="shared" si="50"/>
        <v>-0.1268836239879334</v>
      </c>
      <c r="V386" s="17">
        <f t="shared" si="51"/>
        <v>-0.10705864244518443</v>
      </c>
      <c r="W386" s="17">
        <f t="shared" si="52"/>
        <v>-9.210412632622697E-2</v>
      </c>
      <c r="X386" s="17">
        <f t="shared" si="53"/>
        <v>-8.2020075631061007E-2</v>
      </c>
      <c r="Y386" s="17">
        <f t="shared" si="54"/>
        <v>-7.680649035968666E-2</v>
      </c>
      <c r="Z386" s="17">
        <f t="shared" si="55"/>
        <v>-7.6463370512103723E-2</v>
      </c>
      <c r="AA386" s="17">
        <f t="shared" si="56"/>
        <v>-8.0990716088312292E-2</v>
      </c>
    </row>
    <row r="387" spans="1:27" x14ac:dyDescent="0.3">
      <c r="A387" s="13" t="s">
        <v>364</v>
      </c>
      <c r="B387" s="14" t="s">
        <v>379</v>
      </c>
      <c r="C387" s="15">
        <v>-0.11700000000000001</v>
      </c>
      <c r="D387" s="15">
        <v>-0.20660000000000001</v>
      </c>
      <c r="E387" s="15">
        <v>-0.29220000000000002</v>
      </c>
      <c r="F387" s="15">
        <v>-0.36399999999999999</v>
      </c>
      <c r="G387" s="15">
        <v>-0.42399999999999999</v>
      </c>
      <c r="H387" s="15">
        <v>-0.47410000000000002</v>
      </c>
      <c r="I387" s="15">
        <v>-0.51629999999999998</v>
      </c>
      <c r="J387" s="15">
        <v>-0.55249999999999999</v>
      </c>
      <c r="K387" s="15">
        <v>-0.58460000000000001</v>
      </c>
      <c r="L387" s="15">
        <v>-0.61470000000000002</v>
      </c>
      <c r="M387" s="15">
        <v>-0.64459999999999995</v>
      </c>
      <c r="N387" s="15">
        <v>-0.6764</v>
      </c>
      <c r="O387" s="15">
        <v>-0.71189999999999998</v>
      </c>
      <c r="P387" s="15">
        <v>-0.75309999999999999</v>
      </c>
      <c r="Q387" s="15">
        <v>-0.80200000000000005</v>
      </c>
      <c r="S387" s="17">
        <f t="shared" si="48"/>
        <v>-0.18116666666666667</v>
      </c>
      <c r="T387" s="17">
        <f t="shared" si="49"/>
        <v>-0.15158333333333335</v>
      </c>
      <c r="U387" s="17">
        <f t="shared" si="50"/>
        <v>-0.12691666666666665</v>
      </c>
      <c r="V387" s="17">
        <f t="shared" si="51"/>
        <v>-0.10708333333333334</v>
      </c>
      <c r="W387" s="17">
        <f t="shared" si="52"/>
        <v>-9.2083333333333323E-2</v>
      </c>
      <c r="X387" s="17">
        <f t="shared" si="53"/>
        <v>-8.2000000000000045E-2</v>
      </c>
      <c r="Y387" s="17">
        <f t="shared" si="54"/>
        <v>-7.6749999999999971E-2</v>
      </c>
      <c r="Z387" s="17">
        <f t="shared" si="55"/>
        <v>-7.6499999999999999E-2</v>
      </c>
      <c r="AA387" s="17">
        <f t="shared" si="56"/>
        <v>-8.0999999999999961E-2</v>
      </c>
    </row>
    <row r="388" spans="1:27" x14ac:dyDescent="0.3">
      <c r="A388" s="13" t="s">
        <v>364</v>
      </c>
      <c r="B388" s="14" t="s">
        <v>380</v>
      </c>
      <c r="C388" s="15">
        <v>-0.1031</v>
      </c>
      <c r="D388" s="15">
        <v>-0.1852</v>
      </c>
      <c r="E388" s="15">
        <v>-0.26669999999999999</v>
      </c>
      <c r="F388" s="15">
        <v>-0.3382</v>
      </c>
      <c r="G388" s="15">
        <v>-0.40110000000000001</v>
      </c>
      <c r="H388" s="15">
        <v>-0.45619999999999999</v>
      </c>
      <c r="I388" s="15">
        <v>-0.50480000000000003</v>
      </c>
      <c r="J388" s="15">
        <v>-0.54790000000000005</v>
      </c>
      <c r="K388" s="15">
        <v>-0.5867</v>
      </c>
      <c r="L388" s="15">
        <v>-0.62219999999999998</v>
      </c>
      <c r="M388" s="15">
        <v>-0.65559999999999996</v>
      </c>
      <c r="N388" s="15">
        <v>-0.68779999999999997</v>
      </c>
      <c r="O388" s="15">
        <v>-0.72019999999999995</v>
      </c>
      <c r="P388" s="15">
        <v>-0.75360000000000005</v>
      </c>
      <c r="Q388" s="15">
        <v>-0.7893</v>
      </c>
      <c r="S388" s="17">
        <f t="shared" si="48"/>
        <v>-0.17991666666666667</v>
      </c>
      <c r="T388" s="17">
        <f t="shared" si="49"/>
        <v>-0.15791666666666665</v>
      </c>
      <c r="U388" s="17">
        <f t="shared" si="50"/>
        <v>-0.13883333333333336</v>
      </c>
      <c r="V388" s="17">
        <f t="shared" si="51"/>
        <v>-0.12233333333333338</v>
      </c>
      <c r="W388" s="17">
        <f t="shared" si="52"/>
        <v>-0.10875000000000001</v>
      </c>
      <c r="X388" s="17">
        <f t="shared" si="53"/>
        <v>-9.78333333333333E-2</v>
      </c>
      <c r="Y388" s="17">
        <f t="shared" si="54"/>
        <v>-8.9749999999999913E-2</v>
      </c>
      <c r="Z388" s="17">
        <f t="shared" si="55"/>
        <v>-8.4249999999999964E-2</v>
      </c>
      <c r="AA388" s="17">
        <f t="shared" si="56"/>
        <v>-8.1666666666666637E-2</v>
      </c>
    </row>
    <row r="389" spans="1:27" x14ac:dyDescent="0.3">
      <c r="A389" s="13" t="s">
        <v>364</v>
      </c>
      <c r="B389" s="14" t="s">
        <v>381</v>
      </c>
      <c r="C389" s="15">
        <v>-0.1052</v>
      </c>
      <c r="D389" s="15">
        <v>-0.188</v>
      </c>
      <c r="E389" s="15">
        <v>-0.26929999999999998</v>
      </c>
      <c r="F389" s="15">
        <v>-0.33989999999999998</v>
      </c>
      <c r="G389" s="15">
        <v>-0.4012</v>
      </c>
      <c r="H389" s="15">
        <v>-0.45450000000000002</v>
      </c>
      <c r="I389" s="15">
        <v>-0.50109999999999999</v>
      </c>
      <c r="J389" s="15">
        <v>-0.5423</v>
      </c>
      <c r="K389" s="15">
        <v>-0.57950000000000002</v>
      </c>
      <c r="L389" s="15">
        <v>-0.61399999999999999</v>
      </c>
      <c r="M389" s="15">
        <v>-0.6472</v>
      </c>
      <c r="N389" s="15">
        <v>-0.68030000000000002</v>
      </c>
      <c r="O389" s="15">
        <v>-0.71479999999999999</v>
      </c>
      <c r="P389" s="15">
        <v>-0.75190000000000001</v>
      </c>
      <c r="Q389" s="15">
        <v>-0.79300000000000004</v>
      </c>
      <c r="S389" s="17">
        <f t="shared" si="48"/>
        <v>-0.17766666666666667</v>
      </c>
      <c r="T389" s="17">
        <f t="shared" si="49"/>
        <v>-0.15433333333333335</v>
      </c>
      <c r="U389" s="17">
        <f t="shared" si="50"/>
        <v>-0.13433333333333333</v>
      </c>
      <c r="V389" s="17">
        <f t="shared" si="51"/>
        <v>-0.11758333333333335</v>
      </c>
      <c r="W389" s="17">
        <f t="shared" si="52"/>
        <v>-0.10416666666666666</v>
      </c>
      <c r="X389" s="17">
        <f t="shared" si="53"/>
        <v>-9.4083333333333324E-2</v>
      </c>
      <c r="Y389" s="17">
        <f t="shared" si="54"/>
        <v>-8.741666666666667E-2</v>
      </c>
      <c r="Z389" s="17">
        <f t="shared" si="55"/>
        <v>-8.3999999999999991E-2</v>
      </c>
      <c r="AA389" s="17">
        <f t="shared" si="56"/>
        <v>-8.3999999999999991E-2</v>
      </c>
    </row>
    <row r="390" spans="1:27" x14ac:dyDescent="0.3">
      <c r="A390" s="13" t="s">
        <v>364</v>
      </c>
      <c r="B390" s="14" t="s">
        <v>382</v>
      </c>
      <c r="C390" s="15">
        <v>-0.1187</v>
      </c>
      <c r="D390" s="15">
        <v>-0.2084</v>
      </c>
      <c r="E390" s="15">
        <v>-0.29320000000000002</v>
      </c>
      <c r="F390" s="15">
        <v>-0.36349999999999999</v>
      </c>
      <c r="G390" s="15">
        <v>-0.42209999999999998</v>
      </c>
      <c r="H390" s="15">
        <v>-0.4713</v>
      </c>
      <c r="I390" s="15">
        <v>-0.51370000000000005</v>
      </c>
      <c r="J390" s="15">
        <v>-0.55169999999999997</v>
      </c>
      <c r="K390" s="15">
        <v>-0.58789999999999998</v>
      </c>
      <c r="L390" s="15">
        <v>-0.62470000000000003</v>
      </c>
      <c r="M390" s="15">
        <v>-0.66469999999999996</v>
      </c>
      <c r="N390" s="15">
        <v>-0.71040000000000003</v>
      </c>
      <c r="O390" s="15">
        <v>-0.76419999999999999</v>
      </c>
      <c r="P390" s="15">
        <v>-0.8286</v>
      </c>
      <c r="Q390" s="15">
        <v>-0.90620000000000001</v>
      </c>
      <c r="S390" s="17">
        <f t="shared" ref="S390:S408" si="57">+(G390-D390)/3*2.5</f>
        <v>-0.17808333333333332</v>
      </c>
      <c r="T390" s="17">
        <f t="shared" si="49"/>
        <v>-0.14841666666666664</v>
      </c>
      <c r="U390" s="17">
        <f t="shared" si="50"/>
        <v>-0.1251666666666667</v>
      </c>
      <c r="V390" s="17">
        <f t="shared" si="51"/>
        <v>-0.10799999999999998</v>
      </c>
      <c r="W390" s="17">
        <f t="shared" si="52"/>
        <v>-9.7166666666666651E-2</v>
      </c>
      <c r="X390" s="17">
        <f t="shared" si="53"/>
        <v>-9.2499999999999999E-2</v>
      </c>
      <c r="Y390" s="17">
        <f t="shared" si="54"/>
        <v>-9.4166666666666649E-2</v>
      </c>
      <c r="Z390" s="17">
        <f t="shared" si="55"/>
        <v>-0.10208333333333339</v>
      </c>
      <c r="AA390" s="17">
        <f t="shared" si="56"/>
        <v>-0.11624999999999996</v>
      </c>
    </row>
    <row r="391" spans="1:27" x14ac:dyDescent="0.3">
      <c r="A391" s="13" t="s">
        <v>364</v>
      </c>
      <c r="B391" s="14" t="s">
        <v>383</v>
      </c>
      <c r="C391" s="15">
        <v>-0.1196</v>
      </c>
      <c r="D391" s="15">
        <v>-0.21079999999999999</v>
      </c>
      <c r="E391" s="15">
        <v>-0.29759999999999998</v>
      </c>
      <c r="F391" s="15">
        <v>-0.37009999999999998</v>
      </c>
      <c r="G391" s="15">
        <v>-0.43030000000000002</v>
      </c>
      <c r="H391" s="15">
        <v>-0.48020000000000002</v>
      </c>
      <c r="I391" s="15">
        <v>-0.52190000000000003</v>
      </c>
      <c r="J391" s="15">
        <v>-0.55740000000000001</v>
      </c>
      <c r="K391" s="15">
        <v>-0.5887</v>
      </c>
      <c r="L391" s="15">
        <v>-0.61780000000000002</v>
      </c>
      <c r="M391" s="15">
        <v>-0.64690000000000003</v>
      </c>
      <c r="N391" s="15">
        <v>-0.67779999999999996</v>
      </c>
      <c r="O391" s="15">
        <v>-0.7127</v>
      </c>
      <c r="P391" s="15">
        <v>-0.75370000000000004</v>
      </c>
      <c r="Q391" s="15">
        <v>-0.80259999999999998</v>
      </c>
      <c r="S391" s="17">
        <f t="shared" si="57"/>
        <v>-0.18291666666666667</v>
      </c>
      <c r="T391" s="17">
        <f t="shared" si="49"/>
        <v>-0.1521666666666667</v>
      </c>
      <c r="U391" s="17">
        <f t="shared" si="50"/>
        <v>-0.12650000000000003</v>
      </c>
      <c r="V391" s="17">
        <f t="shared" si="51"/>
        <v>-0.10591666666666666</v>
      </c>
      <c r="W391" s="17">
        <f t="shared" si="52"/>
        <v>-9.0416666666666645E-2</v>
      </c>
      <c r="X391" s="17">
        <f t="shared" si="53"/>
        <v>-7.9916666666666664E-2</v>
      </c>
      <c r="Y391" s="17">
        <f t="shared" si="54"/>
        <v>-7.4583333333333349E-2</v>
      </c>
      <c r="Z391" s="17">
        <f t="shared" si="55"/>
        <v>-7.4249999999999969E-2</v>
      </c>
      <c r="AA391" s="17">
        <f t="shared" si="56"/>
        <v>-7.9083333333333311E-2</v>
      </c>
    </row>
    <row r="392" spans="1:27" x14ac:dyDescent="0.3">
      <c r="A392" s="13" t="s">
        <v>364</v>
      </c>
      <c r="B392" s="14" t="s">
        <v>384</v>
      </c>
      <c r="C392" s="15">
        <v>-9.5699999999999993E-2</v>
      </c>
      <c r="D392" s="15">
        <v>-0.1721</v>
      </c>
      <c r="E392" s="15">
        <v>-0.24840000000000001</v>
      </c>
      <c r="F392" s="15">
        <v>-0.316</v>
      </c>
      <c r="G392" s="15">
        <v>-0.37609999999999999</v>
      </c>
      <c r="H392" s="15">
        <v>-0.42970000000000003</v>
      </c>
      <c r="I392" s="15">
        <v>-0.47799999999999998</v>
      </c>
      <c r="J392" s="15">
        <v>-0.52200000000000002</v>
      </c>
      <c r="K392" s="15">
        <v>-0.56279999999999997</v>
      </c>
      <c r="L392" s="15">
        <v>-0.60160000000000002</v>
      </c>
      <c r="M392" s="15">
        <v>-0.63929999999999998</v>
      </c>
      <c r="N392" s="15">
        <v>-0.67730000000000001</v>
      </c>
      <c r="O392" s="15">
        <v>-0.71640000000000004</v>
      </c>
      <c r="P392" s="15">
        <v>-0.75790000000000002</v>
      </c>
      <c r="Q392" s="15">
        <v>-0.80269999999999997</v>
      </c>
      <c r="S392" s="17">
        <f t="shared" si="57"/>
        <v>-0.16999999999999998</v>
      </c>
      <c r="T392" s="17">
        <f t="shared" si="49"/>
        <v>-0.15108333333333335</v>
      </c>
      <c r="U392" s="17">
        <f t="shared" si="50"/>
        <v>-0.13499999999999998</v>
      </c>
      <c r="V392" s="17">
        <f t="shared" si="51"/>
        <v>-0.12158333333333335</v>
      </c>
      <c r="W392" s="17">
        <f t="shared" si="52"/>
        <v>-0.11091666666666661</v>
      </c>
      <c r="X392" s="17">
        <f t="shared" si="53"/>
        <v>-0.10300000000000004</v>
      </c>
      <c r="Y392" s="17">
        <f t="shared" si="54"/>
        <v>-9.7749999999999976E-2</v>
      </c>
      <c r="Z392" s="17">
        <f t="shared" si="55"/>
        <v>-9.5416666666666705E-2</v>
      </c>
      <c r="AA392" s="17">
        <f t="shared" si="56"/>
        <v>-9.5666666666666678E-2</v>
      </c>
    </row>
    <row r="393" spans="1:27" x14ac:dyDescent="0.3">
      <c r="A393" s="13" t="s">
        <v>385</v>
      </c>
      <c r="B393" s="14" t="s">
        <v>386</v>
      </c>
      <c r="C393" s="15">
        <v>-0.13339999999999999</v>
      </c>
      <c r="D393" s="15">
        <v>-0.23669999999999999</v>
      </c>
      <c r="E393" s="15">
        <v>-0.33610000000000001</v>
      </c>
      <c r="F393" s="15">
        <v>-0.42030000000000001</v>
      </c>
      <c r="G393" s="15">
        <v>-0.49099999999999999</v>
      </c>
      <c r="H393" s="15">
        <v>-0.55010000000000003</v>
      </c>
      <c r="I393" s="15">
        <v>-0.59919999999999995</v>
      </c>
      <c r="J393" s="15">
        <v>-0.64029999999999998</v>
      </c>
      <c r="K393" s="15">
        <v>-0.67510000000000003</v>
      </c>
      <c r="L393" s="15">
        <v>-0.70550000000000002</v>
      </c>
      <c r="M393" s="15">
        <v>-0.73329999999999995</v>
      </c>
      <c r="N393" s="15">
        <v>-0.76019999999999999</v>
      </c>
      <c r="O393" s="15">
        <v>-0.78800000000000003</v>
      </c>
      <c r="P393" s="15">
        <v>-0.81859999999999999</v>
      </c>
      <c r="Q393" s="15">
        <v>-0.8538</v>
      </c>
      <c r="S393" s="17">
        <f t="shared" si="57"/>
        <v>-0.21191666666666664</v>
      </c>
      <c r="T393" s="17">
        <f t="shared" si="49"/>
        <v>-0.17833333333333337</v>
      </c>
      <c r="U393" s="17">
        <f t="shared" si="50"/>
        <v>-0.14908333333333329</v>
      </c>
      <c r="V393" s="17">
        <f t="shared" si="51"/>
        <v>-0.12441666666666665</v>
      </c>
      <c r="W393" s="17">
        <f t="shared" si="52"/>
        <v>-0.10416666666666666</v>
      </c>
      <c r="X393" s="17">
        <f t="shared" si="53"/>
        <v>-8.8583333333333375E-2</v>
      </c>
      <c r="Y393" s="17">
        <f t="shared" si="54"/>
        <v>-7.7499999999999972E-2</v>
      </c>
      <c r="Z393" s="17">
        <f t="shared" si="55"/>
        <v>-7.0916666666666628E-2</v>
      </c>
      <c r="AA393" s="17">
        <f t="shared" si="56"/>
        <v>-6.8750000000000019E-2</v>
      </c>
    </row>
    <row r="394" spans="1:27" x14ac:dyDescent="0.3">
      <c r="A394" s="13" t="s">
        <v>385</v>
      </c>
      <c r="B394" s="14" t="s">
        <v>387</v>
      </c>
      <c r="C394" s="15">
        <v>-0.1303</v>
      </c>
      <c r="D394" s="15">
        <v>-0.23150000000000001</v>
      </c>
      <c r="E394" s="15">
        <v>-0.32950000000000002</v>
      </c>
      <c r="F394" s="15">
        <v>-0.41289999999999999</v>
      </c>
      <c r="G394" s="15">
        <v>-0.48330000000000001</v>
      </c>
      <c r="H394" s="15">
        <v>-0.54239999999999999</v>
      </c>
      <c r="I394" s="15">
        <v>-0.59179999999999999</v>
      </c>
      <c r="J394" s="15">
        <v>-0.63319999999999999</v>
      </c>
      <c r="K394" s="15">
        <v>-0.66830000000000001</v>
      </c>
      <c r="L394" s="15">
        <v>-0.6986</v>
      </c>
      <c r="M394" s="15">
        <v>-0.72589999999999999</v>
      </c>
      <c r="N394" s="15">
        <v>-0.75180000000000002</v>
      </c>
      <c r="O394" s="15">
        <v>-0.77790000000000004</v>
      </c>
      <c r="P394" s="15">
        <v>-0.80600000000000005</v>
      </c>
      <c r="Q394" s="15">
        <v>-0.83760000000000001</v>
      </c>
      <c r="S394" s="17">
        <f t="shared" si="57"/>
        <v>-0.20983333333333337</v>
      </c>
      <c r="T394" s="17">
        <f t="shared" si="49"/>
        <v>-0.17741666666666667</v>
      </c>
      <c r="U394" s="17">
        <f t="shared" si="50"/>
        <v>-0.14908333333333335</v>
      </c>
      <c r="V394" s="17">
        <f t="shared" si="51"/>
        <v>-0.12491666666666665</v>
      </c>
      <c r="W394" s="17">
        <f t="shared" si="52"/>
        <v>-0.10491666666666669</v>
      </c>
      <c r="X394" s="17">
        <f t="shared" si="53"/>
        <v>-8.8999999999999996E-2</v>
      </c>
      <c r="Y394" s="17">
        <f t="shared" si="54"/>
        <v>-7.7249999999999999E-2</v>
      </c>
      <c r="Z394" s="17">
        <f t="shared" si="55"/>
        <v>-6.9583333333333344E-2</v>
      </c>
      <c r="AA394" s="17">
        <f t="shared" si="56"/>
        <v>-6.6083333333333369E-2</v>
      </c>
    </row>
    <row r="395" spans="1:27" x14ac:dyDescent="0.3">
      <c r="A395" s="13" t="s">
        <v>385</v>
      </c>
      <c r="B395" s="14" t="s">
        <v>388</v>
      </c>
      <c r="C395" s="15">
        <v>-0.1401</v>
      </c>
      <c r="D395" s="15">
        <v>-0.24779999999999999</v>
      </c>
      <c r="E395" s="15">
        <v>-0.35099999999999998</v>
      </c>
      <c r="F395" s="15">
        <v>-0.43759999999999999</v>
      </c>
      <c r="G395" s="15">
        <v>-0.50980000000000003</v>
      </c>
      <c r="H395" s="15">
        <v>-0.56940000000000002</v>
      </c>
      <c r="I395" s="15">
        <v>-0.61850000000000005</v>
      </c>
      <c r="J395" s="15">
        <v>-0.65920000000000001</v>
      </c>
      <c r="K395" s="15">
        <v>-0.69340000000000002</v>
      </c>
      <c r="L395" s="15">
        <v>-0.72319999999999995</v>
      </c>
      <c r="M395" s="15">
        <v>-0.75049999999999994</v>
      </c>
      <c r="N395" s="15">
        <v>-0.77749999999999997</v>
      </c>
      <c r="O395" s="15">
        <v>-0.80600000000000005</v>
      </c>
      <c r="P395" s="15">
        <v>-0.83809999999999996</v>
      </c>
      <c r="Q395" s="15">
        <v>-0.87590000000000001</v>
      </c>
      <c r="S395" s="17">
        <f t="shared" si="57"/>
        <v>-0.21833333333333332</v>
      </c>
      <c r="T395" s="17">
        <f t="shared" si="49"/>
        <v>-0.18200000000000005</v>
      </c>
      <c r="U395" s="17">
        <f t="shared" si="50"/>
        <v>-0.15075000000000005</v>
      </c>
      <c r="V395" s="17">
        <f t="shared" si="51"/>
        <v>-0.12449999999999997</v>
      </c>
      <c r="W395" s="17">
        <f t="shared" si="52"/>
        <v>-0.10333333333333333</v>
      </c>
      <c r="X395" s="17">
        <f t="shared" si="53"/>
        <v>-8.7249999999999911E-2</v>
      </c>
      <c r="Y395" s="17">
        <f t="shared" si="54"/>
        <v>-7.6083333333333281E-2</v>
      </c>
      <c r="Z395" s="17">
        <f t="shared" si="55"/>
        <v>-7.0083333333333289E-2</v>
      </c>
      <c r="AA395" s="17">
        <f t="shared" si="56"/>
        <v>-6.9000000000000075E-2</v>
      </c>
    </row>
    <row r="396" spans="1:27" x14ac:dyDescent="0.3">
      <c r="A396" s="13" t="s">
        <v>385</v>
      </c>
      <c r="B396" s="14" t="s">
        <v>389</v>
      </c>
      <c r="C396" s="15">
        <v>-0.13009999999999999</v>
      </c>
      <c r="D396" s="15">
        <v>-0.2319</v>
      </c>
      <c r="E396" s="15">
        <v>-0.33129999999999998</v>
      </c>
      <c r="F396" s="15">
        <v>-0.41649999999999998</v>
      </c>
      <c r="G396" s="15">
        <v>-0.48920000000000002</v>
      </c>
      <c r="H396" s="15">
        <v>-0.55089999999999995</v>
      </c>
      <c r="I396" s="15">
        <v>-0.60299999999999998</v>
      </c>
      <c r="J396" s="15">
        <v>-0.64710000000000001</v>
      </c>
      <c r="K396" s="15">
        <v>-0.68459999999999999</v>
      </c>
      <c r="L396" s="15">
        <v>-0.71709999999999996</v>
      </c>
      <c r="M396" s="15">
        <v>-0.746</v>
      </c>
      <c r="N396" s="15">
        <v>-0.77290000000000003</v>
      </c>
      <c r="O396" s="15">
        <v>-0.79920000000000002</v>
      </c>
      <c r="P396" s="15">
        <v>-0.82650000000000001</v>
      </c>
      <c r="Q396" s="15">
        <v>-0.85619999999999996</v>
      </c>
      <c r="S396" s="17">
        <f t="shared" si="57"/>
        <v>-0.21441666666666667</v>
      </c>
      <c r="T396" s="17">
        <f t="shared" si="49"/>
        <v>-0.18299999999999997</v>
      </c>
      <c r="U396" s="17">
        <f t="shared" si="50"/>
        <v>-0.15541666666666668</v>
      </c>
      <c r="V396" s="17">
        <f t="shared" si="51"/>
        <v>-0.13158333333333333</v>
      </c>
      <c r="W396" s="17">
        <f t="shared" si="52"/>
        <v>-0.11141666666666669</v>
      </c>
      <c r="X396" s="17">
        <f t="shared" si="53"/>
        <v>-9.5083333333333325E-2</v>
      </c>
      <c r="Y396" s="17">
        <f t="shared" si="54"/>
        <v>-8.2416666666666666E-2</v>
      </c>
      <c r="Z396" s="17">
        <f t="shared" si="55"/>
        <v>-7.3583333333333376E-2</v>
      </c>
      <c r="AA396" s="17">
        <f t="shared" si="56"/>
        <v>-6.8416666666666723E-2</v>
      </c>
    </row>
    <row r="397" spans="1:27" x14ac:dyDescent="0.3">
      <c r="A397" s="13" t="s">
        <v>385</v>
      </c>
      <c r="B397" s="14" t="s">
        <v>390</v>
      </c>
      <c r="C397" s="15">
        <v>-0.13109999999999999</v>
      </c>
      <c r="D397" s="15">
        <v>-0.23350000000000001</v>
      </c>
      <c r="E397" s="15">
        <v>-0.3332</v>
      </c>
      <c r="F397" s="15">
        <v>-0.41839999999999999</v>
      </c>
      <c r="G397" s="15">
        <v>-0.4909</v>
      </c>
      <c r="H397" s="15">
        <v>-0.55220000000000002</v>
      </c>
      <c r="I397" s="15">
        <v>-0.6038</v>
      </c>
      <c r="J397" s="15">
        <v>-0.64729999999999999</v>
      </c>
      <c r="K397" s="15">
        <v>-0.68440000000000001</v>
      </c>
      <c r="L397" s="15">
        <v>-0.71640000000000004</v>
      </c>
      <c r="M397" s="15">
        <v>-0.74509999999999998</v>
      </c>
      <c r="N397" s="15">
        <v>-0.77200000000000002</v>
      </c>
      <c r="O397" s="15">
        <v>-0.79859999999999998</v>
      </c>
      <c r="P397" s="15">
        <v>-0.82650000000000001</v>
      </c>
      <c r="Q397" s="15">
        <v>-0.85729999999999995</v>
      </c>
      <c r="S397" s="17">
        <f t="shared" si="57"/>
        <v>-0.21449999999999997</v>
      </c>
      <c r="T397" s="17">
        <f t="shared" si="49"/>
        <v>-0.18250000000000002</v>
      </c>
      <c r="U397" s="17">
        <f t="shared" si="50"/>
        <v>-0.1545</v>
      </c>
      <c r="V397" s="17">
        <f t="shared" si="51"/>
        <v>-0.13033333333333333</v>
      </c>
      <c r="W397" s="17">
        <f t="shared" si="52"/>
        <v>-0.11016666666666666</v>
      </c>
      <c r="X397" s="17">
        <f t="shared" si="53"/>
        <v>-9.3833333333333352E-2</v>
      </c>
      <c r="Y397" s="17">
        <f t="shared" si="54"/>
        <v>-8.1499999999999989E-2</v>
      </c>
      <c r="Z397" s="17">
        <f t="shared" si="55"/>
        <v>-7.3000000000000009E-2</v>
      </c>
      <c r="AA397" s="17">
        <f t="shared" si="56"/>
        <v>-6.849999999999995E-2</v>
      </c>
    </row>
    <row r="398" spans="1:27" x14ac:dyDescent="0.3">
      <c r="A398" s="13" t="s">
        <v>385</v>
      </c>
      <c r="B398" s="14" t="s">
        <v>391</v>
      </c>
      <c r="C398" s="15">
        <v>-0.13070000000000001</v>
      </c>
      <c r="D398" s="15">
        <v>-0.23200000000000001</v>
      </c>
      <c r="E398" s="15">
        <v>-0.32990000000000003</v>
      </c>
      <c r="F398" s="15">
        <v>-0.41320000000000001</v>
      </c>
      <c r="G398" s="15">
        <v>-0.4834</v>
      </c>
      <c r="H398" s="15">
        <v>-0.54259999999999997</v>
      </c>
      <c r="I398" s="15">
        <v>-0.59230000000000005</v>
      </c>
      <c r="J398" s="15">
        <v>-0.63449999999999995</v>
      </c>
      <c r="K398" s="15">
        <v>-0.67090000000000005</v>
      </c>
      <c r="L398" s="15">
        <v>-0.70320000000000005</v>
      </c>
      <c r="M398" s="15">
        <v>-0.73329999999999995</v>
      </c>
      <c r="N398" s="15">
        <v>-0.76290000000000002</v>
      </c>
      <c r="O398" s="15">
        <v>-0.79379999999999995</v>
      </c>
      <c r="P398" s="15">
        <v>-0.82789999999999997</v>
      </c>
      <c r="Q398" s="15">
        <v>-0.86680000000000001</v>
      </c>
      <c r="S398" s="17">
        <f t="shared" si="57"/>
        <v>-0.20949999999999996</v>
      </c>
      <c r="T398" s="17">
        <f t="shared" si="49"/>
        <v>-0.17724999999999994</v>
      </c>
      <c r="U398" s="17">
        <f t="shared" si="50"/>
        <v>-0.14925000000000002</v>
      </c>
      <c r="V398" s="17">
        <f t="shared" si="51"/>
        <v>-0.12591666666666662</v>
      </c>
      <c r="W398" s="17">
        <f t="shared" si="52"/>
        <v>-0.10691666666666674</v>
      </c>
      <c r="X398" s="17">
        <f t="shared" si="53"/>
        <v>-9.2416666666666675E-2</v>
      </c>
      <c r="Y398" s="17">
        <f t="shared" si="54"/>
        <v>-8.2333333333333342E-2</v>
      </c>
      <c r="Z398" s="17">
        <f t="shared" si="55"/>
        <v>-7.6666666666666647E-2</v>
      </c>
      <c r="AA398" s="17">
        <f t="shared" si="56"/>
        <v>-7.5499999999999914E-2</v>
      </c>
    </row>
    <row r="399" spans="1:27" x14ac:dyDescent="0.3">
      <c r="A399" s="13" t="s">
        <v>385</v>
      </c>
      <c r="B399" s="14" t="s">
        <v>392</v>
      </c>
      <c r="C399" s="15">
        <v>-0.12920000000000001</v>
      </c>
      <c r="D399" s="15">
        <v>-0.2301</v>
      </c>
      <c r="E399" s="15">
        <v>-0.32850000000000001</v>
      </c>
      <c r="F399" s="15">
        <v>-0.4128</v>
      </c>
      <c r="G399" s="15">
        <v>-0.48459999999999998</v>
      </c>
      <c r="H399" s="15">
        <v>-0.54559999999999997</v>
      </c>
      <c r="I399" s="15">
        <v>-0.59719999999999995</v>
      </c>
      <c r="J399" s="15">
        <v>-0.64100000000000001</v>
      </c>
      <c r="K399" s="15">
        <v>-0.67859999999999998</v>
      </c>
      <c r="L399" s="15">
        <v>-0.71150000000000002</v>
      </c>
      <c r="M399" s="15">
        <v>-0.74129999999999996</v>
      </c>
      <c r="N399" s="15">
        <v>-0.76949999999999996</v>
      </c>
      <c r="O399" s="15">
        <v>-0.79769999999999996</v>
      </c>
      <c r="P399" s="15">
        <v>-0.82750000000000001</v>
      </c>
      <c r="Q399" s="15">
        <v>-0.86029999999999995</v>
      </c>
      <c r="S399" s="17">
        <f t="shared" si="57"/>
        <v>-0.21208333333333329</v>
      </c>
      <c r="T399" s="17">
        <f t="shared" si="49"/>
        <v>-0.18091666666666661</v>
      </c>
      <c r="U399" s="17">
        <f t="shared" si="50"/>
        <v>-0.15366666666666662</v>
      </c>
      <c r="V399" s="17">
        <f t="shared" si="51"/>
        <v>-0.13033333333333336</v>
      </c>
      <c r="W399" s="17">
        <f t="shared" si="52"/>
        <v>-0.11083333333333334</v>
      </c>
      <c r="X399" s="17">
        <f t="shared" si="53"/>
        <v>-9.5250000000000057E-2</v>
      </c>
      <c r="Y399" s="17">
        <f t="shared" si="54"/>
        <v>-8.3583333333333287E-2</v>
      </c>
      <c r="Z399" s="17">
        <f t="shared" si="55"/>
        <v>-7.5749999999999984E-2</v>
      </c>
      <c r="AA399" s="17">
        <f t="shared" si="56"/>
        <v>-7.1833333333333291E-2</v>
      </c>
    </row>
    <row r="400" spans="1:27" x14ac:dyDescent="0.3">
      <c r="A400" s="13" t="s">
        <v>385</v>
      </c>
      <c r="B400" s="14" t="s">
        <v>393</v>
      </c>
      <c r="C400" s="15">
        <v>-0.12870000000000001</v>
      </c>
      <c r="D400" s="15">
        <v>-0.23</v>
      </c>
      <c r="E400" s="15">
        <v>-0.32919999999999999</v>
      </c>
      <c r="F400" s="15">
        <v>-0.41489999999999999</v>
      </c>
      <c r="G400" s="15">
        <v>-0.4884</v>
      </c>
      <c r="H400" s="15">
        <v>-0.55110000000000003</v>
      </c>
      <c r="I400" s="15">
        <v>-0.60440000000000005</v>
      </c>
      <c r="J400" s="15">
        <v>-0.64970000000000006</v>
      </c>
      <c r="K400" s="15">
        <v>-0.68840000000000001</v>
      </c>
      <c r="L400" s="15">
        <v>-0.7218</v>
      </c>
      <c r="M400" s="15">
        <v>-0.75129999999999997</v>
      </c>
      <c r="N400" s="15">
        <v>-0.7782</v>
      </c>
      <c r="O400" s="15">
        <v>-0.80400000000000005</v>
      </c>
      <c r="P400" s="15">
        <v>-0.83009999999999995</v>
      </c>
      <c r="Q400" s="15">
        <v>-0.85780000000000001</v>
      </c>
      <c r="S400" s="17">
        <f t="shared" si="57"/>
        <v>-0.21533333333333332</v>
      </c>
      <c r="T400" s="17">
        <f t="shared" si="49"/>
        <v>-0.1849166666666667</v>
      </c>
      <c r="U400" s="17">
        <f t="shared" si="50"/>
        <v>-0.15791666666666673</v>
      </c>
      <c r="V400" s="17">
        <f t="shared" si="51"/>
        <v>-0.13441666666666671</v>
      </c>
      <c r="W400" s="17">
        <f t="shared" si="52"/>
        <v>-0.11441666666666664</v>
      </c>
      <c r="X400" s="17">
        <f t="shared" si="53"/>
        <v>-9.78333333333333E-2</v>
      </c>
      <c r="Y400" s="17">
        <f t="shared" si="54"/>
        <v>-8.4666666666666585E-2</v>
      </c>
      <c r="Z400" s="17">
        <f t="shared" si="55"/>
        <v>-7.4833333333333321E-2</v>
      </c>
      <c r="AA400" s="17">
        <f t="shared" si="56"/>
        <v>-6.8500000000000047E-2</v>
      </c>
    </row>
    <row r="401" spans="1:27" x14ac:dyDescent="0.3">
      <c r="A401" s="13" t="s">
        <v>385</v>
      </c>
      <c r="B401" s="14" t="s">
        <v>394</v>
      </c>
      <c r="C401" s="15">
        <v>-0.14849999999999999</v>
      </c>
      <c r="D401" s="15">
        <v>-0.26150000000000001</v>
      </c>
      <c r="E401" s="15">
        <v>-0.36859999999999998</v>
      </c>
      <c r="F401" s="15">
        <v>-0.45710000000000001</v>
      </c>
      <c r="G401" s="15">
        <v>-0.52939999999999998</v>
      </c>
      <c r="H401" s="15">
        <v>-0.58760000000000001</v>
      </c>
      <c r="I401" s="15">
        <v>-0.63419999999999999</v>
      </c>
      <c r="J401" s="15">
        <v>-0.67130000000000001</v>
      </c>
      <c r="K401" s="15">
        <v>-0.70120000000000005</v>
      </c>
      <c r="L401" s="15">
        <v>-0.72619999999999996</v>
      </c>
      <c r="M401" s="15">
        <v>-0.74860000000000004</v>
      </c>
      <c r="N401" s="15">
        <v>-0.77059999999999995</v>
      </c>
      <c r="O401" s="15">
        <v>-0.79449999999999998</v>
      </c>
      <c r="P401" s="15">
        <v>-0.82269999999999999</v>
      </c>
      <c r="Q401" s="15">
        <v>-0.85729999999999995</v>
      </c>
      <c r="S401" s="17">
        <f t="shared" si="57"/>
        <v>-0.22324999999999998</v>
      </c>
      <c r="T401" s="17">
        <f t="shared" si="49"/>
        <v>-0.18250000000000002</v>
      </c>
      <c r="U401" s="17">
        <f t="shared" si="50"/>
        <v>-0.14758333333333332</v>
      </c>
      <c r="V401" s="17">
        <f t="shared" si="51"/>
        <v>-0.11825000000000002</v>
      </c>
      <c r="W401" s="17">
        <f t="shared" si="52"/>
        <v>-9.4666666666666704E-2</v>
      </c>
      <c r="X401" s="17">
        <f t="shared" si="53"/>
        <v>-7.6666666666666647E-2</v>
      </c>
      <c r="Y401" s="17">
        <f t="shared" si="54"/>
        <v>-6.4416666666666691E-2</v>
      </c>
      <c r="Z401" s="17">
        <f t="shared" si="55"/>
        <v>-5.7833333333333251E-2</v>
      </c>
      <c r="AA401" s="17">
        <f t="shared" si="56"/>
        <v>-5.6916666666666685E-2</v>
      </c>
    </row>
    <row r="402" spans="1:27" x14ac:dyDescent="0.3">
      <c r="A402" s="13" t="s">
        <v>385</v>
      </c>
      <c r="B402" s="14" t="s">
        <v>395</v>
      </c>
      <c r="C402" s="15">
        <v>-0.13009999999999999</v>
      </c>
      <c r="D402" s="15">
        <v>-0.2319</v>
      </c>
      <c r="E402" s="15">
        <v>-0.33129999999999998</v>
      </c>
      <c r="F402" s="15">
        <v>-0.41649999999999998</v>
      </c>
      <c r="G402" s="15">
        <v>-0.48920000000000002</v>
      </c>
      <c r="H402" s="15">
        <v>-0.55089999999999995</v>
      </c>
      <c r="I402" s="15">
        <v>-0.60299999999999998</v>
      </c>
      <c r="J402" s="15">
        <v>-0.64710000000000001</v>
      </c>
      <c r="K402" s="15">
        <v>-0.68459999999999999</v>
      </c>
      <c r="L402" s="15">
        <v>-0.71709999999999996</v>
      </c>
      <c r="M402" s="15">
        <v>-0.746</v>
      </c>
      <c r="N402" s="15">
        <v>-0.77290000000000003</v>
      </c>
      <c r="O402" s="15">
        <v>-0.79920000000000002</v>
      </c>
      <c r="P402" s="15">
        <v>-0.82650000000000001</v>
      </c>
      <c r="Q402" s="15">
        <v>-0.85619999999999996</v>
      </c>
      <c r="S402" s="17">
        <f t="shared" si="57"/>
        <v>-0.21441666666666667</v>
      </c>
      <c r="T402" s="17">
        <f t="shared" si="49"/>
        <v>-0.18299999999999997</v>
      </c>
      <c r="U402" s="17">
        <f t="shared" si="50"/>
        <v>-0.15541666666666668</v>
      </c>
      <c r="V402" s="17">
        <f t="shared" si="51"/>
        <v>-0.13158333333333333</v>
      </c>
      <c r="W402" s="17">
        <f t="shared" si="52"/>
        <v>-0.11141666666666669</v>
      </c>
      <c r="X402" s="17">
        <f t="shared" si="53"/>
        <v>-9.5083333333333325E-2</v>
      </c>
      <c r="Y402" s="17">
        <f t="shared" si="54"/>
        <v>-8.2416666666666666E-2</v>
      </c>
      <c r="Z402" s="17">
        <f t="shared" si="55"/>
        <v>-7.3583333333333376E-2</v>
      </c>
      <c r="AA402" s="17">
        <f t="shared" si="56"/>
        <v>-6.8416666666666723E-2</v>
      </c>
    </row>
    <row r="403" spans="1:27" x14ac:dyDescent="0.3">
      <c r="A403" s="13" t="s">
        <v>385</v>
      </c>
      <c r="B403" s="14" t="s">
        <v>396</v>
      </c>
      <c r="C403" s="15">
        <v>-0.13009999999999999</v>
      </c>
      <c r="D403" s="15">
        <v>-0.2319</v>
      </c>
      <c r="E403" s="15">
        <v>-0.33129999999999998</v>
      </c>
      <c r="F403" s="15">
        <v>-0.41649999999999998</v>
      </c>
      <c r="G403" s="15">
        <v>-0.48920000000000002</v>
      </c>
      <c r="H403" s="15">
        <v>-0.55089999999999995</v>
      </c>
      <c r="I403" s="15">
        <v>-0.60299999999999998</v>
      </c>
      <c r="J403" s="15">
        <v>-0.64710000000000001</v>
      </c>
      <c r="K403" s="15">
        <v>-0.68459999999999999</v>
      </c>
      <c r="L403" s="15">
        <v>-0.71709999999999996</v>
      </c>
      <c r="M403" s="15">
        <v>-0.746</v>
      </c>
      <c r="N403" s="15">
        <v>-0.77290000000000003</v>
      </c>
      <c r="O403" s="15">
        <v>-0.79920000000000002</v>
      </c>
      <c r="P403" s="15">
        <v>-0.82650000000000001</v>
      </c>
      <c r="Q403" s="15">
        <v>-0.85619999999999996</v>
      </c>
      <c r="S403" s="17">
        <f t="shared" si="57"/>
        <v>-0.21441666666666667</v>
      </c>
      <c r="T403" s="17">
        <f t="shared" si="49"/>
        <v>-0.18299999999999997</v>
      </c>
      <c r="U403" s="17">
        <f t="shared" si="50"/>
        <v>-0.15541666666666668</v>
      </c>
      <c r="V403" s="17">
        <f t="shared" si="51"/>
        <v>-0.13158333333333333</v>
      </c>
      <c r="W403" s="17">
        <f t="shared" si="52"/>
        <v>-0.11141666666666669</v>
      </c>
      <c r="X403" s="17">
        <f t="shared" si="53"/>
        <v>-9.5083333333333325E-2</v>
      </c>
      <c r="Y403" s="17">
        <f t="shared" si="54"/>
        <v>-8.2416666666666666E-2</v>
      </c>
      <c r="Z403" s="17">
        <f t="shared" si="55"/>
        <v>-7.3583333333333376E-2</v>
      </c>
      <c r="AA403" s="17">
        <f t="shared" si="56"/>
        <v>-6.8416666666666723E-2</v>
      </c>
    </row>
    <row r="404" spans="1:27" x14ac:dyDescent="0.3">
      <c r="A404" s="13" t="s">
        <v>385</v>
      </c>
      <c r="B404" s="14" t="s">
        <v>397</v>
      </c>
      <c r="C404" s="15">
        <v>-0.13009999999999999</v>
      </c>
      <c r="D404" s="15">
        <v>-0.2319</v>
      </c>
      <c r="E404" s="15">
        <v>-0.33129999999999998</v>
      </c>
      <c r="F404" s="15">
        <v>-0.41649999999999998</v>
      </c>
      <c r="G404" s="15">
        <v>-0.48920000000000002</v>
      </c>
      <c r="H404" s="15">
        <v>-0.55089999999999995</v>
      </c>
      <c r="I404" s="15">
        <v>-0.60299999999999998</v>
      </c>
      <c r="J404" s="15">
        <v>-0.64710000000000001</v>
      </c>
      <c r="K404" s="15">
        <v>-0.68459999999999999</v>
      </c>
      <c r="L404" s="15">
        <v>-0.71709999999999996</v>
      </c>
      <c r="M404" s="15">
        <v>-0.746</v>
      </c>
      <c r="N404" s="15">
        <v>-0.77290000000000003</v>
      </c>
      <c r="O404" s="15">
        <v>-0.79920000000000002</v>
      </c>
      <c r="P404" s="15">
        <v>-0.82650000000000001</v>
      </c>
      <c r="Q404" s="15">
        <v>-0.85619999999999996</v>
      </c>
      <c r="S404" s="17">
        <f t="shared" si="57"/>
        <v>-0.21441666666666667</v>
      </c>
      <c r="T404" s="17">
        <f t="shared" si="49"/>
        <v>-0.18299999999999997</v>
      </c>
      <c r="U404" s="17">
        <f t="shared" si="50"/>
        <v>-0.15541666666666668</v>
      </c>
      <c r="V404" s="17">
        <f t="shared" si="51"/>
        <v>-0.13158333333333333</v>
      </c>
      <c r="W404" s="17">
        <f t="shared" si="52"/>
        <v>-0.11141666666666669</v>
      </c>
      <c r="X404" s="17">
        <f t="shared" si="53"/>
        <v>-9.5083333333333325E-2</v>
      </c>
      <c r="Y404" s="17">
        <f t="shared" si="54"/>
        <v>-8.2416666666666666E-2</v>
      </c>
      <c r="Z404" s="17">
        <f t="shared" si="55"/>
        <v>-7.3583333333333376E-2</v>
      </c>
      <c r="AA404" s="17">
        <f t="shared" si="56"/>
        <v>-6.8416666666666723E-2</v>
      </c>
    </row>
    <row r="405" spans="1:27" x14ac:dyDescent="0.3">
      <c r="A405" s="13" t="s">
        <v>385</v>
      </c>
      <c r="B405" s="14" t="s">
        <v>398</v>
      </c>
      <c r="C405" s="15">
        <v>-0.1207</v>
      </c>
      <c r="D405" s="15">
        <v>-0.2175</v>
      </c>
      <c r="E405" s="15">
        <v>-0.31419999999999998</v>
      </c>
      <c r="F405" s="15">
        <v>-0.39950000000000002</v>
      </c>
      <c r="G405" s="15">
        <v>-0.47439999999999999</v>
      </c>
      <c r="H405" s="15">
        <v>-0.53979999999999995</v>
      </c>
      <c r="I405" s="15">
        <v>-0.59650000000000003</v>
      </c>
      <c r="J405" s="15">
        <v>-0.64549999999999996</v>
      </c>
      <c r="K405" s="15">
        <v>-0.68779999999999997</v>
      </c>
      <c r="L405" s="15">
        <v>-0.72409999999999997</v>
      </c>
      <c r="M405" s="15">
        <v>-0.75549999999999995</v>
      </c>
      <c r="N405" s="15">
        <v>-0.78269999999999995</v>
      </c>
      <c r="O405" s="15">
        <v>-0.80679999999999996</v>
      </c>
      <c r="P405" s="15">
        <v>-0.8286</v>
      </c>
      <c r="Q405" s="15">
        <v>-0.84909999999999997</v>
      </c>
      <c r="S405" s="17">
        <f t="shared" si="57"/>
        <v>-0.21408333333333335</v>
      </c>
      <c r="T405" s="17">
        <f t="shared" ref="T405:T408" si="58">+(H405-E405)/3*2.5</f>
        <v>-0.18799999999999997</v>
      </c>
      <c r="U405" s="17">
        <f t="shared" ref="U405:U408" si="59">+(I405-F405)/3*2.5</f>
        <v>-0.16416666666666666</v>
      </c>
      <c r="V405" s="17">
        <f t="shared" ref="V405:V408" si="60">+(J405-G405)/3*2.5</f>
        <v>-0.14258333333333331</v>
      </c>
      <c r="W405" s="17">
        <f t="shared" ref="W405:W408" si="61">+(K405-H405)/3*2.5</f>
        <v>-0.12333333333333335</v>
      </c>
      <c r="X405" s="17">
        <f t="shared" ref="X405:X408" si="62">+(L405-I405)/3*2.5</f>
        <v>-0.10633333333333328</v>
      </c>
      <c r="Y405" s="17">
        <f t="shared" ref="Y405:Y408" si="63">+(M405-J405)/3*2.5</f>
        <v>-9.1666666666666646E-2</v>
      </c>
      <c r="Z405" s="17">
        <f t="shared" ref="Z405:Z408" si="64">+(N405-K405)/3*2.5</f>
        <v>-7.9083333333333311E-2</v>
      </c>
      <c r="AA405" s="17">
        <f t="shared" ref="AA405:AA408" si="65">+(O405-L405)/3*2.5</f>
        <v>-6.8916666666666668E-2</v>
      </c>
    </row>
    <row r="406" spans="1:27" x14ac:dyDescent="0.3">
      <c r="A406" s="13" t="s">
        <v>385</v>
      </c>
      <c r="B406" s="14" t="s">
        <v>399</v>
      </c>
      <c r="C406" s="15">
        <v>-0.13009999999999999</v>
      </c>
      <c r="D406" s="15">
        <v>-0.2319</v>
      </c>
      <c r="E406" s="15">
        <v>-0.33129999999999998</v>
      </c>
      <c r="F406" s="15">
        <v>-0.41649999999999998</v>
      </c>
      <c r="G406" s="15">
        <v>-0.48920000000000002</v>
      </c>
      <c r="H406" s="15">
        <v>-0.55089999999999995</v>
      </c>
      <c r="I406" s="15">
        <v>-0.60299999999999998</v>
      </c>
      <c r="J406" s="15">
        <v>-0.64710000000000001</v>
      </c>
      <c r="K406" s="15">
        <v>-0.68459999999999999</v>
      </c>
      <c r="L406" s="15">
        <v>-0.71709999999999996</v>
      </c>
      <c r="M406" s="15">
        <v>-0.746</v>
      </c>
      <c r="N406" s="15">
        <v>-0.77290000000000003</v>
      </c>
      <c r="O406" s="15">
        <v>-0.79920000000000002</v>
      </c>
      <c r="P406" s="15">
        <v>-0.82650000000000001</v>
      </c>
      <c r="Q406" s="15">
        <v>-0.85619999999999996</v>
      </c>
      <c r="S406" s="17">
        <f t="shared" si="57"/>
        <v>-0.21441666666666667</v>
      </c>
      <c r="T406" s="17">
        <f t="shared" si="58"/>
        <v>-0.18299999999999997</v>
      </c>
      <c r="U406" s="17">
        <f t="shared" si="59"/>
        <v>-0.15541666666666668</v>
      </c>
      <c r="V406" s="17">
        <f t="shared" si="60"/>
        <v>-0.13158333333333333</v>
      </c>
      <c r="W406" s="17">
        <f t="shared" si="61"/>
        <v>-0.11141666666666669</v>
      </c>
      <c r="X406" s="17">
        <f t="shared" si="62"/>
        <v>-9.5083333333333325E-2</v>
      </c>
      <c r="Y406" s="17">
        <f t="shared" si="63"/>
        <v>-8.2416666666666666E-2</v>
      </c>
      <c r="Z406" s="17">
        <f t="shared" si="64"/>
        <v>-7.3583333333333376E-2</v>
      </c>
      <c r="AA406" s="17">
        <f t="shared" si="65"/>
        <v>-6.8416666666666723E-2</v>
      </c>
    </row>
    <row r="407" spans="1:27" x14ac:dyDescent="0.3">
      <c r="A407" s="13" t="s">
        <v>385</v>
      </c>
      <c r="B407" s="14" t="s">
        <v>400</v>
      </c>
      <c r="C407" s="15">
        <v>-9.5399999999999999E-2</v>
      </c>
      <c r="D407" s="15">
        <v>-0.1777</v>
      </c>
      <c r="E407" s="15">
        <v>-0.26529999999999998</v>
      </c>
      <c r="F407" s="15">
        <v>-0.3483</v>
      </c>
      <c r="G407" s="15">
        <v>-0.42620000000000002</v>
      </c>
      <c r="H407" s="15">
        <v>-0.49859999999999999</v>
      </c>
      <c r="I407" s="15">
        <v>-0.56510000000000005</v>
      </c>
      <c r="J407" s="15">
        <v>-0.62529999999999997</v>
      </c>
      <c r="K407" s="15">
        <v>-0.67869999999999997</v>
      </c>
      <c r="L407" s="15">
        <v>-0.72499999999999998</v>
      </c>
      <c r="M407" s="15">
        <v>-0.76370000000000005</v>
      </c>
      <c r="N407" s="15">
        <v>-0.79449999999999998</v>
      </c>
      <c r="O407" s="15">
        <v>-0.81689999999999996</v>
      </c>
      <c r="P407" s="15">
        <v>-0.83040000000000003</v>
      </c>
      <c r="Q407" s="15">
        <v>-0.8347</v>
      </c>
      <c r="S407" s="17">
        <f t="shared" si="57"/>
        <v>-0.20708333333333334</v>
      </c>
      <c r="T407" s="17">
        <f t="shared" si="58"/>
        <v>-0.19441666666666665</v>
      </c>
      <c r="U407" s="17">
        <f t="shared" si="59"/>
        <v>-0.18066666666666673</v>
      </c>
      <c r="V407" s="17">
        <f t="shared" si="60"/>
        <v>-0.1659166666666666</v>
      </c>
      <c r="W407" s="17">
        <f t="shared" si="61"/>
        <v>-0.15008333333333332</v>
      </c>
      <c r="X407" s="17">
        <f t="shared" si="62"/>
        <v>-0.13324999999999995</v>
      </c>
      <c r="Y407" s="17">
        <f t="shared" si="63"/>
        <v>-0.1153333333333334</v>
      </c>
      <c r="Z407" s="17">
        <f t="shared" si="64"/>
        <v>-9.6500000000000002E-2</v>
      </c>
      <c r="AA407" s="17">
        <f t="shared" si="65"/>
        <v>-7.6583333333333323E-2</v>
      </c>
    </row>
    <row r="408" spans="1:27" x14ac:dyDescent="0.3">
      <c r="A408" s="13" t="s">
        <v>385</v>
      </c>
      <c r="B408" s="14" t="s">
        <v>401</v>
      </c>
      <c r="C408" s="15">
        <v>-0.1273</v>
      </c>
      <c r="D408" s="15">
        <v>-0.22770000000000001</v>
      </c>
      <c r="E408" s="15">
        <v>-0.32619999999999999</v>
      </c>
      <c r="F408" s="15">
        <v>-0.41149999999999998</v>
      </c>
      <c r="G408" s="15">
        <v>-0.48480000000000001</v>
      </c>
      <c r="H408" s="15">
        <v>-0.54759999999999998</v>
      </c>
      <c r="I408" s="15">
        <v>-0.60099999999999998</v>
      </c>
      <c r="J408" s="15">
        <v>-0.64649999999999996</v>
      </c>
      <c r="K408" s="15">
        <v>-0.68530000000000002</v>
      </c>
      <c r="L408" s="15">
        <v>-0.71889999999999998</v>
      </c>
      <c r="M408" s="15">
        <v>-0.74839999999999995</v>
      </c>
      <c r="N408" s="15">
        <v>-0.77529999999999999</v>
      </c>
      <c r="O408" s="15">
        <v>-0.80089999999999995</v>
      </c>
      <c r="P408" s="15">
        <v>-0.82650000000000001</v>
      </c>
      <c r="Q408" s="15">
        <v>-0.85340000000000005</v>
      </c>
      <c r="S408" s="17">
        <f t="shared" si="57"/>
        <v>-0.21425</v>
      </c>
      <c r="T408" s="17">
        <f t="shared" si="58"/>
        <v>-0.18449999999999997</v>
      </c>
      <c r="U408" s="17">
        <f t="shared" si="59"/>
        <v>-0.15791666666666665</v>
      </c>
      <c r="V408" s="17">
        <f t="shared" si="60"/>
        <v>-0.13474999999999995</v>
      </c>
      <c r="W408" s="17">
        <f t="shared" si="61"/>
        <v>-0.11475000000000005</v>
      </c>
      <c r="X408" s="17">
        <f t="shared" si="62"/>
        <v>-9.8250000000000004E-2</v>
      </c>
      <c r="Y408" s="17">
        <f t="shared" si="63"/>
        <v>-8.4916666666666668E-2</v>
      </c>
      <c r="Z408" s="17">
        <f t="shared" si="64"/>
        <v>-7.4999999999999969E-2</v>
      </c>
      <c r="AA408" s="17">
        <f t="shared" si="65"/>
        <v>-6.8333333333333302E-2</v>
      </c>
    </row>
    <row r="409" spans="1:27" x14ac:dyDescent="0.3">
      <c r="B409" s="6"/>
      <c r="C409" s="15"/>
      <c r="D409" s="15"/>
      <c r="E409" s="15"/>
      <c r="F409" s="15"/>
      <c r="G409" s="15"/>
      <c r="H409" s="15"/>
      <c r="I409" s="15"/>
      <c r="J409" s="15"/>
      <c r="K409" s="15"/>
      <c r="L409" s="15"/>
      <c r="M409" s="15"/>
      <c r="N409" s="15"/>
      <c r="O409" s="15"/>
      <c r="P409" s="15"/>
      <c r="Q409" s="15"/>
    </row>
    <row r="410" spans="1:27" x14ac:dyDescent="0.3">
      <c r="B410" s="6"/>
      <c r="C410" s="15"/>
      <c r="D410" s="15"/>
      <c r="E410" s="15"/>
      <c r="F410" s="15"/>
      <c r="G410" s="15"/>
      <c r="H410" s="15"/>
      <c r="I410" s="15"/>
      <c r="J410" s="15"/>
      <c r="K410" s="15"/>
      <c r="L410" s="15"/>
      <c r="M410" s="15"/>
      <c r="N410" s="15"/>
      <c r="O410" s="15"/>
      <c r="P410" s="15"/>
      <c r="Q410" s="15"/>
    </row>
    <row r="411" spans="1:27" x14ac:dyDescent="0.3">
      <c r="B411" s="6"/>
      <c r="C411" s="15"/>
      <c r="D411" s="15"/>
      <c r="E411" s="15"/>
      <c r="F411" s="15"/>
      <c r="G411" s="15"/>
      <c r="H411" s="15"/>
      <c r="I411" s="15"/>
      <c r="J411" s="15"/>
      <c r="K411" s="15"/>
      <c r="L411" s="15"/>
      <c r="M411" s="15"/>
      <c r="N411" s="15"/>
      <c r="O411" s="15"/>
      <c r="P411" s="15"/>
      <c r="Q411" s="15"/>
    </row>
    <row r="412" spans="1:27" x14ac:dyDescent="0.3">
      <c r="B412" s="6"/>
      <c r="C412" s="15"/>
      <c r="D412" s="15"/>
      <c r="E412" s="15"/>
      <c r="F412" s="15"/>
      <c r="G412" s="15"/>
      <c r="H412" s="15"/>
      <c r="I412" s="15"/>
      <c r="J412" s="15"/>
      <c r="K412" s="15"/>
      <c r="L412" s="15"/>
      <c r="M412" s="15"/>
      <c r="N412" s="15"/>
      <c r="O412" s="15"/>
      <c r="P412" s="15"/>
      <c r="Q412" s="15"/>
    </row>
    <row r="413" spans="1:27" x14ac:dyDescent="0.3">
      <c r="B413" s="6"/>
      <c r="C413" s="15"/>
      <c r="D413" s="15"/>
      <c r="E413" s="15"/>
      <c r="F413" s="15"/>
      <c r="G413" s="15"/>
      <c r="H413" s="15"/>
      <c r="I413" s="15"/>
      <c r="J413" s="15"/>
      <c r="K413" s="15"/>
      <c r="L413" s="15"/>
      <c r="M413" s="15"/>
      <c r="N413" s="15"/>
      <c r="O413" s="15"/>
      <c r="P413" s="15"/>
      <c r="Q413" s="15"/>
    </row>
    <row r="414" spans="1:27" x14ac:dyDescent="0.3">
      <c r="B414" s="6"/>
      <c r="C414" s="15"/>
      <c r="D414" s="15"/>
      <c r="E414" s="15"/>
      <c r="F414" s="15"/>
      <c r="G414" s="15"/>
      <c r="H414" s="15"/>
      <c r="I414" s="15"/>
      <c r="J414" s="15"/>
      <c r="K414" s="15"/>
      <c r="L414" s="15"/>
      <c r="M414" s="15"/>
      <c r="N414" s="15"/>
      <c r="O414" s="15"/>
      <c r="P414" s="15"/>
      <c r="Q414" s="15"/>
    </row>
    <row r="415" spans="1:27" x14ac:dyDescent="0.3">
      <c r="B415" s="6"/>
      <c r="C415" s="15"/>
      <c r="D415" s="15"/>
      <c r="E415" s="15"/>
      <c r="F415" s="15"/>
      <c r="G415" s="15"/>
      <c r="H415" s="15"/>
      <c r="I415" s="15"/>
      <c r="J415" s="15"/>
      <c r="K415" s="15"/>
      <c r="L415" s="15"/>
      <c r="M415" s="15"/>
      <c r="N415" s="15"/>
      <c r="O415" s="15"/>
      <c r="P415" s="15"/>
      <c r="Q415" s="15"/>
    </row>
    <row r="416" spans="1:27" x14ac:dyDescent="0.3">
      <c r="B416" s="6"/>
      <c r="C416" s="15"/>
      <c r="D416" s="15"/>
      <c r="E416" s="15"/>
      <c r="F416" s="15"/>
      <c r="G416" s="15"/>
      <c r="H416" s="15"/>
      <c r="I416" s="15"/>
      <c r="J416" s="15"/>
      <c r="K416" s="15"/>
      <c r="L416" s="15"/>
      <c r="M416" s="15"/>
      <c r="N416" s="15"/>
      <c r="O416" s="15"/>
      <c r="P416" s="15"/>
      <c r="Q416" s="15"/>
    </row>
    <row r="417" spans="2:17" x14ac:dyDescent="0.3">
      <c r="B417" s="6"/>
      <c r="C417" s="15"/>
      <c r="D417" s="15"/>
      <c r="E417" s="15"/>
      <c r="F417" s="15"/>
      <c r="G417" s="15"/>
      <c r="H417" s="15"/>
      <c r="I417" s="15"/>
      <c r="J417" s="15"/>
      <c r="K417" s="15"/>
      <c r="L417" s="15"/>
      <c r="M417" s="15"/>
      <c r="N417" s="15"/>
      <c r="O417" s="15"/>
      <c r="P417" s="15"/>
      <c r="Q417" s="15"/>
    </row>
    <row r="418" spans="2:17" x14ac:dyDescent="0.3">
      <c r="B418" s="6"/>
      <c r="C418" s="15"/>
      <c r="D418" s="15"/>
      <c r="E418" s="15"/>
      <c r="F418" s="15"/>
      <c r="G418" s="15"/>
      <c r="H418" s="15"/>
      <c r="I418" s="15"/>
      <c r="J418" s="15"/>
      <c r="K418" s="15"/>
      <c r="L418" s="15"/>
      <c r="M418" s="15"/>
      <c r="N418" s="15"/>
      <c r="O418" s="15"/>
      <c r="P418" s="15"/>
      <c r="Q418" s="15"/>
    </row>
    <row r="419" spans="2:17" x14ac:dyDescent="0.3">
      <c r="B419" s="6"/>
      <c r="C419" s="15"/>
      <c r="D419" s="15"/>
      <c r="E419" s="15"/>
      <c r="F419" s="15"/>
      <c r="G419" s="15"/>
      <c r="H419" s="15"/>
      <c r="I419" s="15"/>
      <c r="J419" s="15"/>
      <c r="K419" s="15"/>
      <c r="L419" s="15"/>
      <c r="M419" s="15"/>
      <c r="N419" s="15"/>
      <c r="O419" s="15"/>
      <c r="P419" s="15"/>
      <c r="Q419" s="15"/>
    </row>
    <row r="420" spans="2:17" x14ac:dyDescent="0.3">
      <c r="B420" s="6"/>
      <c r="C420" s="15"/>
      <c r="D420" s="15"/>
      <c r="E420" s="15"/>
      <c r="F420" s="15"/>
      <c r="G420" s="15"/>
      <c r="H420" s="15"/>
      <c r="I420" s="15"/>
      <c r="J420" s="15"/>
      <c r="K420" s="15"/>
      <c r="L420" s="15"/>
      <c r="M420" s="15"/>
      <c r="N420" s="15"/>
      <c r="O420" s="15"/>
      <c r="P420" s="15"/>
      <c r="Q420" s="15"/>
    </row>
    <row r="421" spans="2:17" x14ac:dyDescent="0.3">
      <c r="B421" s="6"/>
      <c r="C421" s="15"/>
      <c r="D421" s="15"/>
      <c r="E421" s="15"/>
      <c r="F421" s="15"/>
      <c r="G421" s="15"/>
      <c r="H421" s="15"/>
      <c r="I421" s="15"/>
      <c r="J421" s="15"/>
      <c r="K421" s="15"/>
      <c r="L421" s="15"/>
      <c r="M421" s="15"/>
      <c r="N421" s="15"/>
      <c r="O421" s="15"/>
      <c r="P421" s="15"/>
      <c r="Q421" s="15"/>
    </row>
    <row r="422" spans="2:17" x14ac:dyDescent="0.3">
      <c r="B422" s="6"/>
      <c r="C422" s="15"/>
      <c r="D422" s="15"/>
      <c r="E422" s="15"/>
      <c r="F422" s="15"/>
      <c r="G422" s="15"/>
      <c r="H422" s="15"/>
      <c r="I422" s="15"/>
      <c r="J422" s="15"/>
      <c r="K422" s="15"/>
      <c r="L422" s="15"/>
      <c r="M422" s="15"/>
      <c r="N422" s="15"/>
      <c r="O422" s="15"/>
      <c r="P422" s="15"/>
      <c r="Q422" s="15"/>
    </row>
    <row r="423" spans="2:17" x14ac:dyDescent="0.3">
      <c r="B423" s="6"/>
      <c r="C423" s="15"/>
      <c r="D423" s="15"/>
      <c r="E423" s="15"/>
      <c r="F423" s="15"/>
      <c r="G423" s="15"/>
      <c r="H423" s="15"/>
      <c r="I423" s="15"/>
      <c r="J423" s="15"/>
      <c r="K423" s="15"/>
      <c r="L423" s="15"/>
      <c r="M423" s="15"/>
      <c r="N423" s="15"/>
      <c r="O423" s="15"/>
      <c r="P423" s="15"/>
      <c r="Q423" s="15"/>
    </row>
    <row r="424" spans="2:17" x14ac:dyDescent="0.3">
      <c r="B424" s="6"/>
      <c r="C424" s="15"/>
      <c r="D424" s="15"/>
      <c r="E424" s="15"/>
      <c r="F424" s="15"/>
      <c r="G424" s="15"/>
      <c r="H424" s="15"/>
      <c r="I424" s="15"/>
      <c r="J424" s="15"/>
      <c r="K424" s="15"/>
      <c r="L424" s="15"/>
      <c r="M424" s="15"/>
      <c r="N424" s="15"/>
      <c r="O424" s="15"/>
      <c r="P424" s="15"/>
      <c r="Q424" s="15"/>
    </row>
    <row r="425" spans="2:17" x14ac:dyDescent="0.3">
      <c r="B425" s="6"/>
      <c r="C425" s="15"/>
      <c r="D425" s="15"/>
      <c r="E425" s="15"/>
      <c r="F425" s="15"/>
      <c r="G425" s="15"/>
      <c r="H425" s="15"/>
      <c r="I425" s="15"/>
      <c r="J425" s="15"/>
      <c r="K425" s="15"/>
      <c r="L425" s="15"/>
      <c r="M425" s="15"/>
      <c r="N425" s="15"/>
      <c r="O425" s="15"/>
      <c r="P425" s="15"/>
      <c r="Q425" s="15"/>
    </row>
    <row r="426" spans="2:17" x14ac:dyDescent="0.3">
      <c r="B426" s="6"/>
      <c r="C426" s="15"/>
      <c r="D426" s="15"/>
      <c r="E426" s="15"/>
      <c r="F426" s="15"/>
      <c r="G426" s="15"/>
      <c r="H426" s="15"/>
      <c r="I426" s="15"/>
      <c r="J426" s="15"/>
      <c r="K426" s="15"/>
      <c r="L426" s="15"/>
      <c r="M426" s="15"/>
      <c r="N426" s="15"/>
      <c r="O426" s="15"/>
      <c r="P426" s="15"/>
      <c r="Q426" s="15"/>
    </row>
    <row r="427" spans="2:17" x14ac:dyDescent="0.3">
      <c r="B427" s="6"/>
      <c r="C427" s="15"/>
      <c r="D427" s="15"/>
      <c r="E427" s="15"/>
      <c r="F427" s="15"/>
      <c r="G427" s="15"/>
      <c r="H427" s="15"/>
      <c r="I427" s="15"/>
      <c r="J427" s="15"/>
      <c r="K427" s="15"/>
      <c r="L427" s="15"/>
      <c r="M427" s="15"/>
      <c r="N427" s="15"/>
      <c r="O427" s="15"/>
      <c r="P427" s="15"/>
      <c r="Q427" s="15"/>
    </row>
    <row r="428" spans="2:17" x14ac:dyDescent="0.3">
      <c r="B428" s="6"/>
      <c r="C428" s="15"/>
      <c r="D428" s="15"/>
      <c r="E428" s="15"/>
      <c r="F428" s="15"/>
      <c r="G428" s="15"/>
      <c r="H428" s="15"/>
      <c r="I428" s="15"/>
      <c r="J428" s="15"/>
      <c r="K428" s="15"/>
      <c r="L428" s="15"/>
      <c r="M428" s="15"/>
      <c r="N428" s="15"/>
      <c r="O428" s="15"/>
      <c r="P428" s="15"/>
      <c r="Q428" s="15"/>
    </row>
    <row r="429" spans="2:17" x14ac:dyDescent="0.3">
      <c r="B429" s="6"/>
      <c r="C429" s="15"/>
      <c r="D429" s="15"/>
      <c r="E429" s="15"/>
      <c r="F429" s="15"/>
      <c r="G429" s="15"/>
      <c r="H429" s="15"/>
      <c r="I429" s="15"/>
      <c r="J429" s="15"/>
      <c r="K429" s="15"/>
      <c r="L429" s="15"/>
      <c r="M429" s="15"/>
      <c r="N429" s="15"/>
      <c r="O429" s="15"/>
      <c r="P429" s="15"/>
      <c r="Q429" s="15"/>
    </row>
    <row r="430" spans="2:17" x14ac:dyDescent="0.3">
      <c r="B430" s="6"/>
      <c r="C430" s="15"/>
      <c r="D430" s="15"/>
      <c r="E430" s="15"/>
      <c r="F430" s="15"/>
      <c r="G430" s="15"/>
      <c r="H430" s="15"/>
      <c r="I430" s="15"/>
      <c r="J430" s="15"/>
      <c r="K430" s="15"/>
      <c r="L430" s="15"/>
      <c r="M430" s="15"/>
      <c r="N430" s="15"/>
      <c r="O430" s="15"/>
      <c r="P430" s="15"/>
      <c r="Q430" s="15"/>
    </row>
    <row r="431" spans="2:17" x14ac:dyDescent="0.3">
      <c r="B431" s="6"/>
      <c r="C431" s="15"/>
      <c r="D431" s="15"/>
      <c r="E431" s="15"/>
      <c r="F431" s="15"/>
      <c r="G431" s="15"/>
      <c r="H431" s="15"/>
      <c r="I431" s="15"/>
      <c r="J431" s="15"/>
      <c r="K431" s="15"/>
      <c r="L431" s="15"/>
      <c r="M431" s="15"/>
      <c r="N431" s="15"/>
      <c r="O431" s="15"/>
      <c r="P431" s="15"/>
      <c r="Q431" s="15"/>
    </row>
    <row r="432" spans="2:17" x14ac:dyDescent="0.3">
      <c r="B432" s="6"/>
      <c r="C432" s="15"/>
      <c r="D432" s="15"/>
      <c r="E432" s="15"/>
      <c r="F432" s="15"/>
      <c r="G432" s="15"/>
      <c r="H432" s="15"/>
      <c r="I432" s="15"/>
      <c r="J432" s="15"/>
      <c r="K432" s="15"/>
      <c r="L432" s="15"/>
      <c r="M432" s="15"/>
      <c r="N432" s="15"/>
      <c r="O432" s="15"/>
      <c r="P432" s="15"/>
      <c r="Q432" s="15"/>
    </row>
    <row r="433" spans="2:17" x14ac:dyDescent="0.3">
      <c r="B433" s="6"/>
      <c r="C433" s="15"/>
      <c r="D433" s="15"/>
      <c r="E433" s="15"/>
      <c r="F433" s="15"/>
      <c r="G433" s="15"/>
      <c r="H433" s="15"/>
      <c r="I433" s="15"/>
      <c r="J433" s="15"/>
      <c r="K433" s="15"/>
      <c r="L433" s="15"/>
      <c r="M433" s="15"/>
      <c r="N433" s="15"/>
      <c r="O433" s="15"/>
      <c r="P433" s="15"/>
      <c r="Q433" s="15"/>
    </row>
    <row r="434" spans="2:17" x14ac:dyDescent="0.3">
      <c r="B434" s="6"/>
      <c r="C434" s="15"/>
      <c r="D434" s="15"/>
      <c r="E434" s="15"/>
      <c r="F434" s="15"/>
      <c r="G434" s="15"/>
      <c r="H434" s="15"/>
      <c r="I434" s="15"/>
      <c r="J434" s="15"/>
      <c r="K434" s="15"/>
      <c r="L434" s="15"/>
      <c r="M434" s="15"/>
      <c r="N434" s="15"/>
      <c r="O434" s="15"/>
      <c r="P434" s="15"/>
      <c r="Q434" s="15"/>
    </row>
    <row r="435" spans="2:17" x14ac:dyDescent="0.3">
      <c r="B435" s="6"/>
      <c r="C435" s="15"/>
      <c r="D435" s="15"/>
      <c r="E435" s="15"/>
      <c r="F435" s="15"/>
      <c r="G435" s="15"/>
      <c r="H435" s="15"/>
      <c r="I435" s="15"/>
      <c r="J435" s="15"/>
      <c r="K435" s="15"/>
      <c r="L435" s="15"/>
      <c r="M435" s="15"/>
      <c r="N435" s="15"/>
      <c r="O435" s="15"/>
      <c r="P435" s="15"/>
      <c r="Q435" s="15"/>
    </row>
    <row r="436" spans="2:17" x14ac:dyDescent="0.3">
      <c r="B436" s="6"/>
      <c r="C436" s="15"/>
      <c r="D436" s="15"/>
      <c r="E436" s="15"/>
      <c r="F436" s="15"/>
      <c r="G436" s="15"/>
      <c r="H436" s="15"/>
      <c r="I436" s="15"/>
      <c r="J436" s="15"/>
      <c r="K436" s="15"/>
      <c r="L436" s="15"/>
      <c r="M436" s="15"/>
      <c r="N436" s="15"/>
      <c r="O436" s="15"/>
      <c r="P436" s="15"/>
      <c r="Q436" s="15"/>
    </row>
    <row r="437" spans="2:17" x14ac:dyDescent="0.3">
      <c r="B437" s="6"/>
      <c r="C437" s="15"/>
      <c r="D437" s="15"/>
      <c r="E437" s="15"/>
      <c r="F437" s="15"/>
      <c r="G437" s="15"/>
      <c r="H437" s="15"/>
      <c r="I437" s="15"/>
      <c r="J437" s="15"/>
      <c r="K437" s="15"/>
      <c r="L437" s="15"/>
      <c r="M437" s="15"/>
      <c r="N437" s="15"/>
      <c r="O437" s="15"/>
      <c r="P437" s="15"/>
      <c r="Q437" s="15"/>
    </row>
    <row r="438" spans="2:17" x14ac:dyDescent="0.3">
      <c r="B438" s="6"/>
      <c r="C438" s="15"/>
      <c r="D438" s="15"/>
      <c r="E438" s="15"/>
      <c r="F438" s="15"/>
      <c r="G438" s="15"/>
      <c r="H438" s="15"/>
      <c r="I438" s="15"/>
      <c r="J438" s="15"/>
      <c r="K438" s="15"/>
      <c r="L438" s="15"/>
      <c r="M438" s="15"/>
      <c r="N438" s="15"/>
      <c r="O438" s="15"/>
      <c r="P438" s="15"/>
      <c r="Q438" s="15"/>
    </row>
    <row r="439" spans="2:17" x14ac:dyDescent="0.3">
      <c r="B439" s="6"/>
      <c r="C439" s="15"/>
      <c r="D439" s="15"/>
      <c r="E439" s="15"/>
      <c r="F439" s="15"/>
      <c r="G439" s="15"/>
      <c r="H439" s="15"/>
      <c r="I439" s="15"/>
      <c r="J439" s="15"/>
      <c r="K439" s="15"/>
      <c r="L439" s="15"/>
      <c r="M439" s="15"/>
      <c r="N439" s="15"/>
      <c r="O439" s="15"/>
      <c r="P439" s="15"/>
      <c r="Q439" s="15"/>
    </row>
    <row r="440" spans="2:17" x14ac:dyDescent="0.3">
      <c r="B440" s="6"/>
      <c r="C440" s="15"/>
      <c r="D440" s="15"/>
      <c r="E440" s="15"/>
      <c r="F440" s="15"/>
      <c r="G440" s="15"/>
      <c r="H440" s="15"/>
      <c r="I440" s="15"/>
      <c r="J440" s="15"/>
      <c r="K440" s="15"/>
      <c r="L440" s="15"/>
      <c r="M440" s="15"/>
      <c r="N440" s="15"/>
      <c r="O440" s="15"/>
      <c r="P440" s="15"/>
      <c r="Q440" s="15"/>
    </row>
    <row r="441" spans="2:17" x14ac:dyDescent="0.3">
      <c r="B441" s="6"/>
      <c r="C441" s="15"/>
      <c r="D441" s="15"/>
      <c r="E441" s="15"/>
      <c r="F441" s="15"/>
      <c r="G441" s="15"/>
      <c r="H441" s="15"/>
      <c r="I441" s="15"/>
      <c r="J441" s="15"/>
      <c r="K441" s="15"/>
      <c r="L441" s="15"/>
      <c r="M441" s="15"/>
      <c r="N441" s="15"/>
      <c r="O441" s="15"/>
      <c r="P441" s="15"/>
      <c r="Q441" s="15"/>
    </row>
    <row r="442" spans="2:17" x14ac:dyDescent="0.3">
      <c r="B442" s="6"/>
      <c r="C442" s="15"/>
      <c r="D442" s="15"/>
      <c r="E442" s="15"/>
      <c r="F442" s="15"/>
      <c r="G442" s="15"/>
      <c r="H442" s="15"/>
      <c r="I442" s="15"/>
      <c r="J442" s="15"/>
      <c r="K442" s="15"/>
      <c r="L442" s="15"/>
      <c r="M442" s="15"/>
      <c r="N442" s="15"/>
      <c r="O442" s="15"/>
      <c r="P442" s="15"/>
      <c r="Q442" s="15"/>
    </row>
    <row r="443" spans="2:17" x14ac:dyDescent="0.3">
      <c r="B443" s="6"/>
      <c r="C443" s="15"/>
      <c r="D443" s="15"/>
      <c r="E443" s="15"/>
      <c r="F443" s="15"/>
      <c r="G443" s="15"/>
      <c r="H443" s="15"/>
      <c r="I443" s="15"/>
      <c r="J443" s="15"/>
      <c r="K443" s="15"/>
      <c r="L443" s="15"/>
      <c r="M443" s="15"/>
      <c r="N443" s="15"/>
      <c r="O443" s="15"/>
      <c r="P443" s="15"/>
      <c r="Q443" s="15"/>
    </row>
    <row r="444" spans="2:17" x14ac:dyDescent="0.3">
      <c r="B444" s="6"/>
      <c r="C444" s="15"/>
      <c r="D444" s="15"/>
      <c r="E444" s="15"/>
      <c r="F444" s="15"/>
      <c r="G444" s="15"/>
      <c r="H444" s="15"/>
      <c r="I444" s="15"/>
      <c r="J444" s="15"/>
      <c r="K444" s="15"/>
      <c r="L444" s="15"/>
      <c r="M444" s="15"/>
      <c r="N444" s="15"/>
      <c r="O444" s="15"/>
      <c r="P444" s="15"/>
      <c r="Q444" s="15"/>
    </row>
    <row r="445" spans="2:17" x14ac:dyDescent="0.3">
      <c r="B445" s="6"/>
      <c r="C445" s="15"/>
      <c r="D445" s="15"/>
      <c r="E445" s="15"/>
      <c r="F445" s="15"/>
      <c r="G445" s="15"/>
      <c r="H445" s="15"/>
      <c r="I445" s="15"/>
      <c r="J445" s="15"/>
      <c r="K445" s="15"/>
      <c r="L445" s="15"/>
      <c r="M445" s="15"/>
      <c r="N445" s="15"/>
      <c r="O445" s="15"/>
      <c r="P445" s="15"/>
      <c r="Q445" s="15"/>
    </row>
    <row r="446" spans="2:17" x14ac:dyDescent="0.3">
      <c r="B446" s="6"/>
      <c r="C446" s="15"/>
      <c r="D446" s="15"/>
      <c r="E446" s="15"/>
      <c r="F446" s="15"/>
      <c r="G446" s="15"/>
      <c r="H446" s="15"/>
      <c r="I446" s="15"/>
      <c r="J446" s="15"/>
      <c r="K446" s="15"/>
      <c r="L446" s="15"/>
      <c r="M446" s="15"/>
      <c r="N446" s="15"/>
      <c r="O446" s="15"/>
      <c r="P446" s="15"/>
      <c r="Q446" s="15"/>
    </row>
    <row r="447" spans="2:17" x14ac:dyDescent="0.3">
      <c r="B447" s="6"/>
      <c r="C447" s="15"/>
      <c r="D447" s="15"/>
      <c r="E447" s="15"/>
      <c r="F447" s="15"/>
      <c r="G447" s="15"/>
      <c r="H447" s="15"/>
      <c r="I447" s="15"/>
      <c r="J447" s="15"/>
      <c r="K447" s="15"/>
      <c r="L447" s="15"/>
      <c r="M447" s="15"/>
      <c r="N447" s="15"/>
      <c r="O447" s="15"/>
      <c r="P447" s="15"/>
      <c r="Q447" s="15"/>
    </row>
    <row r="448" spans="2:17" x14ac:dyDescent="0.3">
      <c r="B448" s="6"/>
      <c r="C448" s="15"/>
      <c r="D448" s="15"/>
      <c r="E448" s="15"/>
      <c r="F448" s="15"/>
      <c r="G448" s="15"/>
      <c r="H448" s="15"/>
      <c r="I448" s="15"/>
      <c r="J448" s="15"/>
      <c r="K448" s="15"/>
      <c r="L448" s="15"/>
      <c r="M448" s="15"/>
      <c r="N448" s="15"/>
      <c r="O448" s="15"/>
      <c r="P448" s="15"/>
      <c r="Q448" s="15"/>
    </row>
    <row r="449" spans="2:17" x14ac:dyDescent="0.3">
      <c r="B449" s="6"/>
      <c r="C449" s="15"/>
      <c r="D449" s="15"/>
      <c r="E449" s="15"/>
      <c r="F449" s="15"/>
      <c r="G449" s="15"/>
      <c r="H449" s="15"/>
      <c r="I449" s="15"/>
      <c r="J449" s="15"/>
      <c r="K449" s="15"/>
      <c r="L449" s="15"/>
      <c r="M449" s="15"/>
      <c r="N449" s="15"/>
      <c r="O449" s="15"/>
      <c r="P449" s="15"/>
      <c r="Q449" s="15"/>
    </row>
    <row r="450" spans="2:17" x14ac:dyDescent="0.3">
      <c r="B450" s="6"/>
      <c r="C450" s="15"/>
      <c r="D450" s="15"/>
      <c r="E450" s="15"/>
      <c r="F450" s="15"/>
      <c r="G450" s="15"/>
      <c r="H450" s="15"/>
      <c r="I450" s="15"/>
      <c r="J450" s="15"/>
      <c r="K450" s="15"/>
      <c r="L450" s="15"/>
      <c r="M450" s="15"/>
      <c r="N450" s="15"/>
      <c r="O450" s="15"/>
      <c r="P450" s="15"/>
      <c r="Q450" s="15"/>
    </row>
    <row r="451" spans="2:17" x14ac:dyDescent="0.3">
      <c r="B451" s="6"/>
      <c r="C451" s="15"/>
      <c r="D451" s="15"/>
      <c r="E451" s="15"/>
      <c r="F451" s="15"/>
      <c r="G451" s="15"/>
      <c r="H451" s="15"/>
      <c r="I451" s="15"/>
      <c r="J451" s="15"/>
      <c r="K451" s="15"/>
      <c r="L451" s="15"/>
      <c r="M451" s="15"/>
      <c r="N451" s="15"/>
      <c r="O451" s="15"/>
      <c r="P451" s="15"/>
      <c r="Q451" s="15"/>
    </row>
    <row r="452" spans="2:17" x14ac:dyDescent="0.3">
      <c r="B452" s="6"/>
      <c r="C452" s="15"/>
      <c r="D452" s="15"/>
      <c r="E452" s="15"/>
      <c r="F452" s="15"/>
      <c r="G452" s="15"/>
      <c r="H452" s="15"/>
      <c r="I452" s="15"/>
      <c r="J452" s="15"/>
      <c r="K452" s="15"/>
      <c r="L452" s="15"/>
      <c r="M452" s="15"/>
      <c r="N452" s="15"/>
      <c r="O452" s="15"/>
      <c r="P452" s="15"/>
      <c r="Q452" s="15"/>
    </row>
    <row r="453" spans="2:17" x14ac:dyDescent="0.3">
      <c r="B453" s="6"/>
      <c r="C453" s="15"/>
      <c r="D453" s="15"/>
      <c r="E453" s="15"/>
      <c r="F453" s="15"/>
      <c r="G453" s="15"/>
      <c r="H453" s="15"/>
      <c r="I453" s="15"/>
      <c r="J453" s="15"/>
      <c r="K453" s="15"/>
      <c r="L453" s="15"/>
      <c r="M453" s="15"/>
      <c r="N453" s="15"/>
      <c r="O453" s="15"/>
      <c r="P453" s="15"/>
      <c r="Q453" s="15"/>
    </row>
    <row r="454" spans="2:17" x14ac:dyDescent="0.3">
      <c r="B454" s="6"/>
      <c r="C454" s="15"/>
      <c r="D454" s="15"/>
      <c r="E454" s="15"/>
      <c r="F454" s="15"/>
      <c r="G454" s="15"/>
      <c r="H454" s="15"/>
      <c r="I454" s="15"/>
      <c r="J454" s="15"/>
      <c r="K454" s="15"/>
      <c r="L454" s="15"/>
      <c r="M454" s="15"/>
      <c r="N454" s="15"/>
      <c r="O454" s="15"/>
      <c r="P454" s="15"/>
      <c r="Q454" s="15"/>
    </row>
    <row r="455" spans="2:17" x14ac:dyDescent="0.3">
      <c r="B455" s="6"/>
      <c r="C455" s="15"/>
      <c r="D455" s="15"/>
      <c r="E455" s="15"/>
      <c r="F455" s="15"/>
      <c r="G455" s="15"/>
      <c r="H455" s="15"/>
      <c r="I455" s="15"/>
      <c r="J455" s="15"/>
      <c r="K455" s="15"/>
      <c r="L455" s="15"/>
      <c r="M455" s="15"/>
      <c r="N455" s="15"/>
      <c r="O455" s="15"/>
      <c r="P455" s="15"/>
      <c r="Q455" s="15"/>
    </row>
    <row r="456" spans="2:17" x14ac:dyDescent="0.3">
      <c r="B456" s="6"/>
      <c r="C456" s="15"/>
      <c r="D456" s="15"/>
      <c r="E456" s="15"/>
      <c r="F456" s="15"/>
      <c r="G456" s="15"/>
      <c r="H456" s="15"/>
      <c r="I456" s="15"/>
      <c r="J456" s="15"/>
      <c r="K456" s="15"/>
      <c r="L456" s="15"/>
      <c r="M456" s="15"/>
      <c r="N456" s="15"/>
      <c r="O456" s="15"/>
      <c r="P456" s="15"/>
      <c r="Q456" s="15"/>
    </row>
    <row r="457" spans="2:17" x14ac:dyDescent="0.3">
      <c r="B457" s="6"/>
      <c r="C457" s="15"/>
      <c r="D457" s="15"/>
      <c r="E457" s="15"/>
      <c r="F457" s="15"/>
      <c r="G457" s="15"/>
      <c r="H457" s="15"/>
      <c r="I457" s="15"/>
      <c r="J457" s="15"/>
      <c r="K457" s="15"/>
      <c r="L457" s="15"/>
      <c r="M457" s="15"/>
      <c r="N457" s="15"/>
      <c r="O457" s="15"/>
      <c r="P457" s="15"/>
      <c r="Q457" s="15"/>
    </row>
    <row r="458" spans="2:17" x14ac:dyDescent="0.3">
      <c r="B458" s="6"/>
      <c r="C458" s="15"/>
      <c r="D458" s="15"/>
      <c r="E458" s="15"/>
      <c r="F458" s="15"/>
      <c r="G458" s="15"/>
      <c r="H458" s="15"/>
      <c r="I458" s="15"/>
      <c r="J458" s="15"/>
      <c r="K458" s="15"/>
      <c r="L458" s="15"/>
      <c r="M458" s="15"/>
      <c r="N458" s="15"/>
      <c r="O458" s="15"/>
      <c r="P458" s="15"/>
      <c r="Q458" s="15"/>
    </row>
    <row r="459" spans="2:17" x14ac:dyDescent="0.3">
      <c r="B459" s="6"/>
      <c r="C459" s="15"/>
      <c r="D459" s="15"/>
      <c r="E459" s="15"/>
      <c r="F459" s="15"/>
      <c r="G459" s="15"/>
      <c r="H459" s="15"/>
      <c r="I459" s="15"/>
      <c r="J459" s="15"/>
      <c r="K459" s="15"/>
      <c r="L459" s="15"/>
      <c r="M459" s="15"/>
      <c r="N459" s="15"/>
      <c r="O459" s="15"/>
      <c r="P459" s="15"/>
      <c r="Q459" s="15"/>
    </row>
    <row r="460" spans="2:17" x14ac:dyDescent="0.3">
      <c r="B460" s="6"/>
      <c r="C460" s="15"/>
      <c r="D460" s="15"/>
      <c r="E460" s="15"/>
      <c r="F460" s="15"/>
      <c r="G460" s="15"/>
      <c r="H460" s="15"/>
      <c r="I460" s="15"/>
      <c r="J460" s="15"/>
      <c r="K460" s="15"/>
      <c r="L460" s="15"/>
      <c r="M460" s="15"/>
      <c r="N460" s="15"/>
      <c r="O460" s="15"/>
      <c r="P460" s="15"/>
      <c r="Q460" s="15"/>
    </row>
    <row r="461" spans="2:17" x14ac:dyDescent="0.3">
      <c r="B461" s="6"/>
      <c r="C461" s="15"/>
      <c r="D461" s="15"/>
      <c r="E461" s="15"/>
      <c r="F461" s="15"/>
      <c r="G461" s="15"/>
      <c r="H461" s="15"/>
      <c r="I461" s="15"/>
      <c r="J461" s="15"/>
      <c r="K461" s="15"/>
      <c r="L461" s="15"/>
      <c r="M461" s="15"/>
      <c r="N461" s="15"/>
      <c r="O461" s="15"/>
      <c r="P461" s="15"/>
      <c r="Q461" s="15"/>
    </row>
    <row r="462" spans="2:17" x14ac:dyDescent="0.3">
      <c r="B462" s="6"/>
      <c r="C462" s="15"/>
      <c r="D462" s="15"/>
      <c r="E462" s="15"/>
      <c r="F462" s="15"/>
      <c r="G462" s="15"/>
      <c r="H462" s="15"/>
      <c r="I462" s="15"/>
      <c r="J462" s="15"/>
      <c r="K462" s="15"/>
      <c r="L462" s="15"/>
      <c r="M462" s="15"/>
      <c r="N462" s="15"/>
      <c r="O462" s="15"/>
      <c r="P462" s="15"/>
      <c r="Q462" s="15"/>
    </row>
    <row r="463" spans="2:17" x14ac:dyDescent="0.3">
      <c r="B463" s="6"/>
      <c r="C463" s="15"/>
      <c r="D463" s="15"/>
      <c r="E463" s="15"/>
      <c r="F463" s="15"/>
      <c r="G463" s="15"/>
      <c r="H463" s="15"/>
      <c r="I463" s="15"/>
      <c r="J463" s="15"/>
      <c r="K463" s="15"/>
      <c r="L463" s="15"/>
      <c r="M463" s="15"/>
      <c r="N463" s="15"/>
      <c r="O463" s="15"/>
      <c r="P463" s="15"/>
      <c r="Q463" s="15"/>
    </row>
    <row r="464" spans="2:17" x14ac:dyDescent="0.3">
      <c r="B464" s="6"/>
      <c r="C464" s="15"/>
      <c r="D464" s="15"/>
      <c r="E464" s="15"/>
      <c r="F464" s="15"/>
      <c r="G464" s="15"/>
      <c r="H464" s="15"/>
      <c r="I464" s="15"/>
      <c r="J464" s="15"/>
      <c r="K464" s="15"/>
      <c r="L464" s="15"/>
      <c r="M464" s="15"/>
      <c r="N464" s="15"/>
      <c r="O464" s="15"/>
      <c r="P464" s="15"/>
      <c r="Q464" s="15"/>
    </row>
    <row r="465" spans="2:17" x14ac:dyDescent="0.3">
      <c r="B465" s="6"/>
      <c r="C465" s="15"/>
      <c r="D465" s="15"/>
      <c r="E465" s="15"/>
      <c r="F465" s="15"/>
      <c r="G465" s="15"/>
      <c r="H465" s="15"/>
      <c r="I465" s="15"/>
      <c r="J465" s="15"/>
      <c r="K465" s="15"/>
      <c r="L465" s="15"/>
      <c r="M465" s="15"/>
      <c r="N465" s="15"/>
      <c r="O465" s="15"/>
      <c r="P465" s="15"/>
      <c r="Q465" s="15"/>
    </row>
    <row r="466" spans="2:17" x14ac:dyDescent="0.3">
      <c r="B466" s="6"/>
      <c r="C466" s="15"/>
      <c r="D466" s="15"/>
      <c r="E466" s="15"/>
      <c r="F466" s="15"/>
      <c r="G466" s="15"/>
      <c r="H466" s="15"/>
      <c r="I466" s="15"/>
      <c r="J466" s="15"/>
      <c r="K466" s="15"/>
      <c r="L466" s="15"/>
      <c r="M466" s="15"/>
      <c r="N466" s="15"/>
      <c r="O466" s="15"/>
      <c r="P466" s="15"/>
      <c r="Q466" s="15"/>
    </row>
    <row r="467" spans="2:17" x14ac:dyDescent="0.3">
      <c r="B467" s="6"/>
      <c r="C467" s="15"/>
      <c r="D467" s="15"/>
      <c r="E467" s="15"/>
      <c r="F467" s="15"/>
      <c r="G467" s="15"/>
      <c r="H467" s="15"/>
      <c r="I467" s="15"/>
      <c r="J467" s="15"/>
      <c r="K467" s="15"/>
      <c r="L467" s="15"/>
      <c r="M467" s="15"/>
      <c r="N467" s="15"/>
      <c r="O467" s="15"/>
      <c r="P467" s="15"/>
      <c r="Q467" s="15"/>
    </row>
    <row r="468" spans="2:17" x14ac:dyDescent="0.3">
      <c r="B468" s="6"/>
      <c r="C468" s="15"/>
      <c r="D468" s="15"/>
      <c r="E468" s="15"/>
      <c r="F468" s="15"/>
      <c r="G468" s="15"/>
      <c r="H468" s="15"/>
      <c r="I468" s="15"/>
      <c r="J468" s="15"/>
      <c r="K468" s="15"/>
      <c r="L468" s="15"/>
      <c r="M468" s="15"/>
      <c r="N468" s="15"/>
      <c r="O468" s="15"/>
      <c r="P468" s="15"/>
      <c r="Q468" s="15"/>
    </row>
    <row r="469" spans="2:17" x14ac:dyDescent="0.3">
      <c r="B469" s="6"/>
      <c r="C469" s="15"/>
      <c r="D469" s="15"/>
      <c r="E469" s="15"/>
      <c r="F469" s="15"/>
      <c r="G469" s="15"/>
      <c r="H469" s="15"/>
      <c r="I469" s="15"/>
      <c r="J469" s="15"/>
      <c r="K469" s="15"/>
      <c r="L469" s="15"/>
      <c r="M469" s="15"/>
      <c r="N469" s="15"/>
      <c r="O469" s="15"/>
      <c r="P469" s="15"/>
      <c r="Q469" s="15"/>
    </row>
    <row r="470" spans="2:17" x14ac:dyDescent="0.3">
      <c r="B470" s="6"/>
      <c r="C470" s="15"/>
      <c r="D470" s="15"/>
      <c r="E470" s="15"/>
      <c r="F470" s="15"/>
      <c r="G470" s="15"/>
      <c r="H470" s="15"/>
      <c r="I470" s="15"/>
      <c r="J470" s="15"/>
      <c r="K470" s="15"/>
      <c r="L470" s="15"/>
      <c r="M470" s="15"/>
      <c r="N470" s="15"/>
      <c r="O470" s="15"/>
      <c r="P470" s="15"/>
      <c r="Q470" s="15"/>
    </row>
    <row r="471" spans="2:17" x14ac:dyDescent="0.3">
      <c r="B471" s="6"/>
      <c r="C471" s="15"/>
      <c r="D471" s="15"/>
      <c r="E471" s="15"/>
      <c r="F471" s="15"/>
      <c r="G471" s="15"/>
      <c r="H471" s="15"/>
      <c r="I471" s="15"/>
      <c r="J471" s="15"/>
      <c r="K471" s="15"/>
      <c r="L471" s="15"/>
      <c r="M471" s="15"/>
      <c r="N471" s="15"/>
      <c r="O471" s="15"/>
      <c r="P471" s="15"/>
      <c r="Q471" s="15"/>
    </row>
    <row r="472" spans="2:17" x14ac:dyDescent="0.3">
      <c r="B472" s="6"/>
      <c r="C472" s="15"/>
      <c r="D472" s="15"/>
      <c r="E472" s="15"/>
      <c r="F472" s="15"/>
      <c r="G472" s="15"/>
      <c r="H472" s="15"/>
      <c r="I472" s="15"/>
      <c r="J472" s="15"/>
      <c r="K472" s="15"/>
      <c r="L472" s="15"/>
      <c r="M472" s="15"/>
      <c r="N472" s="15"/>
      <c r="O472" s="15"/>
      <c r="P472" s="15"/>
      <c r="Q472" s="15"/>
    </row>
    <row r="473" spans="2:17" x14ac:dyDescent="0.3">
      <c r="B473" s="6"/>
      <c r="C473" s="15"/>
      <c r="D473" s="15"/>
      <c r="E473" s="15"/>
      <c r="F473" s="15"/>
      <c r="G473" s="15"/>
      <c r="H473" s="15"/>
      <c r="I473" s="15"/>
      <c r="J473" s="15"/>
      <c r="K473" s="15"/>
      <c r="L473" s="15"/>
      <c r="M473" s="15"/>
      <c r="N473" s="15"/>
      <c r="O473" s="15"/>
      <c r="P473" s="15"/>
      <c r="Q473" s="15"/>
    </row>
    <row r="474" spans="2:17" x14ac:dyDescent="0.3">
      <c r="B474" s="6"/>
      <c r="C474" s="15"/>
      <c r="D474" s="15"/>
      <c r="E474" s="15"/>
      <c r="F474" s="15"/>
      <c r="G474" s="15"/>
      <c r="H474" s="15"/>
      <c r="I474" s="15"/>
      <c r="J474" s="15"/>
      <c r="K474" s="15"/>
      <c r="L474" s="15"/>
      <c r="M474" s="15"/>
      <c r="N474" s="15"/>
      <c r="O474" s="15"/>
      <c r="P474" s="15"/>
      <c r="Q474" s="15"/>
    </row>
    <row r="475" spans="2:17" x14ac:dyDescent="0.3">
      <c r="B475" s="6"/>
      <c r="C475" s="15"/>
      <c r="D475" s="15"/>
      <c r="E475" s="15"/>
      <c r="F475" s="15"/>
      <c r="G475" s="15"/>
      <c r="H475" s="15"/>
      <c r="I475" s="15"/>
      <c r="J475" s="15"/>
      <c r="K475" s="15"/>
      <c r="L475" s="15"/>
      <c r="M475" s="15"/>
      <c r="N475" s="15"/>
      <c r="O475" s="15"/>
      <c r="P475" s="15"/>
      <c r="Q475" s="15"/>
    </row>
    <row r="476" spans="2:17" x14ac:dyDescent="0.3">
      <c r="B476" s="6"/>
      <c r="C476" s="15"/>
      <c r="D476" s="15"/>
      <c r="E476" s="15"/>
      <c r="F476" s="15"/>
      <c r="G476" s="15"/>
      <c r="H476" s="15"/>
      <c r="I476" s="15"/>
      <c r="J476" s="15"/>
      <c r="K476" s="15"/>
      <c r="L476" s="15"/>
      <c r="M476" s="15"/>
      <c r="N476" s="15"/>
      <c r="O476" s="15"/>
      <c r="P476" s="15"/>
      <c r="Q476" s="15"/>
    </row>
    <row r="477" spans="2:17" x14ac:dyDescent="0.3">
      <c r="B477" s="6"/>
      <c r="C477" s="15"/>
      <c r="D477" s="15"/>
      <c r="E477" s="15"/>
      <c r="F477" s="15"/>
      <c r="G477" s="15"/>
      <c r="H477" s="15"/>
      <c r="I477" s="15"/>
      <c r="J477" s="15"/>
      <c r="K477" s="15"/>
      <c r="L477" s="15"/>
      <c r="M477" s="15"/>
      <c r="N477" s="15"/>
      <c r="O477" s="15"/>
      <c r="P477" s="15"/>
      <c r="Q477" s="15"/>
    </row>
    <row r="478" spans="2:17" x14ac:dyDescent="0.3">
      <c r="B478" s="6"/>
      <c r="C478" s="15"/>
      <c r="D478" s="15"/>
      <c r="E478" s="15"/>
      <c r="F478" s="15"/>
      <c r="G478" s="15"/>
      <c r="H478" s="15"/>
      <c r="I478" s="15"/>
      <c r="J478" s="15"/>
      <c r="K478" s="15"/>
      <c r="L478" s="15"/>
      <c r="M478" s="15"/>
      <c r="N478" s="15"/>
      <c r="O478" s="15"/>
      <c r="P478" s="15"/>
      <c r="Q478" s="15"/>
    </row>
    <row r="479" spans="2:17" x14ac:dyDescent="0.3">
      <c r="B479" s="6"/>
      <c r="C479" s="15"/>
      <c r="D479" s="15"/>
      <c r="E479" s="15"/>
      <c r="F479" s="15"/>
      <c r="G479" s="15"/>
      <c r="H479" s="15"/>
      <c r="I479" s="15"/>
      <c r="J479" s="15"/>
      <c r="K479" s="15"/>
      <c r="L479" s="15"/>
      <c r="M479" s="15"/>
      <c r="N479" s="15"/>
      <c r="O479" s="15"/>
      <c r="P479" s="15"/>
      <c r="Q479" s="15"/>
    </row>
    <row r="480" spans="2:17" x14ac:dyDescent="0.3">
      <c r="B480" s="6"/>
      <c r="C480" s="15"/>
      <c r="D480" s="15"/>
      <c r="E480" s="15"/>
      <c r="F480" s="15"/>
      <c r="G480" s="15"/>
      <c r="H480" s="15"/>
      <c r="I480" s="15"/>
      <c r="J480" s="15"/>
      <c r="K480" s="15"/>
      <c r="L480" s="15"/>
      <c r="M480" s="15"/>
      <c r="N480" s="15"/>
      <c r="O480" s="15"/>
      <c r="P480" s="15"/>
      <c r="Q480" s="15"/>
    </row>
    <row r="481" spans="2:17" x14ac:dyDescent="0.3">
      <c r="B481" s="6"/>
      <c r="C481" s="15"/>
      <c r="D481" s="15"/>
      <c r="E481" s="15"/>
      <c r="F481" s="15"/>
      <c r="G481" s="15"/>
      <c r="H481" s="15"/>
      <c r="I481" s="15"/>
      <c r="J481" s="15"/>
      <c r="K481" s="15"/>
      <c r="L481" s="15"/>
      <c r="M481" s="15"/>
      <c r="N481" s="15"/>
      <c r="O481" s="15"/>
      <c r="P481" s="15"/>
      <c r="Q481" s="15"/>
    </row>
    <row r="482" spans="2:17" x14ac:dyDescent="0.3">
      <c r="B482" s="6"/>
      <c r="C482" s="15"/>
      <c r="D482" s="15"/>
      <c r="E482" s="15"/>
      <c r="F482" s="15"/>
      <c r="G482" s="15"/>
      <c r="H482" s="15"/>
      <c r="I482" s="15"/>
      <c r="J482" s="15"/>
      <c r="K482" s="15"/>
      <c r="L482" s="15"/>
      <c r="M482" s="15"/>
      <c r="N482" s="15"/>
      <c r="O482" s="15"/>
      <c r="P482" s="15"/>
      <c r="Q482" s="15"/>
    </row>
    <row r="483" spans="2:17" x14ac:dyDescent="0.3">
      <c r="B483" s="6"/>
      <c r="C483" s="15"/>
      <c r="D483" s="15"/>
      <c r="E483" s="15"/>
      <c r="F483" s="15"/>
      <c r="G483" s="15"/>
      <c r="H483" s="15"/>
      <c r="I483" s="15"/>
      <c r="J483" s="15"/>
      <c r="K483" s="15"/>
      <c r="L483" s="15"/>
      <c r="M483" s="15"/>
      <c r="N483" s="15"/>
      <c r="O483" s="15"/>
      <c r="P483" s="15"/>
      <c r="Q483" s="15"/>
    </row>
    <row r="484" spans="2:17" x14ac:dyDescent="0.3">
      <c r="B484" s="6"/>
      <c r="C484" s="15"/>
      <c r="D484" s="15"/>
      <c r="E484" s="15"/>
      <c r="F484" s="15"/>
      <c r="G484" s="15"/>
      <c r="H484" s="15"/>
      <c r="I484" s="15"/>
      <c r="J484" s="15"/>
      <c r="K484" s="15"/>
      <c r="L484" s="15"/>
      <c r="M484" s="15"/>
      <c r="N484" s="15"/>
      <c r="O484" s="15"/>
      <c r="P484" s="15"/>
      <c r="Q484" s="15"/>
    </row>
    <row r="485" spans="2:17" x14ac:dyDescent="0.3">
      <c r="B485" s="6"/>
      <c r="C485" s="15"/>
      <c r="D485" s="15"/>
      <c r="E485" s="15"/>
      <c r="F485" s="15"/>
      <c r="G485" s="15"/>
      <c r="H485" s="15"/>
      <c r="I485" s="15"/>
      <c r="J485" s="15"/>
      <c r="K485" s="15"/>
      <c r="L485" s="15"/>
      <c r="M485" s="15"/>
      <c r="N485" s="15"/>
      <c r="O485" s="15"/>
      <c r="P485" s="15"/>
      <c r="Q485" s="15"/>
    </row>
    <row r="486" spans="2:17" x14ac:dyDescent="0.3">
      <c r="B486" s="6"/>
      <c r="C486" s="15"/>
      <c r="D486" s="15"/>
      <c r="E486" s="15"/>
      <c r="F486" s="15"/>
      <c r="G486" s="15"/>
      <c r="H486" s="15"/>
      <c r="I486" s="15"/>
      <c r="J486" s="15"/>
      <c r="K486" s="15"/>
      <c r="L486" s="15"/>
      <c r="M486" s="15"/>
      <c r="N486" s="15"/>
      <c r="O486" s="15"/>
      <c r="P486" s="15"/>
      <c r="Q486" s="15"/>
    </row>
    <row r="487" spans="2:17" x14ac:dyDescent="0.3">
      <c r="B487" s="6"/>
      <c r="C487" s="15"/>
      <c r="D487" s="15"/>
      <c r="E487" s="15"/>
      <c r="F487" s="15"/>
      <c r="G487" s="15"/>
      <c r="H487" s="15"/>
      <c r="I487" s="15"/>
      <c r="J487" s="15"/>
      <c r="K487" s="15"/>
      <c r="L487" s="15"/>
      <c r="M487" s="15"/>
      <c r="N487" s="15"/>
      <c r="O487" s="15"/>
      <c r="P487" s="15"/>
      <c r="Q487" s="15"/>
    </row>
    <row r="488" spans="2:17" x14ac:dyDescent="0.3">
      <c r="B488" s="6"/>
      <c r="C488" s="15"/>
      <c r="D488" s="15"/>
      <c r="E488" s="15"/>
      <c r="F488" s="15"/>
      <c r="G488" s="15"/>
      <c r="H488" s="15"/>
      <c r="I488" s="15"/>
      <c r="J488" s="15"/>
      <c r="K488" s="15"/>
      <c r="L488" s="15"/>
      <c r="M488" s="15"/>
      <c r="N488" s="15"/>
      <c r="O488" s="15"/>
      <c r="P488" s="15"/>
      <c r="Q488" s="15"/>
    </row>
    <row r="489" spans="2:17" x14ac:dyDescent="0.3">
      <c r="B489" s="6"/>
      <c r="C489" s="15"/>
      <c r="D489" s="15"/>
      <c r="E489" s="15"/>
      <c r="F489" s="15"/>
      <c r="G489" s="15"/>
      <c r="H489" s="15"/>
      <c r="I489" s="15"/>
      <c r="J489" s="15"/>
      <c r="K489" s="15"/>
      <c r="L489" s="15"/>
      <c r="M489" s="15"/>
      <c r="N489" s="15"/>
      <c r="O489" s="15"/>
      <c r="P489" s="15"/>
      <c r="Q489" s="15"/>
    </row>
    <row r="490" spans="2:17" x14ac:dyDescent="0.3">
      <c r="B490" s="6"/>
      <c r="C490" s="15"/>
      <c r="D490" s="15"/>
      <c r="E490" s="15"/>
      <c r="F490" s="15"/>
      <c r="G490" s="15"/>
      <c r="H490" s="15"/>
      <c r="I490" s="15"/>
      <c r="J490" s="15"/>
      <c r="K490" s="15"/>
      <c r="L490" s="15"/>
      <c r="M490" s="15"/>
      <c r="N490" s="15"/>
      <c r="O490" s="15"/>
      <c r="P490" s="15"/>
      <c r="Q490" s="15"/>
    </row>
    <row r="491" spans="2:17" x14ac:dyDescent="0.3">
      <c r="B491" s="6"/>
      <c r="C491" s="15"/>
      <c r="D491" s="15"/>
      <c r="E491" s="15"/>
      <c r="F491" s="15"/>
      <c r="G491" s="15"/>
      <c r="H491" s="15"/>
      <c r="I491" s="15"/>
      <c r="J491" s="15"/>
      <c r="K491" s="15"/>
      <c r="L491" s="15"/>
      <c r="M491" s="15"/>
      <c r="N491" s="15"/>
      <c r="O491" s="15"/>
      <c r="P491" s="15"/>
      <c r="Q491" s="15"/>
    </row>
    <row r="492" spans="2:17" x14ac:dyDescent="0.3">
      <c r="B492" s="6"/>
      <c r="C492" s="15"/>
      <c r="D492" s="15"/>
      <c r="E492" s="15"/>
      <c r="F492" s="15"/>
      <c r="G492" s="15"/>
      <c r="H492" s="15"/>
      <c r="I492" s="15"/>
      <c r="J492" s="15"/>
      <c r="K492" s="15"/>
      <c r="L492" s="15"/>
      <c r="M492" s="15"/>
      <c r="N492" s="15"/>
      <c r="O492" s="15"/>
      <c r="P492" s="15"/>
      <c r="Q492" s="15"/>
    </row>
    <row r="493" spans="2:17" x14ac:dyDescent="0.3">
      <c r="B493" s="6"/>
      <c r="C493" s="15"/>
      <c r="D493" s="15"/>
      <c r="E493" s="15"/>
      <c r="F493" s="15"/>
      <c r="G493" s="15"/>
      <c r="H493" s="15"/>
      <c r="I493" s="15"/>
      <c r="J493" s="15"/>
      <c r="K493" s="15"/>
      <c r="L493" s="15"/>
      <c r="M493" s="15"/>
      <c r="N493" s="15"/>
      <c r="O493" s="15"/>
      <c r="P493" s="15"/>
      <c r="Q493" s="15"/>
    </row>
    <row r="494" spans="2:17" x14ac:dyDescent="0.3">
      <c r="B494" s="6"/>
      <c r="C494" s="15"/>
      <c r="D494" s="15"/>
      <c r="E494" s="15"/>
      <c r="F494" s="15"/>
      <c r="G494" s="15"/>
      <c r="H494" s="15"/>
      <c r="I494" s="15"/>
      <c r="J494" s="15"/>
      <c r="K494" s="15"/>
      <c r="L494" s="15"/>
      <c r="M494" s="15"/>
      <c r="N494" s="15"/>
      <c r="O494" s="15"/>
      <c r="P494" s="15"/>
      <c r="Q494" s="15"/>
    </row>
    <row r="495" spans="2:17" x14ac:dyDescent="0.3">
      <c r="B495" s="6"/>
      <c r="C495" s="15"/>
      <c r="D495" s="15"/>
      <c r="E495" s="15"/>
      <c r="F495" s="15"/>
      <c r="G495" s="15"/>
      <c r="H495" s="15"/>
      <c r="I495" s="15"/>
      <c r="J495" s="15"/>
      <c r="K495" s="15"/>
      <c r="L495" s="15"/>
      <c r="M495" s="15"/>
      <c r="N495" s="15"/>
      <c r="O495" s="15"/>
      <c r="P495" s="15"/>
      <c r="Q495" s="15"/>
    </row>
    <row r="496" spans="2:17" x14ac:dyDescent="0.3">
      <c r="B496" s="6"/>
      <c r="C496" s="15"/>
      <c r="D496" s="15"/>
      <c r="E496" s="15"/>
      <c r="F496" s="15"/>
      <c r="G496" s="15"/>
      <c r="H496" s="15"/>
      <c r="I496" s="15"/>
      <c r="J496" s="15"/>
      <c r="K496" s="15"/>
      <c r="L496" s="15"/>
      <c r="M496" s="15"/>
      <c r="N496" s="15"/>
      <c r="O496" s="15"/>
      <c r="P496" s="15"/>
      <c r="Q496" s="15"/>
    </row>
    <row r="497" spans="2:17" x14ac:dyDescent="0.3">
      <c r="B497" s="6"/>
      <c r="C497" s="15"/>
      <c r="D497" s="15"/>
      <c r="E497" s="15"/>
      <c r="F497" s="15"/>
      <c r="G497" s="15"/>
      <c r="H497" s="15"/>
      <c r="I497" s="15"/>
      <c r="J497" s="15"/>
      <c r="K497" s="15"/>
      <c r="L497" s="15"/>
      <c r="M497" s="15"/>
      <c r="N497" s="15"/>
      <c r="O497" s="15"/>
      <c r="P497" s="15"/>
      <c r="Q497" s="15"/>
    </row>
    <row r="498" spans="2:17" x14ac:dyDescent="0.3">
      <c r="B498" s="6"/>
      <c r="C498" s="15"/>
      <c r="D498" s="15"/>
      <c r="E498" s="15"/>
      <c r="F498" s="15"/>
      <c r="G498" s="15"/>
      <c r="H498" s="15"/>
      <c r="I498" s="15"/>
      <c r="J498" s="15"/>
      <c r="K498" s="15"/>
      <c r="L498" s="15"/>
      <c r="M498" s="15"/>
      <c r="N498" s="15"/>
      <c r="O498" s="15"/>
      <c r="P498" s="15"/>
      <c r="Q498" s="15"/>
    </row>
    <row r="499" spans="2:17" x14ac:dyDescent="0.3">
      <c r="B499" s="6"/>
      <c r="C499" s="15"/>
      <c r="D499" s="15"/>
      <c r="E499" s="15"/>
      <c r="F499" s="15"/>
      <c r="G499" s="15"/>
      <c r="H499" s="15"/>
      <c r="I499" s="15"/>
      <c r="J499" s="15"/>
      <c r="K499" s="15"/>
      <c r="L499" s="15"/>
      <c r="M499" s="15"/>
      <c r="N499" s="15"/>
      <c r="O499" s="15"/>
      <c r="P499" s="15"/>
      <c r="Q499" s="15"/>
    </row>
    <row r="500" spans="2:17" x14ac:dyDescent="0.3">
      <c r="B500" s="6"/>
      <c r="C500" s="15"/>
      <c r="D500" s="15"/>
      <c r="E500" s="15"/>
      <c r="F500" s="15"/>
      <c r="G500" s="15"/>
      <c r="H500" s="15"/>
      <c r="I500" s="15"/>
      <c r="J500" s="15"/>
      <c r="K500" s="15"/>
      <c r="L500" s="15"/>
      <c r="M500" s="15"/>
      <c r="N500" s="15"/>
      <c r="O500" s="15"/>
      <c r="P500" s="15"/>
      <c r="Q500" s="15"/>
    </row>
    <row r="501" spans="2:17" x14ac:dyDescent="0.3">
      <c r="B501" s="6"/>
      <c r="C501" s="15"/>
      <c r="D501" s="15"/>
      <c r="E501" s="15"/>
      <c r="F501" s="15"/>
      <c r="G501" s="15"/>
      <c r="H501" s="15"/>
      <c r="I501" s="15"/>
      <c r="J501" s="15"/>
      <c r="K501" s="15"/>
      <c r="L501" s="15"/>
      <c r="M501" s="15"/>
      <c r="N501" s="15"/>
      <c r="O501" s="15"/>
      <c r="P501" s="15"/>
      <c r="Q501" s="15"/>
    </row>
    <row r="502" spans="2:17" x14ac:dyDescent="0.3">
      <c r="B502" s="6"/>
      <c r="C502" s="15"/>
      <c r="D502" s="15"/>
      <c r="E502" s="15"/>
      <c r="F502" s="15"/>
      <c r="G502" s="15"/>
      <c r="H502" s="15"/>
      <c r="I502" s="15"/>
      <c r="J502" s="15"/>
      <c r="K502" s="15"/>
      <c r="L502" s="15"/>
      <c r="M502" s="15"/>
      <c r="N502" s="15"/>
      <c r="O502" s="15"/>
      <c r="P502" s="15"/>
      <c r="Q502" s="15"/>
    </row>
    <row r="503" spans="2:17" x14ac:dyDescent="0.3">
      <c r="B503" s="6"/>
      <c r="C503" s="15"/>
      <c r="D503" s="15"/>
      <c r="E503" s="15"/>
      <c r="F503" s="15"/>
      <c r="G503" s="15"/>
      <c r="H503" s="15"/>
      <c r="I503" s="15"/>
      <c r="J503" s="15"/>
      <c r="K503" s="15"/>
      <c r="L503" s="15"/>
      <c r="M503" s="15"/>
      <c r="N503" s="15"/>
      <c r="O503" s="15"/>
      <c r="P503" s="15"/>
      <c r="Q503" s="15"/>
    </row>
    <row r="504" spans="2:17" x14ac:dyDescent="0.3">
      <c r="B504" s="6"/>
      <c r="C504" s="15"/>
      <c r="D504" s="15"/>
      <c r="E504" s="15"/>
      <c r="F504" s="15"/>
      <c r="G504" s="15"/>
      <c r="H504" s="15"/>
      <c r="I504" s="15"/>
      <c r="J504" s="15"/>
      <c r="K504" s="15"/>
      <c r="L504" s="15"/>
      <c r="M504" s="15"/>
      <c r="N504" s="15"/>
      <c r="O504" s="15"/>
      <c r="P504" s="15"/>
      <c r="Q504" s="15"/>
    </row>
    <row r="505" spans="2:17" x14ac:dyDescent="0.3">
      <c r="B505" s="6"/>
      <c r="C505" s="15"/>
      <c r="D505" s="15"/>
      <c r="E505" s="15"/>
      <c r="F505" s="15"/>
      <c r="G505" s="15"/>
      <c r="H505" s="15"/>
      <c r="I505" s="15"/>
      <c r="J505" s="15"/>
      <c r="K505" s="15"/>
      <c r="L505" s="15"/>
      <c r="M505" s="15"/>
      <c r="N505" s="15"/>
      <c r="O505" s="15"/>
      <c r="P505" s="15"/>
      <c r="Q505" s="15"/>
    </row>
    <row r="506" spans="2:17" x14ac:dyDescent="0.3">
      <c r="B506" s="6"/>
      <c r="C506" s="15"/>
      <c r="D506" s="15"/>
      <c r="E506" s="15"/>
      <c r="F506" s="15"/>
      <c r="G506" s="15"/>
      <c r="H506" s="15"/>
      <c r="I506" s="15"/>
      <c r="J506" s="15"/>
      <c r="K506" s="15"/>
      <c r="L506" s="15"/>
      <c r="M506" s="15"/>
      <c r="N506" s="15"/>
      <c r="O506" s="15"/>
      <c r="P506" s="15"/>
      <c r="Q506" s="15"/>
    </row>
    <row r="507" spans="2:17" x14ac:dyDescent="0.3">
      <c r="B507" s="6"/>
      <c r="C507" s="15"/>
      <c r="D507" s="15"/>
      <c r="E507" s="15"/>
      <c r="F507" s="15"/>
      <c r="G507" s="15"/>
      <c r="H507" s="15"/>
      <c r="I507" s="15"/>
      <c r="J507" s="15"/>
      <c r="K507" s="15"/>
      <c r="L507" s="15"/>
      <c r="M507" s="15"/>
      <c r="N507" s="15"/>
      <c r="O507" s="15"/>
      <c r="P507" s="15"/>
      <c r="Q507" s="15"/>
    </row>
    <row r="508" spans="2:17" x14ac:dyDescent="0.3">
      <c r="B508" s="6"/>
      <c r="C508" s="15"/>
      <c r="D508" s="15"/>
      <c r="E508" s="15"/>
      <c r="F508" s="15"/>
      <c r="G508" s="15"/>
      <c r="H508" s="15"/>
      <c r="I508" s="15"/>
      <c r="J508" s="15"/>
      <c r="K508" s="15"/>
      <c r="L508" s="15"/>
      <c r="M508" s="15"/>
      <c r="N508" s="15"/>
      <c r="O508" s="15"/>
      <c r="P508" s="15"/>
      <c r="Q508" s="15"/>
    </row>
    <row r="509" spans="2:17" x14ac:dyDescent="0.3">
      <c r="B509" s="6"/>
      <c r="C509" s="15"/>
      <c r="D509" s="15"/>
      <c r="E509" s="15"/>
      <c r="F509" s="15"/>
      <c r="G509" s="15"/>
      <c r="H509" s="15"/>
      <c r="I509" s="15"/>
      <c r="J509" s="15"/>
      <c r="K509" s="15"/>
      <c r="L509" s="15"/>
      <c r="M509" s="15"/>
      <c r="N509" s="15"/>
      <c r="O509" s="15"/>
      <c r="P509" s="15"/>
      <c r="Q509" s="15"/>
    </row>
    <row r="510" spans="2:17" x14ac:dyDescent="0.3">
      <c r="B510" s="6"/>
      <c r="C510" s="15"/>
      <c r="D510" s="15"/>
      <c r="E510" s="15"/>
      <c r="F510" s="15"/>
      <c r="G510" s="15"/>
      <c r="H510" s="15"/>
      <c r="I510" s="15"/>
      <c r="J510" s="15"/>
      <c r="K510" s="15"/>
      <c r="L510" s="15"/>
      <c r="M510" s="15"/>
      <c r="N510" s="15"/>
      <c r="O510" s="15"/>
      <c r="P510" s="15"/>
      <c r="Q510" s="15"/>
    </row>
    <row r="511" spans="2:17" x14ac:dyDescent="0.3">
      <c r="B511" s="6"/>
      <c r="C511" s="15"/>
      <c r="D511" s="15"/>
      <c r="E511" s="15"/>
      <c r="F511" s="15"/>
      <c r="G511" s="15"/>
      <c r="H511" s="15"/>
      <c r="I511" s="15"/>
      <c r="J511" s="15"/>
      <c r="K511" s="15"/>
      <c r="L511" s="15"/>
      <c r="M511" s="15"/>
      <c r="N511" s="15"/>
      <c r="O511" s="15"/>
      <c r="P511" s="15"/>
      <c r="Q511" s="15"/>
    </row>
    <row r="512" spans="2:17" x14ac:dyDescent="0.3">
      <c r="B512" s="6"/>
      <c r="C512" s="15"/>
      <c r="D512" s="15"/>
      <c r="E512" s="15"/>
      <c r="F512" s="15"/>
      <c r="G512" s="15"/>
      <c r="H512" s="15"/>
      <c r="I512" s="15"/>
      <c r="J512" s="15"/>
      <c r="K512" s="15"/>
      <c r="L512" s="15"/>
      <c r="M512" s="15"/>
      <c r="N512" s="15"/>
      <c r="O512" s="15"/>
      <c r="P512" s="15"/>
      <c r="Q512" s="15"/>
    </row>
    <row r="513" spans="2:17" x14ac:dyDescent="0.3">
      <c r="B513" s="6"/>
      <c r="C513" s="15"/>
      <c r="D513" s="15"/>
      <c r="E513" s="15"/>
      <c r="F513" s="15"/>
      <c r="G513" s="15"/>
      <c r="H513" s="15"/>
      <c r="I513" s="15"/>
      <c r="J513" s="15"/>
      <c r="K513" s="15"/>
      <c r="L513" s="15"/>
      <c r="M513" s="15"/>
      <c r="N513" s="15"/>
      <c r="O513" s="15"/>
      <c r="P513" s="15"/>
      <c r="Q513" s="15"/>
    </row>
    <row r="514" spans="2:17" x14ac:dyDescent="0.3">
      <c r="B514" s="6"/>
      <c r="C514" s="15"/>
      <c r="D514" s="15"/>
      <c r="E514" s="15"/>
      <c r="F514" s="15"/>
      <c r="G514" s="15"/>
      <c r="H514" s="15"/>
      <c r="I514" s="15"/>
      <c r="J514" s="15"/>
      <c r="K514" s="15"/>
      <c r="L514" s="15"/>
      <c r="M514" s="15"/>
      <c r="N514" s="15"/>
      <c r="O514" s="15"/>
      <c r="P514" s="15"/>
      <c r="Q514" s="15"/>
    </row>
    <row r="515" spans="2:17" x14ac:dyDescent="0.3">
      <c r="B515" s="6"/>
      <c r="C515" s="15"/>
      <c r="D515" s="15"/>
      <c r="E515" s="15"/>
      <c r="F515" s="15"/>
      <c r="G515" s="15"/>
      <c r="H515" s="15"/>
      <c r="I515" s="15"/>
      <c r="J515" s="15"/>
      <c r="K515" s="15"/>
      <c r="L515" s="15"/>
      <c r="M515" s="15"/>
      <c r="N515" s="15"/>
      <c r="O515" s="15"/>
      <c r="P515" s="15"/>
      <c r="Q515" s="15"/>
    </row>
    <row r="516" spans="2:17" x14ac:dyDescent="0.3">
      <c r="B516" s="6"/>
      <c r="C516" s="15"/>
      <c r="D516" s="15"/>
      <c r="E516" s="15"/>
      <c r="F516" s="15"/>
      <c r="G516" s="15"/>
      <c r="H516" s="15"/>
      <c r="I516" s="15"/>
      <c r="J516" s="15"/>
      <c r="K516" s="15"/>
      <c r="L516" s="15"/>
      <c r="M516" s="15"/>
      <c r="N516" s="15"/>
      <c r="O516" s="15"/>
      <c r="P516" s="15"/>
      <c r="Q516" s="15"/>
    </row>
    <row r="517" spans="2:17" x14ac:dyDescent="0.3">
      <c r="B517" s="6"/>
      <c r="C517" s="15"/>
      <c r="D517" s="15"/>
      <c r="E517" s="15"/>
      <c r="F517" s="15"/>
      <c r="G517" s="15"/>
      <c r="H517" s="15"/>
      <c r="I517" s="15"/>
      <c r="J517" s="15"/>
      <c r="K517" s="15"/>
      <c r="L517" s="15"/>
      <c r="M517" s="15"/>
      <c r="N517" s="15"/>
      <c r="O517" s="15"/>
      <c r="P517" s="15"/>
      <c r="Q517" s="15"/>
    </row>
    <row r="518" spans="2:17" x14ac:dyDescent="0.3">
      <c r="B518" s="6"/>
      <c r="C518" s="15"/>
      <c r="D518" s="15"/>
      <c r="E518" s="15"/>
      <c r="F518" s="15"/>
      <c r="G518" s="15"/>
      <c r="H518" s="15"/>
      <c r="I518" s="15"/>
      <c r="J518" s="15"/>
      <c r="K518" s="15"/>
      <c r="L518" s="15"/>
      <c r="M518" s="15"/>
      <c r="N518" s="15"/>
      <c r="O518" s="15"/>
      <c r="P518" s="15"/>
      <c r="Q518" s="15"/>
    </row>
    <row r="519" spans="2:17" x14ac:dyDescent="0.3">
      <c r="B519" s="6"/>
      <c r="C519" s="15"/>
      <c r="D519" s="15"/>
      <c r="E519" s="15"/>
      <c r="F519" s="15"/>
      <c r="G519" s="15"/>
      <c r="H519" s="15"/>
      <c r="I519" s="15"/>
      <c r="J519" s="15"/>
      <c r="K519" s="15"/>
      <c r="L519" s="15"/>
      <c r="M519" s="15"/>
      <c r="N519" s="15"/>
      <c r="O519" s="15"/>
      <c r="P519" s="15"/>
      <c r="Q519" s="15"/>
    </row>
    <row r="520" spans="2:17" x14ac:dyDescent="0.3">
      <c r="B520" s="6"/>
      <c r="C520" s="15"/>
      <c r="D520" s="15"/>
      <c r="E520" s="15"/>
      <c r="F520" s="15"/>
      <c r="G520" s="15"/>
      <c r="H520" s="15"/>
      <c r="I520" s="15"/>
      <c r="J520" s="15"/>
      <c r="K520" s="15"/>
      <c r="L520" s="15"/>
      <c r="M520" s="15"/>
      <c r="N520" s="15"/>
      <c r="O520" s="15"/>
      <c r="P520" s="15"/>
      <c r="Q520" s="15"/>
    </row>
    <row r="521" spans="2:17" x14ac:dyDescent="0.3">
      <c r="B521" s="6"/>
      <c r="C521" s="15"/>
      <c r="D521" s="15"/>
      <c r="E521" s="15"/>
      <c r="F521" s="15"/>
      <c r="G521" s="15"/>
      <c r="H521" s="15"/>
      <c r="I521" s="15"/>
      <c r="J521" s="15"/>
      <c r="K521" s="15"/>
      <c r="L521" s="15"/>
      <c r="M521" s="15"/>
      <c r="N521" s="15"/>
      <c r="O521" s="15"/>
      <c r="P521" s="15"/>
      <c r="Q521" s="15"/>
    </row>
    <row r="522" spans="2:17" x14ac:dyDescent="0.3">
      <c r="B522" s="6"/>
      <c r="C522" s="15"/>
      <c r="D522" s="15"/>
      <c r="E522" s="15"/>
      <c r="F522" s="15"/>
      <c r="G522" s="15"/>
      <c r="H522" s="15"/>
      <c r="I522" s="15"/>
      <c r="J522" s="15"/>
      <c r="K522" s="15"/>
      <c r="L522" s="15"/>
      <c r="M522" s="15"/>
      <c r="N522" s="15"/>
      <c r="O522" s="15"/>
      <c r="P522" s="15"/>
      <c r="Q522" s="15"/>
    </row>
    <row r="523" spans="2:17" x14ac:dyDescent="0.3">
      <c r="B523" s="6"/>
      <c r="C523" s="15"/>
      <c r="D523" s="15"/>
      <c r="E523" s="15"/>
      <c r="F523" s="15"/>
      <c r="G523" s="15"/>
      <c r="H523" s="15"/>
      <c r="I523" s="15"/>
      <c r="J523" s="15"/>
      <c r="K523" s="15"/>
      <c r="L523" s="15"/>
      <c r="M523" s="15"/>
      <c r="N523" s="15"/>
      <c r="O523" s="15"/>
      <c r="P523" s="15"/>
      <c r="Q523" s="15"/>
    </row>
    <row r="524" spans="2:17" x14ac:dyDescent="0.3">
      <c r="B524" s="6"/>
      <c r="C524" s="15"/>
      <c r="D524" s="15"/>
      <c r="E524" s="15"/>
      <c r="F524" s="15"/>
      <c r="G524" s="15"/>
      <c r="H524" s="15"/>
      <c r="I524" s="15"/>
      <c r="J524" s="15"/>
      <c r="K524" s="15"/>
      <c r="L524" s="15"/>
      <c r="M524" s="15"/>
      <c r="N524" s="15"/>
      <c r="O524" s="15"/>
      <c r="P524" s="15"/>
      <c r="Q524" s="15"/>
    </row>
    <row r="525" spans="2:17" x14ac:dyDescent="0.3">
      <c r="B525" s="6"/>
      <c r="C525" s="15"/>
      <c r="D525" s="15"/>
      <c r="E525" s="15"/>
      <c r="F525" s="15"/>
      <c r="G525" s="15"/>
      <c r="H525" s="15"/>
      <c r="I525" s="15"/>
      <c r="J525" s="15"/>
      <c r="K525" s="15"/>
      <c r="L525" s="15"/>
      <c r="M525" s="15"/>
      <c r="N525" s="15"/>
      <c r="O525" s="15"/>
      <c r="P525" s="15"/>
      <c r="Q525" s="15"/>
    </row>
    <row r="526" spans="2:17" x14ac:dyDescent="0.3">
      <c r="B526" s="6"/>
      <c r="C526" s="15"/>
      <c r="D526" s="15"/>
      <c r="E526" s="15"/>
      <c r="F526" s="15"/>
      <c r="G526" s="15"/>
      <c r="H526" s="15"/>
      <c r="I526" s="15"/>
      <c r="J526" s="15"/>
      <c r="K526" s="15"/>
      <c r="L526" s="15"/>
      <c r="M526" s="15"/>
      <c r="N526" s="15"/>
      <c r="O526" s="15"/>
      <c r="P526" s="15"/>
      <c r="Q526" s="15"/>
    </row>
    <row r="527" spans="2:17" x14ac:dyDescent="0.3">
      <c r="B527" s="6"/>
      <c r="C527" s="15"/>
      <c r="D527" s="15"/>
      <c r="E527" s="15"/>
      <c r="F527" s="15"/>
      <c r="G527" s="15"/>
      <c r="H527" s="15"/>
      <c r="I527" s="15"/>
      <c r="J527" s="15"/>
      <c r="K527" s="15"/>
      <c r="L527" s="15"/>
      <c r="M527" s="15"/>
      <c r="N527" s="15"/>
      <c r="O527" s="15"/>
      <c r="P527" s="15"/>
      <c r="Q527" s="15"/>
    </row>
    <row r="528" spans="2:17" x14ac:dyDescent="0.3">
      <c r="B528" s="6"/>
      <c r="C528" s="15"/>
      <c r="D528" s="15"/>
      <c r="E528" s="15"/>
      <c r="F528" s="15"/>
      <c r="G528" s="15"/>
      <c r="H528" s="15"/>
      <c r="I528" s="15"/>
      <c r="J528" s="15"/>
      <c r="K528" s="15"/>
      <c r="L528" s="15"/>
      <c r="M528" s="15"/>
      <c r="N528" s="15"/>
      <c r="O528" s="15"/>
      <c r="P528" s="15"/>
      <c r="Q528" s="15"/>
    </row>
    <row r="529" spans="2:17" x14ac:dyDescent="0.3">
      <c r="B529" s="6"/>
      <c r="C529" s="15"/>
      <c r="D529" s="15"/>
      <c r="E529" s="15"/>
      <c r="F529" s="15"/>
      <c r="G529" s="15"/>
      <c r="H529" s="15"/>
      <c r="I529" s="15"/>
      <c r="J529" s="15"/>
      <c r="K529" s="15"/>
      <c r="L529" s="15"/>
      <c r="M529" s="15"/>
      <c r="N529" s="15"/>
      <c r="O529" s="15"/>
      <c r="P529" s="15"/>
      <c r="Q529" s="15"/>
    </row>
    <row r="530" spans="2:17" x14ac:dyDescent="0.3">
      <c r="B530" s="6"/>
      <c r="C530" s="15"/>
      <c r="D530" s="15"/>
      <c r="E530" s="15"/>
      <c r="F530" s="15"/>
      <c r="G530" s="15"/>
      <c r="H530" s="15"/>
      <c r="I530" s="15"/>
      <c r="J530" s="15"/>
      <c r="K530" s="15"/>
      <c r="L530" s="15"/>
      <c r="M530" s="15"/>
      <c r="N530" s="15"/>
      <c r="O530" s="15"/>
      <c r="P530" s="15"/>
      <c r="Q530" s="15"/>
    </row>
    <row r="531" spans="2:17" x14ac:dyDescent="0.3">
      <c r="B531" s="6"/>
      <c r="C531" s="15"/>
      <c r="D531" s="15"/>
      <c r="E531" s="15"/>
      <c r="F531" s="15"/>
      <c r="G531" s="15"/>
      <c r="H531" s="15"/>
      <c r="I531" s="15"/>
      <c r="J531" s="15"/>
      <c r="K531" s="15"/>
      <c r="L531" s="15"/>
      <c r="M531" s="15"/>
      <c r="N531" s="15"/>
      <c r="O531" s="15"/>
      <c r="P531" s="15"/>
      <c r="Q531" s="15"/>
    </row>
    <row r="532" spans="2:17" x14ac:dyDescent="0.3">
      <c r="B532" s="6"/>
      <c r="C532" s="15"/>
      <c r="D532" s="15"/>
      <c r="E532" s="15"/>
      <c r="F532" s="15"/>
      <c r="G532" s="15"/>
      <c r="H532" s="15"/>
      <c r="I532" s="15"/>
      <c r="J532" s="15"/>
      <c r="K532" s="15"/>
      <c r="L532" s="15"/>
      <c r="M532" s="15"/>
      <c r="N532" s="15"/>
      <c r="O532" s="15"/>
      <c r="P532" s="15"/>
      <c r="Q532" s="15"/>
    </row>
    <row r="533" spans="2:17" x14ac:dyDescent="0.3">
      <c r="B533" s="6"/>
      <c r="C533" s="15"/>
      <c r="D533" s="15"/>
      <c r="E533" s="15"/>
      <c r="F533" s="15"/>
      <c r="G533" s="15"/>
      <c r="H533" s="15"/>
      <c r="I533" s="15"/>
      <c r="J533" s="15"/>
      <c r="K533" s="15"/>
      <c r="L533" s="15"/>
      <c r="M533" s="15"/>
      <c r="N533" s="15"/>
      <c r="O533" s="15"/>
      <c r="P533" s="15"/>
      <c r="Q533" s="15"/>
    </row>
    <row r="534" spans="2:17" x14ac:dyDescent="0.3">
      <c r="B534" s="6"/>
      <c r="C534" s="15"/>
      <c r="D534" s="15"/>
      <c r="E534" s="15"/>
      <c r="F534" s="15"/>
      <c r="G534" s="15"/>
      <c r="H534" s="15"/>
      <c r="I534" s="15"/>
      <c r="J534" s="15"/>
      <c r="K534" s="15"/>
      <c r="L534" s="15"/>
      <c r="M534" s="15"/>
      <c r="N534" s="15"/>
      <c r="O534" s="15"/>
      <c r="P534" s="15"/>
      <c r="Q534" s="15"/>
    </row>
    <row r="535" spans="2:17" x14ac:dyDescent="0.3">
      <c r="B535" s="6"/>
      <c r="C535" s="15"/>
      <c r="D535" s="15"/>
      <c r="E535" s="15"/>
      <c r="F535" s="15"/>
      <c r="G535" s="15"/>
      <c r="H535" s="15"/>
      <c r="I535" s="15"/>
      <c r="J535" s="15"/>
      <c r="K535" s="15"/>
      <c r="L535" s="15"/>
      <c r="M535" s="15"/>
      <c r="N535" s="15"/>
      <c r="O535" s="15"/>
      <c r="P535" s="15"/>
      <c r="Q535" s="15"/>
    </row>
    <row r="536" spans="2:17" x14ac:dyDescent="0.3">
      <c r="B536" s="6"/>
      <c r="C536" s="15"/>
      <c r="D536" s="15"/>
      <c r="E536" s="15"/>
      <c r="F536" s="15"/>
      <c r="G536" s="15"/>
      <c r="H536" s="15"/>
      <c r="I536" s="15"/>
      <c r="J536" s="15"/>
      <c r="K536" s="15"/>
      <c r="L536" s="15"/>
      <c r="M536" s="15"/>
      <c r="N536" s="15"/>
      <c r="O536" s="15"/>
      <c r="P536" s="15"/>
      <c r="Q536" s="15"/>
    </row>
    <row r="537" spans="2:17" x14ac:dyDescent="0.3">
      <c r="B537" s="6"/>
      <c r="C537" s="15"/>
      <c r="D537" s="15"/>
      <c r="E537" s="15"/>
      <c r="F537" s="15"/>
      <c r="G537" s="15"/>
      <c r="H537" s="15"/>
      <c r="I537" s="15"/>
      <c r="J537" s="15"/>
      <c r="K537" s="15"/>
      <c r="L537" s="15"/>
      <c r="M537" s="15"/>
      <c r="N537" s="15"/>
      <c r="O537" s="15"/>
      <c r="P537" s="15"/>
      <c r="Q537" s="15"/>
    </row>
    <row r="538" spans="2:17" x14ac:dyDescent="0.3">
      <c r="B538" s="6"/>
      <c r="C538" s="15"/>
      <c r="D538" s="15"/>
      <c r="E538" s="15"/>
      <c r="F538" s="15"/>
      <c r="G538" s="15"/>
      <c r="H538" s="15"/>
      <c r="I538" s="15"/>
      <c r="J538" s="15"/>
      <c r="K538" s="15"/>
      <c r="L538" s="15"/>
      <c r="M538" s="15"/>
      <c r="N538" s="15"/>
      <c r="O538" s="15"/>
      <c r="P538" s="15"/>
      <c r="Q538" s="15"/>
    </row>
    <row r="539" spans="2:17" x14ac:dyDescent="0.3">
      <c r="B539" s="6"/>
      <c r="C539" s="15"/>
      <c r="D539" s="15"/>
      <c r="E539" s="15"/>
      <c r="F539" s="15"/>
      <c r="G539" s="15"/>
      <c r="H539" s="15"/>
      <c r="I539" s="15"/>
      <c r="J539" s="15"/>
      <c r="K539" s="15"/>
      <c r="L539" s="15"/>
      <c r="M539" s="15"/>
      <c r="N539" s="15"/>
      <c r="O539" s="15"/>
      <c r="P539" s="15"/>
      <c r="Q539" s="15"/>
    </row>
    <row r="540" spans="2:17" x14ac:dyDescent="0.3">
      <c r="B540" s="6"/>
      <c r="C540" s="15"/>
      <c r="D540" s="15"/>
      <c r="E540" s="15"/>
      <c r="F540" s="15"/>
      <c r="G540" s="15"/>
      <c r="H540" s="15"/>
      <c r="I540" s="15"/>
      <c r="J540" s="15"/>
      <c r="K540" s="15"/>
      <c r="L540" s="15"/>
      <c r="M540" s="15"/>
      <c r="N540" s="15"/>
      <c r="O540" s="15"/>
      <c r="P540" s="15"/>
      <c r="Q540" s="15"/>
    </row>
    <row r="541" spans="2:17" x14ac:dyDescent="0.3">
      <c r="B541" s="6"/>
      <c r="C541" s="15"/>
      <c r="D541" s="15"/>
      <c r="E541" s="15"/>
      <c r="F541" s="15"/>
      <c r="G541" s="15"/>
      <c r="H541" s="15"/>
      <c r="I541" s="15"/>
      <c r="J541" s="15"/>
      <c r="K541" s="15"/>
      <c r="L541" s="15"/>
      <c r="M541" s="15"/>
      <c r="N541" s="15"/>
      <c r="O541" s="15"/>
      <c r="P541" s="15"/>
      <c r="Q541" s="15"/>
    </row>
    <row r="542" spans="2:17" x14ac:dyDescent="0.3">
      <c r="B542" s="6"/>
      <c r="C542" s="15"/>
      <c r="D542" s="15"/>
      <c r="E542" s="15"/>
      <c r="F542" s="15"/>
      <c r="G542" s="15"/>
      <c r="H542" s="15"/>
      <c r="I542" s="15"/>
      <c r="J542" s="15"/>
      <c r="K542" s="15"/>
      <c r="L542" s="15"/>
      <c r="M542" s="15"/>
      <c r="N542" s="15"/>
      <c r="O542" s="15"/>
      <c r="P542" s="15"/>
      <c r="Q542" s="15"/>
    </row>
    <row r="543" spans="2:17" x14ac:dyDescent="0.3">
      <c r="B543" s="6"/>
      <c r="C543" s="15"/>
      <c r="D543" s="15"/>
      <c r="E543" s="15"/>
      <c r="F543" s="15"/>
      <c r="G543" s="15"/>
      <c r="H543" s="15"/>
      <c r="I543" s="15"/>
      <c r="J543" s="15"/>
      <c r="K543" s="15"/>
      <c r="L543" s="15"/>
      <c r="M543" s="15"/>
      <c r="N543" s="15"/>
      <c r="O543" s="15"/>
      <c r="P543" s="15"/>
      <c r="Q543" s="15"/>
    </row>
    <row r="544" spans="2:17" x14ac:dyDescent="0.3">
      <c r="B544" s="6"/>
      <c r="C544" s="15"/>
      <c r="D544" s="15"/>
      <c r="E544" s="15"/>
      <c r="F544" s="15"/>
      <c r="G544" s="15"/>
      <c r="H544" s="15"/>
      <c r="I544" s="15"/>
      <c r="J544" s="15"/>
      <c r="K544" s="15"/>
      <c r="L544" s="15"/>
      <c r="M544" s="15"/>
      <c r="N544" s="15"/>
      <c r="O544" s="15"/>
      <c r="P544" s="15"/>
      <c r="Q544" s="15"/>
    </row>
    <row r="545" spans="2:17" x14ac:dyDescent="0.3">
      <c r="B545" s="6"/>
      <c r="C545" s="15"/>
      <c r="D545" s="15"/>
      <c r="E545" s="15"/>
      <c r="F545" s="15"/>
      <c r="G545" s="15"/>
      <c r="H545" s="15"/>
      <c r="I545" s="15"/>
      <c r="J545" s="15"/>
      <c r="K545" s="15"/>
      <c r="L545" s="15"/>
      <c r="M545" s="15"/>
      <c r="N545" s="15"/>
      <c r="O545" s="15"/>
      <c r="P545" s="15"/>
      <c r="Q545" s="15"/>
    </row>
    <row r="546" spans="2:17" x14ac:dyDescent="0.3">
      <c r="B546" s="6"/>
      <c r="C546" s="15"/>
      <c r="D546" s="15"/>
      <c r="E546" s="15"/>
      <c r="F546" s="15"/>
      <c r="G546" s="15"/>
      <c r="H546" s="15"/>
      <c r="I546" s="15"/>
      <c r="J546" s="15"/>
      <c r="K546" s="15"/>
      <c r="L546" s="15"/>
      <c r="M546" s="15"/>
      <c r="N546" s="15"/>
      <c r="O546" s="15"/>
      <c r="P546" s="15"/>
      <c r="Q546" s="15"/>
    </row>
    <row r="547" spans="2:17" x14ac:dyDescent="0.3">
      <c r="B547" s="6"/>
      <c r="C547" s="15"/>
      <c r="D547" s="15"/>
      <c r="E547" s="15"/>
      <c r="F547" s="15"/>
      <c r="G547" s="15"/>
      <c r="H547" s="15"/>
      <c r="I547" s="15"/>
      <c r="J547" s="15"/>
      <c r="K547" s="15"/>
      <c r="L547" s="15"/>
      <c r="M547" s="15"/>
      <c r="N547" s="15"/>
      <c r="O547" s="15"/>
      <c r="P547" s="15"/>
      <c r="Q547" s="15"/>
    </row>
    <row r="548" spans="2:17" x14ac:dyDescent="0.3">
      <c r="B548" s="6"/>
      <c r="C548" s="15"/>
      <c r="D548" s="15"/>
      <c r="E548" s="15"/>
      <c r="F548" s="15"/>
      <c r="G548" s="15"/>
      <c r="H548" s="15"/>
      <c r="I548" s="15"/>
      <c r="J548" s="15"/>
      <c r="K548" s="15"/>
      <c r="L548" s="15"/>
      <c r="M548" s="15"/>
      <c r="N548" s="15"/>
      <c r="O548" s="15"/>
      <c r="P548" s="15"/>
      <c r="Q548" s="15"/>
    </row>
    <row r="549" spans="2:17" x14ac:dyDescent="0.3">
      <c r="B549" s="6"/>
      <c r="C549" s="15"/>
      <c r="D549" s="15"/>
      <c r="E549" s="15"/>
      <c r="F549" s="15"/>
      <c r="G549" s="15"/>
      <c r="H549" s="15"/>
      <c r="I549" s="15"/>
      <c r="J549" s="15"/>
      <c r="K549" s="15"/>
      <c r="L549" s="15"/>
      <c r="M549" s="15"/>
      <c r="N549" s="15"/>
      <c r="O549" s="15"/>
      <c r="P549" s="15"/>
      <c r="Q549" s="15"/>
    </row>
    <row r="550" spans="2:17" x14ac:dyDescent="0.3">
      <c r="B550" s="6"/>
      <c r="C550" s="15"/>
      <c r="D550" s="15"/>
      <c r="E550" s="15"/>
      <c r="F550" s="15"/>
      <c r="G550" s="15"/>
      <c r="H550" s="15"/>
      <c r="I550" s="15"/>
      <c r="J550" s="15"/>
      <c r="K550" s="15"/>
      <c r="L550" s="15"/>
      <c r="M550" s="15"/>
      <c r="N550" s="15"/>
      <c r="O550" s="15"/>
      <c r="P550" s="15"/>
      <c r="Q550" s="15"/>
    </row>
    <row r="551" spans="2:17" x14ac:dyDescent="0.3">
      <c r="B551" s="6"/>
      <c r="C551" s="15"/>
      <c r="D551" s="15"/>
      <c r="E551" s="15"/>
      <c r="F551" s="15"/>
      <c r="G551" s="15"/>
      <c r="H551" s="15"/>
      <c r="I551" s="15"/>
      <c r="J551" s="15"/>
      <c r="K551" s="15"/>
      <c r="L551" s="15"/>
      <c r="M551" s="15"/>
      <c r="N551" s="15"/>
      <c r="O551" s="15"/>
      <c r="P551" s="15"/>
      <c r="Q551" s="15"/>
    </row>
    <row r="552" spans="2:17" x14ac:dyDescent="0.3">
      <c r="B552" s="6"/>
      <c r="C552" s="15"/>
      <c r="D552" s="15"/>
      <c r="E552" s="15"/>
      <c r="F552" s="15"/>
      <c r="G552" s="15"/>
      <c r="H552" s="15"/>
      <c r="I552" s="15"/>
      <c r="J552" s="15"/>
      <c r="K552" s="15"/>
      <c r="L552" s="15"/>
      <c r="M552" s="15"/>
      <c r="N552" s="15"/>
      <c r="O552" s="15"/>
      <c r="P552" s="15"/>
      <c r="Q552" s="15"/>
    </row>
    <row r="553" spans="2:17" x14ac:dyDescent="0.3">
      <c r="B553" s="6"/>
      <c r="C553" s="15"/>
      <c r="D553" s="15"/>
      <c r="E553" s="15"/>
      <c r="F553" s="15"/>
      <c r="G553" s="15"/>
      <c r="H553" s="15"/>
      <c r="I553" s="15"/>
      <c r="J553" s="15"/>
      <c r="K553" s="15"/>
      <c r="L553" s="15"/>
      <c r="M553" s="15"/>
      <c r="N553" s="15"/>
      <c r="O553" s="15"/>
      <c r="P553" s="15"/>
      <c r="Q553" s="15"/>
    </row>
    <row r="554" spans="2:17" x14ac:dyDescent="0.3">
      <c r="B554" s="6"/>
      <c r="C554" s="15"/>
      <c r="D554" s="15"/>
      <c r="E554" s="15"/>
      <c r="F554" s="15"/>
      <c r="G554" s="15"/>
      <c r="H554" s="15"/>
      <c r="I554" s="15"/>
      <c r="J554" s="15"/>
      <c r="K554" s="15"/>
      <c r="L554" s="15"/>
      <c r="M554" s="15"/>
      <c r="N554" s="15"/>
      <c r="O554" s="15"/>
      <c r="P554" s="15"/>
      <c r="Q554" s="15"/>
    </row>
    <row r="555" spans="2:17" x14ac:dyDescent="0.3">
      <c r="B555" s="6"/>
      <c r="C555" s="15"/>
      <c r="D555" s="15"/>
      <c r="E555" s="15"/>
      <c r="F555" s="15"/>
      <c r="G555" s="15"/>
      <c r="H555" s="15"/>
      <c r="I555" s="15"/>
      <c r="J555" s="15"/>
      <c r="K555" s="15"/>
      <c r="L555" s="15"/>
      <c r="M555" s="15"/>
      <c r="N555" s="15"/>
      <c r="O555" s="15"/>
      <c r="P555" s="15"/>
      <c r="Q555" s="15"/>
    </row>
    <row r="556" spans="2:17" x14ac:dyDescent="0.3">
      <c r="B556" s="6"/>
      <c r="C556" s="15"/>
      <c r="D556" s="15"/>
      <c r="E556" s="15"/>
      <c r="F556" s="15"/>
      <c r="G556" s="15"/>
      <c r="H556" s="15"/>
      <c r="I556" s="15"/>
      <c r="J556" s="15"/>
      <c r="K556" s="15"/>
      <c r="L556" s="15"/>
      <c r="M556" s="15"/>
      <c r="N556" s="15"/>
      <c r="O556" s="15"/>
      <c r="P556" s="15"/>
      <c r="Q556" s="15"/>
    </row>
    <row r="557" spans="2:17" x14ac:dyDescent="0.3">
      <c r="B557" s="6"/>
      <c r="C557" s="15"/>
      <c r="D557" s="15"/>
      <c r="E557" s="15"/>
      <c r="F557" s="15"/>
      <c r="G557" s="15"/>
      <c r="H557" s="15"/>
      <c r="I557" s="15"/>
      <c r="J557" s="15"/>
      <c r="K557" s="15"/>
      <c r="L557" s="15"/>
      <c r="M557" s="15"/>
      <c r="N557" s="15"/>
      <c r="O557" s="15"/>
      <c r="P557" s="15"/>
      <c r="Q557" s="15"/>
    </row>
    <row r="558" spans="2:17" x14ac:dyDescent="0.3">
      <c r="B558" s="6"/>
      <c r="C558" s="15"/>
      <c r="D558" s="15"/>
      <c r="E558" s="15"/>
      <c r="F558" s="15"/>
      <c r="G558" s="15"/>
      <c r="H558" s="15"/>
      <c r="I558" s="15"/>
      <c r="J558" s="15"/>
      <c r="K558" s="15"/>
      <c r="L558" s="15"/>
      <c r="M558" s="15"/>
      <c r="N558" s="15"/>
      <c r="O558" s="15"/>
      <c r="P558" s="15"/>
      <c r="Q558" s="15"/>
    </row>
    <row r="559" spans="2:17" x14ac:dyDescent="0.3">
      <c r="B559" s="6"/>
      <c r="C559" s="15"/>
      <c r="D559" s="15"/>
      <c r="E559" s="15"/>
      <c r="F559" s="15"/>
      <c r="G559" s="15"/>
      <c r="H559" s="15"/>
      <c r="I559" s="15"/>
      <c r="J559" s="15"/>
      <c r="K559" s="15"/>
      <c r="L559" s="15"/>
      <c r="M559" s="15"/>
      <c r="N559" s="15"/>
      <c r="O559" s="15"/>
      <c r="P559" s="15"/>
      <c r="Q559" s="15"/>
    </row>
    <row r="560" spans="2:17" x14ac:dyDescent="0.3">
      <c r="B560" s="6"/>
      <c r="C560" s="15"/>
      <c r="D560" s="15"/>
      <c r="E560" s="15"/>
      <c r="F560" s="15"/>
      <c r="G560" s="15"/>
      <c r="H560" s="15"/>
      <c r="I560" s="15"/>
      <c r="J560" s="15"/>
      <c r="K560" s="15"/>
      <c r="L560" s="15"/>
      <c r="M560" s="15"/>
      <c r="N560" s="15"/>
      <c r="O560" s="15"/>
      <c r="P560" s="15"/>
      <c r="Q560" s="15"/>
    </row>
    <row r="561" spans="2:17" x14ac:dyDescent="0.3">
      <c r="B561" s="6"/>
      <c r="C561" s="15"/>
      <c r="D561" s="15"/>
      <c r="E561" s="15"/>
      <c r="F561" s="15"/>
      <c r="G561" s="15"/>
      <c r="H561" s="15"/>
      <c r="I561" s="15"/>
      <c r="J561" s="15"/>
      <c r="K561" s="15"/>
      <c r="L561" s="15"/>
      <c r="M561" s="15"/>
      <c r="N561" s="15"/>
      <c r="O561" s="15"/>
      <c r="P561" s="15"/>
      <c r="Q561" s="15"/>
    </row>
    <row r="562" spans="2:17" x14ac:dyDescent="0.3">
      <c r="B562" s="6"/>
      <c r="C562" s="15"/>
      <c r="D562" s="15"/>
      <c r="E562" s="15"/>
      <c r="F562" s="15"/>
      <c r="G562" s="15"/>
      <c r="H562" s="15"/>
      <c r="I562" s="15"/>
      <c r="J562" s="15"/>
      <c r="K562" s="15"/>
      <c r="L562" s="15"/>
      <c r="M562" s="15"/>
      <c r="N562" s="15"/>
      <c r="O562" s="15"/>
      <c r="P562" s="15"/>
      <c r="Q562" s="15"/>
    </row>
    <row r="563" spans="2:17" x14ac:dyDescent="0.3">
      <c r="B563" s="6"/>
      <c r="C563" s="15"/>
      <c r="D563" s="15"/>
      <c r="E563" s="15"/>
      <c r="F563" s="15"/>
      <c r="G563" s="15"/>
      <c r="H563" s="15"/>
      <c r="I563" s="15"/>
      <c r="J563" s="15"/>
      <c r="K563" s="15"/>
      <c r="L563" s="15"/>
      <c r="M563" s="15"/>
      <c r="N563" s="15"/>
      <c r="O563" s="15"/>
      <c r="P563" s="15"/>
      <c r="Q563" s="15"/>
    </row>
    <row r="564" spans="2:17" x14ac:dyDescent="0.3">
      <c r="B564" s="6"/>
      <c r="C564" s="15"/>
      <c r="D564" s="15"/>
      <c r="E564" s="15"/>
      <c r="F564" s="15"/>
      <c r="G564" s="15"/>
      <c r="H564" s="15"/>
      <c r="I564" s="15"/>
      <c r="J564" s="15"/>
      <c r="K564" s="15"/>
      <c r="L564" s="15"/>
      <c r="M564" s="15"/>
      <c r="N564" s="15"/>
      <c r="O564" s="15"/>
      <c r="P564" s="15"/>
      <c r="Q564" s="15"/>
    </row>
    <row r="565" spans="2:17" x14ac:dyDescent="0.3">
      <c r="B565" s="6"/>
      <c r="C565" s="15"/>
      <c r="D565" s="15"/>
      <c r="E565" s="15"/>
      <c r="F565" s="15"/>
      <c r="G565" s="15"/>
      <c r="H565" s="15"/>
      <c r="I565" s="15"/>
      <c r="J565" s="15"/>
      <c r="K565" s="15"/>
      <c r="L565" s="15"/>
      <c r="M565" s="15"/>
      <c r="N565" s="15"/>
      <c r="O565" s="15"/>
      <c r="P565" s="15"/>
      <c r="Q565" s="15"/>
    </row>
    <row r="566" spans="2:17" x14ac:dyDescent="0.3">
      <c r="B566" s="6"/>
      <c r="C566" s="15"/>
      <c r="D566" s="15"/>
      <c r="E566" s="15"/>
      <c r="F566" s="15"/>
      <c r="G566" s="15"/>
      <c r="H566" s="15"/>
      <c r="I566" s="15"/>
      <c r="J566" s="15"/>
      <c r="K566" s="15"/>
      <c r="L566" s="15"/>
      <c r="M566" s="15"/>
      <c r="N566" s="15"/>
      <c r="O566" s="15"/>
      <c r="P566" s="15"/>
      <c r="Q566" s="15"/>
    </row>
    <row r="567" spans="2:17" x14ac:dyDescent="0.3">
      <c r="B567" s="6"/>
      <c r="C567" s="15"/>
      <c r="D567" s="15"/>
      <c r="E567" s="15"/>
      <c r="F567" s="15"/>
      <c r="G567" s="15"/>
      <c r="H567" s="15"/>
      <c r="I567" s="15"/>
      <c r="J567" s="15"/>
      <c r="K567" s="15"/>
      <c r="L567" s="15"/>
      <c r="M567" s="15"/>
      <c r="N567" s="15"/>
      <c r="O567" s="15"/>
      <c r="P567" s="15"/>
      <c r="Q567" s="15"/>
    </row>
    <row r="568" spans="2:17" x14ac:dyDescent="0.3">
      <c r="B568" s="6"/>
      <c r="C568" s="15"/>
      <c r="D568" s="15"/>
      <c r="E568" s="15"/>
      <c r="F568" s="15"/>
      <c r="G568" s="15"/>
      <c r="H568" s="15"/>
      <c r="I568" s="15"/>
      <c r="J568" s="15"/>
      <c r="K568" s="15"/>
      <c r="L568" s="15"/>
      <c r="M568" s="15"/>
      <c r="N568" s="15"/>
      <c r="O568" s="15"/>
      <c r="P568" s="15"/>
      <c r="Q568" s="15"/>
    </row>
    <row r="569" spans="2:17" x14ac:dyDescent="0.3">
      <c r="B569" s="6"/>
      <c r="C569" s="15"/>
      <c r="D569" s="15"/>
      <c r="E569" s="15"/>
      <c r="F569" s="15"/>
      <c r="G569" s="15"/>
      <c r="H569" s="15"/>
      <c r="I569" s="15"/>
      <c r="J569" s="15"/>
      <c r="K569" s="15"/>
      <c r="L569" s="15"/>
      <c r="M569" s="15"/>
      <c r="N569" s="15"/>
      <c r="O569" s="15"/>
      <c r="P569" s="15"/>
      <c r="Q569" s="15"/>
    </row>
    <row r="570" spans="2:17" x14ac:dyDescent="0.3">
      <c r="B570" s="6"/>
      <c r="C570" s="15"/>
      <c r="D570" s="15"/>
      <c r="E570" s="15"/>
      <c r="F570" s="15"/>
      <c r="G570" s="15"/>
      <c r="H570" s="15"/>
      <c r="I570" s="15"/>
      <c r="J570" s="15"/>
      <c r="K570" s="15"/>
      <c r="L570" s="15"/>
      <c r="M570" s="15"/>
      <c r="N570" s="15"/>
      <c r="O570" s="15"/>
      <c r="P570" s="15"/>
      <c r="Q570" s="15"/>
    </row>
    <row r="571" spans="2:17" x14ac:dyDescent="0.3">
      <c r="B571" s="6"/>
      <c r="C571" s="15"/>
      <c r="D571" s="15"/>
      <c r="E571" s="15"/>
      <c r="F571" s="15"/>
      <c r="G571" s="15"/>
      <c r="H571" s="15"/>
      <c r="I571" s="15"/>
      <c r="J571" s="15"/>
      <c r="K571" s="15"/>
      <c r="L571" s="15"/>
      <c r="M571" s="15"/>
      <c r="N571" s="15"/>
      <c r="O571" s="15"/>
      <c r="P571" s="15"/>
      <c r="Q571" s="15"/>
    </row>
    <row r="572" spans="2:17" x14ac:dyDescent="0.3">
      <c r="B572" s="6"/>
      <c r="C572" s="15"/>
      <c r="D572" s="15"/>
      <c r="E572" s="15"/>
      <c r="F572" s="15"/>
      <c r="G572" s="15"/>
      <c r="H572" s="15"/>
      <c r="I572" s="15"/>
      <c r="J572" s="15"/>
      <c r="K572" s="15"/>
      <c r="L572" s="15"/>
      <c r="M572" s="15"/>
      <c r="N572" s="15"/>
      <c r="O572" s="15"/>
      <c r="P572" s="15"/>
      <c r="Q572" s="15"/>
    </row>
    <row r="573" spans="2:17" x14ac:dyDescent="0.3">
      <c r="B573" s="6"/>
      <c r="C573" s="15"/>
      <c r="D573" s="15"/>
      <c r="E573" s="15"/>
      <c r="F573" s="15"/>
      <c r="G573" s="15"/>
      <c r="H573" s="15"/>
      <c r="I573" s="15"/>
      <c r="J573" s="15"/>
      <c r="K573" s="15"/>
      <c r="L573" s="15"/>
      <c r="M573" s="15"/>
      <c r="N573" s="15"/>
      <c r="O573" s="15"/>
      <c r="P573" s="15"/>
      <c r="Q573" s="15"/>
    </row>
    <row r="574" spans="2:17" x14ac:dyDescent="0.3">
      <c r="B574" s="6"/>
      <c r="C574" s="15"/>
      <c r="D574" s="15"/>
      <c r="E574" s="15"/>
      <c r="F574" s="15"/>
      <c r="G574" s="15"/>
      <c r="H574" s="15"/>
      <c r="I574" s="15"/>
      <c r="J574" s="15"/>
      <c r="K574" s="15"/>
      <c r="L574" s="15"/>
      <c r="M574" s="15"/>
      <c r="N574" s="15"/>
      <c r="O574" s="15"/>
      <c r="P574" s="15"/>
      <c r="Q574" s="15"/>
    </row>
    <row r="575" spans="2:17" x14ac:dyDescent="0.3">
      <c r="B575" s="6"/>
      <c r="C575" s="15"/>
      <c r="D575" s="15"/>
      <c r="E575" s="15"/>
      <c r="F575" s="15"/>
      <c r="G575" s="15"/>
      <c r="H575" s="15"/>
      <c r="I575" s="15"/>
      <c r="J575" s="15"/>
      <c r="K575" s="15"/>
      <c r="L575" s="15"/>
      <c r="M575" s="15"/>
      <c r="N575" s="15"/>
      <c r="O575" s="15"/>
      <c r="P575" s="15"/>
      <c r="Q575" s="15"/>
    </row>
    <row r="576" spans="2:17" x14ac:dyDescent="0.3">
      <c r="B576" s="6"/>
      <c r="C576" s="15"/>
      <c r="D576" s="15"/>
      <c r="E576" s="15"/>
      <c r="F576" s="15"/>
      <c r="G576" s="15"/>
      <c r="H576" s="15"/>
      <c r="I576" s="15"/>
      <c r="J576" s="15"/>
      <c r="K576" s="15"/>
      <c r="L576" s="15"/>
      <c r="M576" s="15"/>
      <c r="N576" s="15"/>
      <c r="O576" s="15"/>
      <c r="P576" s="15"/>
      <c r="Q576" s="15"/>
    </row>
    <row r="577" spans="2:17" x14ac:dyDescent="0.3">
      <c r="B577" s="6"/>
      <c r="C577" s="15"/>
      <c r="D577" s="15"/>
      <c r="E577" s="15"/>
      <c r="F577" s="15"/>
      <c r="G577" s="15"/>
      <c r="H577" s="15"/>
      <c r="I577" s="15"/>
      <c r="J577" s="15"/>
      <c r="K577" s="15"/>
      <c r="L577" s="15"/>
      <c r="M577" s="15"/>
      <c r="N577" s="15"/>
      <c r="O577" s="15"/>
      <c r="P577" s="15"/>
      <c r="Q577" s="15"/>
    </row>
    <row r="578" spans="2:17" x14ac:dyDescent="0.3">
      <c r="B578" s="6"/>
      <c r="C578" s="15"/>
      <c r="D578" s="15"/>
      <c r="E578" s="15"/>
      <c r="F578" s="15"/>
      <c r="G578" s="15"/>
      <c r="H578" s="15"/>
      <c r="I578" s="15"/>
      <c r="J578" s="15"/>
      <c r="K578" s="15"/>
      <c r="L578" s="15"/>
      <c r="M578" s="15"/>
      <c r="N578" s="15"/>
      <c r="O578" s="15"/>
      <c r="P578" s="15"/>
      <c r="Q578" s="15"/>
    </row>
    <row r="579" spans="2:17" x14ac:dyDescent="0.3">
      <c r="B579" s="6"/>
      <c r="C579" s="15"/>
      <c r="D579" s="15"/>
      <c r="E579" s="15"/>
      <c r="F579" s="15"/>
      <c r="G579" s="15"/>
      <c r="H579" s="15"/>
      <c r="I579" s="15"/>
      <c r="J579" s="15"/>
      <c r="K579" s="15"/>
      <c r="L579" s="15"/>
      <c r="M579" s="15"/>
      <c r="N579" s="15"/>
      <c r="O579" s="15"/>
      <c r="P579" s="15"/>
      <c r="Q579" s="15"/>
    </row>
    <row r="580" spans="2:17" x14ac:dyDescent="0.3">
      <c r="B580" s="6"/>
      <c r="C580" s="15"/>
      <c r="D580" s="15"/>
      <c r="E580" s="15"/>
      <c r="F580" s="15"/>
      <c r="G580" s="15"/>
      <c r="H580" s="15"/>
      <c r="I580" s="15"/>
      <c r="J580" s="15"/>
      <c r="K580" s="15"/>
      <c r="L580" s="15"/>
      <c r="M580" s="15"/>
      <c r="N580" s="15"/>
      <c r="O580" s="15"/>
      <c r="P580" s="15"/>
      <c r="Q580" s="15"/>
    </row>
    <row r="581" spans="2:17" x14ac:dyDescent="0.3">
      <c r="B581" s="6"/>
      <c r="C581" s="15"/>
      <c r="D581" s="15"/>
      <c r="E581" s="15"/>
      <c r="F581" s="15"/>
      <c r="G581" s="15"/>
      <c r="H581" s="15"/>
      <c r="I581" s="15"/>
      <c r="J581" s="15"/>
      <c r="K581" s="15"/>
      <c r="L581" s="15"/>
      <c r="M581" s="15"/>
      <c r="N581" s="15"/>
      <c r="O581" s="15"/>
      <c r="P581" s="15"/>
      <c r="Q581" s="15"/>
    </row>
    <row r="582" spans="2:17" x14ac:dyDescent="0.3">
      <c r="B582" s="6"/>
      <c r="C582" s="15"/>
      <c r="D582" s="15"/>
      <c r="E582" s="15"/>
      <c r="F582" s="15"/>
      <c r="G582" s="15"/>
      <c r="H582" s="15"/>
      <c r="I582" s="15"/>
      <c r="J582" s="15"/>
      <c r="K582" s="15"/>
      <c r="L582" s="15"/>
      <c r="M582" s="15"/>
      <c r="N582" s="15"/>
      <c r="O582" s="15"/>
      <c r="P582" s="15"/>
      <c r="Q582" s="15"/>
    </row>
    <row r="583" spans="2:17" x14ac:dyDescent="0.3">
      <c r="B583" s="6"/>
      <c r="C583" s="15"/>
      <c r="D583" s="15"/>
      <c r="E583" s="15"/>
      <c r="F583" s="15"/>
      <c r="G583" s="15"/>
      <c r="H583" s="15"/>
      <c r="I583" s="15"/>
      <c r="J583" s="15"/>
      <c r="K583" s="15"/>
      <c r="L583" s="15"/>
      <c r="M583" s="15"/>
      <c r="N583" s="15"/>
      <c r="O583" s="15"/>
      <c r="P583" s="15"/>
      <c r="Q583" s="15"/>
    </row>
    <row r="584" spans="2:17" x14ac:dyDescent="0.3">
      <c r="B584" s="6"/>
      <c r="C584" s="15"/>
      <c r="D584" s="15"/>
      <c r="E584" s="15"/>
      <c r="F584" s="15"/>
      <c r="G584" s="15"/>
      <c r="H584" s="15"/>
      <c r="I584" s="15"/>
      <c r="J584" s="15"/>
      <c r="K584" s="15"/>
      <c r="L584" s="15"/>
      <c r="M584" s="15"/>
      <c r="N584" s="15"/>
      <c r="O584" s="15"/>
      <c r="P584" s="15"/>
      <c r="Q584" s="15"/>
    </row>
    <row r="585" spans="2:17" x14ac:dyDescent="0.3">
      <c r="B585" s="6"/>
      <c r="C585" s="15"/>
      <c r="D585" s="15"/>
      <c r="E585" s="15"/>
      <c r="F585" s="15"/>
      <c r="G585" s="15"/>
      <c r="H585" s="15"/>
      <c r="I585" s="15"/>
      <c r="J585" s="15"/>
      <c r="K585" s="15"/>
      <c r="L585" s="15"/>
      <c r="M585" s="15"/>
      <c r="N585" s="15"/>
      <c r="O585" s="15"/>
      <c r="P585" s="15"/>
      <c r="Q585" s="15"/>
    </row>
    <row r="586" spans="2:17" x14ac:dyDescent="0.3">
      <c r="B586" s="6"/>
      <c r="C586" s="15"/>
      <c r="D586" s="15"/>
      <c r="E586" s="15"/>
      <c r="F586" s="15"/>
      <c r="G586" s="15"/>
      <c r="H586" s="15"/>
      <c r="I586" s="15"/>
      <c r="J586" s="15"/>
      <c r="K586" s="15"/>
      <c r="L586" s="15"/>
      <c r="M586" s="15"/>
      <c r="N586" s="15"/>
      <c r="O586" s="15"/>
      <c r="P586" s="15"/>
      <c r="Q586" s="15"/>
    </row>
    <row r="587" spans="2:17" x14ac:dyDescent="0.3">
      <c r="B587" s="6"/>
      <c r="C587" s="15"/>
      <c r="D587" s="15"/>
      <c r="E587" s="15"/>
      <c r="F587" s="15"/>
      <c r="G587" s="15"/>
      <c r="H587" s="15"/>
      <c r="I587" s="15"/>
      <c r="J587" s="15"/>
      <c r="K587" s="15"/>
      <c r="L587" s="15"/>
      <c r="M587" s="15"/>
      <c r="N587" s="15"/>
      <c r="O587" s="15"/>
      <c r="P587" s="15"/>
      <c r="Q587" s="15"/>
    </row>
    <row r="588" spans="2:17" x14ac:dyDescent="0.3">
      <c r="B588" s="6"/>
      <c r="C588" s="15"/>
      <c r="D588" s="15"/>
      <c r="E588" s="15"/>
      <c r="F588" s="15"/>
      <c r="G588" s="15"/>
      <c r="H588" s="15"/>
      <c r="I588" s="15"/>
      <c r="J588" s="15"/>
      <c r="K588" s="15"/>
      <c r="L588" s="15"/>
      <c r="M588" s="15"/>
      <c r="N588" s="15"/>
      <c r="O588" s="15"/>
      <c r="P588" s="15"/>
      <c r="Q588" s="15"/>
    </row>
    <row r="589" spans="2:17" x14ac:dyDescent="0.3">
      <c r="B589" s="6"/>
      <c r="C589" s="15"/>
      <c r="D589" s="15"/>
      <c r="E589" s="15"/>
      <c r="F589" s="15"/>
      <c r="G589" s="15"/>
      <c r="H589" s="15"/>
      <c r="I589" s="15"/>
      <c r="J589" s="15"/>
      <c r="K589" s="15"/>
      <c r="L589" s="15"/>
      <c r="M589" s="15"/>
      <c r="N589" s="15"/>
      <c r="O589" s="15"/>
      <c r="P589" s="15"/>
      <c r="Q589" s="15"/>
    </row>
    <row r="590" spans="2:17" x14ac:dyDescent="0.3">
      <c r="B590" s="6"/>
      <c r="C590" s="15"/>
      <c r="D590" s="15"/>
      <c r="E590" s="15"/>
      <c r="F590" s="15"/>
      <c r="G590" s="15"/>
      <c r="H590" s="15"/>
      <c r="I590" s="15"/>
      <c r="J590" s="15"/>
      <c r="K590" s="15"/>
      <c r="L590" s="15"/>
      <c r="M590" s="15"/>
      <c r="N590" s="15"/>
      <c r="O590" s="15"/>
      <c r="P590" s="15"/>
      <c r="Q590" s="15"/>
    </row>
    <row r="591" spans="2:17" x14ac:dyDescent="0.3">
      <c r="B591" s="6"/>
      <c r="C591" s="15"/>
      <c r="D591" s="15"/>
      <c r="E591" s="15"/>
      <c r="F591" s="15"/>
      <c r="G591" s="15"/>
      <c r="H591" s="15"/>
      <c r="I591" s="15"/>
      <c r="J591" s="15"/>
      <c r="K591" s="15"/>
      <c r="L591" s="15"/>
      <c r="M591" s="15"/>
      <c r="N591" s="15"/>
      <c r="O591" s="15"/>
      <c r="P591" s="15"/>
      <c r="Q591" s="15"/>
    </row>
    <row r="592" spans="2:17" x14ac:dyDescent="0.3">
      <c r="B592" s="6"/>
      <c r="C592" s="15"/>
      <c r="D592" s="15"/>
      <c r="E592" s="15"/>
      <c r="F592" s="15"/>
      <c r="G592" s="15"/>
      <c r="H592" s="15"/>
      <c r="I592" s="15"/>
      <c r="J592" s="15"/>
      <c r="K592" s="15"/>
      <c r="L592" s="15"/>
      <c r="M592" s="15"/>
      <c r="N592" s="15"/>
      <c r="O592" s="15"/>
      <c r="P592" s="15"/>
      <c r="Q592" s="15"/>
    </row>
    <row r="593" spans="2:17" x14ac:dyDescent="0.3">
      <c r="B593" s="6"/>
      <c r="C593" s="15"/>
      <c r="D593" s="15"/>
      <c r="E593" s="15"/>
      <c r="F593" s="15"/>
      <c r="G593" s="15"/>
      <c r="H593" s="15"/>
      <c r="I593" s="15"/>
      <c r="J593" s="15"/>
      <c r="K593" s="15"/>
      <c r="L593" s="15"/>
      <c r="M593" s="15"/>
      <c r="N593" s="15"/>
      <c r="O593" s="15"/>
      <c r="P593" s="15"/>
      <c r="Q593" s="15"/>
    </row>
    <row r="594" spans="2:17" x14ac:dyDescent="0.3">
      <c r="B594" s="6"/>
      <c r="C594" s="15"/>
      <c r="D594" s="15"/>
      <c r="E594" s="15"/>
      <c r="F594" s="15"/>
      <c r="G594" s="15"/>
      <c r="H594" s="15"/>
      <c r="I594" s="15"/>
      <c r="J594" s="15"/>
      <c r="K594" s="15"/>
      <c r="L594" s="15"/>
      <c r="M594" s="15"/>
      <c r="N594" s="15"/>
      <c r="O594" s="15"/>
      <c r="P594" s="15"/>
      <c r="Q594" s="15"/>
    </row>
    <row r="595" spans="2:17" x14ac:dyDescent="0.3">
      <c r="B595" s="6"/>
      <c r="C595" s="15"/>
      <c r="D595" s="15"/>
      <c r="E595" s="15"/>
      <c r="F595" s="15"/>
      <c r="G595" s="15"/>
      <c r="H595" s="15"/>
      <c r="I595" s="15"/>
      <c r="J595" s="15"/>
      <c r="K595" s="15"/>
      <c r="L595" s="15"/>
      <c r="M595" s="15"/>
      <c r="N595" s="15"/>
      <c r="O595" s="15"/>
      <c r="P595" s="15"/>
      <c r="Q595" s="15"/>
    </row>
    <row r="596" spans="2:17" x14ac:dyDescent="0.3">
      <c r="B596" s="6"/>
      <c r="C596" s="15"/>
      <c r="D596" s="15"/>
      <c r="E596" s="15"/>
      <c r="F596" s="15"/>
      <c r="G596" s="15"/>
      <c r="H596" s="15"/>
      <c r="I596" s="15"/>
      <c r="J596" s="15"/>
      <c r="K596" s="15"/>
      <c r="L596" s="15"/>
      <c r="M596" s="15"/>
      <c r="N596" s="15"/>
      <c r="O596" s="15"/>
      <c r="P596" s="15"/>
      <c r="Q596" s="15"/>
    </row>
    <row r="597" spans="2:17" x14ac:dyDescent="0.3">
      <c r="B597" s="6"/>
      <c r="C597" s="15"/>
      <c r="D597" s="15"/>
      <c r="E597" s="15"/>
      <c r="F597" s="15"/>
      <c r="G597" s="15"/>
      <c r="H597" s="15"/>
      <c r="I597" s="15"/>
      <c r="J597" s="15"/>
      <c r="K597" s="15"/>
      <c r="L597" s="15"/>
      <c r="M597" s="15"/>
      <c r="N597" s="15"/>
      <c r="O597" s="15"/>
      <c r="P597" s="15"/>
      <c r="Q597" s="15"/>
    </row>
    <row r="598" spans="2:17" x14ac:dyDescent="0.3">
      <c r="B598" s="6"/>
      <c r="C598" s="15"/>
      <c r="D598" s="15"/>
      <c r="E598" s="15"/>
      <c r="F598" s="15"/>
      <c r="G598" s="15"/>
      <c r="H598" s="15"/>
      <c r="I598" s="15"/>
      <c r="J598" s="15"/>
      <c r="K598" s="15"/>
      <c r="L598" s="15"/>
      <c r="M598" s="15"/>
      <c r="N598" s="15"/>
      <c r="O598" s="15"/>
      <c r="P598" s="15"/>
      <c r="Q598" s="15"/>
    </row>
    <row r="599" spans="2:17" x14ac:dyDescent="0.3">
      <c r="B599" s="6"/>
      <c r="C599" s="15"/>
      <c r="D599" s="15"/>
      <c r="E599" s="15"/>
      <c r="F599" s="15"/>
      <c r="G599" s="15"/>
      <c r="H599" s="15"/>
      <c r="I599" s="15"/>
      <c r="J599" s="15"/>
      <c r="K599" s="15"/>
      <c r="L599" s="15"/>
      <c r="M599" s="15"/>
      <c r="N599" s="15"/>
      <c r="O599" s="15"/>
      <c r="P599" s="15"/>
      <c r="Q599" s="15"/>
    </row>
    <row r="600" spans="2:17" x14ac:dyDescent="0.3">
      <c r="B600" s="6"/>
      <c r="C600" s="15"/>
      <c r="D600" s="15"/>
      <c r="E600" s="15"/>
      <c r="F600" s="15"/>
      <c r="G600" s="15"/>
      <c r="H600" s="15"/>
      <c r="I600" s="15"/>
      <c r="J600" s="15"/>
      <c r="K600" s="15"/>
      <c r="L600" s="15"/>
      <c r="M600" s="15"/>
      <c r="N600" s="15"/>
      <c r="O600" s="15"/>
      <c r="P600" s="15"/>
      <c r="Q600" s="15"/>
    </row>
    <row r="601" spans="2:17" x14ac:dyDescent="0.3">
      <c r="B601" s="6"/>
      <c r="C601" s="15"/>
      <c r="D601" s="15"/>
      <c r="E601" s="15"/>
      <c r="F601" s="15"/>
      <c r="G601" s="15"/>
      <c r="H601" s="15"/>
      <c r="I601" s="15"/>
      <c r="J601" s="15"/>
      <c r="K601" s="15"/>
      <c r="L601" s="15"/>
      <c r="M601" s="15"/>
      <c r="N601" s="15"/>
      <c r="O601" s="15"/>
      <c r="P601" s="15"/>
      <c r="Q601" s="15"/>
    </row>
    <row r="602" spans="2:17" x14ac:dyDescent="0.3">
      <c r="B602" s="6"/>
      <c r="C602" s="15"/>
      <c r="D602" s="15"/>
      <c r="E602" s="15"/>
      <c r="F602" s="15"/>
      <c r="G602" s="15"/>
      <c r="H602" s="15"/>
      <c r="I602" s="15"/>
      <c r="J602" s="15"/>
      <c r="K602" s="15"/>
      <c r="L602" s="15"/>
      <c r="M602" s="15"/>
      <c r="N602" s="15"/>
      <c r="O602" s="15"/>
      <c r="P602" s="15"/>
      <c r="Q602" s="15"/>
    </row>
    <row r="603" spans="2:17" x14ac:dyDescent="0.3">
      <c r="B603" s="6"/>
      <c r="C603" s="15"/>
      <c r="D603" s="15"/>
      <c r="E603" s="15"/>
      <c r="F603" s="15"/>
      <c r="G603" s="15"/>
      <c r="H603" s="15"/>
      <c r="I603" s="15"/>
      <c r="J603" s="15"/>
      <c r="K603" s="15"/>
      <c r="L603" s="15"/>
      <c r="M603" s="15"/>
      <c r="N603" s="15"/>
      <c r="O603" s="15"/>
      <c r="P603" s="15"/>
      <c r="Q603" s="15"/>
    </row>
    <row r="604" spans="2:17" x14ac:dyDescent="0.3">
      <c r="B604" s="6"/>
      <c r="C604" s="15"/>
      <c r="D604" s="15"/>
      <c r="E604" s="15"/>
      <c r="F604" s="15"/>
      <c r="G604" s="15"/>
      <c r="H604" s="15"/>
      <c r="I604" s="15"/>
      <c r="J604" s="15"/>
      <c r="K604" s="15"/>
      <c r="L604" s="15"/>
      <c r="M604" s="15"/>
      <c r="N604" s="15"/>
      <c r="O604" s="15"/>
      <c r="P604" s="15"/>
      <c r="Q604" s="15"/>
    </row>
    <row r="605" spans="2:17" x14ac:dyDescent="0.3">
      <c r="B605" s="6"/>
      <c r="C605" s="15"/>
      <c r="D605" s="15"/>
      <c r="E605" s="15"/>
      <c r="F605" s="15"/>
      <c r="G605" s="15"/>
      <c r="H605" s="15"/>
      <c r="I605" s="15"/>
      <c r="J605" s="15"/>
      <c r="K605" s="15"/>
      <c r="L605" s="15"/>
      <c r="M605" s="15"/>
      <c r="N605" s="15"/>
      <c r="O605" s="15"/>
      <c r="P605" s="15"/>
      <c r="Q605" s="15"/>
    </row>
    <row r="606" spans="2:17" x14ac:dyDescent="0.3">
      <c r="B606" s="6"/>
      <c r="C606" s="15"/>
      <c r="D606" s="15"/>
      <c r="E606" s="15"/>
      <c r="F606" s="15"/>
      <c r="G606" s="15"/>
      <c r="H606" s="15"/>
      <c r="I606" s="15"/>
      <c r="J606" s="15"/>
      <c r="K606" s="15"/>
      <c r="L606" s="15"/>
      <c r="M606" s="15"/>
      <c r="N606" s="15"/>
      <c r="O606" s="15"/>
      <c r="P606" s="15"/>
      <c r="Q606" s="15"/>
    </row>
    <row r="607" spans="2:17" x14ac:dyDescent="0.3">
      <c r="B607" s="6"/>
      <c r="C607" s="15"/>
      <c r="D607" s="15"/>
      <c r="E607" s="15"/>
      <c r="F607" s="15"/>
      <c r="G607" s="15"/>
      <c r="H607" s="15"/>
      <c r="I607" s="15"/>
      <c r="J607" s="15"/>
      <c r="K607" s="15"/>
      <c r="L607" s="15"/>
      <c r="M607" s="15"/>
      <c r="N607" s="15"/>
      <c r="O607" s="15"/>
      <c r="P607" s="15"/>
      <c r="Q607" s="15"/>
    </row>
    <row r="608" spans="2:17" x14ac:dyDescent="0.3">
      <c r="B608" s="6"/>
      <c r="C608" s="15"/>
      <c r="D608" s="15"/>
      <c r="E608" s="15"/>
      <c r="F608" s="15"/>
      <c r="G608" s="15"/>
      <c r="H608" s="15"/>
      <c r="I608" s="15"/>
      <c r="J608" s="15"/>
      <c r="K608" s="15"/>
      <c r="L608" s="15"/>
      <c r="M608" s="15"/>
      <c r="N608" s="15"/>
      <c r="O608" s="15"/>
      <c r="P608" s="15"/>
      <c r="Q608" s="15"/>
    </row>
    <row r="609" spans="2:17" x14ac:dyDescent="0.3">
      <c r="B609" s="6"/>
      <c r="C609" s="15"/>
      <c r="D609" s="15"/>
      <c r="E609" s="15"/>
      <c r="F609" s="15"/>
      <c r="G609" s="15"/>
      <c r="H609" s="15"/>
      <c r="I609" s="15"/>
      <c r="J609" s="15"/>
      <c r="K609" s="15"/>
      <c r="L609" s="15"/>
      <c r="M609" s="15"/>
      <c r="N609" s="15"/>
      <c r="O609" s="15"/>
      <c r="P609" s="15"/>
      <c r="Q609" s="15"/>
    </row>
    <row r="610" spans="2:17" x14ac:dyDescent="0.3">
      <c r="B610" s="6"/>
      <c r="C610" s="15"/>
      <c r="D610" s="15"/>
      <c r="E610" s="15"/>
      <c r="F610" s="15"/>
      <c r="G610" s="15"/>
      <c r="H610" s="15"/>
      <c r="I610" s="15"/>
      <c r="J610" s="15"/>
      <c r="K610" s="15"/>
      <c r="L610" s="15"/>
      <c r="M610" s="15"/>
      <c r="N610" s="15"/>
      <c r="O610" s="15"/>
      <c r="P610" s="15"/>
      <c r="Q610" s="15"/>
    </row>
    <row r="611" spans="2:17" x14ac:dyDescent="0.3">
      <c r="B611" s="6"/>
      <c r="C611" s="15"/>
      <c r="D611" s="15"/>
      <c r="E611" s="15"/>
      <c r="F611" s="15"/>
      <c r="G611" s="15"/>
      <c r="H611" s="15"/>
      <c r="I611" s="15"/>
      <c r="J611" s="15"/>
      <c r="K611" s="15"/>
      <c r="L611" s="15"/>
      <c r="M611" s="15"/>
      <c r="N611" s="15"/>
      <c r="O611" s="15"/>
      <c r="P611" s="15"/>
      <c r="Q611" s="15"/>
    </row>
    <row r="612" spans="2:17" x14ac:dyDescent="0.3">
      <c r="B612" s="6"/>
      <c r="C612" s="15"/>
      <c r="D612" s="15"/>
      <c r="E612" s="15"/>
      <c r="F612" s="15"/>
      <c r="G612" s="15"/>
      <c r="H612" s="15"/>
      <c r="I612" s="15"/>
      <c r="J612" s="15"/>
      <c r="K612" s="15"/>
      <c r="L612" s="15"/>
      <c r="M612" s="15"/>
      <c r="N612" s="15"/>
      <c r="O612" s="15"/>
      <c r="P612" s="15"/>
      <c r="Q612" s="15"/>
    </row>
    <row r="613" spans="2:17" x14ac:dyDescent="0.3">
      <c r="B613" s="6"/>
      <c r="C613" s="15"/>
      <c r="D613" s="15"/>
      <c r="E613" s="15"/>
      <c r="F613" s="15"/>
      <c r="G613" s="15"/>
      <c r="H613" s="15"/>
      <c r="I613" s="15"/>
      <c r="J613" s="15"/>
      <c r="K613" s="15"/>
      <c r="L613" s="15"/>
      <c r="M613" s="15"/>
      <c r="N613" s="15"/>
      <c r="O613" s="15"/>
      <c r="P613" s="15"/>
      <c r="Q613" s="15"/>
    </row>
    <row r="614" spans="2:17" x14ac:dyDescent="0.3">
      <c r="B614" s="6"/>
      <c r="C614" s="15"/>
      <c r="D614" s="15"/>
      <c r="E614" s="15"/>
      <c r="F614" s="15"/>
      <c r="G614" s="15"/>
      <c r="H614" s="15"/>
      <c r="I614" s="15"/>
      <c r="J614" s="15"/>
      <c r="K614" s="15"/>
      <c r="L614" s="15"/>
      <c r="M614" s="15"/>
      <c r="N614" s="15"/>
      <c r="O614" s="15"/>
      <c r="P614" s="15"/>
      <c r="Q614" s="15"/>
    </row>
    <row r="615" spans="2:17" x14ac:dyDescent="0.3">
      <c r="B615" s="6"/>
      <c r="C615" s="15"/>
      <c r="D615" s="15"/>
      <c r="E615" s="15"/>
      <c r="F615" s="15"/>
      <c r="G615" s="15"/>
      <c r="H615" s="15"/>
      <c r="I615" s="15"/>
      <c r="J615" s="15"/>
      <c r="K615" s="15"/>
      <c r="L615" s="15"/>
      <c r="M615" s="15"/>
      <c r="N615" s="15"/>
      <c r="O615" s="15"/>
      <c r="P615" s="15"/>
      <c r="Q615" s="15"/>
    </row>
    <row r="616" spans="2:17" x14ac:dyDescent="0.3">
      <c r="B616" s="6"/>
      <c r="C616" s="15"/>
      <c r="D616" s="15"/>
      <c r="E616" s="15"/>
      <c r="F616" s="15"/>
      <c r="G616" s="15"/>
      <c r="H616" s="15"/>
      <c r="I616" s="15"/>
      <c r="J616" s="15"/>
      <c r="K616" s="15"/>
      <c r="L616" s="15"/>
      <c r="M616" s="15"/>
      <c r="N616" s="15"/>
      <c r="O616" s="15"/>
      <c r="P616" s="15"/>
      <c r="Q616" s="15"/>
    </row>
    <row r="617" spans="2:17" x14ac:dyDescent="0.3">
      <c r="B617" s="6"/>
      <c r="C617" s="15"/>
      <c r="D617" s="15"/>
      <c r="E617" s="15"/>
      <c r="F617" s="15"/>
      <c r="G617" s="15"/>
      <c r="H617" s="15"/>
      <c r="I617" s="15"/>
      <c r="J617" s="15"/>
      <c r="K617" s="15"/>
      <c r="L617" s="15"/>
      <c r="M617" s="15"/>
      <c r="N617" s="15"/>
      <c r="O617" s="15"/>
      <c r="P617" s="15"/>
      <c r="Q617" s="15"/>
    </row>
    <row r="618" spans="2:17" x14ac:dyDescent="0.3">
      <c r="B618" s="6"/>
      <c r="C618" s="15"/>
      <c r="D618" s="15"/>
      <c r="E618" s="15"/>
      <c r="F618" s="15"/>
      <c r="G618" s="15"/>
      <c r="H618" s="15"/>
      <c r="I618" s="15"/>
      <c r="J618" s="15"/>
      <c r="K618" s="15"/>
      <c r="L618" s="15"/>
      <c r="M618" s="15"/>
      <c r="N618" s="15"/>
      <c r="O618" s="15"/>
      <c r="P618" s="15"/>
      <c r="Q618" s="15"/>
    </row>
    <row r="619" spans="2:17" x14ac:dyDescent="0.3">
      <c r="B619" s="6"/>
      <c r="C619" s="15"/>
      <c r="D619" s="15"/>
      <c r="E619" s="15"/>
      <c r="F619" s="15"/>
      <c r="G619" s="15"/>
      <c r="H619" s="15"/>
      <c r="I619" s="15"/>
      <c r="J619" s="15"/>
      <c r="K619" s="15"/>
      <c r="L619" s="15"/>
      <c r="M619" s="15"/>
      <c r="N619" s="15"/>
      <c r="O619" s="15"/>
      <c r="P619" s="15"/>
      <c r="Q619" s="15"/>
    </row>
    <row r="620" spans="2:17" x14ac:dyDescent="0.3">
      <c r="B620" s="6"/>
      <c r="C620" s="15"/>
      <c r="D620" s="15"/>
      <c r="E620" s="15"/>
      <c r="F620" s="15"/>
      <c r="G620" s="15"/>
      <c r="H620" s="15"/>
      <c r="I620" s="15"/>
      <c r="J620" s="15"/>
      <c r="K620" s="15"/>
      <c r="L620" s="15"/>
      <c r="M620" s="15"/>
      <c r="N620" s="15"/>
      <c r="O620" s="15"/>
      <c r="P620" s="15"/>
      <c r="Q620" s="15"/>
    </row>
    <row r="621" spans="2:17" x14ac:dyDescent="0.3">
      <c r="B621" s="6"/>
      <c r="C621" s="15"/>
      <c r="D621" s="15"/>
      <c r="E621" s="15"/>
      <c r="F621" s="15"/>
      <c r="G621" s="15"/>
      <c r="H621" s="15"/>
      <c r="I621" s="15"/>
      <c r="J621" s="15"/>
      <c r="K621" s="15"/>
      <c r="L621" s="15"/>
      <c r="M621" s="15"/>
      <c r="N621" s="15"/>
      <c r="O621" s="15"/>
      <c r="P621" s="15"/>
      <c r="Q621" s="15"/>
    </row>
    <row r="622" spans="2:17" x14ac:dyDescent="0.3">
      <c r="B622" s="6"/>
      <c r="C622" s="15"/>
      <c r="D622" s="15"/>
      <c r="E622" s="15"/>
      <c r="F622" s="15"/>
      <c r="G622" s="15"/>
      <c r="H622" s="15"/>
      <c r="I622" s="15"/>
      <c r="J622" s="15"/>
      <c r="K622" s="15"/>
      <c r="L622" s="15"/>
      <c r="M622" s="15"/>
      <c r="N622" s="15"/>
      <c r="O622" s="15"/>
      <c r="P622" s="15"/>
      <c r="Q622" s="15"/>
    </row>
    <row r="623" spans="2:17" x14ac:dyDescent="0.3">
      <c r="B623" s="6"/>
      <c r="C623" s="15"/>
      <c r="D623" s="15"/>
      <c r="E623" s="15"/>
      <c r="F623" s="15"/>
      <c r="G623" s="15"/>
      <c r="H623" s="15"/>
      <c r="I623" s="15"/>
      <c r="J623" s="15"/>
      <c r="K623" s="15"/>
      <c r="L623" s="15"/>
      <c r="M623" s="15"/>
      <c r="N623" s="15"/>
      <c r="O623" s="15"/>
      <c r="P623" s="15"/>
      <c r="Q623" s="15"/>
    </row>
    <row r="624" spans="2:17" x14ac:dyDescent="0.3">
      <c r="B624" s="6"/>
      <c r="C624" s="15"/>
      <c r="D624" s="15"/>
      <c r="E624" s="15"/>
      <c r="F624" s="15"/>
      <c r="G624" s="15"/>
      <c r="H624" s="15"/>
      <c r="I624" s="15"/>
      <c r="J624" s="15"/>
      <c r="K624" s="15"/>
      <c r="L624" s="15"/>
      <c r="M624" s="15"/>
      <c r="N624" s="15"/>
      <c r="O624" s="15"/>
      <c r="P624" s="15"/>
      <c r="Q624" s="15"/>
    </row>
    <row r="625" spans="2:17" x14ac:dyDescent="0.3">
      <c r="B625" s="6"/>
      <c r="C625" s="15"/>
      <c r="D625" s="15"/>
      <c r="E625" s="15"/>
      <c r="F625" s="15"/>
      <c r="G625" s="15"/>
      <c r="H625" s="15"/>
      <c r="I625" s="15"/>
      <c r="J625" s="15"/>
      <c r="K625" s="15"/>
      <c r="L625" s="15"/>
      <c r="M625" s="15"/>
      <c r="N625" s="15"/>
      <c r="O625" s="15"/>
      <c r="P625" s="15"/>
      <c r="Q625" s="15"/>
    </row>
    <row r="626" spans="2:17" x14ac:dyDescent="0.3">
      <c r="B626" s="6"/>
      <c r="C626" s="15"/>
      <c r="D626" s="15"/>
      <c r="E626" s="15"/>
      <c r="F626" s="15"/>
      <c r="G626" s="15"/>
      <c r="H626" s="15"/>
      <c r="I626" s="15"/>
      <c r="J626" s="15"/>
      <c r="K626" s="15"/>
      <c r="L626" s="15"/>
      <c r="M626" s="15"/>
      <c r="N626" s="15"/>
      <c r="O626" s="15"/>
      <c r="P626" s="15"/>
      <c r="Q626" s="15"/>
    </row>
    <row r="627" spans="2:17" x14ac:dyDescent="0.3">
      <c r="B627" s="6"/>
      <c r="C627" s="15"/>
      <c r="D627" s="15"/>
      <c r="E627" s="15"/>
      <c r="F627" s="15"/>
      <c r="G627" s="15"/>
      <c r="H627" s="15"/>
      <c r="I627" s="15"/>
      <c r="J627" s="15"/>
      <c r="K627" s="15"/>
      <c r="L627" s="15"/>
      <c r="M627" s="15"/>
      <c r="N627" s="15"/>
      <c r="O627" s="15"/>
      <c r="P627" s="15"/>
      <c r="Q627" s="15"/>
    </row>
    <row r="628" spans="2:17" x14ac:dyDescent="0.3">
      <c r="B628" s="6"/>
      <c r="C628" s="15"/>
      <c r="D628" s="15"/>
      <c r="E628" s="15"/>
      <c r="F628" s="15"/>
      <c r="G628" s="15"/>
      <c r="H628" s="15"/>
      <c r="I628" s="15"/>
      <c r="J628" s="15"/>
      <c r="K628" s="15"/>
      <c r="L628" s="15"/>
      <c r="M628" s="15"/>
      <c r="N628" s="15"/>
      <c r="O628" s="15"/>
      <c r="P628" s="15"/>
      <c r="Q628" s="15"/>
    </row>
    <row r="629" spans="2:17" x14ac:dyDescent="0.3">
      <c r="B629" s="6"/>
      <c r="C629" s="15"/>
      <c r="D629" s="15"/>
      <c r="E629" s="15"/>
      <c r="F629" s="15"/>
      <c r="G629" s="15"/>
      <c r="H629" s="15"/>
      <c r="I629" s="15"/>
      <c r="J629" s="15"/>
      <c r="K629" s="15"/>
      <c r="L629" s="15"/>
      <c r="M629" s="15"/>
      <c r="N629" s="15"/>
      <c r="O629" s="15"/>
      <c r="P629" s="15"/>
      <c r="Q629" s="15"/>
    </row>
    <row r="630" spans="2:17" x14ac:dyDescent="0.3">
      <c r="B630" s="6"/>
      <c r="C630" s="15"/>
      <c r="D630" s="15"/>
      <c r="E630" s="15"/>
      <c r="F630" s="15"/>
      <c r="G630" s="15"/>
      <c r="H630" s="15"/>
      <c r="I630" s="15"/>
      <c r="J630" s="15"/>
      <c r="K630" s="15"/>
      <c r="L630" s="15"/>
      <c r="M630" s="15"/>
      <c r="N630" s="15"/>
      <c r="O630" s="15"/>
      <c r="P630" s="15"/>
      <c r="Q630" s="15"/>
    </row>
    <row r="631" spans="2:17" x14ac:dyDescent="0.3">
      <c r="B631" s="6"/>
      <c r="C631" s="15"/>
      <c r="D631" s="15"/>
      <c r="E631" s="15"/>
      <c r="F631" s="15"/>
      <c r="G631" s="15"/>
      <c r="H631" s="15"/>
      <c r="I631" s="15"/>
      <c r="J631" s="15"/>
      <c r="K631" s="15"/>
      <c r="L631" s="15"/>
      <c r="M631" s="15"/>
      <c r="N631" s="15"/>
      <c r="O631" s="15"/>
      <c r="P631" s="15"/>
      <c r="Q631" s="15"/>
    </row>
    <row r="632" spans="2:17" x14ac:dyDescent="0.3">
      <c r="B632" s="6"/>
      <c r="C632" s="15"/>
      <c r="D632" s="15"/>
      <c r="E632" s="15"/>
      <c r="F632" s="15"/>
      <c r="G632" s="15"/>
      <c r="H632" s="15"/>
      <c r="I632" s="15"/>
      <c r="J632" s="15"/>
      <c r="K632" s="15"/>
      <c r="L632" s="15"/>
      <c r="M632" s="15"/>
      <c r="N632" s="15"/>
      <c r="O632" s="15"/>
      <c r="P632" s="15"/>
      <c r="Q632" s="15"/>
    </row>
    <row r="633" spans="2:17" x14ac:dyDescent="0.3">
      <c r="B633" s="6"/>
      <c r="C633" s="15"/>
      <c r="D633" s="15"/>
      <c r="E633" s="15"/>
      <c r="F633" s="15"/>
      <c r="G633" s="15"/>
      <c r="H633" s="15"/>
      <c r="I633" s="15"/>
      <c r="J633" s="15"/>
      <c r="K633" s="15"/>
      <c r="L633" s="15"/>
      <c r="M633" s="15"/>
      <c r="N633" s="15"/>
      <c r="O633" s="15"/>
      <c r="P633" s="15"/>
      <c r="Q633" s="15"/>
    </row>
    <row r="634" spans="2:17" x14ac:dyDescent="0.3">
      <c r="B634" s="6"/>
      <c r="C634" s="15"/>
      <c r="D634" s="15"/>
      <c r="E634" s="15"/>
      <c r="F634" s="15"/>
      <c r="G634" s="15"/>
      <c r="H634" s="15"/>
      <c r="I634" s="15"/>
      <c r="J634" s="15"/>
      <c r="K634" s="15"/>
      <c r="L634" s="15"/>
      <c r="M634" s="15"/>
      <c r="N634" s="15"/>
      <c r="O634" s="15"/>
      <c r="P634" s="15"/>
      <c r="Q634" s="15"/>
    </row>
    <row r="635" spans="2:17" x14ac:dyDescent="0.3">
      <c r="B635" s="6"/>
      <c r="C635" s="15"/>
      <c r="D635" s="15"/>
      <c r="E635" s="15"/>
      <c r="F635" s="15"/>
      <c r="G635" s="15"/>
      <c r="H635" s="15"/>
      <c r="I635" s="15"/>
      <c r="J635" s="15"/>
      <c r="K635" s="15"/>
      <c r="L635" s="15"/>
      <c r="M635" s="15"/>
      <c r="N635" s="15"/>
      <c r="O635" s="15"/>
      <c r="P635" s="15"/>
      <c r="Q635" s="15"/>
    </row>
    <row r="636" spans="2:17" x14ac:dyDescent="0.3">
      <c r="B636" s="6"/>
      <c r="C636" s="15"/>
      <c r="D636" s="15"/>
      <c r="E636" s="15"/>
      <c r="F636" s="15"/>
      <c r="G636" s="15"/>
      <c r="H636" s="15"/>
      <c r="I636" s="15"/>
      <c r="J636" s="15"/>
      <c r="K636" s="15"/>
      <c r="L636" s="15"/>
      <c r="M636" s="15"/>
      <c r="N636" s="15"/>
      <c r="O636" s="15"/>
      <c r="P636" s="15"/>
      <c r="Q636" s="15"/>
    </row>
    <row r="637" spans="2:17" x14ac:dyDescent="0.3">
      <c r="B637" s="6"/>
      <c r="C637" s="15"/>
      <c r="D637" s="15"/>
      <c r="E637" s="15"/>
      <c r="F637" s="15"/>
      <c r="G637" s="15"/>
      <c r="H637" s="15"/>
      <c r="I637" s="15"/>
      <c r="J637" s="15"/>
      <c r="K637" s="15"/>
      <c r="L637" s="15"/>
      <c r="M637" s="15"/>
      <c r="N637" s="15"/>
      <c r="O637" s="15"/>
      <c r="P637" s="15"/>
      <c r="Q637" s="15"/>
    </row>
    <row r="638" spans="2:17" x14ac:dyDescent="0.3">
      <c r="B638" s="6"/>
      <c r="C638" s="15"/>
      <c r="D638" s="15"/>
      <c r="E638" s="15"/>
      <c r="F638" s="15"/>
      <c r="G638" s="15"/>
      <c r="H638" s="15"/>
      <c r="I638" s="15"/>
      <c r="J638" s="15"/>
      <c r="K638" s="15"/>
      <c r="L638" s="15"/>
      <c r="M638" s="15"/>
      <c r="N638" s="15"/>
      <c r="O638" s="15"/>
      <c r="P638" s="15"/>
      <c r="Q638" s="15"/>
    </row>
    <row r="639" spans="2:17" x14ac:dyDescent="0.3">
      <c r="B639" s="6"/>
      <c r="C639" s="15"/>
      <c r="D639" s="15"/>
      <c r="E639" s="15"/>
      <c r="F639" s="15"/>
      <c r="G639" s="15"/>
      <c r="H639" s="15"/>
      <c r="I639" s="15"/>
      <c r="J639" s="15"/>
      <c r="K639" s="15"/>
      <c r="L639" s="15"/>
      <c r="M639" s="15"/>
      <c r="N639" s="15"/>
      <c r="O639" s="15"/>
      <c r="P639" s="15"/>
      <c r="Q639" s="15"/>
    </row>
    <row r="640" spans="2:17" x14ac:dyDescent="0.3">
      <c r="B640" s="6"/>
      <c r="C640" s="15"/>
      <c r="D640" s="15"/>
      <c r="E640" s="15"/>
      <c r="F640" s="15"/>
      <c r="G640" s="15"/>
      <c r="H640" s="15"/>
      <c r="I640" s="15"/>
      <c r="J640" s="15"/>
      <c r="K640" s="15"/>
      <c r="L640" s="15"/>
      <c r="M640" s="15"/>
      <c r="N640" s="15"/>
      <c r="O640" s="15"/>
      <c r="P640" s="15"/>
      <c r="Q640" s="15"/>
    </row>
    <row r="641" spans="2:17" x14ac:dyDescent="0.3">
      <c r="B641" s="6"/>
      <c r="C641" s="15"/>
      <c r="D641" s="15"/>
      <c r="E641" s="15"/>
      <c r="F641" s="15"/>
      <c r="G641" s="15"/>
      <c r="H641" s="15"/>
      <c r="I641" s="15"/>
      <c r="J641" s="15"/>
      <c r="K641" s="15"/>
      <c r="L641" s="15"/>
      <c r="M641" s="15"/>
      <c r="N641" s="15"/>
      <c r="O641" s="15"/>
      <c r="P641" s="15"/>
      <c r="Q641" s="15"/>
    </row>
    <row r="642" spans="2:17" x14ac:dyDescent="0.3">
      <c r="B642" s="6"/>
      <c r="C642" s="15"/>
      <c r="D642" s="15"/>
      <c r="E642" s="15"/>
      <c r="F642" s="15"/>
      <c r="G642" s="15"/>
      <c r="H642" s="15"/>
      <c r="I642" s="15"/>
      <c r="J642" s="15"/>
      <c r="K642" s="15"/>
      <c r="L642" s="15"/>
      <c r="M642" s="15"/>
      <c r="N642" s="15"/>
      <c r="O642" s="15"/>
      <c r="P642" s="15"/>
      <c r="Q642" s="15"/>
    </row>
    <row r="643" spans="2:17" x14ac:dyDescent="0.3">
      <c r="B643" s="6"/>
      <c r="C643" s="15"/>
      <c r="D643" s="15"/>
      <c r="E643" s="15"/>
      <c r="F643" s="15"/>
      <c r="G643" s="15"/>
      <c r="H643" s="15"/>
      <c r="I643" s="15"/>
      <c r="J643" s="15"/>
      <c r="K643" s="15"/>
      <c r="L643" s="15"/>
      <c r="M643" s="15"/>
      <c r="N643" s="15"/>
      <c r="O643" s="15"/>
      <c r="P643" s="15"/>
      <c r="Q643" s="15"/>
    </row>
    <row r="644" spans="2:17" x14ac:dyDescent="0.3">
      <c r="B644" s="6"/>
      <c r="C644" s="15"/>
      <c r="D644" s="15"/>
      <c r="E644" s="15"/>
      <c r="F644" s="15"/>
      <c r="G644" s="15"/>
      <c r="H644" s="15"/>
      <c r="I644" s="15"/>
      <c r="J644" s="15"/>
      <c r="K644" s="15"/>
      <c r="L644" s="15"/>
      <c r="M644" s="15"/>
      <c r="N644" s="15"/>
      <c r="O644" s="15"/>
      <c r="P644" s="15"/>
      <c r="Q644" s="15"/>
    </row>
    <row r="645" spans="2:17" x14ac:dyDescent="0.3">
      <c r="B645" s="6"/>
      <c r="C645" s="15"/>
      <c r="D645" s="15"/>
      <c r="E645" s="15"/>
      <c r="F645" s="15"/>
      <c r="G645" s="15"/>
      <c r="H645" s="15"/>
      <c r="I645" s="15"/>
      <c r="J645" s="15"/>
      <c r="K645" s="15"/>
      <c r="L645" s="15"/>
      <c r="M645" s="15"/>
      <c r="N645" s="15"/>
      <c r="O645" s="15"/>
      <c r="P645" s="15"/>
      <c r="Q645" s="15"/>
    </row>
    <row r="646" spans="2:17" x14ac:dyDescent="0.3">
      <c r="B646" s="6"/>
      <c r="C646" s="15"/>
      <c r="D646" s="15"/>
      <c r="E646" s="15"/>
      <c r="F646" s="15"/>
      <c r="G646" s="15"/>
      <c r="H646" s="15"/>
      <c r="I646" s="15"/>
      <c r="J646" s="15"/>
      <c r="K646" s="15"/>
      <c r="L646" s="15"/>
      <c r="M646" s="15"/>
      <c r="N646" s="15"/>
      <c r="O646" s="15"/>
      <c r="P646" s="15"/>
      <c r="Q646" s="15"/>
    </row>
    <row r="647" spans="2:17" x14ac:dyDescent="0.3">
      <c r="B647" s="6"/>
      <c r="C647" s="15"/>
      <c r="D647" s="15"/>
      <c r="E647" s="15"/>
      <c r="F647" s="15"/>
      <c r="G647" s="15"/>
      <c r="H647" s="15"/>
      <c r="I647" s="15"/>
      <c r="J647" s="15"/>
      <c r="K647" s="15"/>
      <c r="L647" s="15"/>
      <c r="M647" s="15"/>
      <c r="N647" s="15"/>
      <c r="O647" s="15"/>
      <c r="P647" s="15"/>
      <c r="Q647" s="15"/>
    </row>
    <row r="648" spans="2:17" x14ac:dyDescent="0.3">
      <c r="B648" s="6"/>
      <c r="C648" s="15"/>
      <c r="D648" s="15"/>
      <c r="E648" s="15"/>
      <c r="F648" s="15"/>
      <c r="G648" s="15"/>
      <c r="H648" s="15"/>
      <c r="I648" s="15"/>
      <c r="J648" s="15"/>
      <c r="K648" s="15"/>
      <c r="L648" s="15"/>
      <c r="M648" s="15"/>
      <c r="N648" s="15"/>
      <c r="O648" s="15"/>
      <c r="P648" s="15"/>
      <c r="Q648" s="15"/>
    </row>
    <row r="649" spans="2:17" x14ac:dyDescent="0.3">
      <c r="B649" s="6"/>
      <c r="C649" s="15"/>
      <c r="D649" s="15"/>
      <c r="E649" s="15"/>
      <c r="F649" s="15"/>
      <c r="G649" s="15"/>
      <c r="H649" s="15"/>
      <c r="I649" s="15"/>
      <c r="J649" s="15"/>
      <c r="K649" s="15"/>
      <c r="L649" s="15"/>
      <c r="M649" s="15"/>
      <c r="N649" s="15"/>
      <c r="O649" s="15"/>
      <c r="P649" s="15"/>
      <c r="Q649" s="15"/>
    </row>
    <row r="650" spans="2:17" x14ac:dyDescent="0.3">
      <c r="B650" s="6"/>
      <c r="C650" s="15"/>
      <c r="D650" s="15"/>
      <c r="E650" s="15"/>
      <c r="F650" s="15"/>
      <c r="G650" s="15"/>
      <c r="H650" s="15"/>
      <c r="I650" s="15"/>
      <c r="J650" s="15"/>
      <c r="K650" s="15"/>
      <c r="L650" s="15"/>
      <c r="M650" s="15"/>
      <c r="N650" s="15"/>
      <c r="O650" s="15"/>
      <c r="P650" s="15"/>
      <c r="Q650" s="15"/>
    </row>
    <row r="651" spans="2:17" x14ac:dyDescent="0.3">
      <c r="B651" s="6"/>
      <c r="C651" s="15"/>
      <c r="D651" s="15"/>
      <c r="E651" s="15"/>
      <c r="F651" s="15"/>
      <c r="G651" s="15"/>
      <c r="H651" s="15"/>
      <c r="I651" s="15"/>
      <c r="J651" s="15"/>
      <c r="K651" s="15"/>
      <c r="L651" s="15"/>
      <c r="M651" s="15"/>
      <c r="N651" s="15"/>
      <c r="O651" s="15"/>
      <c r="P651" s="15"/>
      <c r="Q651" s="15"/>
    </row>
    <row r="652" spans="2:17" x14ac:dyDescent="0.3">
      <c r="B652" s="6"/>
      <c r="C652" s="15"/>
      <c r="D652" s="15"/>
      <c r="E652" s="15"/>
      <c r="F652" s="15"/>
      <c r="G652" s="15"/>
      <c r="H652" s="15"/>
      <c r="I652" s="15"/>
      <c r="J652" s="15"/>
      <c r="K652" s="15"/>
      <c r="L652" s="15"/>
      <c r="M652" s="15"/>
      <c r="N652" s="15"/>
      <c r="O652" s="15"/>
      <c r="P652" s="15"/>
      <c r="Q652" s="15"/>
    </row>
    <row r="653" spans="2:17" x14ac:dyDescent="0.3">
      <c r="B653" s="6"/>
      <c r="C653" s="15"/>
      <c r="D653" s="15"/>
      <c r="E653" s="15"/>
      <c r="F653" s="15"/>
      <c r="G653" s="15"/>
      <c r="H653" s="15"/>
      <c r="I653" s="15"/>
      <c r="J653" s="15"/>
      <c r="K653" s="15"/>
      <c r="L653" s="15"/>
      <c r="M653" s="15"/>
      <c r="N653" s="15"/>
      <c r="O653" s="15"/>
      <c r="P653" s="15"/>
      <c r="Q653" s="15"/>
    </row>
    <row r="654" spans="2:17" x14ac:dyDescent="0.3">
      <c r="B654" s="6"/>
      <c r="C654" s="15"/>
      <c r="D654" s="15"/>
      <c r="E654" s="15"/>
      <c r="F654" s="15"/>
      <c r="G654" s="15"/>
      <c r="H654" s="15"/>
      <c r="I654" s="15"/>
      <c r="J654" s="15"/>
      <c r="K654" s="15"/>
      <c r="L654" s="15"/>
      <c r="M654" s="15"/>
      <c r="N654" s="15"/>
      <c r="O654" s="15"/>
      <c r="P654" s="15"/>
      <c r="Q654" s="15"/>
    </row>
    <row r="655" spans="2:17" x14ac:dyDescent="0.3">
      <c r="B655" s="6"/>
      <c r="C655" s="15"/>
      <c r="D655" s="15"/>
      <c r="E655" s="15"/>
      <c r="F655" s="15"/>
      <c r="G655" s="15"/>
      <c r="H655" s="15"/>
      <c r="I655" s="15"/>
      <c r="J655" s="15"/>
      <c r="K655" s="15"/>
      <c r="L655" s="15"/>
      <c r="M655" s="15"/>
      <c r="N655" s="15"/>
      <c r="O655" s="15"/>
      <c r="P655" s="15"/>
      <c r="Q655" s="15"/>
    </row>
    <row r="656" spans="2:17" x14ac:dyDescent="0.3">
      <c r="B656" s="6"/>
      <c r="C656" s="15"/>
      <c r="D656" s="15"/>
      <c r="E656" s="15"/>
      <c r="F656" s="15"/>
      <c r="G656" s="15"/>
      <c r="H656" s="15"/>
      <c r="I656" s="15"/>
      <c r="J656" s="15"/>
      <c r="K656" s="15"/>
      <c r="L656" s="15"/>
      <c r="M656" s="15"/>
      <c r="N656" s="15"/>
      <c r="O656" s="15"/>
      <c r="P656" s="15"/>
      <c r="Q656" s="15"/>
    </row>
    <row r="657" spans="2:17" x14ac:dyDescent="0.3">
      <c r="B657" s="6"/>
      <c r="C657" s="15"/>
      <c r="D657" s="15"/>
      <c r="E657" s="15"/>
      <c r="F657" s="15"/>
      <c r="G657" s="15"/>
      <c r="H657" s="15"/>
      <c r="I657" s="15"/>
      <c r="J657" s="15"/>
      <c r="K657" s="15"/>
      <c r="L657" s="15"/>
      <c r="M657" s="15"/>
      <c r="N657" s="15"/>
      <c r="O657" s="15"/>
      <c r="P657" s="15"/>
      <c r="Q657" s="15"/>
    </row>
    <row r="658" spans="2:17" x14ac:dyDescent="0.3">
      <c r="B658" s="6"/>
      <c r="C658" s="15"/>
      <c r="D658" s="15"/>
      <c r="E658" s="15"/>
      <c r="F658" s="15"/>
      <c r="G658" s="15"/>
      <c r="H658" s="15"/>
      <c r="I658" s="15"/>
      <c r="J658" s="15"/>
      <c r="K658" s="15"/>
      <c r="L658" s="15"/>
      <c r="M658" s="15"/>
      <c r="N658" s="15"/>
      <c r="O658" s="15"/>
      <c r="P658" s="15"/>
      <c r="Q658" s="15"/>
    </row>
    <row r="659" spans="2:17" x14ac:dyDescent="0.3">
      <c r="B659" s="6"/>
      <c r="C659" s="15"/>
      <c r="D659" s="15"/>
      <c r="E659" s="15"/>
      <c r="F659" s="15"/>
      <c r="G659" s="15"/>
      <c r="H659" s="15"/>
      <c r="I659" s="15"/>
      <c r="J659" s="15"/>
      <c r="K659" s="15"/>
      <c r="L659" s="15"/>
      <c r="M659" s="15"/>
      <c r="N659" s="15"/>
      <c r="O659" s="15"/>
      <c r="P659" s="15"/>
      <c r="Q659" s="15"/>
    </row>
    <row r="660" spans="2:17" x14ac:dyDescent="0.3">
      <c r="B660" s="6"/>
      <c r="C660" s="15"/>
      <c r="D660" s="15"/>
      <c r="E660" s="15"/>
      <c r="F660" s="15"/>
      <c r="G660" s="15"/>
      <c r="H660" s="15"/>
      <c r="I660" s="15"/>
      <c r="J660" s="15"/>
      <c r="K660" s="15"/>
      <c r="L660" s="15"/>
      <c r="M660" s="15"/>
      <c r="N660" s="15"/>
      <c r="O660" s="15"/>
      <c r="P660" s="15"/>
      <c r="Q660" s="15"/>
    </row>
    <row r="661" spans="2:17" x14ac:dyDescent="0.3">
      <c r="B661" s="6"/>
      <c r="C661" s="15"/>
      <c r="D661" s="15"/>
      <c r="E661" s="15"/>
      <c r="F661" s="15"/>
      <c r="G661" s="15"/>
      <c r="H661" s="15"/>
      <c r="I661" s="15"/>
      <c r="J661" s="15"/>
      <c r="K661" s="15"/>
      <c r="L661" s="15"/>
      <c r="M661" s="15"/>
      <c r="N661" s="15"/>
      <c r="O661" s="15"/>
      <c r="P661" s="15"/>
      <c r="Q661" s="15"/>
    </row>
    <row r="662" spans="2:17" x14ac:dyDescent="0.3">
      <c r="B662" s="6"/>
      <c r="C662" s="15"/>
      <c r="D662" s="15"/>
      <c r="E662" s="15"/>
      <c r="F662" s="15"/>
      <c r="G662" s="15"/>
      <c r="H662" s="15"/>
      <c r="I662" s="15"/>
      <c r="J662" s="15"/>
      <c r="K662" s="15"/>
      <c r="L662" s="15"/>
      <c r="M662" s="15"/>
      <c r="N662" s="15"/>
      <c r="O662" s="15"/>
      <c r="P662" s="15"/>
      <c r="Q662" s="15"/>
    </row>
    <row r="663" spans="2:17" x14ac:dyDescent="0.3">
      <c r="B663" s="6"/>
      <c r="C663" s="15"/>
      <c r="D663" s="15"/>
      <c r="E663" s="15"/>
      <c r="F663" s="15"/>
      <c r="G663" s="15"/>
      <c r="H663" s="15"/>
      <c r="I663" s="15"/>
      <c r="J663" s="15"/>
      <c r="K663" s="15"/>
      <c r="L663" s="15"/>
      <c r="M663" s="15"/>
      <c r="N663" s="15"/>
      <c r="O663" s="15"/>
      <c r="P663" s="15"/>
      <c r="Q663" s="15"/>
    </row>
    <row r="664" spans="2:17" x14ac:dyDescent="0.3">
      <c r="B664" s="6"/>
      <c r="C664" s="15"/>
      <c r="D664" s="15"/>
      <c r="E664" s="15"/>
      <c r="F664" s="15"/>
      <c r="G664" s="15"/>
      <c r="H664" s="15"/>
      <c r="I664" s="15"/>
      <c r="J664" s="15"/>
      <c r="K664" s="15"/>
      <c r="L664" s="15"/>
      <c r="M664" s="15"/>
      <c r="N664" s="15"/>
      <c r="O664" s="15"/>
      <c r="P664" s="15"/>
      <c r="Q664" s="15"/>
    </row>
    <row r="665" spans="2:17" x14ac:dyDescent="0.3">
      <c r="B665" s="6"/>
      <c r="C665" s="15"/>
      <c r="D665" s="15"/>
      <c r="E665" s="15"/>
      <c r="F665" s="15"/>
      <c r="G665" s="15"/>
      <c r="H665" s="15"/>
      <c r="I665" s="15"/>
      <c r="J665" s="15"/>
      <c r="K665" s="15"/>
      <c r="L665" s="15"/>
      <c r="M665" s="15"/>
      <c r="N665" s="15"/>
      <c r="O665" s="15"/>
      <c r="P665" s="15"/>
      <c r="Q665" s="15"/>
    </row>
    <row r="666" spans="2:17" x14ac:dyDescent="0.3">
      <c r="B666" s="6"/>
      <c r="C666" s="15"/>
      <c r="D666" s="15"/>
      <c r="E666" s="15"/>
      <c r="F666" s="15"/>
      <c r="G666" s="15"/>
      <c r="H666" s="15"/>
      <c r="I666" s="15"/>
      <c r="J666" s="15"/>
      <c r="K666" s="15"/>
      <c r="L666" s="15"/>
      <c r="M666" s="15"/>
      <c r="N666" s="15"/>
      <c r="O666" s="15"/>
      <c r="P666" s="15"/>
      <c r="Q666" s="15"/>
    </row>
    <row r="667" spans="2:17" x14ac:dyDescent="0.3">
      <c r="B667" s="6"/>
      <c r="C667" s="15"/>
      <c r="D667" s="15"/>
      <c r="E667" s="15"/>
      <c r="F667" s="15"/>
      <c r="G667" s="15"/>
      <c r="H667" s="15"/>
      <c r="I667" s="15"/>
      <c r="J667" s="15"/>
      <c r="K667" s="15"/>
      <c r="L667" s="15"/>
      <c r="M667" s="15"/>
      <c r="N667" s="15"/>
      <c r="O667" s="15"/>
      <c r="P667" s="15"/>
      <c r="Q667" s="15"/>
    </row>
    <row r="668" spans="2:17" x14ac:dyDescent="0.3">
      <c r="B668" s="6"/>
      <c r="C668" s="15"/>
      <c r="D668" s="15"/>
      <c r="E668" s="15"/>
      <c r="F668" s="15"/>
      <c r="G668" s="15"/>
      <c r="H668" s="15"/>
      <c r="I668" s="15"/>
      <c r="J668" s="15"/>
      <c r="K668" s="15"/>
      <c r="L668" s="15"/>
      <c r="M668" s="15"/>
      <c r="N668" s="15"/>
      <c r="O668" s="15"/>
      <c r="P668" s="15"/>
      <c r="Q668" s="15"/>
    </row>
    <row r="669" spans="2:17" x14ac:dyDescent="0.3">
      <c r="B669" s="6"/>
      <c r="C669" s="15"/>
      <c r="D669" s="15"/>
      <c r="E669" s="15"/>
      <c r="F669" s="15"/>
      <c r="G669" s="15"/>
      <c r="H669" s="15"/>
      <c r="I669" s="15"/>
      <c r="J669" s="15"/>
      <c r="K669" s="15"/>
      <c r="L669" s="15"/>
      <c r="M669" s="15"/>
      <c r="N669" s="15"/>
      <c r="O669" s="15"/>
      <c r="P669" s="15"/>
      <c r="Q669" s="15"/>
    </row>
    <row r="670" spans="2:17" x14ac:dyDescent="0.3">
      <c r="B670" s="6"/>
      <c r="C670" s="15"/>
      <c r="D670" s="15"/>
      <c r="E670" s="15"/>
      <c r="F670" s="15"/>
      <c r="G670" s="15"/>
      <c r="H670" s="15"/>
      <c r="I670" s="15"/>
      <c r="J670" s="15"/>
      <c r="K670" s="15"/>
      <c r="L670" s="15"/>
      <c r="M670" s="15"/>
      <c r="N670" s="15"/>
      <c r="O670" s="15"/>
      <c r="P670" s="15"/>
      <c r="Q670" s="15"/>
    </row>
    <row r="671" spans="2:17" x14ac:dyDescent="0.3">
      <c r="B671" s="6"/>
      <c r="C671" s="15"/>
      <c r="D671" s="15"/>
      <c r="E671" s="15"/>
      <c r="F671" s="15"/>
      <c r="G671" s="15"/>
      <c r="H671" s="15"/>
      <c r="I671" s="15"/>
      <c r="J671" s="15"/>
      <c r="K671" s="15"/>
      <c r="L671" s="15"/>
      <c r="M671" s="15"/>
      <c r="N671" s="15"/>
      <c r="O671" s="15"/>
      <c r="P671" s="15"/>
      <c r="Q671" s="15"/>
    </row>
    <row r="672" spans="2:17" x14ac:dyDescent="0.3">
      <c r="B672" s="6"/>
      <c r="C672" s="15"/>
      <c r="D672" s="15"/>
      <c r="E672" s="15"/>
      <c r="F672" s="15"/>
      <c r="G672" s="15"/>
      <c r="H672" s="15"/>
      <c r="I672" s="15"/>
      <c r="J672" s="15"/>
      <c r="K672" s="15"/>
      <c r="L672" s="15"/>
      <c r="M672" s="15"/>
      <c r="N672" s="15"/>
      <c r="O672" s="15"/>
      <c r="P672" s="15"/>
      <c r="Q672" s="15"/>
    </row>
    <row r="673" spans="2:17" x14ac:dyDescent="0.3">
      <c r="B673" s="6"/>
      <c r="C673" s="15"/>
      <c r="D673" s="15"/>
      <c r="E673" s="15"/>
      <c r="F673" s="15"/>
      <c r="G673" s="15"/>
      <c r="H673" s="15"/>
      <c r="I673" s="15"/>
      <c r="J673" s="15"/>
      <c r="K673" s="15"/>
      <c r="L673" s="15"/>
      <c r="M673" s="15"/>
      <c r="N673" s="15"/>
      <c r="O673" s="15"/>
      <c r="P673" s="15"/>
      <c r="Q673" s="15"/>
    </row>
    <row r="674" spans="2:17" x14ac:dyDescent="0.3">
      <c r="B674" s="6"/>
      <c r="C674" s="15"/>
      <c r="D674" s="15"/>
      <c r="E674" s="15"/>
      <c r="F674" s="15"/>
      <c r="G674" s="15"/>
      <c r="H674" s="15"/>
      <c r="I674" s="15"/>
      <c r="J674" s="15"/>
      <c r="K674" s="15"/>
      <c r="L674" s="15"/>
      <c r="M674" s="15"/>
      <c r="N674" s="15"/>
      <c r="O674" s="15"/>
      <c r="P674" s="15"/>
      <c r="Q674" s="15"/>
    </row>
    <row r="675" spans="2:17" x14ac:dyDescent="0.3">
      <c r="B675" s="6"/>
      <c r="C675" s="15"/>
      <c r="D675" s="15"/>
      <c r="E675" s="15"/>
      <c r="F675" s="15"/>
      <c r="G675" s="15"/>
      <c r="H675" s="15"/>
      <c r="I675" s="15"/>
      <c r="J675" s="15"/>
      <c r="K675" s="15"/>
      <c r="L675" s="15"/>
      <c r="M675" s="15"/>
      <c r="N675" s="15"/>
      <c r="O675" s="15"/>
      <c r="P675" s="15"/>
      <c r="Q675" s="15"/>
    </row>
    <row r="676" spans="2:17" x14ac:dyDescent="0.3">
      <c r="B676" s="6"/>
      <c r="C676" s="15"/>
      <c r="D676" s="15"/>
      <c r="E676" s="15"/>
      <c r="F676" s="15"/>
      <c r="G676" s="15"/>
      <c r="H676" s="15"/>
      <c r="I676" s="15"/>
      <c r="J676" s="15"/>
      <c r="K676" s="15"/>
      <c r="L676" s="15"/>
      <c r="M676" s="15"/>
      <c r="N676" s="15"/>
      <c r="O676" s="15"/>
      <c r="P676" s="15"/>
      <c r="Q676" s="15"/>
    </row>
    <row r="677" spans="2:17" x14ac:dyDescent="0.3">
      <c r="B677" s="6"/>
      <c r="C677" s="15"/>
      <c r="D677" s="15"/>
      <c r="E677" s="15"/>
      <c r="F677" s="15"/>
      <c r="G677" s="15"/>
      <c r="H677" s="15"/>
      <c r="I677" s="15"/>
      <c r="J677" s="15"/>
      <c r="K677" s="15"/>
      <c r="L677" s="15"/>
      <c r="M677" s="15"/>
      <c r="N677" s="15"/>
      <c r="O677" s="15"/>
      <c r="P677" s="15"/>
      <c r="Q677" s="15"/>
    </row>
    <row r="678" spans="2:17" x14ac:dyDescent="0.3">
      <c r="B678" s="6"/>
      <c r="C678" s="15"/>
      <c r="D678" s="15"/>
      <c r="E678" s="15"/>
      <c r="F678" s="15"/>
      <c r="G678" s="15"/>
      <c r="H678" s="15"/>
      <c r="I678" s="15"/>
      <c r="J678" s="15"/>
      <c r="K678" s="15"/>
      <c r="L678" s="15"/>
      <c r="M678" s="15"/>
      <c r="N678" s="15"/>
      <c r="O678" s="15"/>
      <c r="P678" s="15"/>
      <c r="Q678" s="15"/>
    </row>
    <row r="679" spans="2:17" x14ac:dyDescent="0.3">
      <c r="B679" s="6"/>
      <c r="C679" s="15"/>
      <c r="D679" s="15"/>
      <c r="E679" s="15"/>
      <c r="F679" s="15"/>
      <c r="G679" s="15"/>
      <c r="H679" s="15"/>
      <c r="I679" s="15"/>
      <c r="J679" s="15"/>
      <c r="K679" s="15"/>
      <c r="L679" s="15"/>
      <c r="M679" s="15"/>
      <c r="N679" s="15"/>
      <c r="O679" s="15"/>
      <c r="P679" s="15"/>
      <c r="Q679" s="15"/>
    </row>
    <row r="680" spans="2:17" x14ac:dyDescent="0.3">
      <c r="B680" s="6"/>
      <c r="C680" s="15"/>
      <c r="D680" s="15"/>
      <c r="E680" s="15"/>
      <c r="F680" s="15"/>
      <c r="G680" s="15"/>
      <c r="H680" s="15"/>
      <c r="I680" s="15"/>
      <c r="J680" s="15"/>
      <c r="K680" s="15"/>
      <c r="L680" s="15"/>
      <c r="M680" s="15"/>
      <c r="N680" s="15"/>
      <c r="O680" s="15"/>
      <c r="P680" s="15"/>
      <c r="Q680" s="15"/>
    </row>
    <row r="681" spans="2:17" x14ac:dyDescent="0.3">
      <c r="B681" s="6"/>
      <c r="C681" s="15"/>
      <c r="D681" s="15"/>
      <c r="E681" s="15"/>
      <c r="F681" s="15"/>
      <c r="G681" s="15"/>
      <c r="H681" s="15"/>
      <c r="I681" s="15"/>
      <c r="J681" s="15"/>
      <c r="K681" s="15"/>
      <c r="L681" s="15"/>
      <c r="M681" s="15"/>
      <c r="N681" s="15"/>
      <c r="O681" s="15"/>
      <c r="P681" s="15"/>
      <c r="Q681" s="15"/>
    </row>
    <row r="682" spans="2:17" x14ac:dyDescent="0.3">
      <c r="B682" s="6"/>
      <c r="C682" s="15"/>
      <c r="D682" s="15"/>
      <c r="E682" s="15"/>
      <c r="F682" s="15"/>
      <c r="G682" s="15"/>
      <c r="H682" s="15"/>
      <c r="I682" s="15"/>
      <c r="J682" s="15"/>
      <c r="K682" s="15"/>
      <c r="L682" s="15"/>
      <c r="M682" s="15"/>
      <c r="N682" s="15"/>
      <c r="O682" s="15"/>
      <c r="P682" s="15"/>
      <c r="Q682" s="15"/>
    </row>
    <row r="683" spans="2:17" x14ac:dyDescent="0.3">
      <c r="B683" s="6"/>
      <c r="C683" s="15"/>
      <c r="D683" s="15"/>
      <c r="E683" s="15"/>
      <c r="F683" s="15"/>
      <c r="G683" s="15"/>
      <c r="H683" s="15"/>
      <c r="I683" s="15"/>
      <c r="J683" s="15"/>
      <c r="K683" s="15"/>
      <c r="L683" s="15"/>
      <c r="M683" s="15"/>
      <c r="N683" s="15"/>
      <c r="O683" s="15"/>
      <c r="P683" s="15"/>
      <c r="Q683" s="15"/>
    </row>
    <row r="684" spans="2:17" x14ac:dyDescent="0.3">
      <c r="B684" s="6"/>
      <c r="C684" s="15"/>
      <c r="D684" s="15"/>
      <c r="E684" s="15"/>
      <c r="F684" s="15"/>
      <c r="G684" s="15"/>
      <c r="H684" s="15"/>
      <c r="I684" s="15"/>
      <c r="J684" s="15"/>
      <c r="K684" s="15"/>
      <c r="L684" s="15"/>
      <c r="M684" s="15"/>
      <c r="N684" s="15"/>
      <c r="O684" s="15"/>
      <c r="P684" s="15"/>
      <c r="Q684" s="15"/>
    </row>
    <row r="685" spans="2:17" x14ac:dyDescent="0.3">
      <c r="B685" s="6"/>
      <c r="C685" s="15"/>
      <c r="D685" s="15"/>
      <c r="E685" s="15"/>
      <c r="F685" s="15"/>
      <c r="G685" s="15"/>
      <c r="H685" s="15"/>
      <c r="I685" s="15"/>
      <c r="J685" s="15"/>
      <c r="K685" s="15"/>
      <c r="L685" s="15"/>
      <c r="M685" s="15"/>
      <c r="N685" s="15"/>
      <c r="O685" s="15"/>
      <c r="P685" s="15"/>
      <c r="Q685" s="15"/>
    </row>
    <row r="686" spans="2:17" x14ac:dyDescent="0.3">
      <c r="B686" s="6"/>
      <c r="C686" s="15"/>
      <c r="D686" s="15"/>
      <c r="E686" s="15"/>
      <c r="F686" s="15"/>
      <c r="G686" s="15"/>
      <c r="H686" s="15"/>
      <c r="I686" s="15"/>
      <c r="J686" s="15"/>
      <c r="K686" s="15"/>
      <c r="L686" s="15"/>
      <c r="M686" s="15"/>
      <c r="N686" s="15"/>
      <c r="O686" s="15"/>
      <c r="P686" s="15"/>
      <c r="Q686" s="15"/>
    </row>
    <row r="687" spans="2:17" x14ac:dyDescent="0.3">
      <c r="B687" s="6"/>
      <c r="C687" s="15"/>
      <c r="D687" s="15"/>
      <c r="E687" s="15"/>
      <c r="F687" s="15"/>
      <c r="G687" s="15"/>
      <c r="H687" s="15"/>
      <c r="I687" s="15"/>
      <c r="J687" s="15"/>
      <c r="K687" s="15"/>
      <c r="L687" s="15"/>
      <c r="M687" s="15"/>
      <c r="N687" s="15"/>
      <c r="O687" s="15"/>
      <c r="P687" s="15"/>
      <c r="Q687" s="15"/>
    </row>
    <row r="688" spans="2:17" x14ac:dyDescent="0.3">
      <c r="B688" s="6"/>
      <c r="C688" s="15"/>
      <c r="D688" s="15"/>
      <c r="E688" s="15"/>
      <c r="F688" s="15"/>
      <c r="G688" s="15"/>
      <c r="H688" s="15"/>
      <c r="I688" s="15"/>
      <c r="J688" s="15"/>
      <c r="K688" s="15"/>
      <c r="L688" s="15"/>
      <c r="M688" s="15"/>
      <c r="N688" s="15"/>
      <c r="O688" s="15"/>
      <c r="P688" s="15"/>
      <c r="Q688" s="15"/>
    </row>
    <row r="689" spans="2:17" x14ac:dyDescent="0.3">
      <c r="B689" s="6"/>
      <c r="C689" s="15"/>
      <c r="D689" s="15"/>
      <c r="E689" s="15"/>
      <c r="F689" s="15"/>
      <c r="G689" s="15"/>
      <c r="H689" s="15"/>
      <c r="I689" s="15"/>
      <c r="J689" s="15"/>
      <c r="K689" s="15"/>
      <c r="L689" s="15"/>
      <c r="M689" s="15"/>
      <c r="N689" s="15"/>
      <c r="O689" s="15"/>
      <c r="P689" s="15"/>
      <c r="Q689" s="15"/>
    </row>
    <row r="690" spans="2:17" x14ac:dyDescent="0.3">
      <c r="B690" s="6"/>
      <c r="C690" s="15"/>
      <c r="D690" s="15"/>
      <c r="E690" s="15"/>
      <c r="F690" s="15"/>
      <c r="G690" s="15"/>
      <c r="H690" s="15"/>
      <c r="I690" s="15"/>
      <c r="J690" s="15"/>
      <c r="K690" s="15"/>
      <c r="L690" s="15"/>
      <c r="M690" s="15"/>
      <c r="N690" s="15"/>
      <c r="O690" s="15"/>
      <c r="P690" s="15"/>
      <c r="Q690" s="15"/>
    </row>
    <row r="691" spans="2:17" x14ac:dyDescent="0.3">
      <c r="B691" s="6"/>
      <c r="C691" s="15"/>
      <c r="D691" s="15"/>
      <c r="E691" s="15"/>
      <c r="F691" s="15"/>
      <c r="G691" s="15"/>
      <c r="H691" s="15"/>
      <c r="I691" s="15"/>
      <c r="J691" s="15"/>
      <c r="K691" s="15"/>
      <c r="L691" s="15"/>
      <c r="M691" s="15"/>
      <c r="N691" s="15"/>
      <c r="O691" s="15"/>
      <c r="P691" s="15"/>
      <c r="Q691" s="15"/>
    </row>
    <row r="692" spans="2:17" x14ac:dyDescent="0.3">
      <c r="B692" s="6"/>
      <c r="C692" s="15"/>
      <c r="D692" s="15"/>
      <c r="E692" s="15"/>
      <c r="F692" s="15"/>
      <c r="G692" s="15"/>
      <c r="H692" s="15"/>
      <c r="I692" s="15"/>
      <c r="J692" s="15"/>
      <c r="K692" s="15"/>
      <c r="L692" s="15"/>
      <c r="M692" s="15"/>
      <c r="N692" s="15"/>
      <c r="O692" s="15"/>
      <c r="P692" s="15"/>
      <c r="Q692" s="15"/>
    </row>
    <row r="693" spans="2:17" x14ac:dyDescent="0.3">
      <c r="B693" s="6"/>
      <c r="C693" s="15"/>
      <c r="D693" s="15"/>
      <c r="E693" s="15"/>
      <c r="F693" s="15"/>
      <c r="G693" s="15"/>
      <c r="H693" s="15"/>
      <c r="I693" s="15"/>
      <c r="J693" s="15"/>
      <c r="K693" s="15"/>
      <c r="L693" s="15"/>
      <c r="M693" s="15"/>
      <c r="N693" s="15"/>
      <c r="O693" s="15"/>
      <c r="P693" s="15"/>
      <c r="Q693" s="15"/>
    </row>
    <row r="694" spans="2:17" x14ac:dyDescent="0.3">
      <c r="B694" s="6"/>
      <c r="C694" s="15"/>
      <c r="D694" s="15"/>
      <c r="E694" s="15"/>
      <c r="F694" s="15"/>
      <c r="G694" s="15"/>
      <c r="H694" s="15"/>
      <c r="I694" s="15"/>
      <c r="J694" s="15"/>
      <c r="K694" s="15"/>
      <c r="L694" s="15"/>
      <c r="M694" s="15"/>
      <c r="N694" s="15"/>
      <c r="O694" s="15"/>
      <c r="P694" s="15"/>
      <c r="Q694" s="15"/>
    </row>
    <row r="695" spans="2:17" x14ac:dyDescent="0.3">
      <c r="B695" s="6"/>
      <c r="C695" s="15"/>
      <c r="D695" s="15"/>
      <c r="E695" s="15"/>
      <c r="F695" s="15"/>
      <c r="G695" s="15"/>
      <c r="H695" s="15"/>
      <c r="I695" s="15"/>
      <c r="J695" s="15"/>
      <c r="K695" s="15"/>
      <c r="L695" s="15"/>
      <c r="M695" s="15"/>
      <c r="N695" s="15"/>
      <c r="O695" s="15"/>
      <c r="P695" s="15"/>
      <c r="Q695" s="15"/>
    </row>
    <row r="696" spans="2:17" x14ac:dyDescent="0.3">
      <c r="B696" s="6"/>
      <c r="C696" s="15"/>
      <c r="D696" s="15"/>
      <c r="E696" s="15"/>
      <c r="F696" s="15"/>
      <c r="G696" s="15"/>
      <c r="H696" s="15"/>
      <c r="I696" s="15"/>
      <c r="J696" s="15"/>
      <c r="K696" s="15"/>
      <c r="L696" s="15"/>
      <c r="M696" s="15"/>
      <c r="N696" s="15"/>
      <c r="O696" s="15"/>
      <c r="P696" s="15"/>
      <c r="Q696" s="15"/>
    </row>
    <row r="697" spans="2:17" x14ac:dyDescent="0.3">
      <c r="B697" s="6"/>
      <c r="C697" s="15"/>
      <c r="D697" s="15"/>
      <c r="E697" s="15"/>
      <c r="F697" s="15"/>
      <c r="G697" s="15"/>
      <c r="H697" s="15"/>
      <c r="I697" s="15"/>
      <c r="J697" s="15"/>
      <c r="K697" s="15"/>
      <c r="L697" s="15"/>
      <c r="M697" s="15"/>
      <c r="N697" s="15"/>
      <c r="O697" s="15"/>
      <c r="P697" s="15"/>
      <c r="Q697" s="15"/>
    </row>
    <row r="698" spans="2:17" x14ac:dyDescent="0.3">
      <c r="B698" s="6"/>
      <c r="C698" s="15"/>
      <c r="D698" s="15"/>
      <c r="E698" s="15"/>
      <c r="F698" s="15"/>
      <c r="G698" s="15"/>
      <c r="H698" s="15"/>
      <c r="I698" s="15"/>
      <c r="J698" s="15"/>
      <c r="K698" s="15"/>
      <c r="L698" s="15"/>
      <c r="M698" s="15"/>
      <c r="N698" s="15"/>
      <c r="O698" s="15"/>
      <c r="P698" s="15"/>
      <c r="Q698" s="15"/>
    </row>
    <row r="699" spans="2:17" x14ac:dyDescent="0.3">
      <c r="B699" s="6"/>
      <c r="C699" s="15"/>
      <c r="D699" s="15"/>
      <c r="E699" s="15"/>
      <c r="F699" s="15"/>
      <c r="G699" s="15"/>
      <c r="H699" s="15"/>
      <c r="I699" s="15"/>
      <c r="J699" s="15"/>
      <c r="K699" s="15"/>
      <c r="L699" s="15"/>
      <c r="M699" s="15"/>
      <c r="N699" s="15"/>
      <c r="O699" s="15"/>
      <c r="P699" s="15"/>
      <c r="Q699" s="15"/>
    </row>
    <row r="700" spans="2:17" x14ac:dyDescent="0.3">
      <c r="B700" s="6"/>
      <c r="C700" s="15"/>
      <c r="D700" s="15"/>
      <c r="E700" s="15"/>
      <c r="F700" s="15"/>
      <c r="G700" s="15"/>
      <c r="H700" s="15"/>
      <c r="I700" s="15"/>
      <c r="J700" s="15"/>
      <c r="K700" s="15"/>
      <c r="L700" s="15"/>
      <c r="M700" s="15"/>
      <c r="N700" s="15"/>
      <c r="O700" s="15"/>
      <c r="P700" s="15"/>
      <c r="Q700" s="15"/>
    </row>
    <row r="701" spans="2:17" x14ac:dyDescent="0.3">
      <c r="B701" s="6"/>
      <c r="C701" s="15"/>
      <c r="D701" s="15"/>
      <c r="E701" s="15"/>
      <c r="F701" s="15"/>
      <c r="G701" s="15"/>
      <c r="H701" s="15"/>
      <c r="I701" s="15"/>
      <c r="J701" s="15"/>
      <c r="K701" s="15"/>
      <c r="L701" s="15"/>
      <c r="M701" s="15"/>
      <c r="N701" s="15"/>
      <c r="O701" s="15"/>
      <c r="P701" s="15"/>
      <c r="Q701" s="15"/>
    </row>
    <row r="702" spans="2:17" x14ac:dyDescent="0.3">
      <c r="B702" s="6"/>
      <c r="C702" s="15"/>
      <c r="D702" s="15"/>
      <c r="E702" s="15"/>
      <c r="F702" s="15"/>
      <c r="G702" s="15"/>
      <c r="H702" s="15"/>
      <c r="I702" s="15"/>
      <c r="J702" s="15"/>
      <c r="K702" s="15"/>
      <c r="L702" s="15"/>
      <c r="M702" s="15"/>
      <c r="N702" s="15"/>
      <c r="O702" s="15"/>
      <c r="P702" s="15"/>
      <c r="Q702" s="15"/>
    </row>
    <row r="703" spans="2:17" x14ac:dyDescent="0.3">
      <c r="B703" s="6"/>
      <c r="C703" s="15"/>
      <c r="D703" s="15"/>
      <c r="E703" s="15"/>
      <c r="F703" s="15"/>
      <c r="G703" s="15"/>
      <c r="H703" s="15"/>
      <c r="I703" s="15"/>
      <c r="J703" s="15"/>
      <c r="K703" s="15"/>
      <c r="L703" s="15"/>
      <c r="M703" s="15"/>
      <c r="N703" s="15"/>
      <c r="O703" s="15"/>
      <c r="P703" s="15"/>
      <c r="Q703" s="15"/>
    </row>
    <row r="704" spans="2:17" x14ac:dyDescent="0.3">
      <c r="B704" s="6"/>
      <c r="C704" s="15"/>
      <c r="D704" s="15"/>
      <c r="E704" s="15"/>
      <c r="F704" s="15"/>
      <c r="G704" s="15"/>
      <c r="H704" s="15"/>
      <c r="I704" s="15"/>
      <c r="J704" s="15"/>
      <c r="K704" s="15"/>
      <c r="L704" s="15"/>
      <c r="M704" s="15"/>
      <c r="N704" s="15"/>
      <c r="O704" s="15"/>
      <c r="P704" s="15"/>
      <c r="Q704" s="15"/>
    </row>
    <row r="705" spans="2:17" x14ac:dyDescent="0.3">
      <c r="B705" s="6"/>
      <c r="C705" s="15"/>
      <c r="D705" s="15"/>
      <c r="E705" s="15"/>
      <c r="F705" s="15"/>
      <c r="G705" s="15"/>
      <c r="H705" s="15"/>
      <c r="I705" s="15"/>
      <c r="J705" s="15"/>
      <c r="K705" s="15"/>
      <c r="L705" s="15"/>
      <c r="M705" s="15"/>
      <c r="N705" s="15"/>
      <c r="O705" s="15"/>
      <c r="P705" s="15"/>
      <c r="Q705" s="15"/>
    </row>
    <row r="706" spans="2:17" x14ac:dyDescent="0.3">
      <c r="B706" s="6"/>
      <c r="C706" s="15"/>
      <c r="D706" s="15"/>
      <c r="E706" s="15"/>
      <c r="F706" s="15"/>
      <c r="G706" s="15"/>
      <c r="H706" s="15"/>
      <c r="I706" s="15"/>
      <c r="J706" s="15"/>
      <c r="K706" s="15"/>
      <c r="L706" s="15"/>
      <c r="M706" s="15"/>
      <c r="N706" s="15"/>
      <c r="O706" s="15"/>
      <c r="P706" s="15"/>
      <c r="Q706" s="15"/>
    </row>
    <row r="707" spans="2:17" x14ac:dyDescent="0.3">
      <c r="B707" s="6"/>
      <c r="C707" s="15"/>
      <c r="D707" s="15"/>
      <c r="E707" s="15"/>
      <c r="F707" s="15"/>
      <c r="G707" s="15"/>
      <c r="H707" s="15"/>
      <c r="I707" s="15"/>
      <c r="J707" s="15"/>
      <c r="K707" s="15"/>
      <c r="L707" s="15"/>
      <c r="M707" s="15"/>
      <c r="N707" s="15"/>
      <c r="O707" s="15"/>
      <c r="P707" s="15"/>
      <c r="Q707" s="15"/>
    </row>
    <row r="708" spans="2:17" x14ac:dyDescent="0.3">
      <c r="B708" s="6"/>
      <c r="C708" s="15"/>
      <c r="D708" s="15"/>
      <c r="E708" s="15"/>
      <c r="F708" s="15"/>
      <c r="G708" s="15"/>
      <c r="H708" s="15"/>
      <c r="I708" s="15"/>
      <c r="J708" s="15"/>
      <c r="K708" s="15"/>
      <c r="L708" s="15"/>
      <c r="M708" s="15"/>
      <c r="N708" s="15"/>
      <c r="O708" s="15"/>
      <c r="P708" s="15"/>
      <c r="Q708" s="15"/>
    </row>
    <row r="709" spans="2:17" x14ac:dyDescent="0.3">
      <c r="B709" s="6"/>
      <c r="C709" s="15"/>
      <c r="D709" s="15"/>
      <c r="E709" s="15"/>
      <c r="F709" s="15"/>
      <c r="G709" s="15"/>
      <c r="H709" s="15"/>
      <c r="I709" s="15"/>
      <c r="J709" s="15"/>
      <c r="K709" s="15"/>
      <c r="L709" s="15"/>
      <c r="M709" s="15"/>
      <c r="N709" s="15"/>
      <c r="O709" s="15"/>
      <c r="P709" s="15"/>
      <c r="Q709" s="15"/>
    </row>
    <row r="710" spans="2:17" x14ac:dyDescent="0.3">
      <c r="B710" s="6"/>
      <c r="C710" s="15"/>
      <c r="D710" s="15"/>
      <c r="E710" s="15"/>
      <c r="F710" s="15"/>
      <c r="G710" s="15"/>
      <c r="H710" s="15"/>
      <c r="I710" s="15"/>
      <c r="J710" s="15"/>
      <c r="K710" s="15"/>
      <c r="L710" s="15"/>
      <c r="M710" s="15"/>
      <c r="N710" s="15"/>
      <c r="O710" s="15"/>
      <c r="P710" s="15"/>
      <c r="Q710" s="15"/>
    </row>
    <row r="711" spans="2:17" x14ac:dyDescent="0.3">
      <c r="B711" s="6"/>
      <c r="C711" s="15"/>
      <c r="D711" s="15"/>
      <c r="E711" s="15"/>
      <c r="F711" s="15"/>
      <c r="G711" s="15"/>
      <c r="H711" s="15"/>
      <c r="I711" s="15"/>
      <c r="J711" s="15"/>
      <c r="K711" s="15"/>
      <c r="L711" s="15"/>
      <c r="M711" s="15"/>
      <c r="N711" s="15"/>
      <c r="O711" s="15"/>
      <c r="P711" s="15"/>
      <c r="Q711" s="15"/>
    </row>
    <row r="712" spans="2:17" x14ac:dyDescent="0.3">
      <c r="B712" s="6"/>
      <c r="C712" s="15"/>
      <c r="D712" s="15"/>
      <c r="E712" s="15"/>
      <c r="F712" s="15"/>
      <c r="G712" s="15"/>
      <c r="H712" s="15"/>
      <c r="I712" s="15"/>
      <c r="J712" s="15"/>
      <c r="K712" s="15"/>
      <c r="L712" s="15"/>
      <c r="M712" s="15"/>
      <c r="N712" s="15"/>
      <c r="O712" s="15"/>
      <c r="P712" s="15"/>
      <c r="Q712" s="15"/>
    </row>
    <row r="713" spans="2:17" x14ac:dyDescent="0.3">
      <c r="B713" s="6"/>
      <c r="C713" s="15"/>
      <c r="D713" s="15"/>
      <c r="E713" s="15"/>
      <c r="F713" s="15"/>
      <c r="G713" s="15"/>
      <c r="H713" s="15"/>
      <c r="I713" s="15"/>
      <c r="J713" s="15"/>
      <c r="K713" s="15"/>
      <c r="L713" s="15"/>
      <c r="M713" s="15"/>
      <c r="N713" s="15"/>
      <c r="O713" s="15"/>
      <c r="P713" s="15"/>
      <c r="Q713" s="15"/>
    </row>
    <row r="714" spans="2:17" x14ac:dyDescent="0.3">
      <c r="B714" s="6"/>
      <c r="C714" s="15"/>
      <c r="D714" s="15"/>
      <c r="E714" s="15"/>
      <c r="F714" s="15"/>
      <c r="G714" s="15"/>
      <c r="H714" s="15"/>
      <c r="I714" s="15"/>
      <c r="J714" s="15"/>
      <c r="K714" s="15"/>
      <c r="L714" s="15"/>
      <c r="M714" s="15"/>
      <c r="N714" s="15"/>
      <c r="O714" s="15"/>
      <c r="P714" s="15"/>
      <c r="Q714" s="15"/>
    </row>
    <row r="715" spans="2:17" x14ac:dyDescent="0.3">
      <c r="B715" s="6"/>
      <c r="C715" s="15"/>
      <c r="D715" s="15"/>
      <c r="E715" s="15"/>
      <c r="F715" s="15"/>
      <c r="G715" s="15"/>
      <c r="H715" s="15"/>
      <c r="I715" s="15"/>
      <c r="J715" s="15"/>
      <c r="K715" s="15"/>
      <c r="L715" s="15"/>
      <c r="M715" s="15"/>
      <c r="N715" s="15"/>
      <c r="O715" s="15"/>
      <c r="P715" s="15"/>
      <c r="Q715" s="15"/>
    </row>
    <row r="716" spans="2:17" x14ac:dyDescent="0.3">
      <c r="B716" s="6"/>
      <c r="C716" s="15"/>
      <c r="D716" s="15"/>
      <c r="E716" s="15"/>
      <c r="F716" s="15"/>
      <c r="G716" s="15"/>
      <c r="H716" s="15"/>
      <c r="I716" s="15"/>
      <c r="J716" s="15"/>
      <c r="K716" s="15"/>
      <c r="L716" s="15"/>
      <c r="M716" s="15"/>
      <c r="N716" s="15"/>
      <c r="O716" s="15"/>
      <c r="P716" s="15"/>
      <c r="Q716" s="15"/>
    </row>
    <row r="717" spans="2:17" x14ac:dyDescent="0.3">
      <c r="B717" s="6"/>
      <c r="C717" s="15"/>
      <c r="D717" s="15"/>
      <c r="E717" s="15"/>
      <c r="F717" s="15"/>
      <c r="G717" s="15"/>
      <c r="H717" s="15"/>
      <c r="I717" s="15"/>
      <c r="J717" s="15"/>
      <c r="K717" s="15"/>
      <c r="L717" s="15"/>
      <c r="M717" s="15"/>
      <c r="N717" s="15"/>
      <c r="O717" s="15"/>
      <c r="P717" s="15"/>
      <c r="Q717" s="15"/>
    </row>
    <row r="718" spans="2:17" x14ac:dyDescent="0.3">
      <c r="B718" s="6"/>
      <c r="C718" s="15"/>
      <c r="D718" s="15"/>
      <c r="E718" s="15"/>
      <c r="F718" s="15"/>
      <c r="G718" s="15"/>
      <c r="H718" s="15"/>
      <c r="I718" s="15"/>
      <c r="J718" s="15"/>
      <c r="K718" s="15"/>
      <c r="L718" s="15"/>
      <c r="M718" s="15"/>
      <c r="N718" s="15"/>
      <c r="O718" s="15"/>
      <c r="P718" s="15"/>
      <c r="Q718" s="15"/>
    </row>
    <row r="719" spans="2:17" x14ac:dyDescent="0.3">
      <c r="B719" s="6"/>
      <c r="C719" s="15"/>
      <c r="D719" s="15"/>
      <c r="E719" s="15"/>
      <c r="F719" s="15"/>
      <c r="G719" s="15"/>
      <c r="H719" s="15"/>
      <c r="I719" s="15"/>
      <c r="J719" s="15"/>
      <c r="K719" s="15"/>
      <c r="L719" s="15"/>
      <c r="M719" s="15"/>
      <c r="N719" s="15"/>
      <c r="O719" s="15"/>
      <c r="P719" s="15"/>
      <c r="Q719" s="15"/>
    </row>
    <row r="720" spans="2:17" x14ac:dyDescent="0.3">
      <c r="B720" s="6"/>
      <c r="C720" s="15"/>
      <c r="D720" s="15"/>
      <c r="E720" s="15"/>
      <c r="F720" s="15"/>
      <c r="G720" s="15"/>
      <c r="H720" s="15"/>
      <c r="I720" s="15"/>
      <c r="J720" s="15"/>
      <c r="K720" s="15"/>
      <c r="L720" s="15"/>
      <c r="M720" s="15"/>
      <c r="N720" s="15"/>
      <c r="O720" s="15"/>
      <c r="P720" s="15"/>
      <c r="Q720" s="15"/>
    </row>
    <row r="721" spans="2:17" x14ac:dyDescent="0.3">
      <c r="B721" s="6"/>
      <c r="C721" s="15"/>
      <c r="D721" s="15"/>
      <c r="E721" s="15"/>
      <c r="F721" s="15"/>
      <c r="G721" s="15"/>
      <c r="H721" s="15"/>
      <c r="I721" s="15"/>
      <c r="J721" s="15"/>
      <c r="K721" s="15"/>
      <c r="L721" s="15"/>
      <c r="M721" s="15"/>
      <c r="N721" s="15"/>
      <c r="O721" s="15"/>
      <c r="P721" s="15"/>
      <c r="Q721" s="15"/>
    </row>
    <row r="722" spans="2:17" x14ac:dyDescent="0.3">
      <c r="B722" s="6"/>
      <c r="C722" s="15"/>
      <c r="D722" s="15"/>
      <c r="E722" s="15"/>
      <c r="F722" s="15"/>
      <c r="G722" s="15"/>
      <c r="H722" s="15"/>
      <c r="I722" s="15"/>
      <c r="J722" s="15"/>
      <c r="K722" s="15"/>
      <c r="L722" s="15"/>
      <c r="M722" s="15"/>
      <c r="N722" s="15"/>
      <c r="O722" s="15"/>
      <c r="P722" s="15"/>
      <c r="Q722" s="15"/>
    </row>
    <row r="723" spans="2:17" x14ac:dyDescent="0.3">
      <c r="B723" s="6"/>
      <c r="C723" s="15"/>
      <c r="D723" s="15"/>
      <c r="E723" s="15"/>
      <c r="F723" s="15"/>
      <c r="G723" s="15"/>
      <c r="H723" s="15"/>
      <c r="I723" s="15"/>
      <c r="J723" s="15"/>
      <c r="K723" s="15"/>
      <c r="L723" s="15"/>
      <c r="M723" s="15"/>
      <c r="N723" s="15"/>
      <c r="O723" s="15"/>
      <c r="P723" s="15"/>
      <c r="Q723" s="15"/>
    </row>
    <row r="724" spans="2:17" x14ac:dyDescent="0.3">
      <c r="B724" s="6"/>
      <c r="C724" s="15"/>
      <c r="D724" s="15"/>
      <c r="E724" s="15"/>
      <c r="F724" s="15"/>
      <c r="G724" s="15"/>
      <c r="H724" s="15"/>
      <c r="I724" s="15"/>
      <c r="J724" s="15"/>
      <c r="K724" s="15"/>
      <c r="L724" s="15"/>
      <c r="M724" s="15"/>
      <c r="N724" s="15"/>
      <c r="O724" s="15"/>
      <c r="P724" s="15"/>
      <c r="Q724" s="15"/>
    </row>
    <row r="725" spans="2:17" x14ac:dyDescent="0.3">
      <c r="B725" s="6"/>
      <c r="C725" s="15"/>
      <c r="D725" s="15"/>
      <c r="E725" s="15"/>
      <c r="F725" s="15"/>
      <c r="G725" s="15"/>
      <c r="H725" s="15"/>
      <c r="I725" s="15"/>
      <c r="J725" s="15"/>
      <c r="K725" s="15"/>
      <c r="L725" s="15"/>
      <c r="M725" s="15"/>
      <c r="N725" s="15"/>
      <c r="O725" s="15"/>
      <c r="P725" s="15"/>
      <c r="Q725" s="15"/>
    </row>
    <row r="726" spans="2:17" x14ac:dyDescent="0.3">
      <c r="B726" s="6"/>
      <c r="C726" s="15"/>
      <c r="D726" s="15"/>
      <c r="E726" s="15"/>
      <c r="F726" s="15"/>
      <c r="G726" s="15"/>
      <c r="H726" s="15"/>
      <c r="I726" s="15"/>
      <c r="J726" s="15"/>
      <c r="K726" s="15"/>
      <c r="L726" s="15"/>
      <c r="M726" s="15"/>
      <c r="N726" s="15"/>
      <c r="O726" s="15"/>
      <c r="P726" s="15"/>
      <c r="Q726" s="15"/>
    </row>
    <row r="727" spans="2:17" x14ac:dyDescent="0.3">
      <c r="B727" s="6"/>
      <c r="C727" s="15"/>
      <c r="D727" s="15"/>
      <c r="E727" s="15"/>
      <c r="F727" s="15"/>
      <c r="G727" s="15"/>
      <c r="H727" s="15"/>
      <c r="I727" s="15"/>
      <c r="J727" s="15"/>
      <c r="K727" s="15"/>
      <c r="L727" s="15"/>
      <c r="M727" s="15"/>
      <c r="N727" s="15"/>
      <c r="O727" s="15"/>
      <c r="P727" s="15"/>
      <c r="Q727" s="15"/>
    </row>
    <row r="728" spans="2:17" x14ac:dyDescent="0.3">
      <c r="B728" s="6"/>
      <c r="C728" s="15"/>
      <c r="D728" s="15"/>
      <c r="E728" s="15"/>
      <c r="F728" s="15"/>
      <c r="G728" s="15"/>
      <c r="H728" s="15"/>
      <c r="I728" s="15"/>
      <c r="J728" s="15"/>
      <c r="K728" s="15"/>
      <c r="L728" s="15"/>
      <c r="M728" s="15"/>
      <c r="N728" s="15"/>
      <c r="O728" s="15"/>
      <c r="P728" s="15"/>
      <c r="Q728" s="15"/>
    </row>
    <row r="729" spans="2:17" x14ac:dyDescent="0.3">
      <c r="B729" s="6"/>
      <c r="C729" s="15"/>
      <c r="D729" s="15"/>
      <c r="E729" s="15"/>
      <c r="F729" s="15"/>
      <c r="G729" s="15"/>
      <c r="H729" s="15"/>
      <c r="I729" s="15"/>
      <c r="J729" s="15"/>
      <c r="K729" s="15"/>
      <c r="L729" s="15"/>
      <c r="M729" s="15"/>
      <c r="N729" s="15"/>
      <c r="O729" s="15"/>
      <c r="P729" s="15"/>
      <c r="Q729" s="15"/>
    </row>
    <row r="730" spans="2:17" x14ac:dyDescent="0.3">
      <c r="B730" s="6"/>
      <c r="C730" s="15"/>
      <c r="D730" s="15"/>
      <c r="E730" s="15"/>
      <c r="F730" s="15"/>
      <c r="G730" s="15"/>
      <c r="H730" s="15"/>
      <c r="I730" s="15"/>
      <c r="J730" s="15"/>
      <c r="K730" s="15"/>
      <c r="L730" s="15"/>
      <c r="M730" s="15"/>
      <c r="N730" s="15"/>
      <c r="O730" s="15"/>
      <c r="P730" s="15"/>
      <c r="Q730" s="15"/>
    </row>
    <row r="731" spans="2:17" x14ac:dyDescent="0.3">
      <c r="B731" s="6"/>
      <c r="C731" s="15"/>
      <c r="D731" s="15"/>
      <c r="E731" s="15"/>
      <c r="F731" s="15"/>
      <c r="G731" s="15"/>
      <c r="H731" s="15"/>
      <c r="I731" s="15"/>
      <c r="J731" s="15"/>
      <c r="K731" s="15"/>
      <c r="L731" s="15"/>
      <c r="M731" s="15"/>
      <c r="N731" s="15"/>
      <c r="O731" s="15"/>
      <c r="P731" s="15"/>
      <c r="Q731" s="15"/>
    </row>
    <row r="732" spans="2:17" x14ac:dyDescent="0.3">
      <c r="B732" s="6"/>
      <c r="C732" s="15"/>
      <c r="D732" s="15"/>
      <c r="E732" s="15"/>
      <c r="F732" s="15"/>
      <c r="G732" s="15"/>
      <c r="H732" s="15"/>
      <c r="I732" s="15"/>
      <c r="J732" s="15"/>
      <c r="K732" s="15"/>
      <c r="L732" s="15"/>
      <c r="M732" s="15"/>
      <c r="N732" s="15"/>
      <c r="O732" s="15"/>
      <c r="P732" s="15"/>
      <c r="Q732" s="15"/>
    </row>
    <row r="733" spans="2:17" x14ac:dyDescent="0.3">
      <c r="B733" s="6"/>
      <c r="C733" s="15"/>
      <c r="D733" s="15"/>
      <c r="E733" s="15"/>
      <c r="F733" s="15"/>
      <c r="G733" s="15"/>
      <c r="H733" s="15"/>
      <c r="I733" s="15"/>
      <c r="J733" s="15"/>
      <c r="K733" s="15"/>
      <c r="L733" s="15"/>
      <c r="M733" s="15"/>
      <c r="N733" s="15"/>
      <c r="O733" s="15"/>
      <c r="P733" s="15"/>
      <c r="Q733" s="15"/>
    </row>
    <row r="734" spans="2:17" x14ac:dyDescent="0.3">
      <c r="B734" s="6"/>
      <c r="C734" s="15"/>
      <c r="D734" s="15"/>
      <c r="E734" s="15"/>
      <c r="F734" s="15"/>
      <c r="G734" s="15"/>
      <c r="H734" s="15"/>
      <c r="I734" s="15"/>
      <c r="J734" s="15"/>
      <c r="K734" s="15"/>
      <c r="L734" s="15"/>
      <c r="M734" s="15"/>
      <c r="N734" s="15"/>
      <c r="O734" s="15"/>
      <c r="P734" s="15"/>
      <c r="Q734" s="15"/>
    </row>
    <row r="735" spans="2:17" x14ac:dyDescent="0.3">
      <c r="B735" s="6"/>
      <c r="C735" s="15"/>
      <c r="D735" s="15"/>
      <c r="E735" s="15"/>
      <c r="F735" s="15"/>
      <c r="G735" s="15"/>
      <c r="H735" s="15"/>
      <c r="I735" s="15"/>
      <c r="J735" s="15"/>
      <c r="K735" s="15"/>
      <c r="L735" s="15"/>
      <c r="M735" s="15"/>
      <c r="N735" s="15"/>
      <c r="O735" s="15"/>
      <c r="P735" s="15"/>
      <c r="Q735" s="15"/>
    </row>
    <row r="736" spans="2:17" x14ac:dyDescent="0.3">
      <c r="B736" s="6"/>
      <c r="C736" s="15"/>
      <c r="D736" s="15"/>
      <c r="E736" s="15"/>
      <c r="F736" s="15"/>
      <c r="G736" s="15"/>
      <c r="H736" s="15"/>
      <c r="I736" s="15"/>
      <c r="J736" s="15"/>
      <c r="K736" s="15"/>
      <c r="L736" s="15"/>
      <c r="M736" s="15"/>
      <c r="N736" s="15"/>
      <c r="O736" s="15"/>
      <c r="P736" s="15"/>
      <c r="Q736" s="15"/>
    </row>
    <row r="737" spans="2:17" x14ac:dyDescent="0.3">
      <c r="B737" s="6"/>
      <c r="C737" s="15"/>
      <c r="D737" s="15"/>
      <c r="E737" s="15"/>
      <c r="F737" s="15"/>
      <c r="G737" s="15"/>
      <c r="H737" s="15"/>
      <c r="I737" s="15"/>
      <c r="J737" s="15"/>
      <c r="K737" s="15"/>
      <c r="L737" s="15"/>
      <c r="M737" s="15"/>
      <c r="N737" s="15"/>
      <c r="O737" s="15"/>
      <c r="P737" s="15"/>
      <c r="Q737" s="15"/>
    </row>
    <row r="738" spans="2:17" x14ac:dyDescent="0.3">
      <c r="B738" s="6"/>
      <c r="C738" s="15"/>
      <c r="D738" s="15"/>
      <c r="E738" s="15"/>
      <c r="F738" s="15"/>
      <c r="G738" s="15"/>
      <c r="H738" s="15"/>
      <c r="I738" s="15"/>
      <c r="J738" s="15"/>
      <c r="K738" s="15"/>
      <c r="L738" s="15"/>
      <c r="M738" s="15"/>
      <c r="N738" s="15"/>
      <c r="O738" s="15"/>
      <c r="P738" s="15"/>
      <c r="Q738" s="15"/>
    </row>
    <row r="739" spans="2:17" x14ac:dyDescent="0.3">
      <c r="B739" s="6"/>
      <c r="C739" s="15"/>
      <c r="D739" s="15"/>
      <c r="E739" s="15"/>
      <c r="F739" s="15"/>
      <c r="G739" s="15"/>
      <c r="H739" s="15"/>
      <c r="I739" s="15"/>
      <c r="J739" s="15"/>
      <c r="K739" s="15"/>
      <c r="L739" s="15"/>
      <c r="M739" s="15"/>
      <c r="N739" s="15"/>
      <c r="O739" s="15"/>
      <c r="P739" s="15"/>
      <c r="Q739" s="15"/>
    </row>
    <row r="740" spans="2:17" x14ac:dyDescent="0.3">
      <c r="B740" s="6"/>
      <c r="C740" s="15"/>
      <c r="D740" s="15"/>
      <c r="E740" s="15"/>
      <c r="F740" s="15"/>
      <c r="G740" s="15"/>
      <c r="H740" s="15"/>
      <c r="I740" s="15"/>
      <c r="J740" s="15"/>
      <c r="K740" s="15"/>
      <c r="L740" s="15"/>
      <c r="M740" s="15"/>
      <c r="N740" s="15"/>
      <c r="O740" s="15"/>
      <c r="P740" s="15"/>
      <c r="Q740" s="15"/>
    </row>
    <row r="741" spans="2:17" x14ac:dyDescent="0.3">
      <c r="B741" s="6"/>
      <c r="C741" s="15"/>
      <c r="D741" s="15"/>
      <c r="E741" s="15"/>
      <c r="F741" s="15"/>
      <c r="G741" s="15"/>
      <c r="H741" s="15"/>
      <c r="I741" s="15"/>
      <c r="J741" s="15"/>
      <c r="K741" s="15"/>
      <c r="L741" s="15"/>
      <c r="M741" s="15"/>
      <c r="N741" s="15"/>
      <c r="O741" s="15"/>
      <c r="P741" s="15"/>
      <c r="Q741" s="15"/>
    </row>
    <row r="742" spans="2:17" x14ac:dyDescent="0.3">
      <c r="B742" s="6"/>
      <c r="C742" s="15"/>
      <c r="D742" s="15"/>
      <c r="E742" s="15"/>
      <c r="F742" s="15"/>
      <c r="G742" s="15"/>
      <c r="H742" s="15"/>
      <c r="I742" s="15"/>
      <c r="J742" s="15"/>
      <c r="K742" s="15"/>
      <c r="L742" s="15"/>
      <c r="M742" s="15"/>
      <c r="N742" s="15"/>
      <c r="O742" s="15"/>
      <c r="P742" s="15"/>
      <c r="Q742" s="15"/>
    </row>
    <row r="743" spans="2:17" x14ac:dyDescent="0.3">
      <c r="B743" s="6"/>
      <c r="C743" s="15"/>
      <c r="D743" s="15"/>
      <c r="E743" s="15"/>
      <c r="F743" s="15"/>
      <c r="G743" s="15"/>
      <c r="H743" s="15"/>
      <c r="I743" s="15"/>
      <c r="J743" s="15"/>
      <c r="K743" s="15"/>
      <c r="L743" s="15"/>
      <c r="M743" s="15"/>
      <c r="N743" s="15"/>
      <c r="O743" s="15"/>
      <c r="P743" s="15"/>
      <c r="Q743" s="15"/>
    </row>
    <row r="744" spans="2:17" x14ac:dyDescent="0.3">
      <c r="B744" s="6"/>
      <c r="C744" s="15"/>
      <c r="D744" s="15"/>
      <c r="E744" s="15"/>
      <c r="F744" s="15"/>
      <c r="G744" s="15"/>
      <c r="H744" s="15"/>
      <c r="I744" s="15"/>
      <c r="J744" s="15"/>
      <c r="K744" s="15"/>
      <c r="L744" s="15"/>
      <c r="M744" s="15"/>
      <c r="N744" s="15"/>
      <c r="O744" s="15"/>
      <c r="P744" s="15"/>
      <c r="Q744" s="15"/>
    </row>
    <row r="745" spans="2:17" x14ac:dyDescent="0.3">
      <c r="B745" s="6"/>
      <c r="C745" s="15"/>
      <c r="D745" s="15"/>
      <c r="E745" s="15"/>
      <c r="F745" s="15"/>
      <c r="G745" s="15"/>
      <c r="H745" s="15"/>
      <c r="I745" s="15"/>
      <c r="J745" s="15"/>
      <c r="K745" s="15"/>
      <c r="L745" s="15"/>
      <c r="M745" s="15"/>
      <c r="N745" s="15"/>
      <c r="O745" s="15"/>
      <c r="P745" s="15"/>
      <c r="Q745" s="15"/>
    </row>
    <row r="746" spans="2:17" x14ac:dyDescent="0.3">
      <c r="B746" s="6"/>
      <c r="C746" s="15"/>
      <c r="D746" s="15"/>
      <c r="E746" s="15"/>
      <c r="F746" s="15"/>
      <c r="G746" s="15"/>
      <c r="H746" s="15"/>
      <c r="I746" s="15"/>
      <c r="J746" s="15"/>
      <c r="K746" s="15"/>
      <c r="L746" s="15"/>
      <c r="M746" s="15"/>
      <c r="N746" s="15"/>
      <c r="O746" s="15"/>
      <c r="P746" s="15"/>
      <c r="Q746" s="15"/>
    </row>
    <row r="747" spans="2:17" x14ac:dyDescent="0.3">
      <c r="B747" s="6"/>
      <c r="C747" s="15"/>
      <c r="D747" s="15"/>
      <c r="E747" s="15"/>
      <c r="F747" s="15"/>
      <c r="G747" s="15"/>
      <c r="H747" s="15"/>
      <c r="I747" s="15"/>
      <c r="J747" s="15"/>
      <c r="K747" s="15"/>
      <c r="L747" s="15"/>
      <c r="M747" s="15"/>
      <c r="N747" s="15"/>
      <c r="O747" s="15"/>
      <c r="P747" s="15"/>
      <c r="Q747" s="15"/>
    </row>
    <row r="748" spans="2:17" x14ac:dyDescent="0.3">
      <c r="B748" s="6"/>
      <c r="C748" s="15"/>
      <c r="D748" s="15"/>
      <c r="E748" s="15"/>
      <c r="F748" s="15"/>
      <c r="G748" s="15"/>
      <c r="H748" s="15"/>
      <c r="I748" s="15"/>
      <c r="J748" s="15"/>
      <c r="K748" s="15"/>
      <c r="L748" s="15"/>
      <c r="M748" s="15"/>
      <c r="N748" s="15"/>
      <c r="O748" s="15"/>
      <c r="P748" s="15"/>
      <c r="Q748" s="15"/>
    </row>
    <row r="749" spans="2:17" x14ac:dyDescent="0.3">
      <c r="B749" s="6"/>
      <c r="C749" s="15"/>
      <c r="D749" s="15"/>
      <c r="E749" s="15"/>
      <c r="F749" s="15"/>
      <c r="G749" s="15"/>
      <c r="H749" s="15"/>
      <c r="I749" s="15"/>
      <c r="J749" s="15"/>
      <c r="K749" s="15"/>
      <c r="L749" s="15"/>
      <c r="M749" s="15"/>
      <c r="N749" s="15"/>
      <c r="O749" s="15"/>
      <c r="P749" s="15"/>
      <c r="Q749" s="15"/>
    </row>
    <row r="750" spans="2:17" x14ac:dyDescent="0.3">
      <c r="B750" s="6"/>
      <c r="C750" s="15"/>
      <c r="D750" s="15"/>
      <c r="E750" s="15"/>
      <c r="F750" s="15"/>
      <c r="G750" s="15"/>
      <c r="H750" s="15"/>
      <c r="I750" s="15"/>
      <c r="J750" s="15"/>
      <c r="K750" s="15"/>
      <c r="L750" s="15"/>
      <c r="M750" s="15"/>
      <c r="N750" s="15"/>
      <c r="O750" s="15"/>
      <c r="P750" s="15"/>
      <c r="Q750" s="15"/>
    </row>
    <row r="751" spans="2:17" x14ac:dyDescent="0.3">
      <c r="B751" s="6"/>
      <c r="C751" s="15"/>
      <c r="D751" s="15"/>
      <c r="E751" s="15"/>
      <c r="F751" s="15"/>
      <c r="G751" s="15"/>
      <c r="H751" s="15"/>
      <c r="I751" s="15"/>
      <c r="J751" s="15"/>
      <c r="K751" s="15"/>
      <c r="L751" s="15"/>
      <c r="M751" s="15"/>
      <c r="N751" s="15"/>
      <c r="O751" s="15"/>
      <c r="P751" s="15"/>
      <c r="Q751" s="15"/>
    </row>
    <row r="752" spans="2:17" x14ac:dyDescent="0.3">
      <c r="B752" s="6"/>
      <c r="C752" s="15"/>
      <c r="D752" s="15"/>
      <c r="E752" s="15"/>
      <c r="F752" s="15"/>
      <c r="G752" s="15"/>
      <c r="H752" s="15"/>
      <c r="I752" s="15"/>
      <c r="J752" s="15"/>
      <c r="K752" s="15"/>
      <c r="L752" s="15"/>
      <c r="M752" s="15"/>
      <c r="N752" s="15"/>
      <c r="O752" s="15"/>
      <c r="P752" s="15"/>
      <c r="Q752" s="15"/>
    </row>
    <row r="753" spans="2:17" x14ac:dyDescent="0.3">
      <c r="B753" s="6"/>
      <c r="C753" s="15"/>
      <c r="D753" s="15"/>
      <c r="E753" s="15"/>
      <c r="F753" s="15"/>
      <c r="G753" s="15"/>
      <c r="H753" s="15"/>
      <c r="I753" s="15"/>
      <c r="J753" s="15"/>
      <c r="K753" s="15"/>
      <c r="L753" s="15"/>
      <c r="M753" s="15"/>
      <c r="N753" s="15"/>
      <c r="O753" s="15"/>
      <c r="P753" s="15"/>
      <c r="Q753" s="15"/>
    </row>
    <row r="754" spans="2:17" x14ac:dyDescent="0.3">
      <c r="B754" s="6"/>
      <c r="C754" s="15"/>
      <c r="D754" s="15"/>
      <c r="E754" s="15"/>
      <c r="F754" s="15"/>
      <c r="G754" s="15"/>
      <c r="H754" s="15"/>
      <c r="I754" s="15"/>
      <c r="J754" s="15"/>
      <c r="K754" s="15"/>
      <c r="L754" s="15"/>
      <c r="M754" s="15"/>
      <c r="N754" s="15"/>
      <c r="O754" s="15"/>
      <c r="P754" s="15"/>
      <c r="Q754" s="15"/>
    </row>
    <row r="755" spans="2:17" x14ac:dyDescent="0.3">
      <c r="B755" s="6"/>
      <c r="C755" s="15"/>
      <c r="D755" s="15"/>
      <c r="E755" s="15"/>
      <c r="F755" s="15"/>
      <c r="G755" s="15"/>
      <c r="H755" s="15"/>
      <c r="I755" s="15"/>
      <c r="J755" s="15"/>
      <c r="K755" s="15"/>
      <c r="L755" s="15"/>
      <c r="M755" s="15"/>
      <c r="N755" s="15"/>
      <c r="O755" s="15"/>
      <c r="P755" s="15"/>
      <c r="Q755" s="15"/>
    </row>
    <row r="756" spans="2:17" x14ac:dyDescent="0.3">
      <c r="B756" s="6"/>
      <c r="C756" s="15"/>
      <c r="D756" s="15"/>
      <c r="E756" s="15"/>
      <c r="F756" s="15"/>
      <c r="G756" s="15"/>
      <c r="H756" s="15"/>
      <c r="I756" s="15"/>
      <c r="J756" s="15"/>
      <c r="K756" s="15"/>
      <c r="L756" s="15"/>
      <c r="M756" s="15"/>
      <c r="N756" s="15"/>
      <c r="O756" s="15"/>
      <c r="P756" s="15"/>
      <c r="Q756" s="15"/>
    </row>
    <row r="757" spans="2:17" x14ac:dyDescent="0.3">
      <c r="B757" s="6"/>
      <c r="C757" s="15"/>
      <c r="D757" s="15"/>
      <c r="E757" s="15"/>
      <c r="F757" s="15"/>
      <c r="G757" s="15"/>
      <c r="H757" s="15"/>
      <c r="I757" s="15"/>
      <c r="J757" s="15"/>
      <c r="K757" s="15"/>
      <c r="L757" s="15"/>
      <c r="M757" s="15"/>
      <c r="N757" s="15"/>
      <c r="O757" s="15"/>
      <c r="P757" s="15"/>
      <c r="Q757" s="15"/>
    </row>
    <row r="758" spans="2:17" x14ac:dyDescent="0.3">
      <c r="B758" s="6"/>
      <c r="C758" s="15"/>
      <c r="D758" s="15"/>
      <c r="E758" s="15"/>
      <c r="F758" s="15"/>
      <c r="G758" s="15"/>
      <c r="H758" s="15"/>
      <c r="I758" s="15"/>
      <c r="J758" s="15"/>
      <c r="K758" s="15"/>
      <c r="L758" s="15"/>
      <c r="M758" s="15"/>
      <c r="N758" s="15"/>
      <c r="O758" s="15"/>
      <c r="P758" s="15"/>
      <c r="Q758" s="15"/>
    </row>
    <row r="759" spans="2:17" x14ac:dyDescent="0.3">
      <c r="B759" s="6"/>
      <c r="C759" s="15"/>
      <c r="D759" s="15"/>
      <c r="E759" s="15"/>
      <c r="F759" s="15"/>
      <c r="G759" s="15"/>
      <c r="H759" s="15"/>
      <c r="I759" s="15"/>
      <c r="J759" s="15"/>
      <c r="K759" s="15"/>
      <c r="L759" s="15"/>
      <c r="M759" s="15"/>
      <c r="N759" s="15"/>
      <c r="O759" s="15"/>
      <c r="P759" s="15"/>
      <c r="Q759" s="15"/>
    </row>
    <row r="760" spans="2:17" x14ac:dyDescent="0.3">
      <c r="B760" s="6"/>
      <c r="C760" s="15"/>
      <c r="D760" s="15"/>
      <c r="E760" s="15"/>
      <c r="F760" s="15"/>
      <c r="G760" s="15"/>
      <c r="H760" s="15"/>
      <c r="I760" s="15"/>
      <c r="J760" s="15"/>
      <c r="K760" s="15"/>
      <c r="L760" s="15"/>
      <c r="M760" s="15"/>
      <c r="N760" s="15"/>
      <c r="O760" s="15"/>
      <c r="P760" s="15"/>
      <c r="Q760" s="15"/>
    </row>
    <row r="761" spans="2:17" x14ac:dyDescent="0.3">
      <c r="B761" s="6"/>
      <c r="C761" s="15"/>
      <c r="D761" s="15"/>
      <c r="E761" s="15"/>
      <c r="F761" s="15"/>
      <c r="G761" s="15"/>
      <c r="H761" s="15"/>
      <c r="I761" s="15"/>
      <c r="J761" s="15"/>
      <c r="K761" s="15"/>
      <c r="L761" s="15"/>
      <c r="M761" s="15"/>
      <c r="N761" s="15"/>
      <c r="O761" s="15"/>
      <c r="P761" s="15"/>
      <c r="Q761" s="15"/>
    </row>
    <row r="762" spans="2:17" x14ac:dyDescent="0.3">
      <c r="B762" s="6"/>
      <c r="C762" s="15"/>
      <c r="D762" s="15"/>
      <c r="E762" s="15"/>
      <c r="F762" s="15"/>
      <c r="G762" s="15"/>
      <c r="H762" s="15"/>
      <c r="I762" s="15"/>
      <c r="J762" s="15"/>
      <c r="K762" s="15"/>
      <c r="L762" s="15"/>
      <c r="M762" s="15"/>
      <c r="N762" s="15"/>
      <c r="O762" s="15"/>
      <c r="P762" s="15"/>
      <c r="Q762" s="15"/>
    </row>
    <row r="763" spans="2:17" x14ac:dyDescent="0.3">
      <c r="B763" s="6"/>
      <c r="C763" s="15"/>
      <c r="D763" s="15"/>
      <c r="E763" s="15"/>
      <c r="F763" s="15"/>
      <c r="G763" s="15"/>
      <c r="H763" s="15"/>
      <c r="I763" s="15"/>
      <c r="J763" s="15"/>
      <c r="K763" s="15"/>
      <c r="L763" s="15"/>
      <c r="M763" s="15"/>
      <c r="N763" s="15"/>
      <c r="O763" s="15"/>
      <c r="P763" s="15"/>
      <c r="Q763" s="15"/>
    </row>
    <row r="764" spans="2:17" x14ac:dyDescent="0.3">
      <c r="B764" s="6"/>
      <c r="C764" s="15"/>
      <c r="D764" s="15"/>
      <c r="E764" s="15"/>
      <c r="F764" s="15"/>
      <c r="G764" s="15"/>
      <c r="H764" s="15"/>
      <c r="I764" s="15"/>
      <c r="J764" s="15"/>
      <c r="K764" s="15"/>
      <c r="L764" s="15"/>
      <c r="M764" s="15"/>
      <c r="N764" s="15"/>
      <c r="O764" s="15"/>
      <c r="P764" s="15"/>
      <c r="Q764" s="15"/>
    </row>
    <row r="765" spans="2:17" x14ac:dyDescent="0.3">
      <c r="B765" s="6"/>
      <c r="C765" s="15"/>
      <c r="D765" s="15"/>
      <c r="E765" s="15"/>
      <c r="F765" s="15"/>
      <c r="G765" s="15"/>
      <c r="H765" s="15"/>
      <c r="I765" s="15"/>
      <c r="J765" s="15"/>
      <c r="K765" s="15"/>
      <c r="L765" s="15"/>
      <c r="M765" s="15"/>
      <c r="N765" s="15"/>
      <c r="O765" s="15"/>
      <c r="P765" s="15"/>
      <c r="Q765" s="15"/>
    </row>
    <row r="766" spans="2:17" x14ac:dyDescent="0.3">
      <c r="B766" s="6"/>
      <c r="C766" s="15"/>
      <c r="D766" s="15"/>
      <c r="E766" s="15"/>
      <c r="F766" s="15"/>
      <c r="G766" s="15"/>
      <c r="H766" s="15"/>
      <c r="I766" s="15"/>
      <c r="J766" s="15"/>
      <c r="K766" s="15"/>
      <c r="L766" s="15"/>
      <c r="M766" s="15"/>
      <c r="N766" s="15"/>
      <c r="O766" s="15"/>
      <c r="P766" s="15"/>
      <c r="Q766" s="15"/>
    </row>
    <row r="767" spans="2:17" x14ac:dyDescent="0.3">
      <c r="B767" s="6"/>
      <c r="C767" s="15"/>
      <c r="D767" s="15"/>
      <c r="E767" s="15"/>
      <c r="F767" s="15"/>
      <c r="G767" s="15"/>
      <c r="H767" s="15"/>
      <c r="I767" s="15"/>
      <c r="J767" s="15"/>
      <c r="K767" s="15"/>
      <c r="L767" s="15"/>
      <c r="M767" s="15"/>
      <c r="N767" s="15"/>
      <c r="O767" s="15"/>
      <c r="P767" s="15"/>
      <c r="Q767" s="15"/>
    </row>
    <row r="768" spans="2:17" x14ac:dyDescent="0.3">
      <c r="B768" s="6"/>
      <c r="C768" s="15"/>
      <c r="D768" s="15"/>
      <c r="E768" s="15"/>
      <c r="F768" s="15"/>
      <c r="G768" s="15"/>
      <c r="H768" s="15"/>
      <c r="I768" s="15"/>
      <c r="J768" s="15"/>
      <c r="K768" s="15"/>
      <c r="L768" s="15"/>
      <c r="M768" s="15"/>
      <c r="N768" s="15"/>
      <c r="O768" s="15"/>
      <c r="P768" s="15"/>
      <c r="Q768" s="15"/>
    </row>
    <row r="769" spans="2:17" x14ac:dyDescent="0.3">
      <c r="B769" s="6"/>
      <c r="C769" s="15"/>
      <c r="D769" s="15"/>
      <c r="E769" s="15"/>
      <c r="F769" s="15"/>
      <c r="G769" s="15"/>
      <c r="H769" s="15"/>
      <c r="I769" s="15"/>
      <c r="J769" s="15"/>
      <c r="K769" s="15"/>
      <c r="L769" s="15"/>
      <c r="M769" s="15"/>
      <c r="N769" s="15"/>
      <c r="O769" s="15"/>
      <c r="P769" s="15"/>
      <c r="Q769" s="15"/>
    </row>
    <row r="770" spans="2:17" x14ac:dyDescent="0.3">
      <c r="B770" s="6"/>
      <c r="C770" s="15"/>
      <c r="D770" s="15"/>
      <c r="E770" s="15"/>
      <c r="F770" s="15"/>
      <c r="G770" s="15"/>
      <c r="H770" s="15"/>
      <c r="I770" s="15"/>
      <c r="J770" s="15"/>
      <c r="K770" s="15"/>
      <c r="L770" s="15"/>
      <c r="M770" s="15"/>
      <c r="N770" s="15"/>
      <c r="O770" s="15"/>
      <c r="P770" s="15"/>
      <c r="Q770" s="15"/>
    </row>
    <row r="771" spans="2:17" x14ac:dyDescent="0.3">
      <c r="B771" s="6"/>
      <c r="C771" s="15"/>
      <c r="D771" s="15"/>
      <c r="E771" s="15"/>
      <c r="F771" s="15"/>
      <c r="G771" s="15"/>
      <c r="H771" s="15"/>
      <c r="I771" s="15"/>
      <c r="J771" s="15"/>
      <c r="K771" s="15"/>
      <c r="L771" s="15"/>
      <c r="M771" s="15"/>
      <c r="N771" s="15"/>
      <c r="O771" s="15"/>
      <c r="P771" s="15"/>
      <c r="Q771" s="15"/>
    </row>
    <row r="772" spans="2:17" x14ac:dyDescent="0.3">
      <c r="B772" s="6"/>
      <c r="C772" s="15"/>
      <c r="D772" s="15"/>
      <c r="E772" s="15"/>
      <c r="F772" s="15"/>
      <c r="G772" s="15"/>
      <c r="H772" s="15"/>
      <c r="I772" s="15"/>
      <c r="J772" s="15"/>
      <c r="K772" s="15"/>
      <c r="L772" s="15"/>
      <c r="M772" s="15"/>
      <c r="N772" s="15"/>
      <c r="O772" s="15"/>
      <c r="P772" s="15"/>
      <c r="Q772" s="15"/>
    </row>
    <row r="773" spans="2:17" x14ac:dyDescent="0.3">
      <c r="B773" s="6"/>
      <c r="C773" s="15"/>
      <c r="D773" s="15"/>
      <c r="E773" s="15"/>
      <c r="F773" s="15"/>
      <c r="G773" s="15"/>
      <c r="H773" s="15"/>
      <c r="I773" s="15"/>
      <c r="J773" s="15"/>
      <c r="K773" s="15"/>
      <c r="L773" s="15"/>
      <c r="M773" s="15"/>
      <c r="N773" s="15"/>
      <c r="O773" s="15"/>
      <c r="P773" s="15"/>
      <c r="Q773" s="15"/>
    </row>
    <row r="774" spans="2:17" x14ac:dyDescent="0.3">
      <c r="B774" s="6"/>
      <c r="C774" s="15"/>
      <c r="D774" s="15"/>
      <c r="E774" s="15"/>
      <c r="F774" s="15"/>
      <c r="G774" s="15"/>
      <c r="H774" s="15"/>
      <c r="I774" s="15"/>
      <c r="J774" s="15"/>
      <c r="K774" s="15"/>
      <c r="L774" s="15"/>
      <c r="M774" s="15"/>
      <c r="N774" s="15"/>
      <c r="O774" s="15"/>
      <c r="P774" s="15"/>
      <c r="Q774" s="15"/>
    </row>
    <row r="775" spans="2:17" x14ac:dyDescent="0.3">
      <c r="B775" s="6"/>
      <c r="C775" s="15"/>
      <c r="D775" s="15"/>
      <c r="E775" s="15"/>
      <c r="F775" s="15"/>
      <c r="G775" s="15"/>
      <c r="H775" s="15"/>
      <c r="I775" s="15"/>
      <c r="J775" s="15"/>
      <c r="K775" s="15"/>
      <c r="L775" s="15"/>
      <c r="M775" s="15"/>
      <c r="N775" s="15"/>
      <c r="O775" s="15"/>
      <c r="P775" s="15"/>
      <c r="Q775" s="15"/>
    </row>
    <row r="776" spans="2:17" x14ac:dyDescent="0.3">
      <c r="B776" s="6"/>
      <c r="C776" s="15"/>
      <c r="D776" s="15"/>
      <c r="E776" s="15"/>
      <c r="F776" s="15"/>
      <c r="G776" s="15"/>
      <c r="H776" s="15"/>
      <c r="I776" s="15"/>
      <c r="J776" s="15"/>
      <c r="K776" s="15"/>
      <c r="L776" s="15"/>
      <c r="M776" s="15"/>
      <c r="N776" s="15"/>
      <c r="O776" s="15"/>
      <c r="P776" s="15"/>
      <c r="Q776" s="15"/>
    </row>
    <row r="777" spans="2:17" x14ac:dyDescent="0.3">
      <c r="B777" s="6"/>
      <c r="C777" s="15"/>
      <c r="D777" s="15"/>
      <c r="E777" s="15"/>
      <c r="F777" s="15"/>
      <c r="G777" s="15"/>
      <c r="H777" s="15"/>
      <c r="I777" s="15"/>
      <c r="J777" s="15"/>
      <c r="K777" s="15"/>
      <c r="L777" s="15"/>
      <c r="M777" s="15"/>
      <c r="N777" s="15"/>
      <c r="O777" s="15"/>
      <c r="P777" s="15"/>
      <c r="Q777" s="15"/>
    </row>
    <row r="778" spans="2:17" x14ac:dyDescent="0.3">
      <c r="B778" s="6"/>
      <c r="C778" s="15"/>
      <c r="D778" s="15"/>
      <c r="E778" s="15"/>
      <c r="F778" s="15"/>
      <c r="G778" s="15"/>
      <c r="H778" s="15"/>
      <c r="I778" s="15"/>
      <c r="J778" s="15"/>
      <c r="K778" s="15"/>
      <c r="L778" s="15"/>
      <c r="M778" s="15"/>
      <c r="N778" s="15"/>
      <c r="O778" s="15"/>
      <c r="P778" s="15"/>
      <c r="Q778" s="15"/>
    </row>
    <row r="779" spans="2:17" x14ac:dyDescent="0.3">
      <c r="B779" s="6"/>
      <c r="C779" s="15"/>
      <c r="D779" s="15"/>
      <c r="E779" s="15"/>
      <c r="F779" s="15"/>
      <c r="G779" s="15"/>
      <c r="H779" s="15"/>
      <c r="I779" s="15"/>
      <c r="J779" s="15"/>
      <c r="K779" s="15"/>
      <c r="L779" s="15"/>
      <c r="M779" s="15"/>
      <c r="N779" s="15"/>
      <c r="O779" s="15"/>
      <c r="P779" s="15"/>
      <c r="Q779" s="15"/>
    </row>
    <row r="780" spans="2:17" x14ac:dyDescent="0.3">
      <c r="B780" s="6"/>
      <c r="C780" s="15"/>
      <c r="D780" s="15"/>
      <c r="E780" s="15"/>
      <c r="F780" s="15"/>
      <c r="G780" s="15"/>
      <c r="H780" s="15"/>
      <c r="I780" s="15"/>
      <c r="J780" s="15"/>
      <c r="K780" s="15"/>
      <c r="L780" s="15"/>
      <c r="M780" s="15"/>
      <c r="N780" s="15"/>
      <c r="O780" s="15"/>
      <c r="P780" s="15"/>
      <c r="Q780" s="15"/>
    </row>
    <row r="781" spans="2:17" x14ac:dyDescent="0.3">
      <c r="B781" s="6"/>
      <c r="C781" s="15"/>
      <c r="D781" s="15"/>
      <c r="E781" s="15"/>
      <c r="F781" s="15"/>
      <c r="G781" s="15"/>
      <c r="H781" s="15"/>
      <c r="I781" s="15"/>
      <c r="J781" s="15"/>
      <c r="K781" s="15"/>
      <c r="L781" s="15"/>
      <c r="M781" s="15"/>
      <c r="N781" s="15"/>
      <c r="O781" s="15"/>
      <c r="P781" s="15"/>
      <c r="Q781" s="15"/>
    </row>
    <row r="782" spans="2:17" x14ac:dyDescent="0.3">
      <c r="B782" s="6"/>
      <c r="C782" s="15"/>
      <c r="D782" s="15"/>
      <c r="E782" s="15"/>
      <c r="F782" s="15"/>
      <c r="G782" s="15"/>
      <c r="H782" s="15"/>
      <c r="I782" s="15"/>
      <c r="J782" s="15"/>
      <c r="K782" s="15"/>
      <c r="L782" s="15"/>
      <c r="M782" s="15"/>
      <c r="N782" s="15"/>
      <c r="O782" s="15"/>
      <c r="P782" s="15"/>
      <c r="Q782" s="15"/>
    </row>
    <row r="783" spans="2:17" x14ac:dyDescent="0.3">
      <c r="B783" s="6"/>
      <c r="C783" s="15"/>
      <c r="D783" s="15"/>
      <c r="E783" s="15"/>
      <c r="F783" s="15"/>
      <c r="G783" s="15"/>
      <c r="H783" s="15"/>
      <c r="I783" s="15"/>
      <c r="J783" s="15"/>
      <c r="K783" s="15"/>
      <c r="L783" s="15"/>
      <c r="M783" s="15"/>
      <c r="N783" s="15"/>
      <c r="O783" s="15"/>
      <c r="P783" s="15"/>
      <c r="Q783" s="15"/>
    </row>
    <row r="784" spans="2:17" x14ac:dyDescent="0.3">
      <c r="B784" s="6"/>
      <c r="C784" s="15"/>
      <c r="D784" s="15"/>
      <c r="E784" s="15"/>
      <c r="F784" s="15"/>
      <c r="G784" s="15"/>
      <c r="H784" s="15"/>
      <c r="I784" s="15"/>
      <c r="J784" s="15"/>
      <c r="K784" s="15"/>
      <c r="L784" s="15"/>
      <c r="M784" s="15"/>
      <c r="N784" s="15"/>
      <c r="O784" s="15"/>
      <c r="P784" s="15"/>
      <c r="Q784" s="15"/>
    </row>
    <row r="785" spans="2:17" x14ac:dyDescent="0.3">
      <c r="B785" s="6"/>
      <c r="C785" s="15"/>
      <c r="D785" s="15"/>
      <c r="E785" s="15"/>
      <c r="F785" s="15"/>
      <c r="G785" s="15"/>
      <c r="H785" s="15"/>
      <c r="I785" s="15"/>
      <c r="J785" s="15"/>
      <c r="K785" s="15"/>
      <c r="L785" s="15"/>
      <c r="M785" s="15"/>
      <c r="N785" s="15"/>
      <c r="O785" s="15"/>
      <c r="P785" s="15"/>
      <c r="Q785" s="15"/>
    </row>
    <row r="786" spans="2:17" x14ac:dyDescent="0.3">
      <c r="B786" s="6"/>
      <c r="C786" s="15"/>
      <c r="D786" s="15"/>
      <c r="E786" s="15"/>
      <c r="F786" s="15"/>
      <c r="G786" s="15"/>
      <c r="H786" s="15"/>
      <c r="I786" s="15"/>
      <c r="J786" s="15"/>
      <c r="K786" s="15"/>
      <c r="L786" s="15"/>
      <c r="M786" s="15"/>
      <c r="N786" s="15"/>
      <c r="O786" s="15"/>
      <c r="P786" s="15"/>
      <c r="Q786" s="15"/>
    </row>
    <row r="787" spans="2:17" x14ac:dyDescent="0.3">
      <c r="B787" s="6"/>
      <c r="C787" s="15"/>
      <c r="D787" s="15"/>
      <c r="E787" s="15"/>
      <c r="F787" s="15"/>
      <c r="G787" s="15"/>
      <c r="H787" s="15"/>
      <c r="I787" s="15"/>
      <c r="J787" s="15"/>
      <c r="K787" s="15"/>
      <c r="L787" s="15"/>
      <c r="M787" s="15"/>
      <c r="N787" s="15"/>
      <c r="O787" s="15"/>
      <c r="P787" s="15"/>
      <c r="Q787" s="15"/>
    </row>
    <row r="788" spans="2:17" x14ac:dyDescent="0.3">
      <c r="B788" s="6"/>
      <c r="C788" s="15"/>
      <c r="D788" s="15"/>
      <c r="E788" s="15"/>
      <c r="F788" s="15"/>
      <c r="G788" s="15"/>
      <c r="H788" s="15"/>
      <c r="I788" s="15"/>
      <c r="J788" s="15"/>
      <c r="K788" s="15"/>
      <c r="L788" s="15"/>
      <c r="M788" s="15"/>
      <c r="N788" s="15"/>
      <c r="O788" s="15"/>
      <c r="P788" s="15"/>
      <c r="Q788" s="15"/>
    </row>
    <row r="789" spans="2:17" x14ac:dyDescent="0.3">
      <c r="B789" s="6"/>
      <c r="C789" s="15"/>
      <c r="D789" s="15"/>
      <c r="E789" s="15"/>
      <c r="F789" s="15"/>
      <c r="G789" s="15"/>
      <c r="H789" s="15"/>
      <c r="I789" s="15"/>
      <c r="J789" s="15"/>
      <c r="K789" s="15"/>
      <c r="L789" s="15"/>
      <c r="M789" s="15"/>
      <c r="N789" s="15"/>
      <c r="O789" s="15"/>
      <c r="P789" s="15"/>
      <c r="Q789" s="15"/>
    </row>
    <row r="790" spans="2:17" x14ac:dyDescent="0.3">
      <c r="B790" s="6"/>
      <c r="C790" s="15"/>
      <c r="D790" s="15"/>
      <c r="E790" s="15"/>
      <c r="F790" s="15"/>
      <c r="G790" s="15"/>
      <c r="H790" s="15"/>
      <c r="I790" s="15"/>
      <c r="J790" s="15"/>
      <c r="K790" s="15"/>
      <c r="L790" s="15"/>
      <c r="M790" s="15"/>
      <c r="N790" s="15"/>
      <c r="O790" s="15"/>
      <c r="P790" s="15"/>
      <c r="Q790" s="15"/>
    </row>
    <row r="791" spans="2:17" x14ac:dyDescent="0.3">
      <c r="B791" s="6"/>
      <c r="C791" s="15"/>
      <c r="D791" s="15"/>
      <c r="E791" s="15"/>
      <c r="F791" s="15"/>
      <c r="G791" s="15"/>
      <c r="H791" s="15"/>
      <c r="I791" s="15"/>
      <c r="J791" s="15"/>
      <c r="K791" s="15"/>
      <c r="L791" s="15"/>
      <c r="M791" s="15"/>
      <c r="N791" s="15"/>
      <c r="O791" s="15"/>
      <c r="P791" s="15"/>
      <c r="Q791" s="15"/>
    </row>
    <row r="792" spans="2:17" x14ac:dyDescent="0.3">
      <c r="B792" s="6"/>
      <c r="C792" s="15"/>
      <c r="D792" s="15"/>
      <c r="E792" s="15"/>
      <c r="F792" s="15"/>
      <c r="G792" s="15"/>
      <c r="H792" s="15"/>
      <c r="I792" s="15"/>
      <c r="J792" s="15"/>
      <c r="K792" s="15"/>
      <c r="L792" s="15"/>
      <c r="M792" s="15"/>
      <c r="N792" s="15"/>
      <c r="O792" s="15"/>
      <c r="P792" s="15"/>
      <c r="Q792" s="15"/>
    </row>
    <row r="793" spans="2:17" x14ac:dyDescent="0.3">
      <c r="B793" s="6"/>
      <c r="C793" s="15"/>
      <c r="D793" s="15"/>
      <c r="E793" s="15"/>
      <c r="F793" s="15"/>
      <c r="G793" s="15"/>
      <c r="H793" s="15"/>
      <c r="I793" s="15"/>
      <c r="J793" s="15"/>
      <c r="K793" s="15"/>
      <c r="L793" s="15"/>
      <c r="M793" s="15"/>
      <c r="N793" s="15"/>
      <c r="O793" s="15"/>
      <c r="P793" s="15"/>
      <c r="Q793" s="15"/>
    </row>
    <row r="794" spans="2:17" x14ac:dyDescent="0.3">
      <c r="B794" s="6"/>
      <c r="C794" s="15"/>
      <c r="D794" s="15"/>
      <c r="E794" s="15"/>
      <c r="F794" s="15"/>
      <c r="G794" s="15"/>
      <c r="H794" s="15"/>
      <c r="I794" s="15"/>
      <c r="J794" s="15"/>
      <c r="K794" s="15"/>
      <c r="L794" s="15"/>
      <c r="M794" s="15"/>
      <c r="N794" s="15"/>
      <c r="O794" s="15"/>
      <c r="P794" s="15"/>
      <c r="Q794" s="15"/>
    </row>
    <row r="795" spans="2:17" x14ac:dyDescent="0.3">
      <c r="B795" s="6"/>
      <c r="C795" s="15"/>
      <c r="D795" s="15"/>
      <c r="E795" s="15"/>
      <c r="F795" s="15"/>
      <c r="G795" s="15"/>
      <c r="H795" s="15"/>
      <c r="I795" s="15"/>
      <c r="J795" s="15"/>
      <c r="K795" s="15"/>
      <c r="L795" s="15"/>
      <c r="M795" s="15"/>
      <c r="N795" s="15"/>
      <c r="O795" s="15"/>
      <c r="P795" s="15"/>
      <c r="Q795" s="15"/>
    </row>
    <row r="796" spans="2:17" x14ac:dyDescent="0.3">
      <c r="B796" s="6"/>
      <c r="C796" s="15"/>
      <c r="D796" s="15"/>
      <c r="E796" s="15"/>
      <c r="F796" s="15"/>
      <c r="G796" s="15"/>
      <c r="H796" s="15"/>
      <c r="I796" s="15"/>
      <c r="J796" s="15"/>
      <c r="K796" s="15"/>
      <c r="L796" s="15"/>
      <c r="M796" s="15"/>
      <c r="N796" s="15"/>
      <c r="O796" s="15"/>
      <c r="P796" s="15"/>
      <c r="Q796" s="15"/>
    </row>
    <row r="797" spans="2:17" x14ac:dyDescent="0.3">
      <c r="B797" s="6"/>
      <c r="C797" s="15"/>
      <c r="D797" s="15"/>
      <c r="E797" s="15"/>
      <c r="F797" s="15"/>
      <c r="G797" s="15"/>
      <c r="H797" s="15"/>
      <c r="I797" s="15"/>
      <c r="J797" s="15"/>
      <c r="K797" s="15"/>
      <c r="L797" s="15"/>
      <c r="M797" s="15"/>
      <c r="N797" s="15"/>
      <c r="O797" s="15"/>
      <c r="P797" s="15"/>
      <c r="Q797" s="15"/>
    </row>
    <row r="798" spans="2:17" x14ac:dyDescent="0.3">
      <c r="B798" s="6"/>
      <c r="C798" s="15"/>
      <c r="D798" s="15"/>
      <c r="E798" s="15"/>
      <c r="F798" s="15"/>
      <c r="G798" s="15"/>
      <c r="H798" s="15"/>
      <c r="I798" s="15"/>
      <c r="J798" s="15"/>
      <c r="K798" s="15"/>
      <c r="L798" s="15"/>
      <c r="M798" s="15"/>
      <c r="N798" s="15"/>
      <c r="O798" s="15"/>
      <c r="P798" s="15"/>
      <c r="Q798" s="15"/>
    </row>
    <row r="799" spans="2:17" x14ac:dyDescent="0.3">
      <c r="B799" s="6"/>
      <c r="C799" s="15"/>
      <c r="D799" s="15"/>
      <c r="E799" s="15"/>
      <c r="F799" s="15"/>
      <c r="G799" s="15"/>
      <c r="H799" s="15"/>
      <c r="I799" s="15"/>
      <c r="J799" s="15"/>
      <c r="K799" s="15"/>
      <c r="L799" s="15"/>
      <c r="M799" s="15"/>
      <c r="N799" s="15"/>
      <c r="O799" s="15"/>
      <c r="P799" s="15"/>
      <c r="Q799" s="15"/>
    </row>
    <row r="800" spans="2:17" x14ac:dyDescent="0.3">
      <c r="B800" s="6"/>
      <c r="C800" s="15"/>
      <c r="D800" s="15"/>
      <c r="E800" s="15"/>
      <c r="F800" s="15"/>
      <c r="G800" s="15"/>
      <c r="H800" s="15"/>
      <c r="I800" s="15"/>
      <c r="J800" s="15"/>
      <c r="K800" s="15"/>
      <c r="L800" s="15"/>
      <c r="M800" s="15"/>
      <c r="N800" s="15"/>
      <c r="O800" s="15"/>
      <c r="P800" s="15"/>
      <c r="Q800" s="15"/>
    </row>
    <row r="801" spans="2:17" x14ac:dyDescent="0.3">
      <c r="B801" s="6"/>
      <c r="C801" s="15"/>
      <c r="D801" s="15"/>
      <c r="E801" s="15"/>
      <c r="F801" s="15"/>
      <c r="G801" s="15"/>
      <c r="H801" s="15"/>
      <c r="I801" s="15"/>
      <c r="J801" s="15"/>
      <c r="K801" s="15"/>
      <c r="L801" s="15"/>
      <c r="M801" s="15"/>
      <c r="N801" s="15"/>
      <c r="O801" s="15"/>
      <c r="P801" s="15"/>
      <c r="Q801" s="15"/>
    </row>
    <row r="802" spans="2:17" x14ac:dyDescent="0.3">
      <c r="B802" s="6"/>
      <c r="C802" s="15"/>
      <c r="D802" s="15"/>
      <c r="E802" s="15"/>
      <c r="F802" s="15"/>
      <c r="G802" s="15"/>
      <c r="H802" s="15"/>
      <c r="I802" s="15"/>
      <c r="J802" s="15"/>
      <c r="K802" s="15"/>
      <c r="L802" s="15"/>
      <c r="M802" s="15"/>
      <c r="N802" s="15"/>
      <c r="O802" s="15"/>
      <c r="P802" s="15"/>
      <c r="Q802" s="15"/>
    </row>
    <row r="803" spans="2:17" x14ac:dyDescent="0.3">
      <c r="B803" s="6"/>
      <c r="C803" s="15"/>
      <c r="D803" s="15"/>
      <c r="E803" s="15"/>
      <c r="F803" s="15"/>
      <c r="G803" s="15"/>
      <c r="H803" s="15"/>
      <c r="I803" s="15"/>
      <c r="J803" s="15"/>
      <c r="K803" s="15"/>
      <c r="L803" s="15"/>
      <c r="M803" s="15"/>
      <c r="N803" s="15"/>
      <c r="O803" s="15"/>
      <c r="P803" s="15"/>
      <c r="Q803" s="15"/>
    </row>
    <row r="804" spans="2:17" x14ac:dyDescent="0.3">
      <c r="B804" s="6"/>
      <c r="C804" s="15"/>
      <c r="D804" s="15"/>
      <c r="E804" s="15"/>
      <c r="F804" s="15"/>
      <c r="G804" s="15"/>
      <c r="H804" s="15"/>
      <c r="I804" s="15"/>
      <c r="J804" s="15"/>
      <c r="K804" s="15"/>
      <c r="L804" s="15"/>
      <c r="M804" s="15"/>
      <c r="N804" s="15"/>
      <c r="O804" s="15"/>
      <c r="P804" s="15"/>
      <c r="Q804" s="15"/>
    </row>
    <row r="805" spans="2:17" x14ac:dyDescent="0.3">
      <c r="B805" s="6"/>
      <c r="C805" s="15"/>
      <c r="D805" s="15"/>
      <c r="E805" s="15"/>
      <c r="F805" s="15"/>
      <c r="G805" s="15"/>
      <c r="H805" s="15"/>
      <c r="I805" s="15"/>
      <c r="J805" s="15"/>
      <c r="K805" s="15"/>
      <c r="L805" s="15"/>
      <c r="M805" s="15"/>
      <c r="N805" s="15"/>
      <c r="O805" s="15"/>
      <c r="P805" s="15"/>
      <c r="Q805" s="15"/>
    </row>
    <row r="806" spans="2:17" x14ac:dyDescent="0.3">
      <c r="B806" s="6"/>
      <c r="C806" s="15"/>
      <c r="D806" s="15"/>
      <c r="E806" s="15"/>
      <c r="F806" s="15"/>
      <c r="G806" s="15"/>
      <c r="H806" s="15"/>
      <c r="I806" s="15"/>
      <c r="J806" s="15"/>
      <c r="K806" s="15"/>
      <c r="L806" s="15"/>
      <c r="M806" s="15"/>
      <c r="N806" s="15"/>
      <c r="O806" s="15"/>
      <c r="P806" s="15"/>
      <c r="Q806" s="15"/>
    </row>
    <row r="807" spans="2:17" x14ac:dyDescent="0.3">
      <c r="B807" s="6"/>
      <c r="C807" s="15"/>
      <c r="D807" s="15"/>
      <c r="E807" s="15"/>
      <c r="F807" s="15"/>
      <c r="G807" s="15"/>
      <c r="H807" s="15"/>
      <c r="I807" s="15"/>
      <c r="J807" s="15"/>
      <c r="K807" s="15"/>
      <c r="L807" s="15"/>
      <c r="M807" s="15"/>
      <c r="N807" s="15"/>
      <c r="O807" s="15"/>
      <c r="P807" s="15"/>
      <c r="Q807" s="15"/>
    </row>
    <row r="808" spans="2:17" x14ac:dyDescent="0.3">
      <c r="B808" s="6"/>
      <c r="C808" s="15"/>
      <c r="D808" s="15"/>
      <c r="E808" s="15"/>
      <c r="F808" s="15"/>
      <c r="G808" s="15"/>
      <c r="H808" s="15"/>
      <c r="I808" s="15"/>
      <c r="J808" s="15"/>
      <c r="K808" s="15"/>
      <c r="L808" s="15"/>
      <c r="M808" s="15"/>
      <c r="N808" s="15"/>
      <c r="O808" s="15"/>
      <c r="P808" s="15"/>
      <c r="Q808" s="15"/>
    </row>
    <row r="809" spans="2:17" x14ac:dyDescent="0.3">
      <c r="B809" s="6"/>
      <c r="C809" s="15"/>
      <c r="D809" s="15"/>
      <c r="E809" s="15"/>
      <c r="F809" s="15"/>
      <c r="G809" s="15"/>
      <c r="H809" s="15"/>
      <c r="I809" s="15"/>
      <c r="J809" s="15"/>
      <c r="K809" s="15"/>
      <c r="L809" s="15"/>
      <c r="M809" s="15"/>
      <c r="N809" s="15"/>
      <c r="O809" s="15"/>
      <c r="P809" s="15"/>
      <c r="Q809" s="15"/>
    </row>
    <row r="810" spans="2:17" x14ac:dyDescent="0.3">
      <c r="B810" s="6"/>
      <c r="C810" s="15"/>
      <c r="D810" s="15"/>
      <c r="E810" s="15"/>
      <c r="F810" s="15"/>
      <c r="G810" s="15"/>
      <c r="H810" s="15"/>
      <c r="I810" s="15"/>
      <c r="J810" s="15"/>
      <c r="K810" s="15"/>
      <c r="L810" s="15"/>
      <c r="M810" s="15"/>
      <c r="N810" s="15"/>
      <c r="O810" s="15"/>
      <c r="P810" s="15"/>
      <c r="Q810" s="15"/>
    </row>
    <row r="811" spans="2:17" x14ac:dyDescent="0.3">
      <c r="B811" s="6"/>
      <c r="C811" s="15"/>
      <c r="D811" s="15"/>
      <c r="E811" s="15"/>
      <c r="F811" s="15"/>
      <c r="G811" s="15"/>
      <c r="H811" s="15"/>
      <c r="I811" s="15"/>
      <c r="J811" s="15"/>
      <c r="K811" s="15"/>
      <c r="L811" s="15"/>
      <c r="M811" s="15"/>
      <c r="N811" s="15"/>
      <c r="O811" s="15"/>
      <c r="P811" s="15"/>
      <c r="Q811" s="15"/>
    </row>
    <row r="812" spans="2:17" x14ac:dyDescent="0.3">
      <c r="B812" s="6"/>
      <c r="C812" s="15"/>
      <c r="D812" s="15"/>
      <c r="E812" s="15"/>
      <c r="F812" s="15"/>
      <c r="G812" s="15"/>
      <c r="H812" s="15"/>
      <c r="I812" s="15"/>
      <c r="J812" s="15"/>
      <c r="K812" s="15"/>
      <c r="L812" s="15"/>
      <c r="M812" s="15"/>
      <c r="N812" s="15"/>
      <c r="O812" s="15"/>
      <c r="P812" s="15"/>
      <c r="Q812" s="15"/>
    </row>
    <row r="813" spans="2:17" x14ac:dyDescent="0.3">
      <c r="B813" s="6"/>
      <c r="C813" s="15"/>
      <c r="D813" s="15"/>
      <c r="E813" s="15"/>
      <c r="F813" s="15"/>
      <c r="G813" s="15"/>
      <c r="H813" s="15"/>
      <c r="I813" s="15"/>
      <c r="J813" s="15"/>
      <c r="K813" s="15"/>
      <c r="L813" s="15"/>
      <c r="M813" s="15"/>
      <c r="N813" s="15"/>
      <c r="O813" s="15"/>
      <c r="P813" s="15"/>
      <c r="Q813" s="15"/>
    </row>
    <row r="814" spans="2:17" x14ac:dyDescent="0.3">
      <c r="B814" s="6"/>
      <c r="C814" s="15"/>
      <c r="D814" s="15"/>
      <c r="E814" s="15"/>
      <c r="F814" s="15"/>
      <c r="G814" s="15"/>
      <c r="H814" s="15"/>
      <c r="I814" s="15"/>
      <c r="J814" s="15"/>
      <c r="K814" s="15"/>
      <c r="L814" s="15"/>
      <c r="M814" s="15"/>
      <c r="N814" s="15"/>
      <c r="O814" s="15"/>
      <c r="P814" s="15"/>
      <c r="Q814" s="15"/>
    </row>
    <row r="815" spans="2:17" x14ac:dyDescent="0.3">
      <c r="B815" s="6"/>
      <c r="C815" s="15"/>
      <c r="D815" s="15"/>
      <c r="E815" s="15"/>
      <c r="F815" s="15"/>
      <c r="G815" s="15"/>
      <c r="H815" s="15"/>
      <c r="I815" s="15"/>
      <c r="J815" s="15"/>
      <c r="K815" s="15"/>
      <c r="L815" s="15"/>
      <c r="M815" s="15"/>
      <c r="N815" s="15"/>
      <c r="O815" s="15"/>
      <c r="P815" s="15"/>
      <c r="Q815" s="15"/>
    </row>
    <row r="816" spans="2:17" x14ac:dyDescent="0.3">
      <c r="B816" s="6"/>
      <c r="C816" s="15"/>
      <c r="D816" s="15"/>
      <c r="E816" s="15"/>
      <c r="F816" s="15"/>
      <c r="G816" s="15"/>
      <c r="H816" s="15"/>
      <c r="I816" s="15"/>
      <c r="J816" s="15"/>
      <c r="K816" s="15"/>
      <c r="L816" s="15"/>
      <c r="M816" s="15"/>
      <c r="N816" s="15"/>
      <c r="O816" s="15"/>
      <c r="P816" s="15"/>
      <c r="Q816" s="15"/>
    </row>
    <row r="817" spans="2:17" x14ac:dyDescent="0.3">
      <c r="B817" s="6"/>
      <c r="C817" s="15"/>
      <c r="D817" s="15"/>
      <c r="E817" s="15"/>
      <c r="F817" s="15"/>
      <c r="G817" s="15"/>
      <c r="H817" s="15"/>
      <c r="I817" s="15"/>
      <c r="J817" s="15"/>
      <c r="K817" s="15"/>
      <c r="L817" s="15"/>
      <c r="M817" s="15"/>
      <c r="N817" s="15"/>
      <c r="O817" s="15"/>
      <c r="P817" s="15"/>
      <c r="Q817" s="15"/>
    </row>
    <row r="818" spans="2:17" x14ac:dyDescent="0.3">
      <c r="B818" s="6"/>
      <c r="C818" s="15"/>
      <c r="D818" s="15"/>
      <c r="E818" s="15"/>
      <c r="F818" s="15"/>
      <c r="G818" s="15"/>
      <c r="H818" s="15"/>
      <c r="I818" s="15"/>
      <c r="J818" s="15"/>
      <c r="K818" s="15"/>
      <c r="L818" s="15"/>
      <c r="M818" s="15"/>
      <c r="N818" s="15"/>
      <c r="O818" s="15"/>
      <c r="P818" s="15"/>
      <c r="Q818" s="15"/>
    </row>
    <row r="819" spans="2:17" x14ac:dyDescent="0.3">
      <c r="B819" s="6"/>
      <c r="C819" s="15"/>
      <c r="D819" s="15"/>
      <c r="E819" s="15"/>
      <c r="F819" s="15"/>
      <c r="G819" s="15"/>
      <c r="H819" s="15"/>
      <c r="I819" s="15"/>
      <c r="J819" s="15"/>
      <c r="K819" s="15"/>
      <c r="L819" s="15"/>
      <c r="M819" s="15"/>
      <c r="N819" s="15"/>
      <c r="O819" s="15"/>
      <c r="P819" s="15"/>
      <c r="Q819" s="15"/>
    </row>
    <row r="820" spans="2:17" x14ac:dyDescent="0.3">
      <c r="B820" s="6"/>
      <c r="C820" s="15"/>
      <c r="D820" s="15"/>
      <c r="E820" s="15"/>
      <c r="F820" s="15"/>
      <c r="G820" s="15"/>
      <c r="H820" s="15"/>
      <c r="I820" s="15"/>
      <c r="J820" s="15"/>
      <c r="K820" s="15"/>
      <c r="L820" s="15"/>
      <c r="M820" s="15"/>
      <c r="N820" s="15"/>
      <c r="O820" s="15"/>
      <c r="P820" s="15"/>
      <c r="Q820" s="15"/>
    </row>
    <row r="821" spans="2:17" x14ac:dyDescent="0.3">
      <c r="B821" s="6"/>
      <c r="C821" s="15"/>
      <c r="D821" s="15"/>
      <c r="E821" s="15"/>
      <c r="F821" s="15"/>
      <c r="G821" s="15"/>
      <c r="H821" s="15"/>
      <c r="I821" s="15"/>
      <c r="J821" s="15"/>
      <c r="K821" s="15"/>
      <c r="L821" s="15"/>
      <c r="M821" s="15"/>
      <c r="N821" s="15"/>
      <c r="O821" s="15"/>
      <c r="P821" s="15"/>
      <c r="Q821" s="15"/>
    </row>
    <row r="822" spans="2:17" x14ac:dyDescent="0.3">
      <c r="B822" s="6"/>
      <c r="C822" s="15"/>
      <c r="D822" s="15"/>
      <c r="E822" s="15"/>
      <c r="F822" s="15"/>
      <c r="G822" s="15"/>
      <c r="H822" s="15"/>
      <c r="I822" s="15"/>
      <c r="J822" s="15"/>
      <c r="K822" s="15"/>
      <c r="L822" s="15"/>
      <c r="M822" s="15"/>
      <c r="N822" s="15"/>
      <c r="O822" s="15"/>
      <c r="P822" s="15"/>
      <c r="Q822" s="15"/>
    </row>
    <row r="823" spans="2:17" x14ac:dyDescent="0.3">
      <c r="B823" s="6"/>
      <c r="C823" s="15"/>
      <c r="D823" s="15"/>
      <c r="E823" s="15"/>
      <c r="F823" s="15"/>
      <c r="G823" s="15"/>
      <c r="H823" s="15"/>
      <c r="I823" s="15"/>
      <c r="J823" s="15"/>
      <c r="K823" s="15"/>
      <c r="L823" s="15"/>
      <c r="M823" s="15"/>
      <c r="N823" s="15"/>
      <c r="O823" s="15"/>
      <c r="P823" s="15"/>
      <c r="Q823" s="15"/>
    </row>
    <row r="824" spans="2:17" x14ac:dyDescent="0.3">
      <c r="B824" s="6"/>
      <c r="C824" s="15"/>
      <c r="D824" s="15"/>
      <c r="E824" s="15"/>
      <c r="F824" s="15"/>
      <c r="G824" s="15"/>
      <c r="H824" s="15"/>
      <c r="I824" s="15"/>
      <c r="J824" s="15"/>
      <c r="K824" s="15"/>
      <c r="L824" s="15"/>
      <c r="M824" s="15"/>
      <c r="N824" s="15"/>
      <c r="O824" s="15"/>
      <c r="P824" s="15"/>
      <c r="Q824" s="15"/>
    </row>
    <row r="825" spans="2:17" x14ac:dyDescent="0.3">
      <c r="B825" s="6"/>
      <c r="C825" s="15"/>
      <c r="D825" s="15"/>
      <c r="E825" s="15"/>
      <c r="F825" s="15"/>
      <c r="G825" s="15"/>
      <c r="H825" s="15"/>
      <c r="I825" s="15"/>
      <c r="J825" s="15"/>
      <c r="K825" s="15"/>
      <c r="L825" s="15"/>
      <c r="M825" s="15"/>
      <c r="N825" s="15"/>
      <c r="O825" s="15"/>
      <c r="P825" s="15"/>
      <c r="Q825" s="15"/>
    </row>
    <row r="826" spans="2:17" x14ac:dyDescent="0.3">
      <c r="B826" s="6"/>
      <c r="C826" s="15"/>
      <c r="D826" s="15"/>
      <c r="E826" s="15"/>
      <c r="F826" s="15"/>
      <c r="G826" s="15"/>
      <c r="H826" s="15"/>
      <c r="I826" s="15"/>
      <c r="J826" s="15"/>
      <c r="K826" s="15"/>
      <c r="L826" s="15"/>
      <c r="M826" s="15"/>
      <c r="N826" s="15"/>
      <c r="O826" s="15"/>
      <c r="P826" s="15"/>
      <c r="Q826" s="15"/>
    </row>
    <row r="827" spans="2:17" x14ac:dyDescent="0.3">
      <c r="B827" s="6"/>
      <c r="C827" s="15"/>
      <c r="D827" s="15"/>
      <c r="E827" s="15"/>
      <c r="F827" s="15"/>
      <c r="G827" s="15"/>
      <c r="H827" s="15"/>
      <c r="I827" s="15"/>
      <c r="J827" s="15"/>
      <c r="K827" s="15"/>
      <c r="L827" s="15"/>
      <c r="M827" s="15"/>
      <c r="N827" s="15"/>
      <c r="O827" s="15"/>
      <c r="P827" s="15"/>
      <c r="Q827" s="15"/>
    </row>
    <row r="828" spans="2:17" x14ac:dyDescent="0.3">
      <c r="B828" s="6"/>
      <c r="C828" s="15"/>
      <c r="D828" s="15"/>
      <c r="E828" s="15"/>
      <c r="F828" s="15"/>
      <c r="G828" s="15"/>
      <c r="H828" s="15"/>
      <c r="I828" s="15"/>
      <c r="J828" s="15"/>
      <c r="K828" s="15"/>
      <c r="L828" s="15"/>
      <c r="M828" s="15"/>
      <c r="N828" s="15"/>
      <c r="O828" s="15"/>
      <c r="P828" s="15"/>
      <c r="Q828" s="15"/>
    </row>
    <row r="829" spans="2:17" x14ac:dyDescent="0.3">
      <c r="B829" s="6"/>
      <c r="C829" s="15"/>
      <c r="D829" s="15"/>
      <c r="E829" s="15"/>
      <c r="F829" s="15"/>
      <c r="G829" s="15"/>
      <c r="H829" s="15"/>
      <c r="I829" s="15"/>
      <c r="J829" s="15"/>
      <c r="K829" s="15"/>
      <c r="L829" s="15"/>
      <c r="M829" s="15"/>
      <c r="N829" s="15"/>
      <c r="O829" s="15"/>
      <c r="P829" s="15"/>
      <c r="Q829" s="15"/>
    </row>
    <row r="830" spans="2:17" x14ac:dyDescent="0.3">
      <c r="B830" s="6"/>
      <c r="C830" s="15"/>
      <c r="D830" s="15"/>
      <c r="E830" s="15"/>
      <c r="F830" s="15"/>
      <c r="G830" s="15"/>
      <c r="H830" s="15"/>
      <c r="I830" s="15"/>
      <c r="J830" s="15"/>
      <c r="K830" s="15"/>
      <c r="L830" s="15"/>
      <c r="M830" s="15"/>
      <c r="N830" s="15"/>
      <c r="O830" s="15"/>
      <c r="P830" s="15"/>
      <c r="Q830" s="15"/>
    </row>
    <row r="831" spans="2:17" x14ac:dyDescent="0.3">
      <c r="B831" s="6"/>
      <c r="C831" s="15"/>
      <c r="D831" s="15"/>
      <c r="E831" s="15"/>
      <c r="F831" s="15"/>
      <c r="G831" s="15"/>
      <c r="H831" s="15"/>
      <c r="I831" s="15"/>
      <c r="J831" s="15"/>
      <c r="K831" s="15"/>
      <c r="L831" s="15"/>
      <c r="M831" s="15"/>
      <c r="N831" s="15"/>
      <c r="O831" s="15"/>
      <c r="P831" s="15"/>
      <c r="Q831" s="15"/>
    </row>
    <row r="832" spans="2:17" x14ac:dyDescent="0.3">
      <c r="B832" s="6"/>
      <c r="C832" s="15"/>
      <c r="D832" s="15"/>
      <c r="E832" s="15"/>
      <c r="F832" s="15"/>
      <c r="G832" s="15"/>
      <c r="H832" s="15"/>
      <c r="I832" s="15"/>
      <c r="J832" s="15"/>
      <c r="K832" s="15"/>
      <c r="L832" s="15"/>
      <c r="M832" s="15"/>
      <c r="N832" s="15"/>
      <c r="O832" s="15"/>
      <c r="P832" s="15"/>
      <c r="Q832" s="15"/>
    </row>
    <row r="833" spans="2:17" x14ac:dyDescent="0.3">
      <c r="B833" s="6"/>
      <c r="C833" s="15"/>
      <c r="D833" s="15"/>
      <c r="E833" s="15"/>
      <c r="F833" s="15"/>
      <c r="G833" s="15"/>
      <c r="H833" s="15"/>
      <c r="I833" s="15"/>
      <c r="J833" s="15"/>
      <c r="K833" s="15"/>
      <c r="L833" s="15"/>
      <c r="M833" s="15"/>
      <c r="N833" s="15"/>
      <c r="O833" s="15"/>
      <c r="P833" s="15"/>
      <c r="Q833" s="15"/>
    </row>
    <row r="834" spans="2:17" x14ac:dyDescent="0.3">
      <c r="B834" s="6"/>
      <c r="C834" s="15"/>
      <c r="D834" s="15"/>
      <c r="E834" s="15"/>
      <c r="F834" s="15"/>
      <c r="G834" s="15"/>
      <c r="H834" s="15"/>
      <c r="I834" s="15"/>
      <c r="J834" s="15"/>
      <c r="K834" s="15"/>
      <c r="L834" s="15"/>
      <c r="M834" s="15"/>
      <c r="N834" s="15"/>
      <c r="O834" s="15"/>
      <c r="P834" s="15"/>
      <c r="Q834" s="15"/>
    </row>
    <row r="835" spans="2:17" x14ac:dyDescent="0.3">
      <c r="B835" s="6"/>
      <c r="C835" s="15"/>
      <c r="D835" s="15"/>
      <c r="E835" s="15"/>
      <c r="F835" s="15"/>
      <c r="G835" s="15"/>
      <c r="H835" s="15"/>
      <c r="I835" s="15"/>
      <c r="J835" s="15"/>
      <c r="K835" s="15"/>
      <c r="L835" s="15"/>
      <c r="M835" s="15"/>
      <c r="N835" s="15"/>
      <c r="O835" s="15"/>
      <c r="P835" s="15"/>
      <c r="Q835" s="15"/>
    </row>
    <row r="836" spans="2:17" x14ac:dyDescent="0.3">
      <c r="B836" s="6"/>
      <c r="C836" s="15"/>
      <c r="D836" s="15"/>
      <c r="E836" s="15"/>
      <c r="F836" s="15"/>
      <c r="G836" s="15"/>
      <c r="H836" s="15"/>
      <c r="I836" s="15"/>
      <c r="J836" s="15"/>
      <c r="K836" s="15"/>
      <c r="L836" s="15"/>
      <c r="M836" s="15"/>
      <c r="N836" s="15"/>
      <c r="O836" s="15"/>
      <c r="P836" s="15"/>
      <c r="Q836" s="15"/>
    </row>
    <row r="837" spans="2:17" x14ac:dyDescent="0.3">
      <c r="B837" s="6"/>
      <c r="C837" s="15"/>
      <c r="D837" s="15"/>
      <c r="E837" s="15"/>
      <c r="F837" s="15"/>
      <c r="G837" s="15"/>
      <c r="H837" s="15"/>
      <c r="I837" s="15"/>
      <c r="J837" s="15"/>
      <c r="K837" s="15"/>
      <c r="L837" s="15"/>
      <c r="M837" s="15"/>
      <c r="N837" s="15"/>
      <c r="O837" s="15"/>
      <c r="P837" s="15"/>
      <c r="Q837" s="15"/>
    </row>
    <row r="838" spans="2:17" x14ac:dyDescent="0.3">
      <c r="B838" s="6"/>
      <c r="C838" s="15"/>
      <c r="D838" s="15"/>
      <c r="E838" s="15"/>
      <c r="F838" s="15"/>
      <c r="G838" s="15"/>
      <c r="H838" s="15"/>
      <c r="I838" s="15"/>
      <c r="J838" s="15"/>
      <c r="K838" s="15"/>
      <c r="L838" s="15"/>
      <c r="M838" s="15"/>
      <c r="N838" s="15"/>
      <c r="O838" s="15"/>
      <c r="P838" s="15"/>
      <c r="Q838" s="15"/>
    </row>
    <row r="839" spans="2:17" x14ac:dyDescent="0.3">
      <c r="B839" s="6"/>
      <c r="C839" s="15"/>
      <c r="D839" s="15"/>
      <c r="E839" s="15"/>
      <c r="F839" s="15"/>
      <c r="G839" s="15"/>
      <c r="H839" s="15"/>
      <c r="I839" s="15"/>
      <c r="J839" s="15"/>
      <c r="K839" s="15"/>
      <c r="L839" s="15"/>
      <c r="M839" s="15"/>
      <c r="N839" s="15"/>
      <c r="O839" s="15"/>
      <c r="P839" s="15"/>
      <c r="Q839" s="15"/>
    </row>
    <row r="840" spans="2:17" x14ac:dyDescent="0.3">
      <c r="B840" s="6"/>
      <c r="C840" s="15"/>
      <c r="D840" s="15"/>
      <c r="E840" s="15"/>
      <c r="F840" s="15"/>
      <c r="G840" s="15"/>
      <c r="H840" s="15"/>
      <c r="I840" s="15"/>
      <c r="J840" s="15"/>
      <c r="K840" s="15"/>
      <c r="L840" s="15"/>
      <c r="M840" s="15"/>
      <c r="N840" s="15"/>
      <c r="O840" s="15"/>
      <c r="P840" s="15"/>
      <c r="Q840" s="15"/>
    </row>
    <row r="841" spans="2:17" x14ac:dyDescent="0.3">
      <c r="B841" s="6"/>
      <c r="C841" s="15"/>
      <c r="D841" s="15"/>
      <c r="E841" s="15"/>
      <c r="F841" s="15"/>
      <c r="G841" s="15"/>
      <c r="H841" s="15"/>
      <c r="I841" s="15"/>
      <c r="J841" s="15"/>
      <c r="K841" s="15"/>
      <c r="L841" s="15"/>
      <c r="M841" s="15"/>
      <c r="N841" s="15"/>
      <c r="O841" s="15"/>
      <c r="P841" s="15"/>
      <c r="Q841" s="15"/>
    </row>
    <row r="842" spans="2:17" x14ac:dyDescent="0.3">
      <c r="B842" s="6"/>
      <c r="C842" s="15"/>
      <c r="D842" s="15"/>
      <c r="E842" s="15"/>
      <c r="F842" s="15"/>
      <c r="G842" s="15"/>
      <c r="H842" s="15"/>
      <c r="I842" s="15"/>
      <c r="J842" s="15"/>
      <c r="K842" s="15"/>
      <c r="L842" s="15"/>
      <c r="M842" s="15"/>
      <c r="N842" s="15"/>
      <c r="O842" s="15"/>
      <c r="P842" s="15"/>
      <c r="Q842" s="15"/>
    </row>
    <row r="843" spans="2:17" x14ac:dyDescent="0.3">
      <c r="B843" s="6"/>
      <c r="C843" s="15"/>
      <c r="D843" s="15"/>
      <c r="E843" s="15"/>
      <c r="F843" s="15"/>
      <c r="G843" s="15"/>
      <c r="H843" s="15"/>
      <c r="I843" s="15"/>
      <c r="J843" s="15"/>
      <c r="K843" s="15"/>
      <c r="L843" s="15"/>
      <c r="M843" s="15"/>
      <c r="N843" s="15"/>
      <c r="O843" s="15"/>
      <c r="P843" s="15"/>
      <c r="Q843" s="15"/>
    </row>
    <row r="844" spans="2:17" x14ac:dyDescent="0.3">
      <c r="B844" s="6"/>
      <c r="C844" s="15"/>
      <c r="D844" s="15"/>
      <c r="E844" s="15"/>
      <c r="F844" s="15"/>
      <c r="G844" s="15"/>
      <c r="H844" s="15"/>
      <c r="I844" s="15"/>
      <c r="J844" s="15"/>
      <c r="K844" s="15"/>
      <c r="L844" s="15"/>
      <c r="M844" s="15"/>
      <c r="N844" s="15"/>
      <c r="O844" s="15"/>
      <c r="P844" s="15"/>
      <c r="Q844" s="15"/>
    </row>
    <row r="845" spans="2:17" x14ac:dyDescent="0.3">
      <c r="B845" s="6"/>
      <c r="C845" s="15"/>
      <c r="D845" s="15"/>
      <c r="E845" s="15"/>
      <c r="F845" s="15"/>
      <c r="G845" s="15"/>
      <c r="H845" s="15"/>
      <c r="I845" s="15"/>
      <c r="J845" s="15"/>
      <c r="K845" s="15"/>
      <c r="L845" s="15"/>
      <c r="M845" s="15"/>
      <c r="N845" s="15"/>
      <c r="O845" s="15"/>
      <c r="P845" s="15"/>
      <c r="Q845" s="15"/>
    </row>
    <row r="846" spans="2:17" x14ac:dyDescent="0.3">
      <c r="B846" s="6"/>
      <c r="C846" s="15"/>
      <c r="D846" s="15"/>
      <c r="E846" s="15"/>
      <c r="F846" s="15"/>
      <c r="G846" s="15"/>
      <c r="H846" s="15"/>
      <c r="I846" s="15"/>
      <c r="J846" s="15"/>
      <c r="K846" s="15"/>
      <c r="L846" s="15"/>
      <c r="M846" s="15"/>
      <c r="N846" s="15"/>
      <c r="O846" s="15"/>
      <c r="P846" s="15"/>
      <c r="Q846" s="15"/>
    </row>
    <row r="847" spans="2:17" x14ac:dyDescent="0.3">
      <c r="B847" s="6"/>
      <c r="C847" s="15"/>
      <c r="D847" s="15"/>
      <c r="E847" s="15"/>
      <c r="F847" s="15"/>
      <c r="G847" s="15"/>
      <c r="H847" s="15"/>
      <c r="I847" s="15"/>
      <c r="J847" s="15"/>
      <c r="K847" s="15"/>
      <c r="L847" s="15"/>
      <c r="M847" s="15"/>
      <c r="N847" s="15"/>
      <c r="O847" s="15"/>
      <c r="P847" s="15"/>
      <c r="Q847" s="15"/>
    </row>
    <row r="848" spans="2:17" x14ac:dyDescent="0.3">
      <c r="B848" s="6"/>
      <c r="C848" s="15"/>
      <c r="D848" s="15"/>
      <c r="E848" s="15"/>
      <c r="F848" s="15"/>
      <c r="G848" s="15"/>
      <c r="H848" s="15"/>
      <c r="I848" s="15"/>
      <c r="J848" s="15"/>
      <c r="K848" s="15"/>
      <c r="L848" s="15"/>
      <c r="M848" s="15"/>
      <c r="N848" s="15"/>
      <c r="O848" s="15"/>
      <c r="P848" s="15"/>
      <c r="Q848" s="15"/>
    </row>
    <row r="849" spans="2:17" x14ac:dyDescent="0.3">
      <c r="B849" s="6"/>
      <c r="C849" s="15"/>
      <c r="D849" s="15"/>
      <c r="E849" s="15"/>
      <c r="F849" s="15"/>
      <c r="G849" s="15"/>
      <c r="H849" s="15"/>
      <c r="I849" s="15"/>
      <c r="J849" s="15"/>
      <c r="K849" s="15"/>
      <c r="L849" s="15"/>
      <c r="M849" s="15"/>
      <c r="N849" s="15"/>
      <c r="O849" s="15"/>
      <c r="P849" s="15"/>
      <c r="Q849" s="15"/>
    </row>
    <row r="850" spans="2:17" x14ac:dyDescent="0.3">
      <c r="B850" s="6"/>
      <c r="C850" s="15"/>
      <c r="D850" s="15"/>
      <c r="E850" s="15"/>
      <c r="F850" s="15"/>
      <c r="G850" s="15"/>
      <c r="H850" s="15"/>
      <c r="I850" s="15"/>
      <c r="J850" s="15"/>
      <c r="K850" s="15"/>
      <c r="L850" s="15"/>
      <c r="M850" s="15"/>
      <c r="N850" s="15"/>
      <c r="O850" s="15"/>
      <c r="P850" s="15"/>
      <c r="Q850" s="15"/>
    </row>
    <row r="851" spans="2:17" x14ac:dyDescent="0.3">
      <c r="B851" s="6"/>
      <c r="C851" s="15"/>
      <c r="D851" s="15"/>
      <c r="E851" s="15"/>
      <c r="F851" s="15"/>
      <c r="G851" s="15"/>
      <c r="H851" s="15"/>
      <c r="I851" s="15"/>
      <c r="J851" s="15"/>
      <c r="K851" s="15"/>
      <c r="L851" s="15"/>
      <c r="M851" s="15"/>
      <c r="N851" s="15"/>
      <c r="O851" s="15"/>
      <c r="P851" s="15"/>
      <c r="Q851" s="15"/>
    </row>
    <row r="852" spans="2:17" x14ac:dyDescent="0.3">
      <c r="B852" s="6"/>
      <c r="C852" s="15"/>
      <c r="D852" s="15"/>
      <c r="E852" s="15"/>
      <c r="F852" s="15"/>
      <c r="G852" s="15"/>
      <c r="H852" s="15"/>
      <c r="I852" s="15"/>
      <c r="J852" s="15"/>
      <c r="K852" s="15"/>
      <c r="L852" s="15"/>
      <c r="M852" s="15"/>
      <c r="N852" s="15"/>
      <c r="O852" s="15"/>
      <c r="P852" s="15"/>
      <c r="Q852" s="15"/>
    </row>
    <row r="853" spans="2:17" x14ac:dyDescent="0.3">
      <c r="B853" s="6"/>
      <c r="C853" s="15"/>
      <c r="D853" s="15"/>
      <c r="E853" s="15"/>
      <c r="F853" s="15"/>
      <c r="G853" s="15"/>
      <c r="H853" s="15"/>
      <c r="I853" s="15"/>
      <c r="J853" s="15"/>
      <c r="K853" s="15"/>
      <c r="L853" s="15"/>
      <c r="M853" s="15"/>
      <c r="N853" s="15"/>
      <c r="O853" s="15"/>
      <c r="P853" s="15"/>
      <c r="Q853" s="15"/>
    </row>
    <row r="854" spans="2:17" x14ac:dyDescent="0.3">
      <c r="B854" s="6"/>
      <c r="C854" s="15"/>
      <c r="D854" s="15"/>
      <c r="E854" s="15"/>
      <c r="F854" s="15"/>
      <c r="G854" s="15"/>
      <c r="H854" s="15"/>
      <c r="I854" s="15"/>
      <c r="J854" s="15"/>
      <c r="K854" s="15"/>
      <c r="L854" s="15"/>
      <c r="M854" s="15"/>
      <c r="N854" s="15"/>
      <c r="O854" s="15"/>
      <c r="P854" s="15"/>
      <c r="Q854" s="15"/>
    </row>
    <row r="855" spans="2:17" x14ac:dyDescent="0.3">
      <c r="B855" s="6"/>
      <c r="C855" s="15"/>
      <c r="D855" s="15"/>
      <c r="E855" s="15"/>
      <c r="F855" s="15"/>
      <c r="G855" s="15"/>
      <c r="H855" s="15"/>
      <c r="I855" s="15"/>
      <c r="J855" s="15"/>
      <c r="K855" s="15"/>
      <c r="L855" s="15"/>
      <c r="M855" s="15"/>
      <c r="N855" s="15"/>
      <c r="O855" s="15"/>
      <c r="P855" s="15"/>
      <c r="Q855" s="15"/>
    </row>
    <row r="856" spans="2:17" x14ac:dyDescent="0.3">
      <c r="B856" s="6"/>
      <c r="C856" s="15"/>
      <c r="D856" s="15"/>
      <c r="E856" s="15"/>
      <c r="F856" s="15"/>
      <c r="G856" s="15"/>
      <c r="H856" s="15"/>
      <c r="I856" s="15"/>
      <c r="J856" s="15"/>
      <c r="K856" s="15"/>
      <c r="L856" s="15"/>
      <c r="M856" s="15"/>
      <c r="N856" s="15"/>
      <c r="O856" s="15"/>
      <c r="P856" s="15"/>
      <c r="Q856" s="15"/>
    </row>
    <row r="857" spans="2:17" x14ac:dyDescent="0.3">
      <c r="B857" s="6"/>
      <c r="C857" s="15"/>
      <c r="D857" s="15"/>
      <c r="E857" s="15"/>
      <c r="F857" s="15"/>
      <c r="G857" s="15"/>
      <c r="H857" s="15"/>
      <c r="I857" s="15"/>
      <c r="J857" s="15"/>
      <c r="K857" s="15"/>
      <c r="L857" s="15"/>
      <c r="M857" s="15"/>
      <c r="N857" s="15"/>
      <c r="O857" s="15"/>
      <c r="P857" s="15"/>
      <c r="Q857" s="15"/>
    </row>
    <row r="858" spans="2:17" x14ac:dyDescent="0.3">
      <c r="B858" s="6"/>
      <c r="C858" s="15"/>
      <c r="D858" s="15"/>
      <c r="E858" s="15"/>
      <c r="F858" s="15"/>
      <c r="G858" s="15"/>
      <c r="H858" s="15"/>
      <c r="I858" s="15"/>
      <c r="J858" s="15"/>
      <c r="K858" s="15"/>
      <c r="L858" s="15"/>
      <c r="M858" s="15"/>
      <c r="N858" s="15"/>
      <c r="O858" s="15"/>
      <c r="P858" s="15"/>
      <c r="Q858" s="15"/>
    </row>
    <row r="859" spans="2:17" x14ac:dyDescent="0.3">
      <c r="B859" s="6"/>
      <c r="C859" s="15"/>
      <c r="D859" s="15"/>
      <c r="E859" s="15"/>
      <c r="F859" s="15"/>
      <c r="G859" s="15"/>
      <c r="H859" s="15"/>
      <c r="I859" s="15"/>
      <c r="J859" s="15"/>
      <c r="K859" s="15"/>
      <c r="L859" s="15"/>
      <c r="M859" s="15"/>
      <c r="N859" s="15"/>
      <c r="O859" s="15"/>
      <c r="P859" s="15"/>
      <c r="Q859" s="15"/>
    </row>
    <row r="860" spans="2:17" x14ac:dyDescent="0.3">
      <c r="B860" s="6"/>
      <c r="C860" s="15"/>
      <c r="D860" s="15"/>
      <c r="E860" s="15"/>
      <c r="F860" s="15"/>
      <c r="G860" s="15"/>
      <c r="H860" s="15"/>
      <c r="I860" s="15"/>
      <c r="J860" s="15"/>
      <c r="K860" s="15"/>
      <c r="L860" s="15"/>
      <c r="M860" s="15"/>
      <c r="N860" s="15"/>
      <c r="O860" s="15"/>
      <c r="P860" s="15"/>
      <c r="Q860" s="15"/>
    </row>
    <row r="861" spans="2:17" x14ac:dyDescent="0.3">
      <c r="B861" s="6"/>
      <c r="C861" s="15"/>
      <c r="D861" s="15"/>
      <c r="E861" s="15"/>
      <c r="F861" s="15"/>
      <c r="G861" s="15"/>
      <c r="H861" s="15"/>
      <c r="I861" s="15"/>
      <c r="J861" s="15"/>
      <c r="K861" s="15"/>
      <c r="L861" s="15"/>
      <c r="M861" s="15"/>
      <c r="N861" s="15"/>
      <c r="O861" s="15"/>
      <c r="P861" s="15"/>
      <c r="Q861" s="15"/>
    </row>
    <row r="862" spans="2:17" x14ac:dyDescent="0.3">
      <c r="B862" s="6"/>
      <c r="C862" s="15"/>
      <c r="D862" s="15"/>
      <c r="E862" s="15"/>
      <c r="F862" s="15"/>
      <c r="G862" s="15"/>
      <c r="H862" s="15"/>
      <c r="I862" s="15"/>
      <c r="J862" s="15"/>
      <c r="K862" s="15"/>
      <c r="L862" s="15"/>
      <c r="M862" s="15"/>
      <c r="N862" s="15"/>
      <c r="O862" s="15"/>
      <c r="P862" s="15"/>
      <c r="Q862" s="15"/>
    </row>
    <row r="863" spans="2:17" x14ac:dyDescent="0.3">
      <c r="B863" s="6"/>
      <c r="C863" s="15"/>
      <c r="D863" s="15"/>
      <c r="E863" s="15"/>
      <c r="F863" s="15"/>
      <c r="G863" s="15"/>
      <c r="H863" s="15"/>
      <c r="I863" s="15"/>
      <c r="J863" s="15"/>
      <c r="K863" s="15"/>
      <c r="L863" s="15"/>
      <c r="M863" s="15"/>
      <c r="N863" s="15"/>
      <c r="O863" s="15"/>
      <c r="P863" s="15"/>
      <c r="Q863" s="15"/>
    </row>
    <row r="864" spans="2:17" x14ac:dyDescent="0.3">
      <c r="B864" s="6"/>
      <c r="C864" s="15"/>
      <c r="D864" s="15"/>
      <c r="E864" s="15"/>
      <c r="F864" s="15"/>
      <c r="G864" s="15"/>
      <c r="H864" s="15"/>
      <c r="I864" s="15"/>
      <c r="J864" s="15"/>
      <c r="K864" s="15"/>
      <c r="L864" s="15"/>
      <c r="M864" s="15"/>
      <c r="N864" s="15"/>
      <c r="O864" s="15"/>
      <c r="P864" s="15"/>
      <c r="Q864" s="15"/>
    </row>
    <row r="865" spans="2:17" x14ac:dyDescent="0.3">
      <c r="B865" s="6"/>
      <c r="C865" s="15"/>
      <c r="D865" s="15"/>
      <c r="E865" s="15"/>
      <c r="F865" s="15"/>
      <c r="G865" s="15"/>
      <c r="H865" s="15"/>
      <c r="I865" s="15"/>
      <c r="J865" s="15"/>
      <c r="K865" s="15"/>
      <c r="L865" s="15"/>
      <c r="M865" s="15"/>
      <c r="N865" s="15"/>
      <c r="O865" s="15"/>
      <c r="P865" s="15"/>
      <c r="Q865" s="15"/>
    </row>
    <row r="866" spans="2:17" x14ac:dyDescent="0.3">
      <c r="B866" s="6"/>
      <c r="C866" s="15"/>
      <c r="D866" s="15"/>
      <c r="E866" s="15"/>
      <c r="F866" s="15"/>
      <c r="G866" s="15"/>
      <c r="H866" s="15"/>
      <c r="I866" s="15"/>
      <c r="J866" s="15"/>
      <c r="K866" s="15"/>
      <c r="L866" s="15"/>
      <c r="M866" s="15"/>
      <c r="N866" s="15"/>
      <c r="O866" s="15"/>
      <c r="P866" s="15"/>
      <c r="Q866" s="15"/>
    </row>
    <row r="867" spans="2:17" x14ac:dyDescent="0.3">
      <c r="B867" s="6"/>
      <c r="C867" s="15"/>
      <c r="D867" s="15"/>
      <c r="E867" s="15"/>
      <c r="F867" s="15"/>
      <c r="G867" s="15"/>
      <c r="H867" s="15"/>
      <c r="I867" s="15"/>
      <c r="J867" s="15"/>
      <c r="K867" s="15"/>
      <c r="L867" s="15"/>
      <c r="M867" s="15"/>
      <c r="N867" s="15"/>
      <c r="O867" s="15"/>
      <c r="P867" s="15"/>
      <c r="Q867" s="15"/>
    </row>
    <row r="868" spans="2:17" x14ac:dyDescent="0.3">
      <c r="B868" s="6"/>
      <c r="C868" s="15"/>
      <c r="D868" s="15"/>
      <c r="E868" s="15"/>
      <c r="F868" s="15"/>
      <c r="G868" s="15"/>
      <c r="H868" s="15"/>
      <c r="I868" s="15"/>
      <c r="J868" s="15"/>
      <c r="K868" s="15"/>
      <c r="L868" s="15"/>
      <c r="M868" s="15"/>
      <c r="N868" s="15"/>
      <c r="O868" s="15"/>
      <c r="P868" s="15"/>
      <c r="Q868" s="15"/>
    </row>
    <row r="869" spans="2:17" x14ac:dyDescent="0.3">
      <c r="B869" s="6"/>
      <c r="C869" s="15"/>
      <c r="D869" s="15"/>
      <c r="E869" s="15"/>
      <c r="F869" s="15"/>
      <c r="G869" s="15"/>
      <c r="H869" s="15"/>
      <c r="I869" s="15"/>
      <c r="J869" s="15"/>
      <c r="K869" s="15"/>
      <c r="L869" s="15"/>
      <c r="M869" s="15"/>
      <c r="N869" s="15"/>
      <c r="O869" s="15"/>
      <c r="P869" s="15"/>
      <c r="Q869" s="15"/>
    </row>
    <row r="870" spans="2:17" x14ac:dyDescent="0.3">
      <c r="B870" s="6"/>
      <c r="C870" s="15"/>
      <c r="D870" s="15"/>
      <c r="E870" s="15"/>
      <c r="F870" s="15"/>
      <c r="G870" s="15"/>
      <c r="H870" s="15"/>
      <c r="I870" s="15"/>
      <c r="J870" s="15"/>
      <c r="K870" s="15"/>
      <c r="L870" s="15"/>
      <c r="M870" s="15"/>
      <c r="N870" s="15"/>
      <c r="O870" s="15"/>
      <c r="P870" s="15"/>
      <c r="Q870" s="15"/>
    </row>
    <row r="871" spans="2:17" x14ac:dyDescent="0.3">
      <c r="B871" s="6"/>
      <c r="C871" s="15"/>
      <c r="D871" s="15"/>
      <c r="E871" s="15"/>
      <c r="F871" s="15"/>
      <c r="G871" s="15"/>
      <c r="H871" s="15"/>
      <c r="I871" s="15"/>
      <c r="J871" s="15"/>
      <c r="K871" s="15"/>
      <c r="L871" s="15"/>
      <c r="M871" s="15"/>
      <c r="N871" s="15"/>
      <c r="O871" s="15"/>
      <c r="P871" s="15"/>
      <c r="Q871" s="15"/>
    </row>
    <row r="872" spans="2:17" x14ac:dyDescent="0.3">
      <c r="B872" s="6"/>
      <c r="C872" s="15"/>
      <c r="D872" s="15"/>
      <c r="E872" s="15"/>
      <c r="F872" s="15"/>
      <c r="G872" s="15"/>
      <c r="H872" s="15"/>
      <c r="I872" s="15"/>
      <c r="J872" s="15"/>
      <c r="K872" s="15"/>
      <c r="L872" s="15"/>
      <c r="M872" s="15"/>
      <c r="N872" s="15"/>
      <c r="O872" s="15"/>
      <c r="P872" s="15"/>
      <c r="Q872" s="15"/>
    </row>
    <row r="873" spans="2:17" x14ac:dyDescent="0.3">
      <c r="B873" s="6"/>
      <c r="C873" s="15"/>
      <c r="D873" s="15"/>
      <c r="E873" s="15"/>
      <c r="F873" s="15"/>
      <c r="G873" s="15"/>
      <c r="H873" s="15"/>
      <c r="I873" s="15"/>
      <c r="J873" s="15"/>
      <c r="K873" s="15"/>
      <c r="L873" s="15"/>
      <c r="M873" s="15"/>
      <c r="N873" s="15"/>
      <c r="O873" s="15"/>
      <c r="P873" s="15"/>
      <c r="Q873" s="15"/>
    </row>
    <row r="874" spans="2:17" x14ac:dyDescent="0.3">
      <c r="B874" s="6"/>
      <c r="C874" s="15"/>
      <c r="D874" s="15"/>
      <c r="E874" s="15"/>
      <c r="F874" s="15"/>
      <c r="G874" s="15"/>
      <c r="H874" s="15"/>
      <c r="I874" s="15"/>
      <c r="J874" s="15"/>
      <c r="K874" s="15"/>
      <c r="L874" s="15"/>
      <c r="M874" s="15"/>
      <c r="N874" s="15"/>
      <c r="O874" s="15"/>
      <c r="P874" s="15"/>
      <c r="Q874" s="15"/>
    </row>
    <row r="875" spans="2:17" x14ac:dyDescent="0.3">
      <c r="B875" s="6"/>
      <c r="C875" s="15"/>
      <c r="D875" s="15"/>
      <c r="E875" s="15"/>
      <c r="F875" s="15"/>
      <c r="G875" s="15"/>
      <c r="H875" s="15"/>
      <c r="I875" s="15"/>
      <c r="J875" s="15"/>
      <c r="K875" s="15"/>
      <c r="L875" s="15"/>
      <c r="M875" s="15"/>
      <c r="N875" s="15"/>
      <c r="O875" s="15"/>
      <c r="P875" s="15"/>
      <c r="Q875" s="15"/>
    </row>
    <row r="876" spans="2:17" x14ac:dyDescent="0.3">
      <c r="B876" s="6"/>
      <c r="C876" s="15"/>
      <c r="D876" s="15"/>
      <c r="E876" s="15"/>
      <c r="F876" s="15"/>
      <c r="G876" s="15"/>
      <c r="H876" s="15"/>
      <c r="I876" s="15"/>
      <c r="J876" s="15"/>
      <c r="K876" s="15"/>
      <c r="L876" s="15"/>
      <c r="M876" s="15"/>
      <c r="N876" s="15"/>
      <c r="O876" s="15"/>
      <c r="P876" s="15"/>
      <c r="Q876" s="15"/>
    </row>
    <row r="877" spans="2:17" x14ac:dyDescent="0.3">
      <c r="B877" s="6"/>
      <c r="C877" s="15"/>
      <c r="D877" s="15"/>
      <c r="E877" s="15"/>
      <c r="F877" s="15"/>
      <c r="G877" s="15"/>
      <c r="H877" s="15"/>
      <c r="I877" s="15"/>
      <c r="J877" s="15"/>
      <c r="K877" s="15"/>
      <c r="L877" s="15"/>
      <c r="M877" s="15"/>
      <c r="N877" s="15"/>
      <c r="O877" s="15"/>
      <c r="P877" s="15"/>
      <c r="Q877" s="15"/>
    </row>
    <row r="878" spans="2:17" x14ac:dyDescent="0.3">
      <c r="B878" s="6"/>
      <c r="C878" s="15"/>
      <c r="D878" s="15"/>
      <c r="E878" s="15"/>
      <c r="F878" s="15"/>
      <c r="G878" s="15"/>
      <c r="H878" s="15"/>
      <c r="I878" s="15"/>
      <c r="J878" s="15"/>
      <c r="K878" s="15"/>
      <c r="L878" s="15"/>
      <c r="M878" s="15"/>
      <c r="N878" s="15"/>
      <c r="O878" s="15"/>
      <c r="P878" s="15"/>
      <c r="Q878" s="15"/>
    </row>
    <row r="879" spans="2:17" x14ac:dyDescent="0.3">
      <c r="B879" s="6"/>
      <c r="C879" s="15"/>
      <c r="D879" s="15"/>
      <c r="E879" s="15"/>
      <c r="F879" s="15"/>
      <c r="G879" s="15"/>
      <c r="H879" s="15"/>
      <c r="I879" s="15"/>
      <c r="J879" s="15"/>
      <c r="K879" s="15"/>
      <c r="L879" s="15"/>
      <c r="M879" s="15"/>
      <c r="N879" s="15"/>
      <c r="O879" s="15"/>
      <c r="P879" s="15"/>
      <c r="Q879" s="15"/>
    </row>
    <row r="880" spans="2:17" x14ac:dyDescent="0.3">
      <c r="B880" s="6"/>
      <c r="C880" s="15"/>
      <c r="D880" s="15"/>
      <c r="E880" s="15"/>
      <c r="F880" s="15"/>
      <c r="G880" s="15"/>
      <c r="H880" s="15"/>
      <c r="I880" s="15"/>
      <c r="J880" s="15"/>
      <c r="K880" s="15"/>
      <c r="L880" s="15"/>
      <c r="M880" s="15"/>
      <c r="N880" s="15"/>
      <c r="O880" s="15"/>
      <c r="P880" s="15"/>
      <c r="Q880" s="15"/>
    </row>
    <row r="881" spans="2:17" x14ac:dyDescent="0.3">
      <c r="B881" s="6"/>
      <c r="C881" s="15"/>
      <c r="D881" s="15"/>
      <c r="E881" s="15"/>
      <c r="F881" s="15"/>
      <c r="G881" s="15"/>
      <c r="H881" s="15"/>
      <c r="I881" s="15"/>
      <c r="J881" s="15"/>
      <c r="K881" s="15"/>
      <c r="L881" s="15"/>
      <c r="M881" s="15"/>
      <c r="N881" s="15"/>
      <c r="O881" s="15"/>
      <c r="P881" s="15"/>
      <c r="Q881" s="15"/>
    </row>
    <row r="882" spans="2:17" x14ac:dyDescent="0.3">
      <c r="B882" s="6"/>
      <c r="C882" s="15"/>
      <c r="D882" s="15"/>
      <c r="E882" s="15"/>
      <c r="F882" s="15"/>
      <c r="G882" s="15"/>
      <c r="H882" s="15"/>
      <c r="I882" s="15"/>
      <c r="J882" s="15"/>
      <c r="K882" s="15"/>
      <c r="L882" s="15"/>
      <c r="M882" s="15"/>
      <c r="N882" s="15"/>
      <c r="O882" s="15"/>
      <c r="P882" s="15"/>
      <c r="Q882" s="15"/>
    </row>
    <row r="883" spans="2:17" x14ac:dyDescent="0.3">
      <c r="B883" s="6"/>
      <c r="C883" s="15"/>
      <c r="D883" s="15"/>
      <c r="E883" s="15"/>
      <c r="F883" s="15"/>
      <c r="G883" s="15"/>
      <c r="H883" s="15"/>
      <c r="I883" s="15"/>
      <c r="J883" s="15"/>
      <c r="K883" s="15"/>
      <c r="L883" s="15"/>
      <c r="M883" s="15"/>
      <c r="N883" s="15"/>
      <c r="O883" s="15"/>
      <c r="P883" s="15"/>
      <c r="Q883" s="15"/>
    </row>
    <row r="884" spans="2:17" x14ac:dyDescent="0.3">
      <c r="B884" s="6"/>
      <c r="C884" s="15"/>
      <c r="D884" s="15"/>
      <c r="E884" s="15"/>
      <c r="F884" s="15"/>
      <c r="G884" s="15"/>
      <c r="H884" s="15"/>
      <c r="I884" s="15"/>
      <c r="J884" s="15"/>
      <c r="K884" s="15"/>
      <c r="L884" s="15"/>
      <c r="M884" s="15"/>
      <c r="N884" s="15"/>
      <c r="O884" s="15"/>
      <c r="P884" s="15"/>
      <c r="Q884" s="15"/>
    </row>
    <row r="885" spans="2:17" x14ac:dyDescent="0.3">
      <c r="B885" s="6"/>
      <c r="C885" s="15"/>
      <c r="D885" s="15"/>
      <c r="E885" s="15"/>
      <c r="F885" s="15"/>
      <c r="G885" s="15"/>
      <c r="H885" s="15"/>
      <c r="I885" s="15"/>
      <c r="J885" s="15"/>
      <c r="K885" s="15"/>
      <c r="L885" s="15"/>
      <c r="M885" s="15"/>
      <c r="N885" s="15"/>
      <c r="O885" s="15"/>
      <c r="P885" s="15"/>
      <c r="Q885" s="15"/>
    </row>
    <row r="886" spans="2:17" x14ac:dyDescent="0.3">
      <c r="B886" s="6"/>
      <c r="C886" s="15"/>
      <c r="D886" s="15"/>
      <c r="E886" s="15"/>
      <c r="F886" s="15"/>
      <c r="G886" s="15"/>
      <c r="H886" s="15"/>
      <c r="I886" s="15"/>
      <c r="J886" s="15"/>
      <c r="K886" s="15"/>
      <c r="L886" s="15"/>
      <c r="M886" s="15"/>
      <c r="N886" s="15"/>
      <c r="O886" s="15"/>
      <c r="P886" s="15"/>
      <c r="Q886" s="15"/>
    </row>
    <row r="887" spans="2:17" x14ac:dyDescent="0.3">
      <c r="B887" s="6"/>
      <c r="C887" s="15"/>
      <c r="D887" s="15"/>
      <c r="E887" s="15"/>
      <c r="F887" s="15"/>
      <c r="G887" s="15"/>
      <c r="H887" s="15"/>
      <c r="I887" s="15"/>
      <c r="J887" s="15"/>
      <c r="K887" s="15"/>
      <c r="L887" s="15"/>
      <c r="M887" s="15"/>
      <c r="N887" s="15"/>
      <c r="O887" s="15"/>
      <c r="P887" s="15"/>
      <c r="Q887" s="15"/>
    </row>
    <row r="888" spans="2:17" x14ac:dyDescent="0.3">
      <c r="B888" s="6"/>
      <c r="C888" s="15"/>
      <c r="D888" s="15"/>
      <c r="E888" s="15"/>
      <c r="F888" s="15"/>
      <c r="G888" s="15"/>
      <c r="H888" s="15"/>
      <c r="I888" s="15"/>
      <c r="J888" s="15"/>
      <c r="K888" s="15"/>
      <c r="L888" s="15"/>
      <c r="M888" s="15"/>
      <c r="N888" s="15"/>
      <c r="O888" s="15"/>
      <c r="P888" s="15"/>
      <c r="Q888" s="15"/>
    </row>
    <row r="889" spans="2:17" x14ac:dyDescent="0.3">
      <c r="B889" s="6"/>
      <c r="C889" s="15"/>
      <c r="D889" s="15"/>
      <c r="E889" s="15"/>
      <c r="F889" s="15"/>
      <c r="G889" s="15"/>
      <c r="H889" s="15"/>
      <c r="I889" s="15"/>
      <c r="J889" s="15"/>
      <c r="K889" s="15"/>
      <c r="L889" s="15"/>
      <c r="M889" s="15"/>
      <c r="N889" s="15"/>
      <c r="O889" s="15"/>
      <c r="P889" s="15"/>
      <c r="Q889" s="15"/>
    </row>
    <row r="890" spans="2:17" x14ac:dyDescent="0.3">
      <c r="B890" s="6"/>
      <c r="C890" s="15"/>
      <c r="D890" s="15"/>
      <c r="E890" s="15"/>
      <c r="F890" s="15"/>
      <c r="G890" s="15"/>
      <c r="H890" s="15"/>
      <c r="I890" s="15"/>
      <c r="J890" s="15"/>
      <c r="K890" s="15"/>
      <c r="L890" s="15"/>
      <c r="M890" s="15"/>
      <c r="N890" s="15"/>
      <c r="O890" s="15"/>
      <c r="P890" s="15"/>
      <c r="Q890" s="15"/>
    </row>
    <row r="891" spans="2:17" x14ac:dyDescent="0.3">
      <c r="B891" s="6"/>
      <c r="C891" s="15"/>
      <c r="D891" s="15"/>
      <c r="E891" s="15"/>
      <c r="F891" s="15"/>
      <c r="G891" s="15"/>
      <c r="H891" s="15"/>
      <c r="I891" s="15"/>
      <c r="J891" s="15"/>
      <c r="K891" s="15"/>
      <c r="L891" s="15"/>
      <c r="M891" s="15"/>
      <c r="N891" s="15"/>
      <c r="O891" s="15"/>
      <c r="P891" s="15"/>
      <c r="Q891" s="15"/>
    </row>
    <row r="892" spans="2:17" x14ac:dyDescent="0.3">
      <c r="B892" s="6"/>
      <c r="C892" s="15"/>
      <c r="D892" s="15"/>
      <c r="E892" s="15"/>
      <c r="F892" s="15"/>
      <c r="G892" s="15"/>
      <c r="H892" s="15"/>
      <c r="I892" s="15"/>
      <c r="J892" s="15"/>
      <c r="K892" s="15"/>
      <c r="L892" s="15"/>
      <c r="M892" s="15"/>
      <c r="N892" s="15"/>
      <c r="O892" s="15"/>
      <c r="P892" s="15"/>
      <c r="Q892" s="15"/>
    </row>
    <row r="893" spans="2:17" x14ac:dyDescent="0.3">
      <c r="B893" s="6"/>
      <c r="C893" s="15"/>
      <c r="D893" s="15"/>
      <c r="E893" s="15"/>
      <c r="F893" s="15"/>
      <c r="G893" s="15"/>
      <c r="H893" s="15"/>
      <c r="I893" s="15"/>
      <c r="J893" s="15"/>
      <c r="K893" s="15"/>
      <c r="L893" s="15"/>
      <c r="M893" s="15"/>
      <c r="N893" s="15"/>
      <c r="O893" s="15"/>
      <c r="P893" s="15"/>
      <c r="Q893" s="15"/>
    </row>
    <row r="894" spans="2:17" x14ac:dyDescent="0.3">
      <c r="B894" s="6"/>
      <c r="C894" s="15"/>
      <c r="D894" s="15"/>
      <c r="E894" s="15"/>
      <c r="F894" s="15"/>
      <c r="G894" s="15"/>
      <c r="H894" s="15"/>
      <c r="I894" s="15"/>
      <c r="J894" s="15"/>
      <c r="K894" s="15"/>
      <c r="L894" s="15"/>
      <c r="M894" s="15"/>
      <c r="N894" s="15"/>
      <c r="O894" s="15"/>
      <c r="P894" s="15"/>
      <c r="Q894" s="15"/>
    </row>
    <row r="895" spans="2:17" x14ac:dyDescent="0.3">
      <c r="B895" s="6"/>
      <c r="C895" s="15"/>
      <c r="D895" s="15"/>
      <c r="E895" s="15"/>
      <c r="F895" s="15"/>
      <c r="G895" s="15"/>
      <c r="H895" s="15"/>
      <c r="I895" s="15"/>
      <c r="J895" s="15"/>
      <c r="K895" s="15"/>
      <c r="L895" s="15"/>
      <c r="M895" s="15"/>
      <c r="N895" s="15"/>
      <c r="O895" s="15"/>
      <c r="P895" s="15"/>
      <c r="Q895" s="15"/>
    </row>
    <row r="896" spans="2:17" x14ac:dyDescent="0.3">
      <c r="B896" s="6"/>
      <c r="C896" s="15"/>
      <c r="D896" s="15"/>
      <c r="E896" s="15"/>
      <c r="F896" s="15"/>
      <c r="G896" s="15"/>
      <c r="H896" s="15"/>
      <c r="I896" s="15"/>
      <c r="J896" s="15"/>
      <c r="K896" s="15"/>
      <c r="L896" s="15"/>
      <c r="M896" s="15"/>
      <c r="N896" s="15"/>
      <c r="O896" s="15"/>
      <c r="P896" s="15"/>
      <c r="Q896" s="15"/>
    </row>
    <row r="897" spans="2:17" x14ac:dyDescent="0.3">
      <c r="B897" s="6"/>
      <c r="C897" s="15"/>
      <c r="D897" s="15"/>
      <c r="E897" s="15"/>
      <c r="F897" s="15"/>
      <c r="G897" s="15"/>
      <c r="H897" s="15"/>
      <c r="I897" s="15"/>
      <c r="J897" s="15"/>
      <c r="K897" s="15"/>
      <c r="L897" s="15"/>
      <c r="M897" s="15"/>
      <c r="N897" s="15"/>
      <c r="O897" s="15"/>
      <c r="P897" s="15"/>
      <c r="Q897" s="15"/>
    </row>
    <row r="898" spans="2:17" x14ac:dyDescent="0.3">
      <c r="B898" s="6"/>
      <c r="C898" s="15"/>
      <c r="D898" s="15"/>
      <c r="E898" s="15"/>
      <c r="F898" s="15"/>
      <c r="G898" s="15"/>
      <c r="H898" s="15"/>
      <c r="I898" s="15"/>
      <c r="J898" s="15"/>
      <c r="K898" s="15"/>
      <c r="L898" s="15"/>
      <c r="M898" s="15"/>
      <c r="N898" s="15"/>
      <c r="O898" s="15"/>
      <c r="P898" s="15"/>
      <c r="Q898" s="15"/>
    </row>
    <row r="899" spans="2:17" x14ac:dyDescent="0.3">
      <c r="B899" s="6"/>
      <c r="C899" s="15"/>
      <c r="D899" s="15"/>
      <c r="E899" s="15"/>
      <c r="F899" s="15"/>
      <c r="G899" s="15"/>
      <c r="H899" s="15"/>
      <c r="I899" s="15"/>
      <c r="J899" s="15"/>
      <c r="K899" s="15"/>
      <c r="L899" s="15"/>
      <c r="M899" s="15"/>
      <c r="N899" s="15"/>
      <c r="O899" s="15"/>
      <c r="P899" s="15"/>
      <c r="Q899" s="15"/>
    </row>
    <row r="900" spans="2:17" x14ac:dyDescent="0.3">
      <c r="B900" s="6"/>
      <c r="C900" s="15"/>
      <c r="D900" s="15"/>
      <c r="E900" s="15"/>
      <c r="F900" s="15"/>
      <c r="G900" s="15"/>
      <c r="H900" s="15"/>
      <c r="I900" s="15"/>
      <c r="J900" s="15"/>
      <c r="K900" s="15"/>
      <c r="L900" s="15"/>
      <c r="M900" s="15"/>
      <c r="N900" s="15"/>
      <c r="O900" s="15"/>
      <c r="P900" s="15"/>
      <c r="Q900" s="15"/>
    </row>
    <row r="901" spans="2:17" x14ac:dyDescent="0.3">
      <c r="B901" s="6"/>
      <c r="C901" s="15"/>
      <c r="D901" s="15"/>
      <c r="E901" s="15"/>
      <c r="F901" s="15"/>
      <c r="G901" s="15"/>
      <c r="H901" s="15"/>
      <c r="I901" s="15"/>
      <c r="J901" s="15"/>
      <c r="K901" s="15"/>
      <c r="L901" s="15"/>
      <c r="M901" s="15"/>
      <c r="N901" s="15"/>
      <c r="O901" s="15"/>
      <c r="P901" s="15"/>
      <c r="Q901" s="15"/>
    </row>
    <row r="902" spans="2:17" x14ac:dyDescent="0.3">
      <c r="B902" s="6"/>
      <c r="C902" s="15"/>
      <c r="D902" s="15"/>
      <c r="E902" s="15"/>
      <c r="F902" s="15"/>
      <c r="G902" s="15"/>
      <c r="H902" s="15"/>
      <c r="I902" s="15"/>
      <c r="J902" s="15"/>
      <c r="K902" s="15"/>
      <c r="L902" s="15"/>
      <c r="M902" s="15"/>
      <c r="N902" s="15"/>
      <c r="O902" s="15"/>
      <c r="P902" s="15"/>
      <c r="Q902" s="15"/>
    </row>
    <row r="903" spans="2:17" x14ac:dyDescent="0.3">
      <c r="B903" s="6"/>
      <c r="C903" s="15"/>
      <c r="D903" s="15"/>
      <c r="E903" s="15"/>
      <c r="F903" s="15"/>
      <c r="G903" s="15"/>
      <c r="H903" s="15"/>
      <c r="I903" s="15"/>
      <c r="J903" s="15"/>
      <c r="K903" s="15"/>
      <c r="L903" s="15"/>
      <c r="M903" s="15"/>
      <c r="N903" s="15"/>
      <c r="O903" s="15"/>
      <c r="P903" s="15"/>
      <c r="Q903" s="15"/>
    </row>
    <row r="904" spans="2:17" x14ac:dyDescent="0.3">
      <c r="B904" s="6"/>
      <c r="C904" s="15"/>
      <c r="D904" s="15"/>
      <c r="E904" s="15"/>
      <c r="F904" s="15"/>
      <c r="G904" s="15"/>
      <c r="H904" s="15"/>
      <c r="I904" s="15"/>
      <c r="J904" s="15"/>
      <c r="K904" s="15"/>
      <c r="L904" s="15"/>
      <c r="M904" s="15"/>
      <c r="N904" s="15"/>
      <c r="O904" s="15"/>
      <c r="P904" s="15"/>
      <c r="Q904" s="15"/>
    </row>
    <row r="905" spans="2:17" x14ac:dyDescent="0.3">
      <c r="B905" s="6"/>
      <c r="C905" s="15"/>
      <c r="D905" s="15"/>
      <c r="E905" s="15"/>
      <c r="F905" s="15"/>
      <c r="G905" s="15"/>
      <c r="H905" s="15"/>
      <c r="I905" s="15"/>
      <c r="J905" s="15"/>
      <c r="K905" s="15"/>
      <c r="L905" s="15"/>
      <c r="M905" s="15"/>
      <c r="N905" s="15"/>
      <c r="O905" s="15"/>
      <c r="P905" s="15"/>
      <c r="Q905" s="15"/>
    </row>
    <row r="906" spans="2:17" x14ac:dyDescent="0.3">
      <c r="B906" s="6"/>
      <c r="C906" s="15"/>
      <c r="D906" s="15"/>
      <c r="E906" s="15"/>
      <c r="F906" s="15"/>
      <c r="G906" s="15"/>
      <c r="H906" s="15"/>
      <c r="I906" s="15"/>
      <c r="J906" s="15"/>
      <c r="K906" s="15"/>
      <c r="L906" s="15"/>
      <c r="M906" s="15"/>
      <c r="N906" s="15"/>
      <c r="O906" s="15"/>
      <c r="P906" s="15"/>
      <c r="Q906" s="15"/>
    </row>
    <row r="907" spans="2:17" x14ac:dyDescent="0.3">
      <c r="B907" s="6"/>
      <c r="C907" s="15"/>
      <c r="D907" s="15"/>
      <c r="E907" s="15"/>
      <c r="F907" s="15"/>
      <c r="G907" s="15"/>
      <c r="H907" s="15"/>
      <c r="I907" s="15"/>
      <c r="J907" s="15"/>
      <c r="K907" s="15"/>
      <c r="L907" s="15"/>
      <c r="M907" s="15"/>
      <c r="N907" s="15"/>
      <c r="O907" s="15"/>
      <c r="P907" s="15"/>
      <c r="Q907" s="15"/>
    </row>
    <row r="908" spans="2:17" x14ac:dyDescent="0.3">
      <c r="B908" s="6"/>
      <c r="C908" s="15"/>
      <c r="D908" s="15"/>
      <c r="E908" s="15"/>
      <c r="F908" s="15"/>
      <c r="G908" s="15"/>
      <c r="H908" s="15"/>
      <c r="I908" s="15"/>
      <c r="J908" s="15"/>
      <c r="K908" s="15"/>
      <c r="L908" s="15"/>
      <c r="M908" s="15"/>
      <c r="N908" s="15"/>
      <c r="O908" s="15"/>
      <c r="P908" s="15"/>
      <c r="Q908" s="15"/>
    </row>
  </sheetData>
  <mergeCells count="4">
    <mergeCell ref="C1:Q1"/>
    <mergeCell ref="C2:Q2"/>
    <mergeCell ref="C3:Q3"/>
    <mergeCell ref="S1:V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E565A-2124-4D38-BF15-6F2ECF6DA24D}">
  <dimension ref="M3:N12"/>
  <sheetViews>
    <sheetView tabSelected="1" workbookViewId="0">
      <selection activeCell="J10" sqref="J10"/>
    </sheetView>
  </sheetViews>
  <sheetFormatPr defaultRowHeight="14.4" x14ac:dyDescent="0.3"/>
  <cols>
    <col min="14" max="14" width="17.44140625" bestFit="1" customWidth="1"/>
  </cols>
  <sheetData>
    <row r="3" spans="13:14" ht="15" thickBot="1" x14ac:dyDescent="0.35"/>
    <row r="4" spans="13:14" x14ac:dyDescent="0.3">
      <c r="M4" s="43" t="s">
        <v>432</v>
      </c>
      <c r="N4" s="36" t="s">
        <v>416</v>
      </c>
    </row>
    <row r="5" spans="13:14" x14ac:dyDescent="0.3">
      <c r="M5" s="25">
        <f>60+10+150+(3*30)</f>
        <v>310</v>
      </c>
      <c r="N5" s="37" t="s">
        <v>413</v>
      </c>
    </row>
    <row r="6" spans="13:14" x14ac:dyDescent="0.3">
      <c r="M6" s="38">
        <f>+M5/7</f>
        <v>44.285714285714285</v>
      </c>
      <c r="N6" s="37" t="s">
        <v>414</v>
      </c>
    </row>
    <row r="7" spans="13:14" x14ac:dyDescent="0.3">
      <c r="M7" s="38">
        <f>+M6/4</f>
        <v>11.071428571428571</v>
      </c>
      <c r="N7" s="37" t="s">
        <v>415</v>
      </c>
    </row>
    <row r="8" spans="13:14" x14ac:dyDescent="0.3">
      <c r="M8" s="44"/>
      <c r="N8" s="45"/>
    </row>
    <row r="9" spans="13:14" x14ac:dyDescent="0.3">
      <c r="M9" s="42" t="s">
        <v>431</v>
      </c>
      <c r="N9" s="39" t="s">
        <v>412</v>
      </c>
    </row>
    <row r="10" spans="13:14" x14ac:dyDescent="0.3">
      <c r="M10" s="25">
        <f>60+10+150+(7*30)</f>
        <v>430</v>
      </c>
      <c r="N10" s="37" t="s">
        <v>413</v>
      </c>
    </row>
    <row r="11" spans="13:14" x14ac:dyDescent="0.3">
      <c r="M11" s="38">
        <f>+M10/7</f>
        <v>61.428571428571431</v>
      </c>
      <c r="N11" s="37" t="s">
        <v>414</v>
      </c>
    </row>
    <row r="12" spans="13:14" ht="15" thickBot="1" x14ac:dyDescent="0.35">
      <c r="M12" s="40">
        <f>+M11/4</f>
        <v>15.357142857142858</v>
      </c>
      <c r="N12" s="41" t="s">
        <v>415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comments</vt:lpstr>
      <vt:lpstr>examples </vt:lpstr>
      <vt:lpstr>depr. rates</vt:lpstr>
      <vt:lpstr>repossession time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Efthymiou Dimitrios</dc:creator>
  <cp:lastModifiedBy>Pouloupatis Vassileios</cp:lastModifiedBy>
  <dcterms:created xsi:type="dcterms:W3CDTF">2025-08-04T13:38:36Z</dcterms:created>
  <dcterms:modified xsi:type="dcterms:W3CDTF">2025-08-05T09:15:34Z</dcterms:modified>
</cp:coreProperties>
</file>