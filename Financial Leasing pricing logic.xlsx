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vpouloupatis\Desktop\"/>
    </mc:Choice>
  </mc:AlternateContent>
  <xr:revisionPtr revIDLastSave="0" documentId="13_ncr:1_{2C90B31B-D3F2-4CBD-BC0C-AE67D2BB2CC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inancial Lease (L.E. &amp; S.E.)" sheetId="1" r:id="rId1"/>
    <sheet name="Financial Lease (Indiv.)" sheetId="6" r:id="rId2"/>
    <sheet name="F.L. (3)" sheetId="7" state="hidden" r:id="rId3"/>
    <sheet name="Credit" sheetId="5" r:id="rId4"/>
    <sheet name="Credit (2)" sheetId="8" r:id="rId5"/>
    <sheet name="Credit (3)" sheetId="9" r:id="rId6"/>
    <sheet name="interest on the ballon PV only" sheetId="2" state="hidden" r:id="rId7"/>
    <sheet name="interest on total ballon value" sheetId="3" state="hidden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3d9xuLfTiLeebjpdSe5OsnsWCjL9ITzhBalemkWirH8="/>
    </ext>
  </extLst>
</workbook>
</file>

<file path=xl/calcChain.xml><?xml version="1.0" encoding="utf-8"?>
<calcChain xmlns="http://schemas.openxmlformats.org/spreadsheetml/2006/main">
  <c r="B5" i="9" l="1"/>
  <c r="B4" i="9"/>
  <c r="B5" i="8"/>
  <c r="B4" i="8"/>
  <c r="E12" i="8" s="1"/>
  <c r="M3" i="5"/>
  <c r="L3" i="5"/>
  <c r="L5" i="5"/>
  <c r="L6" i="5"/>
  <c r="L10" i="5"/>
  <c r="B9" i="9" l="1"/>
  <c r="B13" i="9" s="1"/>
  <c r="E12" i="9"/>
  <c r="B9" i="8"/>
  <c r="C13" i="9" l="1"/>
  <c r="D13" i="9" s="1"/>
  <c r="B13" i="8"/>
  <c r="E13" i="9" l="1"/>
  <c r="C13" i="8"/>
  <c r="B14" i="9" l="1"/>
  <c r="D13" i="8"/>
  <c r="C14" i="9" l="1"/>
  <c r="D14" i="9"/>
  <c r="E13" i="8"/>
  <c r="E14" i="9" l="1"/>
  <c r="B14" i="8"/>
  <c r="B15" i="9" l="1"/>
  <c r="C14" i="8"/>
  <c r="C15" i="9" l="1"/>
  <c r="D15" i="9" s="1"/>
  <c r="D14" i="8"/>
  <c r="E15" i="9" l="1"/>
  <c r="E14" i="8"/>
  <c r="B16" i="9" l="1"/>
  <c r="B15" i="8"/>
  <c r="C16" i="9" l="1"/>
  <c r="D16" i="9" s="1"/>
  <c r="C15" i="8"/>
  <c r="E16" i="9" l="1"/>
  <c r="D15" i="8"/>
  <c r="B17" i="9" l="1"/>
  <c r="E15" i="8"/>
  <c r="C17" i="9" l="1"/>
  <c r="D17" i="9" s="1"/>
  <c r="B16" i="8"/>
  <c r="E17" i="9" l="1"/>
  <c r="C16" i="8"/>
  <c r="D16" i="8" s="1"/>
  <c r="B18" i="9" l="1"/>
  <c r="E16" i="8"/>
  <c r="C18" i="9" l="1"/>
  <c r="D18" i="9" s="1"/>
  <c r="E18" i="9" s="1"/>
  <c r="B17" i="8"/>
  <c r="B19" i="9" l="1"/>
  <c r="C17" i="8"/>
  <c r="D17" i="8" s="1"/>
  <c r="C19" i="9" l="1"/>
  <c r="D19" i="9" s="1"/>
  <c r="E19" i="9" s="1"/>
  <c r="E17" i="8"/>
  <c r="B20" i="9" l="1"/>
  <c r="B18" i="8"/>
  <c r="C20" i="9" l="1"/>
  <c r="D20" i="9" s="1"/>
  <c r="E20" i="9" s="1"/>
  <c r="C18" i="8"/>
  <c r="D18" i="8" s="1"/>
  <c r="E18" i="8" s="1"/>
  <c r="B21" i="9" l="1"/>
  <c r="B19" i="8"/>
  <c r="C21" i="9" l="1"/>
  <c r="D21" i="9" s="1"/>
  <c r="E21" i="9" s="1"/>
  <c r="C19" i="8"/>
  <c r="D19" i="8" s="1"/>
  <c r="E19" i="8" s="1"/>
  <c r="B22" i="9" l="1"/>
  <c r="B20" i="8"/>
  <c r="C22" i="9" l="1"/>
  <c r="D22" i="9"/>
  <c r="E22" i="9" s="1"/>
  <c r="C20" i="8"/>
  <c r="D20" i="8" s="1"/>
  <c r="E20" i="8" s="1"/>
  <c r="B23" i="9" l="1"/>
  <c r="B21" i="8"/>
  <c r="C23" i="9" l="1"/>
  <c r="D23" i="9" s="1"/>
  <c r="E23" i="9" s="1"/>
  <c r="C21" i="8"/>
  <c r="D21" i="8" s="1"/>
  <c r="E21" i="8" s="1"/>
  <c r="B24" i="9" l="1"/>
  <c r="B22" i="8"/>
  <c r="C24" i="9" l="1"/>
  <c r="D24" i="9" s="1"/>
  <c r="E24" i="9" s="1"/>
  <c r="C22" i="8"/>
  <c r="D22" i="8" s="1"/>
  <c r="E22" i="8" s="1"/>
  <c r="B25" i="9" l="1"/>
  <c r="B23" i="8"/>
  <c r="C25" i="9" l="1"/>
  <c r="D25" i="9" s="1"/>
  <c r="E25" i="9" s="1"/>
  <c r="C23" i="8"/>
  <c r="D23" i="8" s="1"/>
  <c r="E23" i="8" s="1"/>
  <c r="B26" i="9" l="1"/>
  <c r="B24" i="8"/>
  <c r="C26" i="9" l="1"/>
  <c r="D26" i="9" s="1"/>
  <c r="E26" i="9" s="1"/>
  <c r="C24" i="8"/>
  <c r="D24" i="8" s="1"/>
  <c r="E24" i="8" s="1"/>
  <c r="B27" i="9" l="1"/>
  <c r="B25" i="8"/>
  <c r="C27" i="9" l="1"/>
  <c r="D27" i="9" s="1"/>
  <c r="E27" i="9" s="1"/>
  <c r="C25" i="8"/>
  <c r="D25" i="8" s="1"/>
  <c r="E25" i="8" s="1"/>
  <c r="B28" i="9" l="1"/>
  <c r="B26" i="8"/>
  <c r="C28" i="9" l="1"/>
  <c r="D28" i="9" s="1"/>
  <c r="E28" i="9" s="1"/>
  <c r="C26" i="8"/>
  <c r="D26" i="8" s="1"/>
  <c r="E26" i="8" s="1"/>
  <c r="B29" i="9" l="1"/>
  <c r="B27" i="8"/>
  <c r="C29" i="9" l="1"/>
  <c r="D29" i="9" s="1"/>
  <c r="E29" i="9" s="1"/>
  <c r="C27" i="8"/>
  <c r="D27" i="8" s="1"/>
  <c r="E27" i="8" s="1"/>
  <c r="B30" i="9" l="1"/>
  <c r="B28" i="8"/>
  <c r="C30" i="9" l="1"/>
  <c r="D30" i="9" s="1"/>
  <c r="E30" i="9" s="1"/>
  <c r="C28" i="8"/>
  <c r="D28" i="8" s="1"/>
  <c r="E28" i="8" s="1"/>
  <c r="B31" i="9" l="1"/>
  <c r="B29" i="8"/>
  <c r="C31" i="9" l="1"/>
  <c r="D31" i="9" s="1"/>
  <c r="E31" i="9" s="1"/>
  <c r="C29" i="8"/>
  <c r="D29" i="8" s="1"/>
  <c r="E29" i="8" s="1"/>
  <c r="B32" i="9" l="1"/>
  <c r="B30" i="8"/>
  <c r="C32" i="9" l="1"/>
  <c r="D32" i="9" s="1"/>
  <c r="E32" i="9" s="1"/>
  <c r="C30" i="8"/>
  <c r="D30" i="8" s="1"/>
  <c r="E30" i="8" s="1"/>
  <c r="B33" i="9" l="1"/>
  <c r="B31" i="8"/>
  <c r="C33" i="9" l="1"/>
  <c r="D33" i="9" s="1"/>
  <c r="E33" i="9" s="1"/>
  <c r="C31" i="8"/>
  <c r="D31" i="8" s="1"/>
  <c r="E31" i="8" s="1"/>
  <c r="B34" i="9" l="1"/>
  <c r="B32" i="8"/>
  <c r="C34" i="9" l="1"/>
  <c r="D34" i="9" s="1"/>
  <c r="E34" i="9" s="1"/>
  <c r="C32" i="8"/>
  <c r="D32" i="8" s="1"/>
  <c r="E32" i="8" s="1"/>
  <c r="B35" i="9" l="1"/>
  <c r="B33" i="8"/>
  <c r="C35" i="9" l="1"/>
  <c r="D35" i="9" s="1"/>
  <c r="E35" i="9" s="1"/>
  <c r="C33" i="8"/>
  <c r="D33" i="8" s="1"/>
  <c r="E33" i="8" s="1"/>
  <c r="B36" i="9" l="1"/>
  <c r="B34" i="8"/>
  <c r="C36" i="9" l="1"/>
  <c r="D36" i="9" s="1"/>
  <c r="E36" i="9" s="1"/>
  <c r="C34" i="8"/>
  <c r="D34" i="8" s="1"/>
  <c r="E34" i="8" s="1"/>
  <c r="B37" i="9" l="1"/>
  <c r="B35" i="8"/>
  <c r="C37" i="9" l="1"/>
  <c r="D37" i="9" s="1"/>
  <c r="E37" i="9" s="1"/>
  <c r="C35" i="8"/>
  <c r="D35" i="8" s="1"/>
  <c r="E35" i="8" s="1"/>
  <c r="B38" i="9" l="1"/>
  <c r="B36" i="8"/>
  <c r="C38" i="9" l="1"/>
  <c r="D38" i="9" s="1"/>
  <c r="E38" i="9" s="1"/>
  <c r="C36" i="8"/>
  <c r="D36" i="8" s="1"/>
  <c r="E36" i="8" s="1"/>
  <c r="B39" i="9" l="1"/>
  <c r="B37" i="8"/>
  <c r="C39" i="9" l="1"/>
  <c r="D39" i="9" s="1"/>
  <c r="E39" i="9" s="1"/>
  <c r="C37" i="8"/>
  <c r="D37" i="8" s="1"/>
  <c r="E37" i="8" s="1"/>
  <c r="B40" i="9" l="1"/>
  <c r="B38" i="8"/>
  <c r="C40" i="9" l="1"/>
  <c r="D40" i="9" s="1"/>
  <c r="E40" i="9" s="1"/>
  <c r="C38" i="8"/>
  <c r="D38" i="8" s="1"/>
  <c r="E38" i="8" s="1"/>
  <c r="B41" i="9" l="1"/>
  <c r="B39" i="8"/>
  <c r="C41" i="9" l="1"/>
  <c r="D41" i="9" s="1"/>
  <c r="E41" i="9" s="1"/>
  <c r="C39" i="8"/>
  <c r="D39" i="8" s="1"/>
  <c r="E39" i="8" s="1"/>
  <c r="B42" i="9" l="1"/>
  <c r="B40" i="8"/>
  <c r="C42" i="9" l="1"/>
  <c r="D42" i="9" s="1"/>
  <c r="E42" i="9" s="1"/>
  <c r="C40" i="8"/>
  <c r="D40" i="8" s="1"/>
  <c r="E40" i="8" s="1"/>
  <c r="B43" i="9" l="1"/>
  <c r="B41" i="8"/>
  <c r="C43" i="9" l="1"/>
  <c r="D43" i="9" s="1"/>
  <c r="E43" i="9" s="1"/>
  <c r="C41" i="8"/>
  <c r="D41" i="8" s="1"/>
  <c r="E41" i="8" s="1"/>
  <c r="B44" i="9" l="1"/>
  <c r="B42" i="8"/>
  <c r="C44" i="9" l="1"/>
  <c r="D44" i="9" s="1"/>
  <c r="E44" i="9" s="1"/>
  <c r="C42" i="8"/>
  <c r="D42" i="8" s="1"/>
  <c r="E42" i="8" s="1"/>
  <c r="B45" i="9" l="1"/>
  <c r="B43" i="8"/>
  <c r="C45" i="9" l="1"/>
  <c r="D45" i="9" s="1"/>
  <c r="E45" i="9" s="1"/>
  <c r="C43" i="8"/>
  <c r="D43" i="8" s="1"/>
  <c r="E43" i="8" s="1"/>
  <c r="B46" i="9" l="1"/>
  <c r="B44" i="8"/>
  <c r="C46" i="9" l="1"/>
  <c r="D46" i="9" s="1"/>
  <c r="E46" i="9" s="1"/>
  <c r="C44" i="8"/>
  <c r="D44" i="8" s="1"/>
  <c r="E44" i="8" s="1"/>
  <c r="B47" i="9" l="1"/>
  <c r="B45" i="8"/>
  <c r="B2" i="1"/>
  <c r="C47" i="9" l="1"/>
  <c r="D47" i="9" s="1"/>
  <c r="E47" i="9" s="1"/>
  <c r="C45" i="8"/>
  <c r="D45" i="8" s="1"/>
  <c r="E45" i="8" s="1"/>
  <c r="H20" i="7"/>
  <c r="H19" i="7"/>
  <c r="W14" i="7"/>
  <c r="U14" i="7"/>
  <c r="T13" i="7"/>
  <c r="I13" i="7"/>
  <c r="T9" i="7"/>
  <c r="S5" i="7"/>
  <c r="B5" i="7"/>
  <c r="I5" i="7" s="1"/>
  <c r="I19" i="7" s="1"/>
  <c r="I4" i="7"/>
  <c r="I18" i="7" s="1"/>
  <c r="B2" i="7"/>
  <c r="B4" i="7" s="1"/>
  <c r="U21" i="6"/>
  <c r="H20" i="6"/>
  <c r="H19" i="6"/>
  <c r="W14" i="6"/>
  <c r="U14" i="6"/>
  <c r="T13" i="6"/>
  <c r="I13" i="6"/>
  <c r="T10" i="6"/>
  <c r="T9" i="6"/>
  <c r="S6" i="6"/>
  <c r="S5" i="6"/>
  <c r="I4" i="6"/>
  <c r="I18" i="6" s="1"/>
  <c r="B4" i="6"/>
  <c r="B2" i="6"/>
  <c r="B5" i="6" s="1"/>
  <c r="I5" i="6" s="1"/>
  <c r="I19" i="6" s="1"/>
  <c r="B4" i="1"/>
  <c r="B5" i="5"/>
  <c r="B4" i="5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13" i="3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13" i="2"/>
  <c r="H26" i="3"/>
  <c r="H25" i="3"/>
  <c r="W14" i="3"/>
  <c r="U14" i="3"/>
  <c r="T13" i="3"/>
  <c r="H12" i="3"/>
  <c r="F12" i="3"/>
  <c r="H11" i="3"/>
  <c r="T9" i="3"/>
  <c r="S5" i="3"/>
  <c r="B5" i="3"/>
  <c r="I5" i="3" s="1"/>
  <c r="I4" i="3"/>
  <c r="I10" i="3" s="1"/>
  <c r="B4" i="3"/>
  <c r="B9" i="3" s="1"/>
  <c r="H26" i="2"/>
  <c r="H25" i="2"/>
  <c r="W14" i="2"/>
  <c r="U14" i="2"/>
  <c r="T13" i="2"/>
  <c r="H12" i="2"/>
  <c r="H11" i="2"/>
  <c r="T9" i="2"/>
  <c r="S5" i="2"/>
  <c r="B5" i="2"/>
  <c r="I4" i="2"/>
  <c r="B4" i="2"/>
  <c r="U21" i="1"/>
  <c r="H20" i="1"/>
  <c r="H19" i="1"/>
  <c r="W14" i="1"/>
  <c r="U14" i="1"/>
  <c r="T13" i="1"/>
  <c r="I13" i="1"/>
  <c r="T10" i="1"/>
  <c r="U22" i="1" s="1"/>
  <c r="T9" i="1"/>
  <c r="S6" i="1"/>
  <c r="S5" i="1"/>
  <c r="B48" i="9" l="1"/>
  <c r="B46" i="8"/>
  <c r="I6" i="6"/>
  <c r="I12" i="6" s="1"/>
  <c r="I14" i="6" s="1"/>
  <c r="I15" i="6" s="1"/>
  <c r="I16" i="6" s="1"/>
  <c r="U21" i="7"/>
  <c r="B10" i="7"/>
  <c r="C10" i="7"/>
  <c r="B9" i="7"/>
  <c r="F12" i="7"/>
  <c r="I6" i="7"/>
  <c r="T10" i="7"/>
  <c r="U22" i="7" s="1"/>
  <c r="S6" i="7"/>
  <c r="B10" i="6"/>
  <c r="F12" i="6"/>
  <c r="B9" i="6"/>
  <c r="C10" i="6"/>
  <c r="U22" i="6"/>
  <c r="T11" i="6"/>
  <c r="I4" i="1"/>
  <c r="I18" i="1" s="1"/>
  <c r="B5" i="1"/>
  <c r="I5" i="1" s="1"/>
  <c r="I19" i="1" s="1"/>
  <c r="B9" i="5"/>
  <c r="E12" i="5"/>
  <c r="C10" i="1"/>
  <c r="C10" i="2"/>
  <c r="I18" i="3"/>
  <c r="I24" i="3" s="1"/>
  <c r="B10" i="3"/>
  <c r="F12" i="2"/>
  <c r="F12" i="1"/>
  <c r="B10" i="2"/>
  <c r="I5" i="2"/>
  <c r="I6" i="2" s="1"/>
  <c r="I12" i="2" s="1"/>
  <c r="B9" i="2"/>
  <c r="T11" i="1"/>
  <c r="S6" i="2"/>
  <c r="T10" i="2"/>
  <c r="U22" i="2" s="1"/>
  <c r="I10" i="2"/>
  <c r="I18" i="2"/>
  <c r="I24" i="2" s="1"/>
  <c r="U21" i="2"/>
  <c r="T11" i="2"/>
  <c r="T10" i="3"/>
  <c r="U22" i="3" s="1"/>
  <c r="S6" i="3"/>
  <c r="T11" i="3"/>
  <c r="U21" i="3"/>
  <c r="I20" i="3"/>
  <c r="I26" i="3" s="1"/>
  <c r="B13" i="3"/>
  <c r="I19" i="3"/>
  <c r="I25" i="3" s="1"/>
  <c r="I11" i="3"/>
  <c r="I6" i="3"/>
  <c r="I12" i="3" s="1"/>
  <c r="C48" i="9" l="1"/>
  <c r="D48" i="9" s="1"/>
  <c r="E48" i="9" s="1"/>
  <c r="C46" i="8"/>
  <c r="D46" i="8" s="1"/>
  <c r="E46" i="8" s="1"/>
  <c r="I20" i="6"/>
  <c r="I21" i="6" s="1"/>
  <c r="B9" i="1"/>
  <c r="B13" i="1" s="1"/>
  <c r="E13" i="1" s="1"/>
  <c r="B13" i="7"/>
  <c r="I20" i="7"/>
  <c r="I21" i="7" s="1"/>
  <c r="I12" i="7"/>
  <c r="I14" i="7" s="1"/>
  <c r="I15" i="7" s="1"/>
  <c r="I16" i="7" s="1"/>
  <c r="T11" i="7"/>
  <c r="U23" i="6"/>
  <c r="U24" i="6" s="1"/>
  <c r="U13" i="6"/>
  <c r="U15" i="6" s="1"/>
  <c r="U16" i="6" s="1"/>
  <c r="U17" i="6" s="1"/>
  <c r="B13" i="6"/>
  <c r="B10" i="1"/>
  <c r="B13" i="5"/>
  <c r="I13" i="3"/>
  <c r="I27" i="3"/>
  <c r="U13" i="2"/>
  <c r="U15" i="2" s="1"/>
  <c r="U16" i="2" s="1"/>
  <c r="U17" i="2" s="1"/>
  <c r="U23" i="2"/>
  <c r="U24" i="2" s="1"/>
  <c r="U23" i="1"/>
  <c r="U24" i="1" s="1"/>
  <c r="U13" i="1"/>
  <c r="U15" i="1" s="1"/>
  <c r="U16" i="1" s="1"/>
  <c r="U17" i="1" s="1"/>
  <c r="C13" i="3"/>
  <c r="I20" i="2"/>
  <c r="I26" i="2" s="1"/>
  <c r="B13" i="2"/>
  <c r="U23" i="3"/>
  <c r="U24" i="3" s="1"/>
  <c r="U13" i="3"/>
  <c r="U15" i="3" s="1"/>
  <c r="U16" i="3" s="1"/>
  <c r="U17" i="3" s="1"/>
  <c r="I11" i="2"/>
  <c r="I13" i="2" s="1"/>
  <c r="I19" i="2"/>
  <c r="I25" i="2" s="1"/>
  <c r="I6" i="1"/>
  <c r="B49" i="9" l="1"/>
  <c r="B47" i="8"/>
  <c r="E13" i="7"/>
  <c r="D13" i="7"/>
  <c r="C13" i="7"/>
  <c r="U23" i="7"/>
  <c r="U24" i="7" s="1"/>
  <c r="U13" i="7"/>
  <c r="U15" i="7" s="1"/>
  <c r="U16" i="7" s="1"/>
  <c r="U17" i="7" s="1"/>
  <c r="C13" i="6"/>
  <c r="D13" i="6" s="1"/>
  <c r="E13" i="6"/>
  <c r="C13" i="5"/>
  <c r="D13" i="5" s="1"/>
  <c r="C13" i="2"/>
  <c r="D13" i="2" s="1"/>
  <c r="I27" i="2"/>
  <c r="I20" i="1"/>
  <c r="I21" i="1" s="1"/>
  <c r="I12" i="1"/>
  <c r="I14" i="1" s="1"/>
  <c r="I15" i="1" s="1"/>
  <c r="I16" i="1" s="1"/>
  <c r="C13" i="1"/>
  <c r="D13" i="3"/>
  <c r="C49" i="9" l="1"/>
  <c r="D49" i="9" s="1"/>
  <c r="E49" i="9" s="1"/>
  <c r="C47" i="8"/>
  <c r="D47" i="8" s="1"/>
  <c r="E47" i="8" s="1"/>
  <c r="F13" i="7"/>
  <c r="F13" i="6"/>
  <c r="E13" i="5"/>
  <c r="F13" i="3"/>
  <c r="F13" i="2"/>
  <c r="D13" i="1"/>
  <c r="B50" i="9" l="1"/>
  <c r="B48" i="8"/>
  <c r="B14" i="7"/>
  <c r="B14" i="6"/>
  <c r="B14" i="5"/>
  <c r="B14" i="3"/>
  <c r="F13" i="1"/>
  <c r="B14" i="2"/>
  <c r="C50" i="9" l="1"/>
  <c r="D50" i="9" s="1"/>
  <c r="E50" i="9" s="1"/>
  <c r="C48" i="8"/>
  <c r="D48" i="8" s="1"/>
  <c r="E48" i="8" s="1"/>
  <c r="E14" i="7"/>
  <c r="C14" i="7"/>
  <c r="C14" i="6"/>
  <c r="D14" i="6" s="1"/>
  <c r="E14" i="6"/>
  <c r="C14" i="5"/>
  <c r="B14" i="1"/>
  <c r="E14" i="1" s="1"/>
  <c r="C14" i="2"/>
  <c r="D14" i="3"/>
  <c r="C14" i="3"/>
  <c r="B51" i="9" l="1"/>
  <c r="B49" i="8"/>
  <c r="D14" i="7"/>
  <c r="F14" i="6"/>
  <c r="D14" i="5"/>
  <c r="D14" i="2"/>
  <c r="C14" i="1"/>
  <c r="F14" i="3"/>
  <c r="C51" i="9" l="1"/>
  <c r="D51" i="9" s="1"/>
  <c r="E51" i="9" s="1"/>
  <c r="C49" i="8"/>
  <c r="D49" i="8" s="1"/>
  <c r="E49" i="8" s="1"/>
  <c r="F14" i="7"/>
  <c r="B15" i="6"/>
  <c r="E14" i="5"/>
  <c r="D14" i="1"/>
  <c r="F14" i="1" s="1"/>
  <c r="B15" i="1" s="1"/>
  <c r="E15" i="1" s="1"/>
  <c r="B15" i="3"/>
  <c r="F14" i="2"/>
  <c r="B52" i="9" l="1"/>
  <c r="B50" i="8"/>
  <c r="B15" i="7"/>
  <c r="C15" i="6"/>
  <c r="D15" i="6" s="1"/>
  <c r="E15" i="6"/>
  <c r="B15" i="5"/>
  <c r="C15" i="1"/>
  <c r="B15" i="2"/>
  <c r="C15" i="3"/>
  <c r="D15" i="3"/>
  <c r="C52" i="9" l="1"/>
  <c r="D52" i="9" s="1"/>
  <c r="E52" i="9" s="1"/>
  <c r="C50" i="8"/>
  <c r="D50" i="8" s="1"/>
  <c r="E50" i="8" s="1"/>
  <c r="D15" i="7"/>
  <c r="E15" i="7"/>
  <c r="C15" i="7"/>
  <c r="F15" i="6"/>
  <c r="C15" i="5"/>
  <c r="D15" i="1"/>
  <c r="F15" i="1" s="1"/>
  <c r="B16" i="1" s="1"/>
  <c r="E16" i="1" s="1"/>
  <c r="F15" i="3"/>
  <c r="C15" i="2"/>
  <c r="D15" i="2" s="1"/>
  <c r="B53" i="9" l="1"/>
  <c r="B51" i="8"/>
  <c r="F15" i="7"/>
  <c r="B16" i="6"/>
  <c r="D15" i="5"/>
  <c r="C16" i="1"/>
  <c r="D16" i="1" s="1"/>
  <c r="F16" i="1" s="1"/>
  <c r="F15" i="2"/>
  <c r="B16" i="3"/>
  <c r="C53" i="9" l="1"/>
  <c r="D53" i="9" s="1"/>
  <c r="E53" i="9" s="1"/>
  <c r="C51" i="8"/>
  <c r="D51" i="8" s="1"/>
  <c r="E51" i="8" s="1"/>
  <c r="B16" i="7"/>
  <c r="E16" i="6"/>
  <c r="C16" i="6"/>
  <c r="D16" i="6" s="1"/>
  <c r="E15" i="5"/>
  <c r="B17" i="1"/>
  <c r="E17" i="1" s="1"/>
  <c r="B16" i="2"/>
  <c r="C16" i="3"/>
  <c r="D16" i="3" s="1"/>
  <c r="B54" i="9" l="1"/>
  <c r="B52" i="8"/>
  <c r="E16" i="7"/>
  <c r="C16" i="7"/>
  <c r="D16" i="7" s="1"/>
  <c r="F16" i="6"/>
  <c r="B16" i="5"/>
  <c r="C17" i="1"/>
  <c r="D17" i="1" s="1"/>
  <c r="F17" i="1" s="1"/>
  <c r="F16" i="3"/>
  <c r="C16" i="2"/>
  <c r="D16" i="2" s="1"/>
  <c r="C54" i="9" l="1"/>
  <c r="D54" i="9" s="1"/>
  <c r="E54" i="9" s="1"/>
  <c r="C52" i="8"/>
  <c r="D52" i="8" s="1"/>
  <c r="E52" i="8" s="1"/>
  <c r="F16" i="7"/>
  <c r="B17" i="6"/>
  <c r="C16" i="5"/>
  <c r="D16" i="5" s="1"/>
  <c r="B18" i="1"/>
  <c r="E18" i="1" s="1"/>
  <c r="F16" i="2"/>
  <c r="B17" i="3"/>
  <c r="B55" i="9" l="1"/>
  <c r="B53" i="8"/>
  <c r="B17" i="7"/>
  <c r="E17" i="6"/>
  <c r="C17" i="6"/>
  <c r="D17" i="6" s="1"/>
  <c r="E16" i="5"/>
  <c r="C18" i="1"/>
  <c r="D18" i="1" s="1"/>
  <c r="F18" i="1" s="1"/>
  <c r="C17" i="3"/>
  <c r="D17" i="3"/>
  <c r="B17" i="2"/>
  <c r="C55" i="9" l="1"/>
  <c r="D55" i="9" s="1"/>
  <c r="E55" i="9" s="1"/>
  <c r="C53" i="8"/>
  <c r="D53" i="8" s="1"/>
  <c r="E53" i="8" s="1"/>
  <c r="E17" i="7"/>
  <c r="D17" i="7"/>
  <c r="C17" i="7"/>
  <c r="F17" i="6"/>
  <c r="B17" i="5"/>
  <c r="B19" i="1"/>
  <c r="E19" i="1" s="1"/>
  <c r="C17" i="2"/>
  <c r="D17" i="2" s="1"/>
  <c r="F17" i="3"/>
  <c r="B56" i="9" l="1"/>
  <c r="B54" i="8"/>
  <c r="F17" i="7"/>
  <c r="B18" i="6"/>
  <c r="C17" i="5"/>
  <c r="D17" i="5" s="1"/>
  <c r="C19" i="1"/>
  <c r="D19" i="1" s="1"/>
  <c r="F19" i="1" s="1"/>
  <c r="F17" i="2"/>
  <c r="B18" i="3"/>
  <c r="C56" i="9" l="1"/>
  <c r="D56" i="9" s="1"/>
  <c r="E56" i="9" s="1"/>
  <c r="C54" i="8"/>
  <c r="D54" i="8" s="1"/>
  <c r="E54" i="8" s="1"/>
  <c r="B18" i="7"/>
  <c r="E18" i="6"/>
  <c r="C18" i="6"/>
  <c r="D18" i="6" s="1"/>
  <c r="F18" i="6" s="1"/>
  <c r="E17" i="5"/>
  <c r="B20" i="1"/>
  <c r="E20" i="1" s="1"/>
  <c r="C18" i="3"/>
  <c r="D18" i="3" s="1"/>
  <c r="F18" i="3" s="1"/>
  <c r="B18" i="2"/>
  <c r="B57" i="9" l="1"/>
  <c r="B55" i="8"/>
  <c r="C18" i="7"/>
  <c r="E18" i="7"/>
  <c r="D18" i="7"/>
  <c r="F18" i="7" s="1"/>
  <c r="B19" i="6"/>
  <c r="B18" i="5"/>
  <c r="C20" i="1"/>
  <c r="D20" i="1" s="1"/>
  <c r="F20" i="1" s="1"/>
  <c r="C18" i="2"/>
  <c r="D18" i="2"/>
  <c r="F18" i="2" s="1"/>
  <c r="B19" i="3"/>
  <c r="C57" i="9" l="1"/>
  <c r="D57" i="9" s="1"/>
  <c r="E57" i="9" s="1"/>
  <c r="C55" i="8"/>
  <c r="D55" i="8" s="1"/>
  <c r="E55" i="8" s="1"/>
  <c r="B19" i="7"/>
  <c r="E19" i="6"/>
  <c r="C19" i="6"/>
  <c r="D19" i="6" s="1"/>
  <c r="F19" i="6" s="1"/>
  <c r="C18" i="5"/>
  <c r="D18" i="5" s="1"/>
  <c r="E18" i="5" s="1"/>
  <c r="B21" i="1"/>
  <c r="E21" i="1" s="1"/>
  <c r="B19" i="2"/>
  <c r="C19" i="3"/>
  <c r="D19" i="3"/>
  <c r="F19" i="3" s="1"/>
  <c r="B58" i="9" l="1"/>
  <c r="B56" i="8"/>
  <c r="E19" i="7"/>
  <c r="C19" i="7"/>
  <c r="D19" i="7" s="1"/>
  <c r="F19" i="7" s="1"/>
  <c r="B20" i="6"/>
  <c r="B19" i="5"/>
  <c r="C21" i="1"/>
  <c r="D21" i="1" s="1"/>
  <c r="F21" i="1" s="1"/>
  <c r="C19" i="2"/>
  <c r="D19" i="2" s="1"/>
  <c r="F19" i="2" s="1"/>
  <c r="B20" i="3"/>
  <c r="C58" i="9" l="1"/>
  <c r="D58" i="9"/>
  <c r="E58" i="9" s="1"/>
  <c r="C56" i="8"/>
  <c r="D56" i="8" s="1"/>
  <c r="E56" i="8" s="1"/>
  <c r="B20" i="7"/>
  <c r="C20" i="6"/>
  <c r="D20" i="6" s="1"/>
  <c r="F20" i="6" s="1"/>
  <c r="E20" i="6"/>
  <c r="C19" i="5"/>
  <c r="D19" i="5" s="1"/>
  <c r="E19" i="5" s="1"/>
  <c r="B22" i="1"/>
  <c r="E22" i="1" s="1"/>
  <c r="B20" i="2"/>
  <c r="C20" i="3"/>
  <c r="D20" i="3" s="1"/>
  <c r="F20" i="3" s="1"/>
  <c r="B59" i="9" l="1"/>
  <c r="B57" i="8"/>
  <c r="C20" i="7"/>
  <c r="D20" i="7" s="1"/>
  <c r="F20" i="7" s="1"/>
  <c r="E20" i="7"/>
  <c r="B21" i="6"/>
  <c r="B20" i="5"/>
  <c r="C22" i="1"/>
  <c r="D22" i="1" s="1"/>
  <c r="F22" i="1" s="1"/>
  <c r="B21" i="3"/>
  <c r="C20" i="2"/>
  <c r="D20" i="2" s="1"/>
  <c r="F20" i="2" s="1"/>
  <c r="C59" i="9" l="1"/>
  <c r="D59" i="9" s="1"/>
  <c r="E59" i="9" s="1"/>
  <c r="C57" i="8"/>
  <c r="D57" i="8" s="1"/>
  <c r="E57" i="8" s="1"/>
  <c r="B21" i="7"/>
  <c r="C21" i="6"/>
  <c r="D21" i="6" s="1"/>
  <c r="F21" i="6" s="1"/>
  <c r="E21" i="6"/>
  <c r="C20" i="5"/>
  <c r="D20" i="5" s="1"/>
  <c r="E20" i="5" s="1"/>
  <c r="B23" i="1"/>
  <c r="E23" i="1" s="1"/>
  <c r="B21" i="2"/>
  <c r="C21" i="3"/>
  <c r="D21" i="3" s="1"/>
  <c r="F21" i="3" s="1"/>
  <c r="B60" i="9" l="1"/>
  <c r="B58" i="8"/>
  <c r="D21" i="7"/>
  <c r="F21" i="7" s="1"/>
  <c r="E21" i="7"/>
  <c r="C21" i="7"/>
  <c r="B22" i="6"/>
  <c r="B21" i="5"/>
  <c r="C23" i="1"/>
  <c r="D23" i="1" s="1"/>
  <c r="F23" i="1" s="1"/>
  <c r="B22" i="3"/>
  <c r="C21" i="2"/>
  <c r="D21" i="2" s="1"/>
  <c r="F21" i="2" s="1"/>
  <c r="C60" i="9" l="1"/>
  <c r="E3" i="9" s="1"/>
  <c r="C58" i="8"/>
  <c r="D58" i="8" s="1"/>
  <c r="E58" i="8" s="1"/>
  <c r="B22" i="7"/>
  <c r="E22" i="6"/>
  <c r="C22" i="6"/>
  <c r="D22" i="6" s="1"/>
  <c r="F22" i="6" s="1"/>
  <c r="C21" i="5"/>
  <c r="D21" i="5" s="1"/>
  <c r="E21" i="5" s="1"/>
  <c r="B24" i="1"/>
  <c r="E24" i="1" s="1"/>
  <c r="B22" i="2"/>
  <c r="C22" i="3"/>
  <c r="D22" i="3" s="1"/>
  <c r="F22" i="3" s="1"/>
  <c r="D60" i="9" l="1"/>
  <c r="B59" i="8"/>
  <c r="E22" i="7"/>
  <c r="C22" i="7"/>
  <c r="D22" i="7" s="1"/>
  <c r="F22" i="7" s="1"/>
  <c r="B23" i="6"/>
  <c r="B22" i="5"/>
  <c r="C24" i="1"/>
  <c r="D24" i="1" s="1"/>
  <c r="F24" i="1" s="1"/>
  <c r="B23" i="3"/>
  <c r="C22" i="2"/>
  <c r="D22" i="2" s="1"/>
  <c r="F22" i="2" s="1"/>
  <c r="E4" i="9" l="1"/>
  <c r="E60" i="9"/>
  <c r="C59" i="8"/>
  <c r="D59" i="8" s="1"/>
  <c r="E59" i="8" s="1"/>
  <c r="B23" i="7"/>
  <c r="E23" i="6"/>
  <c r="C23" i="6"/>
  <c r="D23" i="6" s="1"/>
  <c r="F23" i="6" s="1"/>
  <c r="C22" i="5"/>
  <c r="D22" i="5" s="1"/>
  <c r="E22" i="5" s="1"/>
  <c r="B25" i="1"/>
  <c r="E25" i="1" s="1"/>
  <c r="B23" i="2"/>
  <c r="C23" i="3"/>
  <c r="D23" i="3" s="1"/>
  <c r="F23" i="3" s="1"/>
  <c r="E61" i="9" l="1"/>
  <c r="B61" i="9"/>
  <c r="E6" i="9"/>
  <c r="E7" i="9"/>
  <c r="B60" i="8"/>
  <c r="C23" i="7"/>
  <c r="D23" i="7" s="1"/>
  <c r="F23" i="7" s="1"/>
  <c r="E23" i="7"/>
  <c r="B24" i="6"/>
  <c r="B23" i="5"/>
  <c r="C25" i="1"/>
  <c r="D25" i="1" s="1"/>
  <c r="F25" i="1" s="1"/>
  <c r="B24" i="3"/>
  <c r="C23" i="2"/>
  <c r="D23" i="2" s="1"/>
  <c r="F23" i="2" s="1"/>
  <c r="C61" i="9" l="1"/>
  <c r="D61" i="9"/>
  <c r="E62" i="9"/>
  <c r="B62" i="9"/>
  <c r="C60" i="8"/>
  <c r="E3" i="8" s="1"/>
  <c r="B24" i="7"/>
  <c r="E24" i="6"/>
  <c r="C24" i="6"/>
  <c r="D24" i="6" s="1"/>
  <c r="F24" i="6" s="1"/>
  <c r="C23" i="5"/>
  <c r="D23" i="5" s="1"/>
  <c r="E23" i="5" s="1"/>
  <c r="B26" i="1"/>
  <c r="E26" i="1" s="1"/>
  <c r="B24" i="2"/>
  <c r="C24" i="3"/>
  <c r="D24" i="3" s="1"/>
  <c r="F24" i="3" s="1"/>
  <c r="C62" i="9" l="1"/>
  <c r="D62" i="9"/>
  <c r="E63" i="9"/>
  <c r="B63" i="9"/>
  <c r="D60" i="8"/>
  <c r="C24" i="7"/>
  <c r="D24" i="7" s="1"/>
  <c r="F24" i="7" s="1"/>
  <c r="E24" i="7"/>
  <c r="B25" i="6"/>
  <c r="B24" i="5"/>
  <c r="C26" i="1"/>
  <c r="D26" i="1" s="1"/>
  <c r="F26" i="1" s="1"/>
  <c r="B25" i="3"/>
  <c r="C24" i="2"/>
  <c r="D24" i="2" s="1"/>
  <c r="F24" i="2" s="1"/>
  <c r="C63" i="9" l="1"/>
  <c r="D63" i="9"/>
  <c r="E64" i="9"/>
  <c r="B64" i="9"/>
  <c r="E4" i="8"/>
  <c r="E60" i="8"/>
  <c r="B25" i="7"/>
  <c r="C25" i="6"/>
  <c r="D25" i="6" s="1"/>
  <c r="F25" i="6" s="1"/>
  <c r="E25" i="6"/>
  <c r="C24" i="5"/>
  <c r="D24" i="5" s="1"/>
  <c r="E24" i="5" s="1"/>
  <c r="B27" i="1"/>
  <c r="E27" i="1" s="1"/>
  <c r="B25" i="2"/>
  <c r="C25" i="3"/>
  <c r="D25" i="3" s="1"/>
  <c r="F25" i="3" s="1"/>
  <c r="C64" i="9" l="1"/>
  <c r="D64" i="9"/>
  <c r="E65" i="9"/>
  <c r="B65" i="9"/>
  <c r="E61" i="8"/>
  <c r="B61" i="8"/>
  <c r="E6" i="8"/>
  <c r="E7" i="8"/>
  <c r="E25" i="7"/>
  <c r="C25" i="7"/>
  <c r="D25" i="7" s="1"/>
  <c r="F25" i="7" s="1"/>
  <c r="B26" i="6"/>
  <c r="B25" i="5"/>
  <c r="C27" i="1"/>
  <c r="D27" i="1" s="1"/>
  <c r="F27" i="1" s="1"/>
  <c r="B26" i="3"/>
  <c r="C25" i="2"/>
  <c r="D25" i="2" s="1"/>
  <c r="F25" i="2" s="1"/>
  <c r="E66" i="9" l="1"/>
  <c r="B66" i="9"/>
  <c r="C65" i="9"/>
  <c r="D65" i="9"/>
  <c r="D61" i="8"/>
  <c r="C61" i="8"/>
  <c r="E62" i="8"/>
  <c r="B62" i="8"/>
  <c r="B26" i="7"/>
  <c r="E26" i="6"/>
  <c r="C26" i="6"/>
  <c r="D26" i="6" s="1"/>
  <c r="F26" i="6" s="1"/>
  <c r="C25" i="5"/>
  <c r="D25" i="5" s="1"/>
  <c r="E25" i="5" s="1"/>
  <c r="B28" i="1"/>
  <c r="E28" i="1" s="1"/>
  <c r="C26" i="3"/>
  <c r="D26" i="3" s="1"/>
  <c r="F26" i="3" s="1"/>
  <c r="B26" i="2"/>
  <c r="C66" i="9" l="1"/>
  <c r="D66" i="9"/>
  <c r="E67" i="9"/>
  <c r="B67" i="9"/>
  <c r="D62" i="8"/>
  <c r="C62" i="8"/>
  <c r="E63" i="8"/>
  <c r="B63" i="8"/>
  <c r="C26" i="7"/>
  <c r="E26" i="7"/>
  <c r="D26" i="7"/>
  <c r="F26" i="7" s="1"/>
  <c r="B27" i="6"/>
  <c r="B26" i="5"/>
  <c r="C28" i="1"/>
  <c r="D28" i="1" s="1"/>
  <c r="F28" i="1" s="1"/>
  <c r="B27" i="3"/>
  <c r="C26" i="2"/>
  <c r="D26" i="2" s="1"/>
  <c r="F26" i="2" s="1"/>
  <c r="C67" i="9" l="1"/>
  <c r="D67" i="9"/>
  <c r="E68" i="9"/>
  <c r="B68" i="9"/>
  <c r="E64" i="8"/>
  <c r="B64" i="8"/>
  <c r="D63" i="8"/>
  <c r="C63" i="8"/>
  <c r="B27" i="7"/>
  <c r="E27" i="6"/>
  <c r="C27" i="6"/>
  <c r="D27" i="6" s="1"/>
  <c r="F27" i="6" s="1"/>
  <c r="C26" i="5"/>
  <c r="D26" i="5" s="1"/>
  <c r="E26" i="5" s="1"/>
  <c r="B29" i="1"/>
  <c r="E29" i="1" s="1"/>
  <c r="B27" i="2"/>
  <c r="C27" i="3"/>
  <c r="D27" i="3" s="1"/>
  <c r="F27" i="3" s="1"/>
  <c r="C68" i="9" l="1"/>
  <c r="D68" i="9"/>
  <c r="E69" i="9"/>
  <c r="B69" i="9"/>
  <c r="D64" i="8"/>
  <c r="C64" i="8"/>
  <c r="E65" i="8"/>
  <c r="B65" i="8"/>
  <c r="C27" i="7"/>
  <c r="D27" i="7" s="1"/>
  <c r="F27" i="7" s="1"/>
  <c r="E27" i="7"/>
  <c r="B28" i="6"/>
  <c r="B27" i="5"/>
  <c r="C29" i="1"/>
  <c r="D29" i="1" s="1"/>
  <c r="F29" i="1" s="1"/>
  <c r="C27" i="2"/>
  <c r="D27" i="2" s="1"/>
  <c r="F27" i="2" s="1"/>
  <c r="B28" i="3"/>
  <c r="E70" i="9" l="1"/>
  <c r="B70" i="9"/>
  <c r="C69" i="9"/>
  <c r="D69" i="9"/>
  <c r="D65" i="8"/>
  <c r="C65" i="8"/>
  <c r="E66" i="8"/>
  <c r="B66" i="8"/>
  <c r="B28" i="7"/>
  <c r="C28" i="6"/>
  <c r="D28" i="6" s="1"/>
  <c r="F28" i="6" s="1"/>
  <c r="E28" i="6"/>
  <c r="C27" i="5"/>
  <c r="D27" i="5" s="1"/>
  <c r="E27" i="5" s="1"/>
  <c r="B30" i="1"/>
  <c r="E30" i="1" s="1"/>
  <c r="B28" i="2"/>
  <c r="C28" i="3"/>
  <c r="D28" i="3" s="1"/>
  <c r="F28" i="3" s="1"/>
  <c r="C70" i="9" l="1"/>
  <c r="D70" i="9"/>
  <c r="E71" i="9"/>
  <c r="B71" i="9"/>
  <c r="E67" i="8"/>
  <c r="B67" i="8"/>
  <c r="D66" i="8"/>
  <c r="C66" i="8"/>
  <c r="E28" i="7"/>
  <c r="C28" i="7"/>
  <c r="D28" i="7" s="1"/>
  <c r="F28" i="7" s="1"/>
  <c r="B29" i="6"/>
  <c r="B28" i="5"/>
  <c r="C30" i="1"/>
  <c r="D30" i="1" s="1"/>
  <c r="F30" i="1" s="1"/>
  <c r="B29" i="3"/>
  <c r="C28" i="2"/>
  <c r="D28" i="2" s="1"/>
  <c r="F28" i="2" s="1"/>
  <c r="E72" i="9" l="1"/>
  <c r="B72" i="9"/>
  <c r="C71" i="9"/>
  <c r="D71" i="9"/>
  <c r="D67" i="8"/>
  <c r="C67" i="8"/>
  <c r="E68" i="8"/>
  <c r="B68" i="8"/>
  <c r="B29" i="7"/>
  <c r="E29" i="6"/>
  <c r="C29" i="6"/>
  <c r="D29" i="6" s="1"/>
  <c r="F29" i="6" s="1"/>
  <c r="C28" i="5"/>
  <c r="D28" i="5" s="1"/>
  <c r="E28" i="5" s="1"/>
  <c r="B31" i="1"/>
  <c r="E31" i="1" s="1"/>
  <c r="B29" i="2"/>
  <c r="C29" i="3"/>
  <c r="D29" i="3" s="1"/>
  <c r="F29" i="3" s="1"/>
  <c r="C72" i="9" l="1"/>
  <c r="D72" i="9"/>
  <c r="E73" i="9"/>
  <c r="B73" i="9"/>
  <c r="D68" i="8"/>
  <c r="C68" i="8"/>
  <c r="E69" i="8"/>
  <c r="B69" i="8"/>
  <c r="C29" i="7"/>
  <c r="D29" i="7" s="1"/>
  <c r="F29" i="7" s="1"/>
  <c r="E29" i="7"/>
  <c r="B30" i="6"/>
  <c r="B29" i="5"/>
  <c r="C31" i="1"/>
  <c r="D31" i="1" s="1"/>
  <c r="F31" i="1" s="1"/>
  <c r="B30" i="3"/>
  <c r="C29" i="2"/>
  <c r="D29" i="2" s="1"/>
  <c r="F29" i="2" s="1"/>
  <c r="E74" i="9" l="1"/>
  <c r="B74" i="9"/>
  <c r="C73" i="9"/>
  <c r="D73" i="9"/>
  <c r="D69" i="8"/>
  <c r="C69" i="8"/>
  <c r="E70" i="8"/>
  <c r="B70" i="8"/>
  <c r="B30" i="7"/>
  <c r="C30" i="6"/>
  <c r="D30" i="6" s="1"/>
  <c r="F30" i="6" s="1"/>
  <c r="E30" i="6"/>
  <c r="C29" i="5"/>
  <c r="D29" i="5" s="1"/>
  <c r="E29" i="5" s="1"/>
  <c r="B32" i="1"/>
  <c r="E32" i="1" s="1"/>
  <c r="B30" i="2"/>
  <c r="C30" i="3"/>
  <c r="D30" i="3" s="1"/>
  <c r="F30" i="3" s="1"/>
  <c r="C74" i="9" l="1"/>
  <c r="D74" i="9"/>
  <c r="E75" i="9"/>
  <c r="B75" i="9"/>
  <c r="D70" i="8"/>
  <c r="C70" i="8"/>
  <c r="E71" i="8"/>
  <c r="B71" i="8"/>
  <c r="E30" i="7"/>
  <c r="C30" i="7"/>
  <c r="D30" i="7" s="1"/>
  <c r="F30" i="7" s="1"/>
  <c r="B31" i="6"/>
  <c r="B30" i="5"/>
  <c r="C32" i="1"/>
  <c r="D32" i="1" s="1"/>
  <c r="F32" i="1" s="1"/>
  <c r="B31" i="3"/>
  <c r="C30" i="2"/>
  <c r="D30" i="2" s="1"/>
  <c r="F30" i="2" s="1"/>
  <c r="C75" i="9" l="1"/>
  <c r="D75" i="9"/>
  <c r="E76" i="9"/>
  <c r="B76" i="9"/>
  <c r="D71" i="8"/>
  <c r="C71" i="8"/>
  <c r="E72" i="8"/>
  <c r="B72" i="8"/>
  <c r="B31" i="7"/>
  <c r="E31" i="6"/>
  <c r="C31" i="6"/>
  <c r="D31" i="6" s="1"/>
  <c r="F31" i="6" s="1"/>
  <c r="C30" i="5"/>
  <c r="D30" i="5" s="1"/>
  <c r="E30" i="5" s="1"/>
  <c r="B33" i="1"/>
  <c r="E33" i="1" s="1"/>
  <c r="B31" i="2"/>
  <c r="C31" i="3"/>
  <c r="D31" i="3" s="1"/>
  <c r="F31" i="3" s="1"/>
  <c r="C76" i="9" l="1"/>
  <c r="D76" i="9"/>
  <c r="E77" i="9"/>
  <c r="B77" i="9"/>
  <c r="D72" i="8"/>
  <c r="C72" i="8"/>
  <c r="E73" i="8"/>
  <c r="B73" i="8"/>
  <c r="E31" i="7"/>
  <c r="C31" i="7"/>
  <c r="D31" i="7" s="1"/>
  <c r="F31" i="7" s="1"/>
  <c r="B32" i="6"/>
  <c r="B31" i="5"/>
  <c r="C33" i="1"/>
  <c r="D33" i="1" s="1"/>
  <c r="F33" i="1" s="1"/>
  <c r="B32" i="3"/>
  <c r="C31" i="2"/>
  <c r="D31" i="2" s="1"/>
  <c r="F31" i="2" s="1"/>
  <c r="E78" i="9" l="1"/>
  <c r="B78" i="9"/>
  <c r="C77" i="9"/>
  <c r="D77" i="9"/>
  <c r="D73" i="8"/>
  <c r="C73" i="8"/>
  <c r="E74" i="8"/>
  <c r="B74" i="8"/>
  <c r="B32" i="7"/>
  <c r="C32" i="6"/>
  <c r="D32" i="6" s="1"/>
  <c r="F32" i="6" s="1"/>
  <c r="E32" i="6"/>
  <c r="C31" i="5"/>
  <c r="D31" i="5" s="1"/>
  <c r="E31" i="5" s="1"/>
  <c r="B34" i="1"/>
  <c r="E34" i="1" s="1"/>
  <c r="C32" i="3"/>
  <c r="D32" i="3" s="1"/>
  <c r="F32" i="3" s="1"/>
  <c r="B32" i="2"/>
  <c r="C78" i="9" l="1"/>
  <c r="D78" i="9"/>
  <c r="E79" i="9"/>
  <c r="B79" i="9"/>
  <c r="D74" i="8"/>
  <c r="C74" i="8"/>
  <c r="E75" i="8"/>
  <c r="B75" i="8"/>
  <c r="C32" i="7"/>
  <c r="E32" i="7"/>
  <c r="D32" i="7"/>
  <c r="F32" i="7" s="1"/>
  <c r="B33" i="6"/>
  <c r="B32" i="5"/>
  <c r="C34" i="1"/>
  <c r="D34" i="1" s="1"/>
  <c r="F34" i="1" s="1"/>
  <c r="B33" i="3"/>
  <c r="C32" i="2"/>
  <c r="D32" i="2" s="1"/>
  <c r="F32" i="2" s="1"/>
  <c r="C79" i="9" l="1"/>
  <c r="D79" i="9"/>
  <c r="E80" i="9"/>
  <c r="B80" i="9"/>
  <c r="D75" i="8"/>
  <c r="C75" i="8"/>
  <c r="E76" i="8"/>
  <c r="B76" i="8"/>
  <c r="B33" i="7"/>
  <c r="C33" i="6"/>
  <c r="D33" i="6" s="1"/>
  <c r="F33" i="6" s="1"/>
  <c r="E33" i="6"/>
  <c r="C32" i="5"/>
  <c r="D32" i="5" s="1"/>
  <c r="E32" i="5" s="1"/>
  <c r="B35" i="1"/>
  <c r="E35" i="1" s="1"/>
  <c r="B33" i="2"/>
  <c r="C33" i="3"/>
  <c r="D33" i="3" s="1"/>
  <c r="F33" i="3" s="1"/>
  <c r="C80" i="9" l="1"/>
  <c r="D80" i="9"/>
  <c r="E81" i="9"/>
  <c r="B81" i="9"/>
  <c r="D76" i="8"/>
  <c r="C76" i="8"/>
  <c r="E77" i="8"/>
  <c r="B77" i="8"/>
  <c r="C33" i="7"/>
  <c r="D33" i="7" s="1"/>
  <c r="F33" i="7" s="1"/>
  <c r="E33" i="7"/>
  <c r="B34" i="6"/>
  <c r="B33" i="5"/>
  <c r="C35" i="1"/>
  <c r="D35" i="1" s="1"/>
  <c r="F35" i="1" s="1"/>
  <c r="B34" i="3"/>
  <c r="C33" i="2"/>
  <c r="D33" i="2" s="1"/>
  <c r="F33" i="2" s="1"/>
  <c r="C81" i="9" l="1"/>
  <c r="D81" i="9"/>
  <c r="E82" i="9"/>
  <c r="B82" i="9"/>
  <c r="E78" i="8"/>
  <c r="B78" i="8"/>
  <c r="D77" i="8"/>
  <c r="C77" i="8"/>
  <c r="B34" i="7"/>
  <c r="E34" i="6"/>
  <c r="C34" i="6"/>
  <c r="D34" i="6" s="1"/>
  <c r="F34" i="6" s="1"/>
  <c r="C33" i="5"/>
  <c r="D33" i="5" s="1"/>
  <c r="E33" i="5" s="1"/>
  <c r="B36" i="1"/>
  <c r="E36" i="1" s="1"/>
  <c r="B34" i="2"/>
  <c r="C34" i="3"/>
  <c r="D34" i="3" s="1"/>
  <c r="F34" i="3" s="1"/>
  <c r="C82" i="9" l="1"/>
  <c r="D82" i="9"/>
  <c r="E83" i="9"/>
  <c r="B83" i="9"/>
  <c r="D78" i="8"/>
  <c r="C78" i="8"/>
  <c r="E79" i="8"/>
  <c r="B79" i="8"/>
  <c r="C34" i="7"/>
  <c r="D34" i="7" s="1"/>
  <c r="F34" i="7" s="1"/>
  <c r="E34" i="7"/>
  <c r="B35" i="6"/>
  <c r="B34" i="5"/>
  <c r="C36" i="1"/>
  <c r="D36" i="1" s="1"/>
  <c r="F36" i="1" s="1"/>
  <c r="B35" i="3"/>
  <c r="C34" i="2"/>
  <c r="D34" i="2" s="1"/>
  <c r="F34" i="2" s="1"/>
  <c r="E84" i="9" l="1"/>
  <c r="B84" i="9"/>
  <c r="C83" i="9"/>
  <c r="D83" i="9"/>
  <c r="D79" i="8"/>
  <c r="C79" i="8"/>
  <c r="E80" i="8"/>
  <c r="B80" i="8"/>
  <c r="B35" i="7"/>
  <c r="C35" i="6"/>
  <c r="D35" i="6" s="1"/>
  <c r="F35" i="6" s="1"/>
  <c r="E35" i="6"/>
  <c r="C34" i="5"/>
  <c r="D34" i="5" s="1"/>
  <c r="E34" i="5" s="1"/>
  <c r="B37" i="1"/>
  <c r="E37" i="1" s="1"/>
  <c r="B35" i="2"/>
  <c r="C35" i="3"/>
  <c r="D35" i="3" s="1"/>
  <c r="F35" i="3" s="1"/>
  <c r="C84" i="9" l="1"/>
  <c r="D84" i="9"/>
  <c r="E85" i="9"/>
  <c r="B85" i="9"/>
  <c r="D80" i="8"/>
  <c r="C80" i="8"/>
  <c r="E81" i="8"/>
  <c r="B81" i="8"/>
  <c r="C35" i="7"/>
  <c r="D35" i="7" s="1"/>
  <c r="F35" i="7" s="1"/>
  <c r="E35" i="7"/>
  <c r="B36" i="6"/>
  <c r="B35" i="5"/>
  <c r="C37" i="1"/>
  <c r="D37" i="1" s="1"/>
  <c r="F37" i="1" s="1"/>
  <c r="B36" i="3"/>
  <c r="C35" i="2"/>
  <c r="D35" i="2" s="1"/>
  <c r="F35" i="2" s="1"/>
  <c r="C85" i="9" l="1"/>
  <c r="D85" i="9"/>
  <c r="E86" i="9"/>
  <c r="B86" i="9"/>
  <c r="D81" i="8"/>
  <c r="C81" i="8"/>
  <c r="E82" i="8"/>
  <c r="B82" i="8"/>
  <c r="B36" i="7"/>
  <c r="C36" i="6"/>
  <c r="D36" i="6" s="1"/>
  <c r="F36" i="6" s="1"/>
  <c r="E36" i="6"/>
  <c r="C35" i="5"/>
  <c r="D35" i="5" s="1"/>
  <c r="E35" i="5" s="1"/>
  <c r="B38" i="1"/>
  <c r="E38" i="1" s="1"/>
  <c r="B36" i="2"/>
  <c r="C36" i="3"/>
  <c r="D36" i="3" s="1"/>
  <c r="F36" i="3" s="1"/>
  <c r="C86" i="9" l="1"/>
  <c r="D86" i="9"/>
  <c r="E87" i="9"/>
  <c r="B87" i="9"/>
  <c r="D82" i="8"/>
  <c r="C82" i="8"/>
  <c r="E83" i="8"/>
  <c r="B83" i="8"/>
  <c r="E36" i="7"/>
  <c r="C36" i="7"/>
  <c r="D36" i="7" s="1"/>
  <c r="F36" i="7" s="1"/>
  <c r="B37" i="6"/>
  <c r="B36" i="5"/>
  <c r="C38" i="1"/>
  <c r="D38" i="1" s="1"/>
  <c r="F38" i="1" s="1"/>
  <c r="B37" i="3"/>
  <c r="C36" i="2"/>
  <c r="D36" i="2" s="1"/>
  <c r="F36" i="2" s="1"/>
  <c r="C87" i="9" l="1"/>
  <c r="D87" i="9"/>
  <c r="E88" i="9"/>
  <c r="B88" i="9"/>
  <c r="D83" i="8"/>
  <c r="C83" i="8"/>
  <c r="E84" i="8"/>
  <c r="B84" i="8"/>
  <c r="B37" i="7"/>
  <c r="E37" i="6"/>
  <c r="C37" i="6"/>
  <c r="D37" i="6" s="1"/>
  <c r="F37" i="6" s="1"/>
  <c r="C36" i="5"/>
  <c r="D36" i="5" s="1"/>
  <c r="E36" i="5" s="1"/>
  <c r="B39" i="1"/>
  <c r="E39" i="1" s="1"/>
  <c r="B37" i="2"/>
  <c r="C37" i="3"/>
  <c r="D37" i="3" s="1"/>
  <c r="F37" i="3" s="1"/>
  <c r="E89" i="9" l="1"/>
  <c r="B89" i="9"/>
  <c r="C88" i="9"/>
  <c r="D88" i="9"/>
  <c r="D84" i="8"/>
  <c r="C84" i="8"/>
  <c r="E85" i="8"/>
  <c r="B85" i="8"/>
  <c r="C37" i="7"/>
  <c r="D37" i="7"/>
  <c r="F37" i="7" s="1"/>
  <c r="E37" i="7"/>
  <c r="B38" i="6"/>
  <c r="B37" i="5"/>
  <c r="C39" i="1"/>
  <c r="D39" i="1" s="1"/>
  <c r="F39" i="1" s="1"/>
  <c r="B38" i="3"/>
  <c r="C37" i="2"/>
  <c r="D37" i="2" s="1"/>
  <c r="F37" i="2" s="1"/>
  <c r="C89" i="9" l="1"/>
  <c r="D89" i="9"/>
  <c r="E90" i="9"/>
  <c r="B90" i="9"/>
  <c r="D85" i="8"/>
  <c r="C85" i="8"/>
  <c r="E86" i="8"/>
  <c r="B86" i="8"/>
  <c r="B38" i="7"/>
  <c r="E38" i="6"/>
  <c r="C38" i="6"/>
  <c r="D38" i="6" s="1"/>
  <c r="F38" i="6" s="1"/>
  <c r="C37" i="5"/>
  <c r="D37" i="5" s="1"/>
  <c r="E37" i="5" s="1"/>
  <c r="B40" i="1"/>
  <c r="E40" i="1" s="1"/>
  <c r="B38" i="2"/>
  <c r="C38" i="3"/>
  <c r="D38" i="3" s="1"/>
  <c r="F38" i="3" s="1"/>
  <c r="E91" i="9" l="1"/>
  <c r="B91" i="9"/>
  <c r="C90" i="9"/>
  <c r="D90" i="9"/>
  <c r="D86" i="8"/>
  <c r="C86" i="8"/>
  <c r="E87" i="8"/>
  <c r="B87" i="8"/>
  <c r="E38" i="7"/>
  <c r="C38" i="7"/>
  <c r="D38" i="7" s="1"/>
  <c r="F38" i="7" s="1"/>
  <c r="B39" i="6"/>
  <c r="B38" i="5"/>
  <c r="C40" i="1"/>
  <c r="D40" i="1" s="1"/>
  <c r="F40" i="1" s="1"/>
  <c r="B39" i="3"/>
  <c r="C38" i="2"/>
  <c r="D38" i="2" s="1"/>
  <c r="F38" i="2" s="1"/>
  <c r="C91" i="9" l="1"/>
  <c r="D91" i="9"/>
  <c r="E92" i="9"/>
  <c r="B92" i="9"/>
  <c r="D87" i="8"/>
  <c r="C87" i="8"/>
  <c r="E88" i="8"/>
  <c r="B88" i="8"/>
  <c r="B39" i="7"/>
  <c r="E39" i="6"/>
  <c r="C39" i="6"/>
  <c r="D39" i="6" s="1"/>
  <c r="F39" i="6" s="1"/>
  <c r="C38" i="5"/>
  <c r="D38" i="5" s="1"/>
  <c r="E38" i="5" s="1"/>
  <c r="B41" i="1"/>
  <c r="E41" i="1" s="1"/>
  <c r="B39" i="2"/>
  <c r="C39" i="3"/>
  <c r="D39" i="3" s="1"/>
  <c r="F39" i="3" s="1"/>
  <c r="C92" i="9" l="1"/>
  <c r="D92" i="9"/>
  <c r="E93" i="9"/>
  <c r="B93" i="9"/>
  <c r="D88" i="8"/>
  <c r="C88" i="8"/>
  <c r="E89" i="8"/>
  <c r="B89" i="8"/>
  <c r="E39" i="7"/>
  <c r="C39" i="7"/>
  <c r="D39" i="7" s="1"/>
  <c r="F39" i="7" s="1"/>
  <c r="B40" i="6"/>
  <c r="B39" i="5"/>
  <c r="C41" i="1"/>
  <c r="D41" i="1" s="1"/>
  <c r="F41" i="1" s="1"/>
  <c r="C39" i="2"/>
  <c r="D39" i="2" s="1"/>
  <c r="F39" i="2" s="1"/>
  <c r="B40" i="3"/>
  <c r="C93" i="9" l="1"/>
  <c r="D93" i="9"/>
  <c r="E94" i="9"/>
  <c r="B94" i="9"/>
  <c r="D89" i="8"/>
  <c r="C89" i="8"/>
  <c r="E90" i="8"/>
  <c r="B90" i="8"/>
  <c r="B40" i="7"/>
  <c r="C40" i="6"/>
  <c r="D40" i="6" s="1"/>
  <c r="F40" i="6" s="1"/>
  <c r="E40" i="6"/>
  <c r="C39" i="5"/>
  <c r="D39" i="5" s="1"/>
  <c r="E39" i="5" s="1"/>
  <c r="B42" i="1"/>
  <c r="E42" i="1" s="1"/>
  <c r="B40" i="2"/>
  <c r="C40" i="3"/>
  <c r="D40" i="3" s="1"/>
  <c r="F40" i="3" s="1"/>
  <c r="E95" i="9" l="1"/>
  <c r="B95" i="9"/>
  <c r="C94" i="9"/>
  <c r="D94" i="9"/>
  <c r="D90" i="8"/>
  <c r="C90" i="8"/>
  <c r="E91" i="8"/>
  <c r="B91" i="8"/>
  <c r="C40" i="7"/>
  <c r="D40" i="7" s="1"/>
  <c r="F40" i="7" s="1"/>
  <c r="E40" i="7"/>
  <c r="B41" i="6"/>
  <c r="B40" i="5"/>
  <c r="C42" i="1"/>
  <c r="D42" i="1" s="1"/>
  <c r="F42" i="1" s="1"/>
  <c r="B41" i="3"/>
  <c r="C40" i="2"/>
  <c r="D40" i="2" s="1"/>
  <c r="F40" i="2" s="1"/>
  <c r="D95" i="9" l="1"/>
  <c r="C95" i="9"/>
  <c r="E96" i="9"/>
  <c r="B96" i="9"/>
  <c r="D91" i="8"/>
  <c r="C91" i="8"/>
  <c r="E92" i="8"/>
  <c r="B92" i="8"/>
  <c r="B41" i="7"/>
  <c r="C41" i="6"/>
  <c r="D41" i="6" s="1"/>
  <c r="F41" i="6" s="1"/>
  <c r="E41" i="6"/>
  <c r="C40" i="5"/>
  <c r="D40" i="5" s="1"/>
  <c r="E40" i="5" s="1"/>
  <c r="B43" i="1"/>
  <c r="E43" i="1" s="1"/>
  <c r="B41" i="2"/>
  <c r="C41" i="3"/>
  <c r="D41" i="3" s="1"/>
  <c r="F41" i="3" s="1"/>
  <c r="C96" i="9" l="1"/>
  <c r="D96" i="9"/>
  <c r="E97" i="9"/>
  <c r="B97" i="9"/>
  <c r="D92" i="8"/>
  <c r="C92" i="8"/>
  <c r="E93" i="8"/>
  <c r="B93" i="8"/>
  <c r="E41" i="7"/>
  <c r="C41" i="7"/>
  <c r="D41" i="7" s="1"/>
  <c r="F41" i="7" s="1"/>
  <c r="B42" i="6"/>
  <c r="B41" i="5"/>
  <c r="C43" i="1"/>
  <c r="D43" i="1" s="1"/>
  <c r="F43" i="1" s="1"/>
  <c r="B42" i="3"/>
  <c r="C41" i="2"/>
  <c r="D41" i="2" s="1"/>
  <c r="F41" i="2" s="1"/>
  <c r="D97" i="9" l="1"/>
  <c r="C97" i="9"/>
  <c r="E98" i="9"/>
  <c r="B98" i="9"/>
  <c r="D93" i="8"/>
  <c r="C93" i="8"/>
  <c r="E94" i="8"/>
  <c r="B94" i="8"/>
  <c r="B42" i="7"/>
  <c r="E42" i="6"/>
  <c r="C42" i="6"/>
  <c r="D42" i="6" s="1"/>
  <c r="F42" i="6" s="1"/>
  <c r="C41" i="5"/>
  <c r="D41" i="5" s="1"/>
  <c r="E41" i="5" s="1"/>
  <c r="B44" i="1"/>
  <c r="E44" i="1" s="1"/>
  <c r="B42" i="2"/>
  <c r="C42" i="3"/>
  <c r="D42" i="3" s="1"/>
  <c r="F42" i="3" s="1"/>
  <c r="D98" i="9" l="1"/>
  <c r="C98" i="9"/>
  <c r="E99" i="9"/>
  <c r="B99" i="9"/>
  <c r="D94" i="8"/>
  <c r="C94" i="8"/>
  <c r="E95" i="8"/>
  <c r="B95" i="8"/>
  <c r="C42" i="7"/>
  <c r="E42" i="7"/>
  <c r="D42" i="7"/>
  <c r="F42" i="7" s="1"/>
  <c r="B43" i="6"/>
  <c r="B42" i="5"/>
  <c r="C44" i="1"/>
  <c r="D44" i="1" s="1"/>
  <c r="F44" i="1" s="1"/>
  <c r="B43" i="3"/>
  <c r="C42" i="2"/>
  <c r="D42" i="2" s="1"/>
  <c r="F42" i="2" s="1"/>
  <c r="C99" i="9" l="1"/>
  <c r="D99" i="9"/>
  <c r="E100" i="9"/>
  <c r="B100" i="9"/>
  <c r="D95" i="8"/>
  <c r="C95" i="8"/>
  <c r="E96" i="8"/>
  <c r="B96" i="8"/>
  <c r="B43" i="7"/>
  <c r="E43" i="6"/>
  <c r="C43" i="6"/>
  <c r="D43" i="6" s="1"/>
  <c r="F43" i="6" s="1"/>
  <c r="C42" i="5"/>
  <c r="D42" i="5" s="1"/>
  <c r="E42" i="5" s="1"/>
  <c r="B45" i="1"/>
  <c r="E45" i="1" s="1"/>
  <c r="C43" i="3"/>
  <c r="D43" i="3" s="1"/>
  <c r="F43" i="3" s="1"/>
  <c r="B43" i="2"/>
  <c r="E101" i="9" l="1"/>
  <c r="B101" i="9"/>
  <c r="D100" i="9"/>
  <c r="C100" i="9"/>
  <c r="D96" i="8"/>
  <c r="C96" i="8"/>
  <c r="E97" i="8"/>
  <c r="B97" i="8"/>
  <c r="C43" i="7"/>
  <c r="D43" i="7" s="1"/>
  <c r="F43" i="7" s="1"/>
  <c r="E43" i="7"/>
  <c r="B44" i="6"/>
  <c r="B43" i="5"/>
  <c r="C45" i="1"/>
  <c r="D45" i="1" s="1"/>
  <c r="F45" i="1" s="1"/>
  <c r="B44" i="3"/>
  <c r="C43" i="2"/>
  <c r="D43" i="2" s="1"/>
  <c r="F43" i="2" s="1"/>
  <c r="C101" i="9" l="1"/>
  <c r="D101" i="9"/>
  <c r="E102" i="9"/>
  <c r="B102" i="9"/>
  <c r="D97" i="8"/>
  <c r="C97" i="8"/>
  <c r="E98" i="8"/>
  <c r="B98" i="8"/>
  <c r="B44" i="7"/>
  <c r="C44" i="6"/>
  <c r="D44" i="6" s="1"/>
  <c r="F44" i="6" s="1"/>
  <c r="E44" i="6"/>
  <c r="C43" i="5"/>
  <c r="D43" i="5" s="1"/>
  <c r="E43" i="5" s="1"/>
  <c r="B46" i="1"/>
  <c r="E46" i="1" s="1"/>
  <c r="B44" i="2"/>
  <c r="C44" i="3"/>
  <c r="D44" i="3" s="1"/>
  <c r="F44" i="3" s="1"/>
  <c r="E103" i="9" l="1"/>
  <c r="B103" i="9"/>
  <c r="D102" i="9"/>
  <c r="C102" i="9"/>
  <c r="D98" i="8"/>
  <c r="C98" i="8"/>
  <c r="E99" i="8"/>
  <c r="B99" i="8"/>
  <c r="E44" i="7"/>
  <c r="C44" i="7"/>
  <c r="D44" i="7" s="1"/>
  <c r="F44" i="7" s="1"/>
  <c r="B45" i="6"/>
  <c r="B44" i="5"/>
  <c r="C46" i="1"/>
  <c r="D46" i="1" s="1"/>
  <c r="F46" i="1" s="1"/>
  <c r="B45" i="3"/>
  <c r="C44" i="2"/>
  <c r="D44" i="2" s="1"/>
  <c r="F44" i="2" s="1"/>
  <c r="C103" i="9" l="1"/>
  <c r="D103" i="9"/>
  <c r="E104" i="9"/>
  <c r="B104" i="9"/>
  <c r="E100" i="8"/>
  <c r="B100" i="8"/>
  <c r="D99" i="8"/>
  <c r="C99" i="8"/>
  <c r="B45" i="7"/>
  <c r="E45" i="6"/>
  <c r="C45" i="6"/>
  <c r="D45" i="6" s="1"/>
  <c r="F45" i="6" s="1"/>
  <c r="C44" i="5"/>
  <c r="D44" i="5" s="1"/>
  <c r="E44" i="5" s="1"/>
  <c r="B47" i="1"/>
  <c r="E47" i="1" s="1"/>
  <c r="B45" i="2"/>
  <c r="C45" i="3"/>
  <c r="D45" i="3" s="1"/>
  <c r="F45" i="3" s="1"/>
  <c r="D104" i="9" l="1"/>
  <c r="C104" i="9"/>
  <c r="E105" i="9"/>
  <c r="B105" i="9"/>
  <c r="D100" i="8"/>
  <c r="C100" i="8"/>
  <c r="E101" i="8"/>
  <c r="B101" i="8"/>
  <c r="C45" i="7"/>
  <c r="D45" i="7" s="1"/>
  <c r="F45" i="7" s="1"/>
  <c r="E45" i="7"/>
  <c r="B46" i="6"/>
  <c r="B45" i="5"/>
  <c r="C47" i="1"/>
  <c r="D47" i="1" s="1"/>
  <c r="F47" i="1" s="1"/>
  <c r="B46" i="3"/>
  <c r="C45" i="2"/>
  <c r="D45" i="2" s="1"/>
  <c r="F45" i="2" s="1"/>
  <c r="D105" i="9" l="1"/>
  <c r="C105" i="9"/>
  <c r="E106" i="9"/>
  <c r="B106" i="9"/>
  <c r="D101" i="8"/>
  <c r="C101" i="8"/>
  <c r="E102" i="8"/>
  <c r="B102" i="8"/>
  <c r="B46" i="7"/>
  <c r="E46" i="6"/>
  <c r="C46" i="6"/>
  <c r="D46" i="6" s="1"/>
  <c r="F46" i="6" s="1"/>
  <c r="C45" i="5"/>
  <c r="D45" i="5" s="1"/>
  <c r="E45" i="5" s="1"/>
  <c r="B48" i="1"/>
  <c r="E48" i="1" s="1"/>
  <c r="B46" i="2"/>
  <c r="C46" i="3"/>
  <c r="D46" i="3" s="1"/>
  <c r="F46" i="3" s="1"/>
  <c r="D106" i="9" l="1"/>
  <c r="C106" i="9"/>
  <c r="E107" i="9"/>
  <c r="B107" i="9"/>
  <c r="D102" i="8"/>
  <c r="C102" i="8"/>
  <c r="E103" i="8"/>
  <c r="B103" i="8"/>
  <c r="E46" i="7"/>
  <c r="C46" i="7"/>
  <c r="D46" i="7" s="1"/>
  <c r="F46" i="7" s="1"/>
  <c r="B47" i="6"/>
  <c r="B46" i="5"/>
  <c r="C48" i="1"/>
  <c r="D48" i="1" s="1"/>
  <c r="F48" i="1" s="1"/>
  <c r="B47" i="3"/>
  <c r="C46" i="2"/>
  <c r="D46" i="2" s="1"/>
  <c r="F46" i="2" s="1"/>
  <c r="E108" i="9" l="1"/>
  <c r="B108" i="9"/>
  <c r="D107" i="9"/>
  <c r="C107" i="9"/>
  <c r="D103" i="8"/>
  <c r="C103" i="8"/>
  <c r="E104" i="8"/>
  <c r="B104" i="8"/>
  <c r="B47" i="7"/>
  <c r="E47" i="6"/>
  <c r="C47" i="6"/>
  <c r="D47" i="6" s="1"/>
  <c r="F47" i="6" s="1"/>
  <c r="C46" i="5"/>
  <c r="D46" i="5" s="1"/>
  <c r="E46" i="5" s="1"/>
  <c r="B49" i="1"/>
  <c r="E49" i="1" s="1"/>
  <c r="C47" i="3"/>
  <c r="D47" i="3" s="1"/>
  <c r="F47" i="3" s="1"/>
  <c r="B47" i="2"/>
  <c r="D108" i="9" l="1"/>
  <c r="C108" i="9"/>
  <c r="E109" i="9"/>
  <c r="B109" i="9"/>
  <c r="D104" i="8"/>
  <c r="C104" i="8"/>
  <c r="E105" i="8"/>
  <c r="B105" i="8"/>
  <c r="E47" i="7"/>
  <c r="C47" i="7"/>
  <c r="D47" i="7"/>
  <c r="F47" i="7" s="1"/>
  <c r="B48" i="6"/>
  <c r="B47" i="5"/>
  <c r="C49" i="1"/>
  <c r="D49" i="1" s="1"/>
  <c r="F49" i="1" s="1"/>
  <c r="B48" i="3"/>
  <c r="C47" i="2"/>
  <c r="D47" i="2" s="1"/>
  <c r="F47" i="2" s="1"/>
  <c r="E110" i="9" l="1"/>
  <c r="B110" i="9"/>
  <c r="C109" i="9"/>
  <c r="D109" i="9"/>
  <c r="D105" i="8"/>
  <c r="C105" i="8"/>
  <c r="E106" i="8"/>
  <c r="B106" i="8"/>
  <c r="B48" i="7"/>
  <c r="E48" i="6"/>
  <c r="C48" i="6"/>
  <c r="D48" i="6" s="1"/>
  <c r="F48" i="6" s="1"/>
  <c r="C47" i="5"/>
  <c r="D47" i="5" s="1"/>
  <c r="E47" i="5" s="1"/>
  <c r="B50" i="1"/>
  <c r="E50" i="1" s="1"/>
  <c r="B48" i="2"/>
  <c r="C48" i="3"/>
  <c r="D48" i="3"/>
  <c r="F48" i="3" s="1"/>
  <c r="D110" i="9" l="1"/>
  <c r="C110" i="9"/>
  <c r="E111" i="9"/>
  <c r="B111" i="9"/>
  <c r="D106" i="8"/>
  <c r="C106" i="8"/>
  <c r="E107" i="8"/>
  <c r="B107" i="8"/>
  <c r="C48" i="7"/>
  <c r="E48" i="7"/>
  <c r="D48" i="7"/>
  <c r="F48" i="7" s="1"/>
  <c r="B49" i="6"/>
  <c r="B48" i="5"/>
  <c r="C50" i="1"/>
  <c r="D50" i="1" s="1"/>
  <c r="F50" i="1" s="1"/>
  <c r="B49" i="3"/>
  <c r="C48" i="2"/>
  <c r="D48" i="2"/>
  <c r="F48" i="2" s="1"/>
  <c r="D111" i="9" l="1"/>
  <c r="C111" i="9"/>
  <c r="E112" i="9"/>
  <c r="B112" i="9"/>
  <c r="D107" i="8"/>
  <c r="C107" i="8"/>
  <c r="E108" i="8"/>
  <c r="B108" i="8"/>
  <c r="B49" i="7"/>
  <c r="C49" i="6"/>
  <c r="D49" i="6" s="1"/>
  <c r="F49" i="6" s="1"/>
  <c r="E49" i="6"/>
  <c r="C48" i="5"/>
  <c r="D48" i="5" s="1"/>
  <c r="E48" i="5" s="1"/>
  <c r="B51" i="1"/>
  <c r="E51" i="1" s="1"/>
  <c r="B49" i="2"/>
  <c r="C49" i="3"/>
  <c r="D49" i="3" s="1"/>
  <c r="F49" i="3" s="1"/>
  <c r="E113" i="9" l="1"/>
  <c r="B113" i="9"/>
  <c r="D112" i="9"/>
  <c r="C112" i="9"/>
  <c r="E109" i="8"/>
  <c r="B109" i="8"/>
  <c r="D108" i="8"/>
  <c r="C108" i="8"/>
  <c r="E49" i="7"/>
  <c r="C49" i="7"/>
  <c r="D49" i="7" s="1"/>
  <c r="F49" i="7" s="1"/>
  <c r="B50" i="6"/>
  <c r="B49" i="5"/>
  <c r="C51" i="1"/>
  <c r="D51" i="1" s="1"/>
  <c r="F51" i="1" s="1"/>
  <c r="C49" i="2"/>
  <c r="D49" i="2" s="1"/>
  <c r="F49" i="2" s="1"/>
  <c r="B50" i="3"/>
  <c r="D113" i="9" l="1"/>
  <c r="C113" i="9"/>
  <c r="E114" i="9"/>
  <c r="B114" i="9"/>
  <c r="D109" i="8"/>
  <c r="C109" i="8"/>
  <c r="E110" i="8"/>
  <c r="B110" i="8"/>
  <c r="B50" i="7"/>
  <c r="E50" i="6"/>
  <c r="C50" i="6"/>
  <c r="D50" i="6" s="1"/>
  <c r="F50" i="6" s="1"/>
  <c r="C49" i="5"/>
  <c r="D49" i="5"/>
  <c r="E49" i="5" s="1"/>
  <c r="B52" i="1"/>
  <c r="E52" i="1" s="1"/>
  <c r="B50" i="2"/>
  <c r="C50" i="3"/>
  <c r="D50" i="3" s="1"/>
  <c r="F50" i="3" s="1"/>
  <c r="D114" i="9" l="1"/>
  <c r="C114" i="9"/>
  <c r="E115" i="9"/>
  <c r="B115" i="9"/>
  <c r="D110" i="8"/>
  <c r="C110" i="8"/>
  <c r="E111" i="8"/>
  <c r="B111" i="8"/>
  <c r="C50" i="7"/>
  <c r="E50" i="7"/>
  <c r="D50" i="7"/>
  <c r="F50" i="7" s="1"/>
  <c r="B51" i="6"/>
  <c r="B50" i="5"/>
  <c r="C52" i="1"/>
  <c r="D52" i="1" s="1"/>
  <c r="F52" i="1" s="1"/>
  <c r="B51" i="3"/>
  <c r="C50" i="2"/>
  <c r="D50" i="2" s="1"/>
  <c r="F50" i="2" s="1"/>
  <c r="D115" i="9" l="1"/>
  <c r="C115" i="9"/>
  <c r="E116" i="9"/>
  <c r="B116" i="9"/>
  <c r="D111" i="8"/>
  <c r="C111" i="8"/>
  <c r="E112" i="8"/>
  <c r="B112" i="8"/>
  <c r="B51" i="7"/>
  <c r="E51" i="6"/>
  <c r="C51" i="6"/>
  <c r="D51" i="6" s="1"/>
  <c r="F51" i="6" s="1"/>
  <c r="C50" i="5"/>
  <c r="D50" i="5" s="1"/>
  <c r="E50" i="5" s="1"/>
  <c r="B53" i="1"/>
  <c r="E53" i="1" s="1"/>
  <c r="B51" i="2"/>
  <c r="C51" i="3"/>
  <c r="D51" i="3" s="1"/>
  <c r="F51" i="3" s="1"/>
  <c r="D116" i="9" l="1"/>
  <c r="C116" i="9"/>
  <c r="E117" i="9"/>
  <c r="B117" i="9"/>
  <c r="D112" i="8"/>
  <c r="C112" i="8"/>
  <c r="E113" i="8"/>
  <c r="B113" i="8"/>
  <c r="C51" i="7"/>
  <c r="D51" i="7" s="1"/>
  <c r="F51" i="7" s="1"/>
  <c r="E51" i="7"/>
  <c r="B52" i="6"/>
  <c r="B51" i="5"/>
  <c r="C53" i="1"/>
  <c r="D53" i="1" s="1"/>
  <c r="F53" i="1" s="1"/>
  <c r="B52" i="3"/>
  <c r="C51" i="2"/>
  <c r="D51" i="2" s="1"/>
  <c r="F51" i="2" s="1"/>
  <c r="D117" i="9" l="1"/>
  <c r="C117" i="9"/>
  <c r="E118" i="9"/>
  <c r="B118" i="9"/>
  <c r="D113" i="8"/>
  <c r="C113" i="8"/>
  <c r="E114" i="8"/>
  <c r="B114" i="8"/>
  <c r="B52" i="7"/>
  <c r="E52" i="6"/>
  <c r="C52" i="6"/>
  <c r="D52" i="6" s="1"/>
  <c r="F52" i="6" s="1"/>
  <c r="C51" i="5"/>
  <c r="D51" i="5" s="1"/>
  <c r="E51" i="5" s="1"/>
  <c r="B54" i="1"/>
  <c r="E54" i="1" s="1"/>
  <c r="B52" i="2"/>
  <c r="C52" i="3"/>
  <c r="D52" i="3" s="1"/>
  <c r="F52" i="3" s="1"/>
  <c r="E119" i="9" l="1"/>
  <c r="B119" i="9"/>
  <c r="D118" i="9"/>
  <c r="C118" i="9"/>
  <c r="D114" i="8"/>
  <c r="C114" i="8"/>
  <c r="E115" i="8"/>
  <c r="B115" i="8"/>
  <c r="E52" i="7"/>
  <c r="D52" i="7"/>
  <c r="F52" i="7" s="1"/>
  <c r="C52" i="7"/>
  <c r="B53" i="6"/>
  <c r="B52" i="5"/>
  <c r="C54" i="1"/>
  <c r="D54" i="1" s="1"/>
  <c r="F54" i="1" s="1"/>
  <c r="B53" i="3"/>
  <c r="C52" i="2"/>
  <c r="D52" i="2" s="1"/>
  <c r="F52" i="2" s="1"/>
  <c r="D119" i="9" l="1"/>
  <c r="C119" i="9"/>
  <c r="E120" i="9"/>
  <c r="B120" i="9"/>
  <c r="D115" i="8"/>
  <c r="C115" i="8"/>
  <c r="E116" i="8"/>
  <c r="B116" i="8"/>
  <c r="B53" i="7"/>
  <c r="E53" i="6"/>
  <c r="C53" i="6"/>
  <c r="D53" i="6" s="1"/>
  <c r="F53" i="6" s="1"/>
  <c r="C52" i="5"/>
  <c r="D52" i="5" s="1"/>
  <c r="E52" i="5" s="1"/>
  <c r="B55" i="1"/>
  <c r="E55" i="1" s="1"/>
  <c r="B53" i="2"/>
  <c r="C53" i="3"/>
  <c r="D53" i="3" s="1"/>
  <c r="F53" i="3" s="1"/>
  <c r="D120" i="9" l="1"/>
  <c r="C120" i="9"/>
  <c r="E121" i="9"/>
  <c r="B121" i="9"/>
  <c r="D116" i="8"/>
  <c r="C116" i="8"/>
  <c r="E117" i="8"/>
  <c r="B117" i="8"/>
  <c r="E53" i="7"/>
  <c r="C53" i="7"/>
  <c r="D53" i="7" s="1"/>
  <c r="F53" i="7" s="1"/>
  <c r="B54" i="6"/>
  <c r="B53" i="5"/>
  <c r="C55" i="1"/>
  <c r="D55" i="1" s="1"/>
  <c r="F55" i="1" s="1"/>
  <c r="B54" i="3"/>
  <c r="C53" i="2"/>
  <c r="D53" i="2" s="1"/>
  <c r="F53" i="2" s="1"/>
  <c r="E122" i="9" l="1"/>
  <c r="B122" i="9"/>
  <c r="D121" i="9"/>
  <c r="C121" i="9"/>
  <c r="D117" i="8"/>
  <c r="C117" i="8"/>
  <c r="E118" i="8"/>
  <c r="B118" i="8"/>
  <c r="B54" i="7"/>
  <c r="C54" i="6"/>
  <c r="D54" i="6" s="1"/>
  <c r="F54" i="6" s="1"/>
  <c r="E54" i="6"/>
  <c r="C53" i="5"/>
  <c r="D53" i="5" s="1"/>
  <c r="E53" i="5" s="1"/>
  <c r="B56" i="1"/>
  <c r="E56" i="1" s="1"/>
  <c r="C54" i="3"/>
  <c r="D54" i="3" s="1"/>
  <c r="F54" i="3" s="1"/>
  <c r="B54" i="2"/>
  <c r="D122" i="9" l="1"/>
  <c r="C122" i="9"/>
  <c r="E123" i="9"/>
  <c r="B123" i="9"/>
  <c r="D118" i="8"/>
  <c r="C118" i="8"/>
  <c r="E119" i="8"/>
  <c r="B119" i="8"/>
  <c r="E54" i="7"/>
  <c r="C54" i="7"/>
  <c r="D54" i="7" s="1"/>
  <c r="F54" i="7" s="1"/>
  <c r="B55" i="6"/>
  <c r="B54" i="5"/>
  <c r="C56" i="1"/>
  <c r="D56" i="1" s="1"/>
  <c r="F56" i="1" s="1"/>
  <c r="B55" i="3"/>
  <c r="C54" i="2"/>
  <c r="D54" i="2" s="1"/>
  <c r="F54" i="2" s="1"/>
  <c r="D123" i="9" l="1"/>
  <c r="C123" i="9"/>
  <c r="E124" i="9"/>
  <c r="B124" i="9"/>
  <c r="D119" i="8"/>
  <c r="C119" i="8"/>
  <c r="E120" i="8"/>
  <c r="B120" i="8"/>
  <c r="B55" i="7"/>
  <c r="E55" i="6"/>
  <c r="C55" i="6"/>
  <c r="D55" i="6" s="1"/>
  <c r="F55" i="6" s="1"/>
  <c r="C54" i="5"/>
  <c r="D54" i="5" s="1"/>
  <c r="E54" i="5" s="1"/>
  <c r="B57" i="1"/>
  <c r="E57" i="1" s="1"/>
  <c r="B55" i="2"/>
  <c r="C55" i="3"/>
  <c r="D55" i="3" s="1"/>
  <c r="F55" i="3" s="1"/>
  <c r="D124" i="9" l="1"/>
  <c r="C124" i="9"/>
  <c r="E125" i="9"/>
  <c r="B125" i="9"/>
  <c r="D120" i="8"/>
  <c r="C120" i="8"/>
  <c r="E121" i="8"/>
  <c r="B121" i="8"/>
  <c r="E55" i="7"/>
  <c r="C55" i="7"/>
  <c r="D55" i="7" s="1"/>
  <c r="F55" i="7" s="1"/>
  <c r="B56" i="6"/>
  <c r="B55" i="5"/>
  <c r="C57" i="1"/>
  <c r="D57" i="1" s="1"/>
  <c r="F57" i="1" s="1"/>
  <c r="B56" i="3"/>
  <c r="C55" i="2"/>
  <c r="D55" i="2" s="1"/>
  <c r="F55" i="2" s="1"/>
  <c r="D125" i="9" l="1"/>
  <c r="C125" i="9"/>
  <c r="E126" i="9"/>
  <c r="B126" i="9"/>
  <c r="D121" i="8"/>
  <c r="C121" i="8"/>
  <c r="E122" i="8"/>
  <c r="B122" i="8"/>
  <c r="B56" i="7"/>
  <c r="E56" i="6"/>
  <c r="C56" i="6"/>
  <c r="D56" i="6" s="1"/>
  <c r="F56" i="6" s="1"/>
  <c r="C55" i="5"/>
  <c r="D55" i="5" s="1"/>
  <c r="E55" i="5" s="1"/>
  <c r="B58" i="1"/>
  <c r="E58" i="1" s="1"/>
  <c r="B56" i="2"/>
  <c r="C56" i="3"/>
  <c r="D56" i="3" s="1"/>
  <c r="F56" i="3" s="1"/>
  <c r="D126" i="9" l="1"/>
  <c r="C126" i="9"/>
  <c r="E127" i="9"/>
  <c r="B127" i="9"/>
  <c r="D122" i="8"/>
  <c r="C122" i="8"/>
  <c r="E123" i="8"/>
  <c r="B123" i="8"/>
  <c r="C56" i="7"/>
  <c r="E56" i="7"/>
  <c r="D56" i="7"/>
  <c r="F56" i="7" s="1"/>
  <c r="B57" i="6"/>
  <c r="B56" i="5"/>
  <c r="C58" i="1"/>
  <c r="D58" i="1" s="1"/>
  <c r="F58" i="1" s="1"/>
  <c r="B57" i="3"/>
  <c r="C56" i="2"/>
  <c r="D56" i="2" s="1"/>
  <c r="F56" i="2" s="1"/>
  <c r="E128" i="9" l="1"/>
  <c r="B128" i="9"/>
  <c r="D127" i="9"/>
  <c r="C127" i="9"/>
  <c r="D123" i="8"/>
  <c r="C123" i="8"/>
  <c r="E124" i="8"/>
  <c r="B124" i="8"/>
  <c r="B57" i="7"/>
  <c r="C57" i="6"/>
  <c r="D57" i="6" s="1"/>
  <c r="F57" i="6" s="1"/>
  <c r="E57" i="6"/>
  <c r="C56" i="5"/>
  <c r="D56" i="5" s="1"/>
  <c r="E56" i="5" s="1"/>
  <c r="B59" i="1"/>
  <c r="E59" i="1" s="1"/>
  <c r="B57" i="2"/>
  <c r="C57" i="3"/>
  <c r="D57" i="3" s="1"/>
  <c r="F57" i="3" s="1"/>
  <c r="D128" i="9" l="1"/>
  <c r="C128" i="9"/>
  <c r="E129" i="9"/>
  <c r="B129" i="9"/>
  <c r="D124" i="8"/>
  <c r="C124" i="8"/>
  <c r="E125" i="8"/>
  <c r="B125" i="8"/>
  <c r="E57" i="7"/>
  <c r="C57" i="7"/>
  <c r="D57" i="7"/>
  <c r="F57" i="7" s="1"/>
  <c r="B58" i="6"/>
  <c r="B57" i="5"/>
  <c r="C59" i="1"/>
  <c r="D59" i="1" s="1"/>
  <c r="F59" i="1" s="1"/>
  <c r="B58" i="3"/>
  <c r="C57" i="2"/>
  <c r="D57" i="2" s="1"/>
  <c r="F57" i="2" s="1"/>
  <c r="D129" i="9" l="1"/>
  <c r="C129" i="9"/>
  <c r="E130" i="9"/>
  <c r="B130" i="9"/>
  <c r="D125" i="8"/>
  <c r="C125" i="8"/>
  <c r="E126" i="8"/>
  <c r="B126" i="8"/>
  <c r="B58" i="7"/>
  <c r="E58" i="6"/>
  <c r="C58" i="6"/>
  <c r="D58" i="6" s="1"/>
  <c r="F58" i="6" s="1"/>
  <c r="C57" i="5"/>
  <c r="D57" i="5" s="1"/>
  <c r="E57" i="5" s="1"/>
  <c r="B60" i="1"/>
  <c r="E60" i="1" s="1"/>
  <c r="B58" i="2"/>
  <c r="C58" i="3"/>
  <c r="D58" i="3"/>
  <c r="F58" i="3" s="1"/>
  <c r="E131" i="9" l="1"/>
  <c r="B131" i="9"/>
  <c r="D130" i="9"/>
  <c r="C130" i="9"/>
  <c r="D126" i="8"/>
  <c r="C126" i="8"/>
  <c r="E127" i="8"/>
  <c r="B127" i="8"/>
  <c r="C58" i="7"/>
  <c r="E58" i="7"/>
  <c r="D58" i="7"/>
  <c r="F58" i="7" s="1"/>
  <c r="B59" i="6"/>
  <c r="B58" i="5"/>
  <c r="C60" i="1"/>
  <c r="E3" i="1" s="1"/>
  <c r="E8" i="1"/>
  <c r="B59" i="3"/>
  <c r="C58" i="2"/>
  <c r="D58" i="2" s="1"/>
  <c r="F58" i="2" s="1"/>
  <c r="D131" i="9" l="1"/>
  <c r="C131" i="9"/>
  <c r="E132" i="9"/>
  <c r="B132" i="9"/>
  <c r="D127" i="8"/>
  <c r="C127" i="8"/>
  <c r="E128" i="8"/>
  <c r="B128" i="8"/>
  <c r="B59" i="7"/>
  <c r="E59" i="6"/>
  <c r="C59" i="6"/>
  <c r="D59" i="6" s="1"/>
  <c r="F59" i="6" s="1"/>
  <c r="D60" i="1"/>
  <c r="E4" i="1" s="1"/>
  <c r="E6" i="1" s="1"/>
  <c r="C58" i="5"/>
  <c r="D58" i="5" s="1"/>
  <c r="E58" i="5" s="1"/>
  <c r="B59" i="2"/>
  <c r="C59" i="3"/>
  <c r="D59" i="3" s="1"/>
  <c r="F59" i="3" s="1"/>
  <c r="E133" i="9" l="1"/>
  <c r="B133" i="9"/>
  <c r="D132" i="9"/>
  <c r="C132" i="9"/>
  <c r="D128" i="8"/>
  <c r="C128" i="8"/>
  <c r="E129" i="8"/>
  <c r="B129" i="8"/>
  <c r="C59" i="7"/>
  <c r="D59" i="7" s="1"/>
  <c r="F59" i="7" s="1"/>
  <c r="E59" i="7"/>
  <c r="B60" i="6"/>
  <c r="F60" i="1"/>
  <c r="B61" i="1" s="1"/>
  <c r="B59" i="5"/>
  <c r="E7" i="1"/>
  <c r="E9" i="1" s="1"/>
  <c r="B60" i="3"/>
  <c r="C59" i="2"/>
  <c r="D59" i="2" s="1"/>
  <c r="F59" i="2" s="1"/>
  <c r="D133" i="9" l="1"/>
  <c r="C133" i="9"/>
  <c r="E134" i="9"/>
  <c r="B134" i="9"/>
  <c r="D129" i="8"/>
  <c r="C129" i="8"/>
  <c r="E130" i="8"/>
  <c r="B130" i="8"/>
  <c r="B60" i="7"/>
  <c r="E60" i="6"/>
  <c r="E8" i="6" s="1"/>
  <c r="C60" i="6"/>
  <c r="E3" i="6" s="1"/>
  <c r="C59" i="5"/>
  <c r="D59" i="5" s="1"/>
  <c r="E59" i="5" s="1"/>
  <c r="C61" i="1"/>
  <c r="D61" i="1" s="1"/>
  <c r="F61" i="1" s="1"/>
  <c r="B60" i="2"/>
  <c r="E8" i="3"/>
  <c r="C60" i="3"/>
  <c r="E3" i="3" s="1"/>
  <c r="D134" i="9" l="1"/>
  <c r="C134" i="9"/>
  <c r="E135" i="9"/>
  <c r="B135" i="9"/>
  <c r="D130" i="8"/>
  <c r="C130" i="8"/>
  <c r="E131" i="8"/>
  <c r="B131" i="8"/>
  <c r="E60" i="7"/>
  <c r="E8" i="7" s="1"/>
  <c r="C60" i="7"/>
  <c r="E3" i="7" s="1"/>
  <c r="D60" i="6"/>
  <c r="B60" i="5"/>
  <c r="B62" i="1"/>
  <c r="C62" i="1" s="1"/>
  <c r="D60" i="3"/>
  <c r="E4" i="3"/>
  <c r="E6" i="3" s="1"/>
  <c r="F60" i="3"/>
  <c r="C60" i="2"/>
  <c r="E3" i="2" s="1"/>
  <c r="E8" i="2"/>
  <c r="E136" i="9" l="1"/>
  <c r="B136" i="9"/>
  <c r="D135" i="9"/>
  <c r="C135" i="9"/>
  <c r="D131" i="8"/>
  <c r="C131" i="8"/>
  <c r="E132" i="8"/>
  <c r="B132" i="8"/>
  <c r="D60" i="7"/>
  <c r="E4" i="6"/>
  <c r="F60" i="6"/>
  <c r="D62" i="1"/>
  <c r="F62" i="1" s="1"/>
  <c r="B63" i="1" s="1"/>
  <c r="C63" i="1" s="1"/>
  <c r="D63" i="1" s="1"/>
  <c r="F63" i="1" s="1"/>
  <c r="C60" i="5"/>
  <c r="E3" i="5" s="1"/>
  <c r="D60" i="2"/>
  <c r="E7" i="3"/>
  <c r="E9" i="3" s="1"/>
  <c r="F61" i="3"/>
  <c r="B61" i="3"/>
  <c r="D136" i="9" l="1"/>
  <c r="C136" i="9"/>
  <c r="E137" i="9"/>
  <c r="B137" i="9"/>
  <c r="D132" i="8"/>
  <c r="C132" i="8"/>
  <c r="E133" i="8"/>
  <c r="B133" i="8"/>
  <c r="E4" i="7"/>
  <c r="F60" i="7"/>
  <c r="E6" i="6"/>
  <c r="E7" i="6"/>
  <c r="E9" i="6" s="1"/>
  <c r="B61" i="6"/>
  <c r="D60" i="5"/>
  <c r="B64" i="1"/>
  <c r="C64" i="1" s="1"/>
  <c r="D61" i="3"/>
  <c r="C61" i="3"/>
  <c r="F62" i="3"/>
  <c r="B62" i="3"/>
  <c r="E4" i="2"/>
  <c r="F60" i="2"/>
  <c r="D137" i="9" l="1"/>
  <c r="C137" i="9"/>
  <c r="E138" i="9"/>
  <c r="B138" i="9"/>
  <c r="D133" i="8"/>
  <c r="C133" i="8"/>
  <c r="E134" i="8"/>
  <c r="B134" i="8"/>
  <c r="E6" i="7"/>
  <c r="E7" i="7"/>
  <c r="E9" i="7" s="1"/>
  <c r="F61" i="7"/>
  <c r="B61" i="7"/>
  <c r="C61" i="6"/>
  <c r="D61" i="6" s="1"/>
  <c r="F61" i="6" s="1"/>
  <c r="D64" i="1"/>
  <c r="F64" i="1" s="1"/>
  <c r="B65" i="1" s="1"/>
  <c r="C65" i="1" s="1"/>
  <c r="D65" i="1" s="1"/>
  <c r="F65" i="1" s="1"/>
  <c r="E4" i="5"/>
  <c r="E60" i="5"/>
  <c r="E6" i="2"/>
  <c r="E7" i="2"/>
  <c r="E9" i="2" s="1"/>
  <c r="D62" i="3"/>
  <c r="C62" i="3"/>
  <c r="F63" i="3"/>
  <c r="B63" i="3"/>
  <c r="D138" i="9" l="1"/>
  <c r="C138" i="9"/>
  <c r="E139" i="9"/>
  <c r="B139" i="9"/>
  <c r="D134" i="8"/>
  <c r="C134" i="8"/>
  <c r="E135" i="8"/>
  <c r="B135" i="8"/>
  <c r="B62" i="6"/>
  <c r="C62" i="6" s="1"/>
  <c r="D62" i="6" s="1"/>
  <c r="F62" i="6" s="1"/>
  <c r="D61" i="7"/>
  <c r="C61" i="7"/>
  <c r="F62" i="7"/>
  <c r="B62" i="7"/>
  <c r="E6" i="5"/>
  <c r="E7" i="5"/>
  <c r="B61" i="5"/>
  <c r="B66" i="1"/>
  <c r="C66" i="1" s="1"/>
  <c r="F64" i="3"/>
  <c r="B64" i="3"/>
  <c r="D63" i="3"/>
  <c r="C63" i="3"/>
  <c r="E140" i="9" l="1"/>
  <c r="B140" i="9"/>
  <c r="D139" i="9"/>
  <c r="C139" i="9"/>
  <c r="D135" i="8"/>
  <c r="C135" i="8"/>
  <c r="E136" i="8"/>
  <c r="B136" i="8"/>
  <c r="B63" i="6"/>
  <c r="C63" i="6" s="1"/>
  <c r="D63" i="6" s="1"/>
  <c r="F63" i="6" s="1"/>
  <c r="C62" i="7"/>
  <c r="D62" i="7"/>
  <c r="F63" i="7"/>
  <c r="B63" i="7"/>
  <c r="C61" i="5"/>
  <c r="D61" i="5" s="1"/>
  <c r="E61" i="5" s="1"/>
  <c r="D66" i="1"/>
  <c r="F66" i="1" s="1"/>
  <c r="B67" i="1" s="1"/>
  <c r="C67" i="1" s="1"/>
  <c r="D67" i="1" s="1"/>
  <c r="F67" i="1" s="1"/>
  <c r="C64" i="3"/>
  <c r="D64" i="3"/>
  <c r="F65" i="3"/>
  <c r="B65" i="3"/>
  <c r="D140" i="9" l="1"/>
  <c r="C140" i="9"/>
  <c r="E141" i="9"/>
  <c r="B141" i="9"/>
  <c r="D136" i="8"/>
  <c r="C136" i="8"/>
  <c r="E137" i="8"/>
  <c r="B137" i="8"/>
  <c r="B64" i="6"/>
  <c r="D63" i="7"/>
  <c r="C63" i="7"/>
  <c r="F64" i="7"/>
  <c r="B64" i="7"/>
  <c r="B62" i="5"/>
  <c r="B68" i="1"/>
  <c r="C68" i="1" s="1"/>
  <c r="F66" i="3"/>
  <c r="B66" i="3"/>
  <c r="D65" i="3"/>
  <c r="C65" i="3"/>
  <c r="D141" i="9" l="1"/>
  <c r="C141" i="9"/>
  <c r="E142" i="9"/>
  <c r="B142" i="9"/>
  <c r="D137" i="8"/>
  <c r="C137" i="8"/>
  <c r="E138" i="8"/>
  <c r="B138" i="8"/>
  <c r="C64" i="6"/>
  <c r="D64" i="6" s="1"/>
  <c r="F64" i="6" s="1"/>
  <c r="B65" i="6" s="1"/>
  <c r="C65" i="6" s="1"/>
  <c r="D65" i="6" s="1"/>
  <c r="F65" i="6" s="1"/>
  <c r="D64" i="7"/>
  <c r="C64" i="7"/>
  <c r="F65" i="7"/>
  <c r="B65" i="7"/>
  <c r="C62" i="5"/>
  <c r="D62" i="5" s="1"/>
  <c r="E62" i="5" s="1"/>
  <c r="D68" i="1"/>
  <c r="F68" i="1" s="1"/>
  <c r="B69" i="1" s="1"/>
  <c r="C69" i="1" s="1"/>
  <c r="D69" i="1" s="1"/>
  <c r="F69" i="1" s="1"/>
  <c r="D66" i="3"/>
  <c r="C66" i="3"/>
  <c r="F67" i="3"/>
  <c r="B67" i="3"/>
  <c r="D142" i="9" l="1"/>
  <c r="C142" i="9"/>
  <c r="E143" i="9"/>
  <c r="B143" i="9"/>
  <c r="D138" i="8"/>
  <c r="C138" i="8"/>
  <c r="E139" i="8"/>
  <c r="B139" i="8"/>
  <c r="B66" i="6"/>
  <c r="D65" i="7"/>
  <c r="C65" i="7"/>
  <c r="F66" i="7"/>
  <c r="B66" i="7"/>
  <c r="E63" i="5"/>
  <c r="B63" i="5"/>
  <c r="B70" i="1"/>
  <c r="D70" i="1" s="1"/>
  <c r="F70" i="1" s="1"/>
  <c r="F68" i="3"/>
  <c r="B68" i="3"/>
  <c r="D67" i="3"/>
  <c r="C67" i="3"/>
  <c r="D143" i="9" l="1"/>
  <c r="C143" i="9"/>
  <c r="E144" i="9"/>
  <c r="B144" i="9"/>
  <c r="D139" i="8"/>
  <c r="C139" i="8"/>
  <c r="E140" i="8"/>
  <c r="B140" i="8"/>
  <c r="C66" i="6"/>
  <c r="D66" i="6" s="1"/>
  <c r="F66" i="6" s="1"/>
  <c r="B67" i="6" s="1"/>
  <c r="C67" i="6" s="1"/>
  <c r="D67" i="6" s="1"/>
  <c r="F67" i="6" s="1"/>
  <c r="C66" i="7"/>
  <c r="D66" i="7"/>
  <c r="F67" i="7"/>
  <c r="B67" i="7"/>
  <c r="E64" i="5"/>
  <c r="B64" i="5"/>
  <c r="D63" i="5"/>
  <c r="C63" i="5"/>
  <c r="C70" i="1"/>
  <c r="B71" i="1"/>
  <c r="C71" i="1" s="1"/>
  <c r="D71" i="1" s="1"/>
  <c r="F71" i="1" s="1"/>
  <c r="C68" i="3"/>
  <c r="D68" i="3"/>
  <c r="F69" i="3"/>
  <c r="B69" i="3"/>
  <c r="D144" i="9" l="1"/>
  <c r="C144" i="9"/>
  <c r="E145" i="9"/>
  <c r="B145" i="9"/>
  <c r="D140" i="8"/>
  <c r="C140" i="8"/>
  <c r="E141" i="8"/>
  <c r="B141" i="8"/>
  <c r="B68" i="6"/>
  <c r="C68" i="6" s="1"/>
  <c r="D68" i="6" s="1"/>
  <c r="F68" i="6" s="1"/>
  <c r="D67" i="7"/>
  <c r="C67" i="7"/>
  <c r="F68" i="7"/>
  <c r="B68" i="7"/>
  <c r="E65" i="5"/>
  <c r="B65" i="5"/>
  <c r="C64" i="5"/>
  <c r="D64" i="5"/>
  <c r="B72" i="1"/>
  <c r="C72" i="1" s="1"/>
  <c r="C69" i="3"/>
  <c r="D69" i="3"/>
  <c r="F70" i="3"/>
  <c r="B70" i="3"/>
  <c r="D145" i="9" l="1"/>
  <c r="C145" i="9"/>
  <c r="E146" i="9"/>
  <c r="B146" i="9"/>
  <c r="D141" i="8"/>
  <c r="C141" i="8"/>
  <c r="E142" i="8"/>
  <c r="B142" i="8"/>
  <c r="B69" i="6"/>
  <c r="C69" i="6" s="1"/>
  <c r="D69" i="6" s="1"/>
  <c r="F69" i="6" s="1"/>
  <c r="C68" i="7"/>
  <c r="D68" i="7"/>
  <c r="F69" i="7"/>
  <c r="B69" i="7"/>
  <c r="E66" i="5"/>
  <c r="B66" i="5"/>
  <c r="C65" i="5"/>
  <c r="D65" i="5"/>
  <c r="D72" i="1"/>
  <c r="F72" i="1" s="1"/>
  <c r="D70" i="3"/>
  <c r="C70" i="3"/>
  <c r="F71" i="3"/>
  <c r="B71" i="3"/>
  <c r="D146" i="9" l="1"/>
  <c r="C146" i="9"/>
  <c r="E147" i="9"/>
  <c r="B147" i="9"/>
  <c r="D142" i="8"/>
  <c r="C142" i="8"/>
  <c r="E143" i="8"/>
  <c r="B143" i="8"/>
  <c r="B70" i="6"/>
  <c r="D69" i="7"/>
  <c r="C69" i="7"/>
  <c r="F70" i="7"/>
  <c r="B70" i="7"/>
  <c r="E67" i="5"/>
  <c r="B67" i="5"/>
  <c r="C66" i="5"/>
  <c r="D66" i="5"/>
  <c r="B73" i="1"/>
  <c r="D71" i="3"/>
  <c r="C71" i="3"/>
  <c r="F72" i="3"/>
  <c r="B72" i="3"/>
  <c r="D147" i="9" l="1"/>
  <c r="C147" i="9"/>
  <c r="E148" i="9"/>
  <c r="B148" i="9"/>
  <c r="D143" i="8"/>
  <c r="C143" i="8"/>
  <c r="E144" i="8"/>
  <c r="B144" i="8"/>
  <c r="C70" i="6"/>
  <c r="D70" i="6" s="1"/>
  <c r="F70" i="6" s="1"/>
  <c r="D70" i="7"/>
  <c r="C70" i="7"/>
  <c r="F71" i="7"/>
  <c r="B71" i="7"/>
  <c r="D67" i="5"/>
  <c r="C67" i="5"/>
  <c r="E68" i="5"/>
  <c r="B68" i="5"/>
  <c r="C73" i="1"/>
  <c r="D73" i="1" s="1"/>
  <c r="F73" i="1" s="1"/>
  <c r="F73" i="3"/>
  <c r="B73" i="3"/>
  <c r="C72" i="3"/>
  <c r="D72" i="3"/>
  <c r="D148" i="9" l="1"/>
  <c r="C148" i="9"/>
  <c r="E149" i="9"/>
  <c r="B149" i="9"/>
  <c r="D144" i="8"/>
  <c r="C144" i="8"/>
  <c r="E145" i="8"/>
  <c r="B145" i="8"/>
  <c r="F71" i="6"/>
  <c r="B71" i="6"/>
  <c r="D71" i="7"/>
  <c r="C71" i="7"/>
  <c r="F72" i="7"/>
  <c r="B72" i="7"/>
  <c r="C68" i="5"/>
  <c r="D68" i="5"/>
  <c r="E69" i="5"/>
  <c r="B69" i="5"/>
  <c r="B74" i="1"/>
  <c r="D73" i="3"/>
  <c r="C73" i="3"/>
  <c r="F74" i="3"/>
  <c r="B74" i="3"/>
  <c r="E150" i="9" l="1"/>
  <c r="B150" i="9"/>
  <c r="D149" i="9"/>
  <c r="C149" i="9"/>
  <c r="D145" i="8"/>
  <c r="C145" i="8"/>
  <c r="E146" i="8"/>
  <c r="B146" i="8"/>
  <c r="D71" i="6"/>
  <c r="C71" i="6"/>
  <c r="F72" i="6"/>
  <c r="B72" i="6"/>
  <c r="C72" i="7"/>
  <c r="D72" i="7"/>
  <c r="F73" i="7"/>
  <c r="B73" i="7"/>
  <c r="D69" i="5"/>
  <c r="C69" i="5"/>
  <c r="E70" i="5"/>
  <c r="B70" i="5"/>
  <c r="C74" i="1"/>
  <c r="D74" i="1" s="1"/>
  <c r="F74" i="1" s="1"/>
  <c r="F75" i="3"/>
  <c r="B75" i="3"/>
  <c r="D74" i="3"/>
  <c r="C74" i="3"/>
  <c r="D150" i="9" l="1"/>
  <c r="C150" i="9"/>
  <c r="E151" i="9"/>
  <c r="B151" i="9"/>
  <c r="D146" i="8"/>
  <c r="C146" i="8"/>
  <c r="E147" i="8"/>
  <c r="B147" i="8"/>
  <c r="D72" i="6"/>
  <c r="C72" i="6"/>
  <c r="F73" i="6"/>
  <c r="B73" i="6"/>
  <c r="C73" i="7"/>
  <c r="D73" i="7"/>
  <c r="F74" i="7"/>
  <c r="B74" i="7"/>
  <c r="C70" i="5"/>
  <c r="D70" i="5"/>
  <c r="E71" i="5"/>
  <c r="B71" i="5"/>
  <c r="B75" i="1"/>
  <c r="D75" i="3"/>
  <c r="C75" i="3"/>
  <c r="F76" i="3"/>
  <c r="B76" i="3"/>
  <c r="E152" i="9" l="1"/>
  <c r="B152" i="9"/>
  <c r="D151" i="9"/>
  <c r="C151" i="9"/>
  <c r="D147" i="8"/>
  <c r="C147" i="8"/>
  <c r="E148" i="8"/>
  <c r="B148" i="8"/>
  <c r="D73" i="6"/>
  <c r="C73" i="6"/>
  <c r="F74" i="6"/>
  <c r="B74" i="6"/>
  <c r="F75" i="7"/>
  <c r="B75" i="7"/>
  <c r="D74" i="7"/>
  <c r="C74" i="7"/>
  <c r="D71" i="5"/>
  <c r="C71" i="5"/>
  <c r="E72" i="5"/>
  <c r="B72" i="5"/>
  <c r="C75" i="1"/>
  <c r="D75" i="1" s="1"/>
  <c r="F75" i="1" s="1"/>
  <c r="F77" i="3"/>
  <c r="B77" i="3"/>
  <c r="C76" i="3"/>
  <c r="D76" i="3"/>
  <c r="D152" i="9" l="1"/>
  <c r="C152" i="9"/>
  <c r="E153" i="9"/>
  <c r="B153" i="9"/>
  <c r="D148" i="8"/>
  <c r="C148" i="8"/>
  <c r="E149" i="8"/>
  <c r="B149" i="8"/>
  <c r="D74" i="6"/>
  <c r="C74" i="6"/>
  <c r="F75" i="6"/>
  <c r="B75" i="6"/>
  <c r="F76" i="7"/>
  <c r="B76" i="7"/>
  <c r="D75" i="7"/>
  <c r="C75" i="7"/>
  <c r="C72" i="5"/>
  <c r="D72" i="5"/>
  <c r="E73" i="5"/>
  <c r="B73" i="5"/>
  <c r="B76" i="1"/>
  <c r="C77" i="3"/>
  <c r="D77" i="3"/>
  <c r="F78" i="3"/>
  <c r="B78" i="3"/>
  <c r="D153" i="9" l="1"/>
  <c r="C153" i="9"/>
  <c r="E154" i="9"/>
  <c r="B154" i="9"/>
  <c r="D149" i="8"/>
  <c r="C149" i="8"/>
  <c r="E150" i="8"/>
  <c r="B150" i="8"/>
  <c r="D75" i="6"/>
  <c r="C75" i="6"/>
  <c r="F76" i="6"/>
  <c r="B76" i="6"/>
  <c r="D76" i="7"/>
  <c r="C76" i="7"/>
  <c r="F77" i="7"/>
  <c r="B77" i="7"/>
  <c r="E74" i="5"/>
  <c r="B74" i="5"/>
  <c r="D73" i="5"/>
  <c r="C73" i="5"/>
  <c r="C76" i="1"/>
  <c r="D76" i="1" s="1"/>
  <c r="F76" i="1" s="1"/>
  <c r="D78" i="3"/>
  <c r="C78" i="3"/>
  <c r="F79" i="3"/>
  <c r="B79" i="3"/>
  <c r="E155" i="9" l="1"/>
  <c r="B155" i="9"/>
  <c r="D154" i="9"/>
  <c r="C154" i="9"/>
  <c r="D150" i="8"/>
  <c r="C150" i="8"/>
  <c r="E151" i="8"/>
  <c r="B151" i="8"/>
  <c r="D76" i="6"/>
  <c r="C76" i="6"/>
  <c r="F77" i="6"/>
  <c r="B77" i="6"/>
  <c r="D77" i="7"/>
  <c r="C77" i="7"/>
  <c r="F78" i="7"/>
  <c r="B78" i="7"/>
  <c r="E75" i="5"/>
  <c r="B75" i="5"/>
  <c r="C74" i="5"/>
  <c r="D74" i="5"/>
  <c r="B77" i="1"/>
  <c r="D79" i="3"/>
  <c r="C79" i="3"/>
  <c r="F80" i="3"/>
  <c r="B80" i="3"/>
  <c r="C155" i="9" l="1"/>
  <c r="D155" i="9"/>
  <c r="E156" i="9"/>
  <c r="B156" i="9"/>
  <c r="D151" i="8"/>
  <c r="C151" i="8"/>
  <c r="E152" i="8"/>
  <c r="B152" i="8"/>
  <c r="D77" i="6"/>
  <c r="C77" i="6"/>
  <c r="F78" i="6"/>
  <c r="B78" i="6"/>
  <c r="C78" i="7"/>
  <c r="D78" i="7"/>
  <c r="F79" i="7"/>
  <c r="B79" i="7"/>
  <c r="E76" i="5"/>
  <c r="B76" i="5"/>
  <c r="D75" i="5"/>
  <c r="C75" i="5"/>
  <c r="C77" i="1"/>
  <c r="D77" i="1" s="1"/>
  <c r="F77" i="1" s="1"/>
  <c r="D80" i="3"/>
  <c r="C80" i="3"/>
  <c r="F81" i="3"/>
  <c r="B81" i="3"/>
  <c r="C156" i="9" l="1"/>
  <c r="D156" i="9"/>
  <c r="E157" i="9"/>
  <c r="B157" i="9"/>
  <c r="D152" i="8"/>
  <c r="C152" i="8"/>
  <c r="E153" i="8"/>
  <c r="B153" i="8"/>
  <c r="D78" i="6"/>
  <c r="C78" i="6"/>
  <c r="F79" i="6"/>
  <c r="B79" i="6"/>
  <c r="C79" i="7"/>
  <c r="D79" i="7"/>
  <c r="F80" i="7"/>
  <c r="B80" i="7"/>
  <c r="C76" i="5"/>
  <c r="D76" i="5"/>
  <c r="E77" i="5"/>
  <c r="B77" i="5"/>
  <c r="B78" i="1"/>
  <c r="D81" i="3"/>
  <c r="C81" i="3"/>
  <c r="F82" i="3"/>
  <c r="B82" i="3"/>
  <c r="E158" i="9" l="1"/>
  <c r="B158" i="9"/>
  <c r="D157" i="9"/>
  <c r="C157" i="9"/>
  <c r="D153" i="8"/>
  <c r="C153" i="8"/>
  <c r="E154" i="8"/>
  <c r="B154" i="8"/>
  <c r="D79" i="6"/>
  <c r="C79" i="6"/>
  <c r="F80" i="6"/>
  <c r="B80" i="6"/>
  <c r="D80" i="7"/>
  <c r="C80" i="7"/>
  <c r="F81" i="7"/>
  <c r="B81" i="7"/>
  <c r="D77" i="5"/>
  <c r="C77" i="5"/>
  <c r="E78" i="5"/>
  <c r="B78" i="5"/>
  <c r="C78" i="1"/>
  <c r="D78" i="1" s="1"/>
  <c r="F78" i="1" s="1"/>
  <c r="F83" i="3"/>
  <c r="B83" i="3"/>
  <c r="D82" i="3"/>
  <c r="C82" i="3"/>
  <c r="D158" i="9" l="1"/>
  <c r="C158" i="9"/>
  <c r="E159" i="9"/>
  <c r="B159" i="9"/>
  <c r="D154" i="8"/>
  <c r="C154" i="8"/>
  <c r="E155" i="8"/>
  <c r="B155" i="8"/>
  <c r="D80" i="6"/>
  <c r="C80" i="6"/>
  <c r="F81" i="6"/>
  <c r="B81" i="6"/>
  <c r="D81" i="7"/>
  <c r="C81" i="7"/>
  <c r="F82" i="7"/>
  <c r="B82" i="7"/>
  <c r="C78" i="5"/>
  <c r="D78" i="5"/>
  <c r="E79" i="5"/>
  <c r="B79" i="5"/>
  <c r="B79" i="1"/>
  <c r="F75" i="2"/>
  <c r="B75" i="2"/>
  <c r="D83" i="3"/>
  <c r="C83" i="3"/>
  <c r="F84" i="3"/>
  <c r="B84" i="3"/>
  <c r="D159" i="9" l="1"/>
  <c r="C159" i="9"/>
  <c r="E160" i="9"/>
  <c r="B160" i="9"/>
  <c r="D155" i="8"/>
  <c r="C155" i="8"/>
  <c r="E156" i="8"/>
  <c r="B156" i="8"/>
  <c r="D81" i="6"/>
  <c r="C81" i="6"/>
  <c r="F82" i="6"/>
  <c r="B82" i="6"/>
  <c r="C82" i="7"/>
  <c r="D82" i="7"/>
  <c r="F83" i="7"/>
  <c r="B83" i="7"/>
  <c r="D79" i="5"/>
  <c r="C79" i="5"/>
  <c r="E80" i="5"/>
  <c r="B80" i="5"/>
  <c r="C79" i="1"/>
  <c r="D79" i="1" s="1"/>
  <c r="F79" i="1" s="1"/>
  <c r="C84" i="3"/>
  <c r="D84" i="3"/>
  <c r="C75" i="2"/>
  <c r="D75" i="2"/>
  <c r="F76" i="2"/>
  <c r="B76" i="2"/>
  <c r="F85" i="3"/>
  <c r="B85" i="3"/>
  <c r="D160" i="9" l="1"/>
  <c r="C160" i="9"/>
  <c r="E161" i="9"/>
  <c r="B161" i="9"/>
  <c r="D156" i="8"/>
  <c r="C156" i="8"/>
  <c r="E157" i="8"/>
  <c r="B157" i="8"/>
  <c r="D82" i="6"/>
  <c r="C82" i="6"/>
  <c r="F83" i="6"/>
  <c r="B83" i="6"/>
  <c r="D83" i="7"/>
  <c r="C83" i="7"/>
  <c r="F84" i="7"/>
  <c r="B84" i="7"/>
  <c r="C80" i="5"/>
  <c r="D80" i="5"/>
  <c r="E81" i="5"/>
  <c r="B81" i="5"/>
  <c r="B80" i="1"/>
  <c r="F77" i="2"/>
  <c r="B77" i="2"/>
  <c r="D76" i="2"/>
  <c r="C76" i="2"/>
  <c r="C85" i="3"/>
  <c r="D85" i="3"/>
  <c r="F86" i="3"/>
  <c r="B86" i="3"/>
  <c r="C161" i="9" l="1"/>
  <c r="D161" i="9"/>
  <c r="E162" i="9"/>
  <c r="B162" i="9"/>
  <c r="D157" i="8"/>
  <c r="C157" i="8"/>
  <c r="E158" i="8"/>
  <c r="B158" i="8"/>
  <c r="D83" i="6"/>
  <c r="C83" i="6"/>
  <c r="F84" i="6"/>
  <c r="B84" i="6"/>
  <c r="D84" i="7"/>
  <c r="C84" i="7"/>
  <c r="F85" i="7"/>
  <c r="B85" i="7"/>
  <c r="C81" i="5"/>
  <c r="D81" i="5"/>
  <c r="E82" i="5"/>
  <c r="B82" i="5"/>
  <c r="C80" i="1"/>
  <c r="D80" i="1"/>
  <c r="F80" i="1" s="1"/>
  <c r="F87" i="3"/>
  <c r="B87" i="3"/>
  <c r="C77" i="2"/>
  <c r="D77" i="2"/>
  <c r="C86" i="3"/>
  <c r="D86" i="3"/>
  <c r="F78" i="2"/>
  <c r="B78" i="2"/>
  <c r="D162" i="9" l="1"/>
  <c r="C162" i="9"/>
  <c r="E163" i="9"/>
  <c r="B163" i="9"/>
  <c r="D158" i="8"/>
  <c r="C158" i="8"/>
  <c r="E159" i="8"/>
  <c r="B159" i="8"/>
  <c r="D84" i="6"/>
  <c r="C84" i="6"/>
  <c r="F85" i="6"/>
  <c r="B85" i="6"/>
  <c r="D85" i="7"/>
  <c r="C85" i="7"/>
  <c r="F86" i="7"/>
  <c r="B86" i="7"/>
  <c r="C82" i="5"/>
  <c r="D82" i="5"/>
  <c r="E83" i="5"/>
  <c r="B83" i="5"/>
  <c r="B81" i="1"/>
  <c r="D87" i="3"/>
  <c r="C87" i="3"/>
  <c r="D78" i="2"/>
  <c r="C78" i="2"/>
  <c r="F79" i="2"/>
  <c r="B79" i="2"/>
  <c r="F88" i="3"/>
  <c r="B88" i="3"/>
  <c r="D163" i="9" l="1"/>
  <c r="C163" i="9"/>
  <c r="E164" i="9"/>
  <c r="B164" i="9"/>
  <c r="D159" i="8"/>
  <c r="C159" i="8"/>
  <c r="E160" i="8"/>
  <c r="B160" i="8"/>
  <c r="D85" i="6"/>
  <c r="C85" i="6"/>
  <c r="F86" i="6"/>
  <c r="B86" i="6"/>
  <c r="D86" i="7"/>
  <c r="C86" i="7"/>
  <c r="F87" i="7"/>
  <c r="B87" i="7"/>
  <c r="D83" i="5"/>
  <c r="C83" i="5"/>
  <c r="E84" i="5"/>
  <c r="B84" i="5"/>
  <c r="C81" i="1"/>
  <c r="D81" i="1" s="1"/>
  <c r="F81" i="1" s="1"/>
  <c r="C79" i="2"/>
  <c r="D79" i="2"/>
  <c r="C88" i="3"/>
  <c r="D88" i="3"/>
  <c r="F89" i="3"/>
  <c r="B89" i="3"/>
  <c r="F80" i="2"/>
  <c r="B80" i="2"/>
  <c r="D164" i="9" l="1"/>
  <c r="C164" i="9"/>
  <c r="E165" i="9"/>
  <c r="B165" i="9"/>
  <c r="D160" i="8"/>
  <c r="C160" i="8"/>
  <c r="E161" i="8"/>
  <c r="B161" i="8"/>
  <c r="D86" i="6"/>
  <c r="C86" i="6"/>
  <c r="F87" i="6"/>
  <c r="B87" i="6"/>
  <c r="D87" i="7"/>
  <c r="C87" i="7"/>
  <c r="F88" i="7"/>
  <c r="B88" i="7"/>
  <c r="C84" i="5"/>
  <c r="D84" i="5"/>
  <c r="E85" i="5"/>
  <c r="B85" i="5"/>
  <c r="B82" i="1"/>
  <c r="F81" i="2"/>
  <c r="B81" i="2"/>
  <c r="D80" i="2"/>
  <c r="C80" i="2"/>
  <c r="D89" i="3"/>
  <c r="C89" i="3"/>
  <c r="F90" i="3"/>
  <c r="B90" i="3"/>
  <c r="D165" i="9" l="1"/>
  <c r="C165" i="9"/>
  <c r="E166" i="9"/>
  <c r="B166" i="9"/>
  <c r="D161" i="8"/>
  <c r="C161" i="8"/>
  <c r="E162" i="8"/>
  <c r="B162" i="8"/>
  <c r="D87" i="6"/>
  <c r="C87" i="6"/>
  <c r="F88" i="6"/>
  <c r="B88" i="6"/>
  <c r="C88" i="7"/>
  <c r="D88" i="7"/>
  <c r="F89" i="7"/>
  <c r="B89" i="7"/>
  <c r="E86" i="5"/>
  <c r="B86" i="5"/>
  <c r="D85" i="5"/>
  <c r="C85" i="5"/>
  <c r="C82" i="1"/>
  <c r="D82" i="1" s="1"/>
  <c r="F82" i="1" s="1"/>
  <c r="C90" i="3"/>
  <c r="D90" i="3"/>
  <c r="C81" i="2"/>
  <c r="D81" i="2"/>
  <c r="F91" i="3"/>
  <c r="B91" i="3"/>
  <c r="F82" i="2"/>
  <c r="B82" i="2"/>
  <c r="D166" i="9" l="1"/>
  <c r="C166" i="9"/>
  <c r="E167" i="9"/>
  <c r="B167" i="9"/>
  <c r="D162" i="8"/>
  <c r="C162" i="8"/>
  <c r="E163" i="8"/>
  <c r="B163" i="8"/>
  <c r="D88" i="6"/>
  <c r="C88" i="6"/>
  <c r="F89" i="6"/>
  <c r="B89" i="6"/>
  <c r="C89" i="7"/>
  <c r="D89" i="7"/>
  <c r="F90" i="7"/>
  <c r="B90" i="7"/>
  <c r="E87" i="5"/>
  <c r="B87" i="5"/>
  <c r="C86" i="5"/>
  <c r="D86" i="5"/>
  <c r="B83" i="1"/>
  <c r="F83" i="2"/>
  <c r="B83" i="2"/>
  <c r="F92" i="3"/>
  <c r="B92" i="3"/>
  <c r="C91" i="3"/>
  <c r="D91" i="3"/>
  <c r="D82" i="2"/>
  <c r="C82" i="2"/>
  <c r="D167" i="9" l="1"/>
  <c r="C167" i="9"/>
  <c r="E168" i="9"/>
  <c r="B168" i="9"/>
  <c r="D163" i="8"/>
  <c r="C163" i="8"/>
  <c r="E164" i="8"/>
  <c r="B164" i="8"/>
  <c r="D89" i="6"/>
  <c r="C89" i="6"/>
  <c r="F90" i="6"/>
  <c r="B90" i="6"/>
  <c r="D90" i="7"/>
  <c r="C90" i="7"/>
  <c r="F91" i="7"/>
  <c r="B91" i="7"/>
  <c r="D87" i="5"/>
  <c r="C87" i="5"/>
  <c r="E88" i="5"/>
  <c r="B88" i="5"/>
  <c r="C83" i="1"/>
  <c r="D83" i="1" s="1"/>
  <c r="F83" i="1" s="1"/>
  <c r="F84" i="2"/>
  <c r="B84" i="2"/>
  <c r="C92" i="3"/>
  <c r="D92" i="3"/>
  <c r="C83" i="2"/>
  <c r="D83" i="2"/>
  <c r="F93" i="3"/>
  <c r="B93" i="3"/>
  <c r="D168" i="9" l="1"/>
  <c r="C168" i="9"/>
  <c r="E169" i="9"/>
  <c r="B169" i="9"/>
  <c r="D164" i="8"/>
  <c r="C164" i="8"/>
  <c r="E165" i="8"/>
  <c r="B165" i="8"/>
  <c r="D90" i="6"/>
  <c r="C90" i="6"/>
  <c r="F91" i="6"/>
  <c r="B91" i="6"/>
  <c r="D91" i="7"/>
  <c r="C91" i="7"/>
  <c r="F92" i="7"/>
  <c r="B92" i="7"/>
  <c r="C88" i="5"/>
  <c r="D88" i="5"/>
  <c r="E89" i="5"/>
  <c r="B89" i="5"/>
  <c r="B84" i="1"/>
  <c r="C84" i="2"/>
  <c r="D84" i="2"/>
  <c r="D93" i="3"/>
  <c r="C93" i="3"/>
  <c r="F85" i="2"/>
  <c r="B85" i="2"/>
  <c r="F94" i="3"/>
  <c r="B94" i="3"/>
  <c r="E170" i="9" l="1"/>
  <c r="B170" i="9"/>
  <c r="C169" i="9"/>
  <c r="D169" i="9"/>
  <c r="D165" i="8"/>
  <c r="C165" i="8"/>
  <c r="E166" i="8"/>
  <c r="B166" i="8"/>
  <c r="D91" i="6"/>
  <c r="C91" i="6"/>
  <c r="F92" i="6"/>
  <c r="B92" i="6"/>
  <c r="D92" i="7"/>
  <c r="C92" i="7"/>
  <c r="F93" i="7"/>
  <c r="B93" i="7"/>
  <c r="D89" i="5"/>
  <c r="C89" i="5"/>
  <c r="E90" i="5"/>
  <c r="B90" i="5"/>
  <c r="C84" i="1"/>
  <c r="D84" i="1" s="1"/>
  <c r="F84" i="1" s="1"/>
  <c r="F95" i="3"/>
  <c r="B95" i="3"/>
  <c r="C85" i="2"/>
  <c r="D85" i="2"/>
  <c r="F86" i="2"/>
  <c r="B86" i="2"/>
  <c r="C94" i="3"/>
  <c r="D94" i="3"/>
  <c r="D170" i="9" l="1"/>
  <c r="C170" i="9"/>
  <c r="E171" i="9"/>
  <c r="B171" i="9"/>
  <c r="D166" i="8"/>
  <c r="C166" i="8"/>
  <c r="E167" i="8"/>
  <c r="B167" i="8"/>
  <c r="D92" i="6"/>
  <c r="C92" i="6"/>
  <c r="F93" i="6"/>
  <c r="B93" i="6"/>
  <c r="D93" i="7"/>
  <c r="C93" i="7"/>
  <c r="F94" i="7"/>
  <c r="B94" i="7"/>
  <c r="C90" i="5"/>
  <c r="D90" i="5"/>
  <c r="E91" i="5"/>
  <c r="B91" i="5"/>
  <c r="B85" i="1"/>
  <c r="F87" i="2"/>
  <c r="B87" i="2"/>
  <c r="F96" i="3"/>
  <c r="B96" i="3"/>
  <c r="D86" i="2"/>
  <c r="C86" i="2"/>
  <c r="D95" i="3"/>
  <c r="C95" i="3"/>
  <c r="D171" i="9" l="1"/>
  <c r="C171" i="9"/>
  <c r="E172" i="9"/>
  <c r="B172" i="9"/>
  <c r="D167" i="8"/>
  <c r="C167" i="8"/>
  <c r="E168" i="8"/>
  <c r="B168" i="8"/>
  <c r="D93" i="6"/>
  <c r="C93" i="6"/>
  <c r="B94" i="6"/>
  <c r="F94" i="6"/>
  <c r="D94" i="7"/>
  <c r="C94" i="7"/>
  <c r="F95" i="7"/>
  <c r="B95" i="7"/>
  <c r="D91" i="5"/>
  <c r="C91" i="5"/>
  <c r="E92" i="5"/>
  <c r="B92" i="5"/>
  <c r="C85" i="1"/>
  <c r="D85" i="1" s="1"/>
  <c r="F85" i="1" s="1"/>
  <c r="C96" i="3"/>
  <c r="D96" i="3"/>
  <c r="F97" i="3"/>
  <c r="B97" i="3"/>
  <c r="C87" i="2"/>
  <c r="D87" i="2"/>
  <c r="F88" i="2"/>
  <c r="B88" i="2"/>
  <c r="D172" i="9" l="1"/>
  <c r="C172" i="9"/>
  <c r="E173" i="9"/>
  <c r="B173" i="9"/>
  <c r="D168" i="8"/>
  <c r="C168" i="8"/>
  <c r="E169" i="8"/>
  <c r="B169" i="8"/>
  <c r="F95" i="6"/>
  <c r="B95" i="6"/>
  <c r="D94" i="6"/>
  <c r="C94" i="6"/>
  <c r="C95" i="7"/>
  <c r="D95" i="7"/>
  <c r="F96" i="7"/>
  <c r="B96" i="7"/>
  <c r="C92" i="5"/>
  <c r="D92" i="5"/>
  <c r="E93" i="5"/>
  <c r="B93" i="5"/>
  <c r="B86" i="1"/>
  <c r="F98" i="3"/>
  <c r="B98" i="3"/>
  <c r="D97" i="3"/>
  <c r="C97" i="3"/>
  <c r="D88" i="2"/>
  <c r="C88" i="2"/>
  <c r="F89" i="2"/>
  <c r="B89" i="2"/>
  <c r="D173" i="9" l="1"/>
  <c r="C173" i="9"/>
  <c r="E174" i="9"/>
  <c r="B174" i="9"/>
  <c r="D169" i="8"/>
  <c r="C169" i="8"/>
  <c r="E170" i="8"/>
  <c r="B170" i="8"/>
  <c r="D95" i="6"/>
  <c r="C95" i="6"/>
  <c r="F96" i="6"/>
  <c r="B96" i="6"/>
  <c r="D96" i="7"/>
  <c r="C96" i="7"/>
  <c r="F97" i="7"/>
  <c r="B97" i="7"/>
  <c r="D93" i="5"/>
  <c r="C93" i="5"/>
  <c r="E94" i="5"/>
  <c r="B94" i="5"/>
  <c r="C86" i="1"/>
  <c r="D86" i="1" s="1"/>
  <c r="F86" i="1" s="1"/>
  <c r="F99" i="3"/>
  <c r="B99" i="3"/>
  <c r="C89" i="2"/>
  <c r="D89" i="2"/>
  <c r="F90" i="2"/>
  <c r="B90" i="2"/>
  <c r="C98" i="3"/>
  <c r="D98" i="3"/>
  <c r="D174" i="9" l="1"/>
  <c r="C174" i="9"/>
  <c r="E175" i="9"/>
  <c r="B175" i="9"/>
  <c r="D170" i="8"/>
  <c r="C170" i="8"/>
  <c r="E171" i="8"/>
  <c r="B171" i="8"/>
  <c r="D96" i="6"/>
  <c r="C96" i="6"/>
  <c r="B97" i="6"/>
  <c r="F97" i="6"/>
  <c r="D97" i="7"/>
  <c r="C97" i="7"/>
  <c r="F98" i="7"/>
  <c r="B98" i="7"/>
  <c r="D94" i="5"/>
  <c r="C94" i="5"/>
  <c r="E95" i="5"/>
  <c r="B95" i="5"/>
  <c r="B87" i="1"/>
  <c r="D90" i="2"/>
  <c r="C90" i="2"/>
  <c r="F91" i="2"/>
  <c r="B91" i="2"/>
  <c r="C99" i="3"/>
  <c r="D99" i="3"/>
  <c r="F100" i="3"/>
  <c r="B100" i="3"/>
  <c r="D175" i="9" l="1"/>
  <c r="C175" i="9"/>
  <c r="E176" i="9"/>
  <c r="B176" i="9"/>
  <c r="D171" i="8"/>
  <c r="C171" i="8"/>
  <c r="E172" i="8"/>
  <c r="B172" i="8"/>
  <c r="F98" i="6"/>
  <c r="B98" i="6"/>
  <c r="D97" i="6"/>
  <c r="C97" i="6"/>
  <c r="C98" i="7"/>
  <c r="D98" i="7"/>
  <c r="F99" i="7"/>
  <c r="B99" i="7"/>
  <c r="D95" i="5"/>
  <c r="C95" i="5"/>
  <c r="E96" i="5"/>
  <c r="B96" i="5"/>
  <c r="C87" i="1"/>
  <c r="D87" i="1" s="1"/>
  <c r="F87" i="1" s="1"/>
  <c r="F101" i="3"/>
  <c r="B101" i="3"/>
  <c r="C91" i="2"/>
  <c r="D91" i="2"/>
  <c r="F92" i="2"/>
  <c r="B92" i="2"/>
  <c r="C100" i="3"/>
  <c r="D100" i="3"/>
  <c r="D176" i="9" l="1"/>
  <c r="C176" i="9"/>
  <c r="E177" i="9"/>
  <c r="B177" i="9"/>
  <c r="D172" i="8"/>
  <c r="C172" i="8"/>
  <c r="E173" i="8"/>
  <c r="B173" i="8"/>
  <c r="D98" i="6"/>
  <c r="C98" i="6"/>
  <c r="F99" i="6"/>
  <c r="B99" i="6"/>
  <c r="C99" i="7"/>
  <c r="D99" i="7"/>
  <c r="F100" i="7"/>
  <c r="B100" i="7"/>
  <c r="D96" i="5"/>
  <c r="C96" i="5"/>
  <c r="E97" i="5"/>
  <c r="B97" i="5"/>
  <c r="B88" i="1"/>
  <c r="F93" i="2"/>
  <c r="B93" i="2"/>
  <c r="D92" i="2"/>
  <c r="C92" i="2"/>
  <c r="D101" i="3"/>
  <c r="C101" i="3"/>
  <c r="F102" i="3"/>
  <c r="B102" i="3"/>
  <c r="C177" i="9" l="1"/>
  <c r="D177" i="9"/>
  <c r="E178" i="9"/>
  <c r="B178" i="9"/>
  <c r="E174" i="8"/>
  <c r="B174" i="8"/>
  <c r="D173" i="8"/>
  <c r="C173" i="8"/>
  <c r="D99" i="6"/>
  <c r="C99" i="6"/>
  <c r="F100" i="6"/>
  <c r="B100" i="6"/>
  <c r="D100" i="7"/>
  <c r="C100" i="7"/>
  <c r="F101" i="7"/>
  <c r="B101" i="7"/>
  <c r="D97" i="5"/>
  <c r="C97" i="5"/>
  <c r="E98" i="5"/>
  <c r="B98" i="5"/>
  <c r="D88" i="1"/>
  <c r="F88" i="1" s="1"/>
  <c r="C88" i="1"/>
  <c r="C102" i="3"/>
  <c r="D102" i="3"/>
  <c r="F103" i="3"/>
  <c r="B103" i="3"/>
  <c r="C93" i="2"/>
  <c r="D93" i="2"/>
  <c r="F94" i="2"/>
  <c r="B94" i="2"/>
  <c r="D178" i="9" l="1"/>
  <c r="C178" i="9"/>
  <c r="E179" i="9"/>
  <c r="B179" i="9"/>
  <c r="D174" i="8"/>
  <c r="C174" i="8"/>
  <c r="E175" i="8"/>
  <c r="B175" i="8"/>
  <c r="D100" i="6"/>
  <c r="C100" i="6"/>
  <c r="F101" i="6"/>
  <c r="B101" i="6"/>
  <c r="C101" i="7"/>
  <c r="D101" i="7"/>
  <c r="F102" i="7"/>
  <c r="B102" i="7"/>
  <c r="D98" i="5"/>
  <c r="C98" i="5"/>
  <c r="E99" i="5"/>
  <c r="B99" i="5"/>
  <c r="B89" i="1"/>
  <c r="D103" i="3"/>
  <c r="C103" i="3"/>
  <c r="F104" i="3"/>
  <c r="B104" i="3"/>
  <c r="D94" i="2"/>
  <c r="C94" i="2"/>
  <c r="F95" i="2"/>
  <c r="B95" i="2"/>
  <c r="D179" i="9" l="1"/>
  <c r="C179" i="9"/>
  <c r="E180" i="9"/>
  <c r="B180" i="9"/>
  <c r="D175" i="8"/>
  <c r="C175" i="8"/>
  <c r="E176" i="8"/>
  <c r="B176" i="8"/>
  <c r="D101" i="6"/>
  <c r="C101" i="6"/>
  <c r="F102" i="6"/>
  <c r="B102" i="6"/>
  <c r="D102" i="7"/>
  <c r="C102" i="7"/>
  <c r="F103" i="7"/>
  <c r="B103" i="7"/>
  <c r="C99" i="5"/>
  <c r="D99" i="5"/>
  <c r="E100" i="5"/>
  <c r="B100" i="5"/>
  <c r="C89" i="1"/>
  <c r="D89" i="1" s="1"/>
  <c r="F89" i="1" s="1"/>
  <c r="C104" i="3"/>
  <c r="D104" i="3"/>
  <c r="F105" i="3"/>
  <c r="B105" i="3"/>
  <c r="C95" i="2"/>
  <c r="D95" i="2"/>
  <c r="F96" i="2"/>
  <c r="B96" i="2"/>
  <c r="D180" i="9" l="1"/>
  <c r="C180" i="9"/>
  <c r="E181" i="9"/>
  <c r="B181" i="9"/>
  <c r="D176" i="8"/>
  <c r="C176" i="8"/>
  <c r="E177" i="8"/>
  <c r="B177" i="8"/>
  <c r="D102" i="6"/>
  <c r="C102" i="6"/>
  <c r="F103" i="6"/>
  <c r="B103" i="6"/>
  <c r="D103" i="7"/>
  <c r="C103" i="7"/>
  <c r="F104" i="7"/>
  <c r="B104" i="7"/>
  <c r="D100" i="5"/>
  <c r="C100" i="5"/>
  <c r="E101" i="5"/>
  <c r="B101" i="5"/>
  <c r="B90" i="1"/>
  <c r="D105" i="3"/>
  <c r="C105" i="3"/>
  <c r="F106" i="3"/>
  <c r="B106" i="3"/>
  <c r="F97" i="2"/>
  <c r="B97" i="2"/>
  <c r="D96" i="2"/>
  <c r="C96" i="2"/>
  <c r="D181" i="9" l="1"/>
  <c r="C181" i="9"/>
  <c r="E182" i="9"/>
  <c r="B182" i="9"/>
  <c r="D177" i="8"/>
  <c r="C177" i="8"/>
  <c r="E178" i="8"/>
  <c r="B178" i="8"/>
  <c r="D103" i="6"/>
  <c r="C103" i="6"/>
  <c r="F104" i="6"/>
  <c r="B104" i="6"/>
  <c r="C104" i="7"/>
  <c r="D104" i="7"/>
  <c r="F105" i="7"/>
  <c r="B105" i="7"/>
  <c r="D101" i="5"/>
  <c r="C101" i="5"/>
  <c r="E102" i="5"/>
  <c r="B102" i="5"/>
  <c r="C90" i="1"/>
  <c r="D90" i="1" s="1"/>
  <c r="F90" i="1" s="1"/>
  <c r="C106" i="3"/>
  <c r="D106" i="3"/>
  <c r="F107" i="3"/>
  <c r="B107" i="3"/>
  <c r="C97" i="2"/>
  <c r="D97" i="2"/>
  <c r="F98" i="2"/>
  <c r="B98" i="2"/>
  <c r="D182" i="9" l="1"/>
  <c r="C182" i="9"/>
  <c r="E183" i="9"/>
  <c r="B183" i="9"/>
  <c r="D178" i="8"/>
  <c r="C178" i="8"/>
  <c r="E179" i="8"/>
  <c r="B179" i="8"/>
  <c r="D104" i="6"/>
  <c r="C104" i="6"/>
  <c r="F105" i="6"/>
  <c r="B105" i="6"/>
  <c r="C105" i="7"/>
  <c r="D105" i="7"/>
  <c r="F106" i="7"/>
  <c r="B106" i="7"/>
  <c r="D102" i="5"/>
  <c r="C102" i="5"/>
  <c r="E103" i="5"/>
  <c r="B103" i="5"/>
  <c r="B91" i="1"/>
  <c r="F99" i="2"/>
  <c r="B99" i="2"/>
  <c r="C107" i="3"/>
  <c r="D107" i="3"/>
  <c r="D98" i="2"/>
  <c r="C98" i="2"/>
  <c r="F108" i="3"/>
  <c r="B108" i="3"/>
  <c r="E184" i="9" l="1"/>
  <c r="B184" i="9"/>
  <c r="D183" i="9"/>
  <c r="C183" i="9"/>
  <c r="D179" i="8"/>
  <c r="C179" i="8"/>
  <c r="E180" i="8"/>
  <c r="B180" i="8"/>
  <c r="D105" i="6"/>
  <c r="C105" i="6"/>
  <c r="F106" i="6"/>
  <c r="B106" i="6"/>
  <c r="D106" i="7"/>
  <c r="C106" i="7"/>
  <c r="F107" i="7"/>
  <c r="B107" i="7"/>
  <c r="D103" i="5"/>
  <c r="C103" i="5"/>
  <c r="E104" i="5"/>
  <c r="B104" i="5"/>
  <c r="D91" i="1"/>
  <c r="F91" i="1" s="1"/>
  <c r="C91" i="1"/>
  <c r="C108" i="3"/>
  <c r="D108" i="3"/>
  <c r="C99" i="2"/>
  <c r="D99" i="2"/>
  <c r="F109" i="3"/>
  <c r="B109" i="3"/>
  <c r="F100" i="2"/>
  <c r="B100" i="2"/>
  <c r="D184" i="9" l="1"/>
  <c r="C184" i="9"/>
  <c r="E185" i="9"/>
  <c r="B185" i="9"/>
  <c r="D180" i="8"/>
  <c r="C180" i="8"/>
  <c r="E181" i="8"/>
  <c r="B181" i="8"/>
  <c r="D106" i="6"/>
  <c r="C106" i="6"/>
  <c r="F107" i="6"/>
  <c r="B107" i="6"/>
  <c r="D107" i="7"/>
  <c r="C107" i="7"/>
  <c r="F108" i="7"/>
  <c r="B108" i="7"/>
  <c r="D104" i="5"/>
  <c r="C104" i="5"/>
  <c r="E105" i="5"/>
  <c r="B105" i="5"/>
  <c r="B92" i="1"/>
  <c r="C100" i="2"/>
  <c r="D100" i="2"/>
  <c r="F101" i="2"/>
  <c r="B101" i="2"/>
  <c r="D109" i="3"/>
  <c r="C109" i="3"/>
  <c r="F110" i="3"/>
  <c r="B110" i="3"/>
  <c r="C185" i="9" l="1"/>
  <c r="D185" i="9"/>
  <c r="E186" i="9"/>
  <c r="B186" i="9"/>
  <c r="D181" i="8"/>
  <c r="C181" i="8"/>
  <c r="E182" i="8"/>
  <c r="B182" i="8"/>
  <c r="D107" i="6"/>
  <c r="C107" i="6"/>
  <c r="F108" i="6"/>
  <c r="B108" i="6"/>
  <c r="C108" i="7"/>
  <c r="D108" i="7"/>
  <c r="F109" i="7"/>
  <c r="B109" i="7"/>
  <c r="D105" i="5"/>
  <c r="C105" i="5"/>
  <c r="E106" i="5"/>
  <c r="B106" i="5"/>
  <c r="D92" i="1"/>
  <c r="F92" i="1" s="1"/>
  <c r="C92" i="1"/>
  <c r="C101" i="2"/>
  <c r="D101" i="2"/>
  <c r="F102" i="2"/>
  <c r="B102" i="2"/>
  <c r="C110" i="3"/>
  <c r="D110" i="3"/>
  <c r="F111" i="3"/>
  <c r="B111" i="3"/>
  <c r="D186" i="9" l="1"/>
  <c r="C186" i="9"/>
  <c r="E187" i="9"/>
  <c r="B187" i="9"/>
  <c r="D182" i="8"/>
  <c r="C182" i="8"/>
  <c r="E183" i="8"/>
  <c r="B183" i="8"/>
  <c r="D108" i="6"/>
  <c r="C108" i="6"/>
  <c r="F109" i="6"/>
  <c r="B109" i="6"/>
  <c r="D109" i="7"/>
  <c r="C109" i="7"/>
  <c r="F110" i="7"/>
  <c r="B110" i="7"/>
  <c r="D106" i="5"/>
  <c r="C106" i="5"/>
  <c r="E107" i="5"/>
  <c r="B107" i="5"/>
  <c r="B93" i="1"/>
  <c r="D111" i="3"/>
  <c r="C111" i="3"/>
  <c r="D102" i="2"/>
  <c r="C102" i="2"/>
  <c r="F103" i="2"/>
  <c r="B103" i="2"/>
  <c r="F112" i="3"/>
  <c r="B112" i="3"/>
  <c r="D187" i="9" l="1"/>
  <c r="C187" i="9"/>
  <c r="E188" i="9"/>
  <c r="B188" i="9"/>
  <c r="D183" i="8"/>
  <c r="C183" i="8"/>
  <c r="E184" i="8"/>
  <c r="B184" i="8"/>
  <c r="D109" i="6"/>
  <c r="C109" i="6"/>
  <c r="F110" i="6"/>
  <c r="B110" i="6"/>
  <c r="C110" i="7"/>
  <c r="D110" i="7"/>
  <c r="F111" i="7"/>
  <c r="B111" i="7"/>
  <c r="C107" i="5"/>
  <c r="D107" i="5"/>
  <c r="E108" i="5"/>
  <c r="B108" i="5"/>
  <c r="C93" i="1"/>
  <c r="D93" i="1" s="1"/>
  <c r="F93" i="1" s="1"/>
  <c r="F113" i="3"/>
  <c r="B113" i="3"/>
  <c r="F104" i="2"/>
  <c r="B104" i="2"/>
  <c r="C103" i="2"/>
  <c r="D103" i="2"/>
  <c r="C112" i="3"/>
  <c r="D112" i="3"/>
  <c r="D188" i="9" l="1"/>
  <c r="C188" i="9"/>
  <c r="E189" i="9"/>
  <c r="B189" i="9"/>
  <c r="D184" i="8"/>
  <c r="C184" i="8"/>
  <c r="E185" i="8"/>
  <c r="B185" i="8"/>
  <c r="D110" i="6"/>
  <c r="C110" i="6"/>
  <c r="F111" i="6"/>
  <c r="B111" i="6"/>
  <c r="C111" i="7"/>
  <c r="D111" i="7"/>
  <c r="F112" i="7"/>
  <c r="B112" i="7"/>
  <c r="D108" i="5"/>
  <c r="C108" i="5"/>
  <c r="E109" i="5"/>
  <c r="B109" i="5"/>
  <c r="B94" i="1"/>
  <c r="F114" i="3"/>
  <c r="B114" i="3"/>
  <c r="D113" i="3"/>
  <c r="C113" i="3"/>
  <c r="D104" i="2"/>
  <c r="C104" i="2"/>
  <c r="F105" i="2"/>
  <c r="B105" i="2"/>
  <c r="D189" i="9" l="1"/>
  <c r="C189" i="9"/>
  <c r="E190" i="9"/>
  <c r="B190" i="9"/>
  <c r="D185" i="8"/>
  <c r="C185" i="8"/>
  <c r="E186" i="8"/>
  <c r="B186" i="8"/>
  <c r="C111" i="6"/>
  <c r="D111" i="6"/>
  <c r="F112" i="6"/>
  <c r="B112" i="6"/>
  <c r="D112" i="7"/>
  <c r="C112" i="7"/>
  <c r="F113" i="7"/>
  <c r="B113" i="7"/>
  <c r="D109" i="5"/>
  <c r="C109" i="5"/>
  <c r="E110" i="5"/>
  <c r="B110" i="5"/>
  <c r="D94" i="1"/>
  <c r="F94" i="1" s="1"/>
  <c r="C94" i="1"/>
  <c r="F106" i="2"/>
  <c r="B106" i="2"/>
  <c r="C105" i="2"/>
  <c r="D105" i="2"/>
  <c r="C114" i="3"/>
  <c r="D114" i="3"/>
  <c r="F115" i="3"/>
  <c r="B115" i="3"/>
  <c r="D190" i="9" l="1"/>
  <c r="C190" i="9"/>
  <c r="E191" i="9"/>
  <c r="B191" i="9"/>
  <c r="D186" i="8"/>
  <c r="C186" i="8"/>
  <c r="E187" i="8"/>
  <c r="B187" i="8"/>
  <c r="D112" i="6"/>
  <c r="C112" i="6"/>
  <c r="F113" i="6"/>
  <c r="B113" i="6"/>
  <c r="D113" i="7"/>
  <c r="C113" i="7"/>
  <c r="F114" i="7"/>
  <c r="B114" i="7"/>
  <c r="D110" i="5"/>
  <c r="C110" i="5"/>
  <c r="E111" i="5"/>
  <c r="B111" i="5"/>
  <c r="B95" i="1"/>
  <c r="C115" i="3"/>
  <c r="D115" i="3"/>
  <c r="F116" i="3"/>
  <c r="B116" i="3"/>
  <c r="D106" i="2"/>
  <c r="C106" i="2"/>
  <c r="F107" i="2"/>
  <c r="B107" i="2"/>
  <c r="E192" i="9" l="1"/>
  <c r="B192" i="9"/>
  <c r="D191" i="9"/>
  <c r="C191" i="9"/>
  <c r="D187" i="8"/>
  <c r="C187" i="8"/>
  <c r="E188" i="8"/>
  <c r="B188" i="8"/>
  <c r="D113" i="6"/>
  <c r="C113" i="6"/>
  <c r="F114" i="6"/>
  <c r="B114" i="6"/>
  <c r="C114" i="7"/>
  <c r="D114" i="7"/>
  <c r="F115" i="7"/>
  <c r="B115" i="7"/>
  <c r="E112" i="5"/>
  <c r="B112" i="5"/>
  <c r="D111" i="5"/>
  <c r="C111" i="5"/>
  <c r="C95" i="1"/>
  <c r="D95" i="1"/>
  <c r="F95" i="1" s="1"/>
  <c r="F117" i="3"/>
  <c r="B117" i="3"/>
  <c r="C107" i="2"/>
  <c r="D107" i="2"/>
  <c r="C116" i="3"/>
  <c r="D116" i="3"/>
  <c r="F108" i="2"/>
  <c r="B108" i="2"/>
  <c r="D192" i="9" l="1"/>
  <c r="C192" i="9"/>
  <c r="E193" i="9"/>
  <c r="B193" i="9"/>
  <c r="D188" i="8"/>
  <c r="C188" i="8"/>
  <c r="E189" i="8"/>
  <c r="B189" i="8"/>
  <c r="D114" i="6"/>
  <c r="C114" i="6"/>
  <c r="F115" i="6"/>
  <c r="B115" i="6"/>
  <c r="D115" i="7"/>
  <c r="C115" i="7"/>
  <c r="F116" i="7"/>
  <c r="B116" i="7"/>
  <c r="D112" i="5"/>
  <c r="C112" i="5"/>
  <c r="E113" i="5"/>
  <c r="B113" i="5"/>
  <c r="B96" i="1"/>
  <c r="D117" i="3"/>
  <c r="C117" i="3"/>
  <c r="F118" i="3"/>
  <c r="B118" i="3"/>
  <c r="D108" i="2"/>
  <c r="C108" i="2"/>
  <c r="F109" i="2"/>
  <c r="B109" i="2"/>
  <c r="C193" i="9" l="1"/>
  <c r="D193" i="9"/>
  <c r="E194" i="9"/>
  <c r="B194" i="9"/>
  <c r="D189" i="8"/>
  <c r="C189" i="8"/>
  <c r="E190" i="8"/>
  <c r="B190" i="8"/>
  <c r="D115" i="6"/>
  <c r="C115" i="6"/>
  <c r="F116" i="6"/>
  <c r="B116" i="6"/>
  <c r="D116" i="7"/>
  <c r="C116" i="7"/>
  <c r="F117" i="7"/>
  <c r="B117" i="7"/>
  <c r="D113" i="5"/>
  <c r="C113" i="5"/>
  <c r="E114" i="5"/>
  <c r="B114" i="5"/>
  <c r="C96" i="1"/>
  <c r="D96" i="1" s="1"/>
  <c r="F96" i="1" s="1"/>
  <c r="F119" i="3"/>
  <c r="B119" i="3"/>
  <c r="C118" i="3"/>
  <c r="D118" i="3"/>
  <c r="C109" i="2"/>
  <c r="D109" i="2"/>
  <c r="F110" i="2"/>
  <c r="B110" i="2"/>
  <c r="D194" i="9" l="1"/>
  <c r="C194" i="9"/>
  <c r="E195" i="9"/>
  <c r="B195" i="9"/>
  <c r="D190" i="8"/>
  <c r="C190" i="8"/>
  <c r="E191" i="8"/>
  <c r="B191" i="8"/>
  <c r="C116" i="6"/>
  <c r="D116" i="6"/>
  <c r="F117" i="6"/>
  <c r="B117" i="6"/>
  <c r="D117" i="7"/>
  <c r="C117" i="7"/>
  <c r="F118" i="7"/>
  <c r="B118" i="7"/>
  <c r="E115" i="5"/>
  <c r="B115" i="5"/>
  <c r="D114" i="5"/>
  <c r="C114" i="5"/>
  <c r="B97" i="1"/>
  <c r="D110" i="2"/>
  <c r="C110" i="2"/>
  <c r="F111" i="2"/>
  <c r="B111" i="2"/>
  <c r="D119" i="3"/>
  <c r="C119" i="3"/>
  <c r="F120" i="3"/>
  <c r="B120" i="3"/>
  <c r="D195" i="9" l="1"/>
  <c r="C195" i="9"/>
  <c r="E196" i="9"/>
  <c r="B196" i="9"/>
  <c r="D191" i="8"/>
  <c r="C191" i="8"/>
  <c r="E192" i="8"/>
  <c r="B192" i="8"/>
  <c r="D117" i="6"/>
  <c r="C117" i="6"/>
  <c r="F118" i="6"/>
  <c r="B118" i="6"/>
  <c r="D118" i="7"/>
  <c r="C118" i="7"/>
  <c r="F119" i="7"/>
  <c r="B119" i="7"/>
  <c r="D115" i="5"/>
  <c r="C115" i="5"/>
  <c r="E116" i="5"/>
  <c r="B116" i="5"/>
  <c r="D97" i="1"/>
  <c r="F97" i="1" s="1"/>
  <c r="C97" i="1"/>
  <c r="C120" i="3"/>
  <c r="D120" i="3"/>
  <c r="F121" i="3"/>
  <c r="B121" i="3"/>
  <c r="C111" i="2"/>
  <c r="D111" i="2"/>
  <c r="F112" i="2"/>
  <c r="B112" i="2"/>
  <c r="D196" i="9" l="1"/>
  <c r="C196" i="9"/>
  <c r="E197" i="9"/>
  <c r="B197" i="9"/>
  <c r="D192" i="8"/>
  <c r="C192" i="8"/>
  <c r="E193" i="8"/>
  <c r="B193" i="8"/>
  <c r="D118" i="6"/>
  <c r="C118" i="6"/>
  <c r="F119" i="6"/>
  <c r="B119" i="6"/>
  <c r="D119" i="7"/>
  <c r="C119" i="7"/>
  <c r="F120" i="7"/>
  <c r="B120" i="7"/>
  <c r="D116" i="5"/>
  <c r="C116" i="5"/>
  <c r="E117" i="5"/>
  <c r="B117" i="5"/>
  <c r="B98" i="1"/>
  <c r="D121" i="3"/>
  <c r="C121" i="3"/>
  <c r="F122" i="3"/>
  <c r="B122" i="3"/>
  <c r="F113" i="2"/>
  <c r="B113" i="2"/>
  <c r="D112" i="2"/>
  <c r="C112" i="2"/>
  <c r="E198" i="9" l="1"/>
  <c r="B198" i="9"/>
  <c r="D197" i="9"/>
  <c r="C197" i="9"/>
  <c r="D193" i="8"/>
  <c r="C193" i="8"/>
  <c r="E194" i="8"/>
  <c r="B194" i="8"/>
  <c r="D119" i="6"/>
  <c r="C119" i="6"/>
  <c r="F120" i="6"/>
  <c r="B120" i="6"/>
  <c r="D120" i="7"/>
  <c r="C120" i="7"/>
  <c r="F121" i="7"/>
  <c r="B121" i="7"/>
  <c r="C117" i="5"/>
  <c r="D117" i="5"/>
  <c r="E118" i="5"/>
  <c r="B118" i="5"/>
  <c r="C98" i="1"/>
  <c r="D98" i="1" s="1"/>
  <c r="F98" i="1" s="1"/>
  <c r="F123" i="3"/>
  <c r="B123" i="3"/>
  <c r="C122" i="3"/>
  <c r="D122" i="3"/>
  <c r="F114" i="2"/>
  <c r="B114" i="2"/>
  <c r="C113" i="2"/>
  <c r="D113" i="2"/>
  <c r="D198" i="9" l="1"/>
  <c r="C198" i="9"/>
  <c r="E199" i="9"/>
  <c r="B199" i="9"/>
  <c r="D194" i="8"/>
  <c r="C194" i="8"/>
  <c r="E195" i="8"/>
  <c r="B195" i="8"/>
  <c r="D120" i="6"/>
  <c r="C120" i="6"/>
  <c r="F121" i="6"/>
  <c r="B121" i="6"/>
  <c r="C121" i="7"/>
  <c r="D121" i="7"/>
  <c r="F122" i="7"/>
  <c r="B122" i="7"/>
  <c r="D118" i="5"/>
  <c r="C118" i="5"/>
  <c r="E119" i="5"/>
  <c r="B119" i="5"/>
  <c r="B99" i="1"/>
  <c r="C123" i="3"/>
  <c r="D123" i="3"/>
  <c r="F115" i="2"/>
  <c r="B115" i="2"/>
  <c r="F124" i="3"/>
  <c r="B124" i="3"/>
  <c r="D114" i="2"/>
  <c r="C114" i="2"/>
  <c r="D199" i="9" l="1"/>
  <c r="C199" i="9"/>
  <c r="E200" i="9"/>
  <c r="B200" i="9"/>
  <c r="D195" i="8"/>
  <c r="C195" i="8"/>
  <c r="E196" i="8"/>
  <c r="B196" i="8"/>
  <c r="D121" i="6"/>
  <c r="C121" i="6"/>
  <c r="F122" i="6"/>
  <c r="B122" i="6"/>
  <c r="D122" i="7"/>
  <c r="C122" i="7"/>
  <c r="F123" i="7"/>
  <c r="B123" i="7"/>
  <c r="D119" i="5"/>
  <c r="C119" i="5"/>
  <c r="E120" i="5"/>
  <c r="B120" i="5"/>
  <c r="C99" i="1"/>
  <c r="D99" i="1"/>
  <c r="F99" i="1" s="1"/>
  <c r="F116" i="2"/>
  <c r="B116" i="2"/>
  <c r="C115" i="2"/>
  <c r="D115" i="2"/>
  <c r="C124" i="3"/>
  <c r="D124" i="3"/>
  <c r="F125" i="3"/>
  <c r="B125" i="3"/>
  <c r="D200" i="9" l="1"/>
  <c r="C200" i="9"/>
  <c r="E201" i="9"/>
  <c r="B201" i="9"/>
  <c r="D196" i="8"/>
  <c r="C196" i="8"/>
  <c r="E197" i="8"/>
  <c r="B197" i="8"/>
  <c r="C122" i="6"/>
  <c r="D122" i="6"/>
  <c r="F123" i="6"/>
  <c r="B123" i="6"/>
  <c r="D123" i="7"/>
  <c r="C123" i="7"/>
  <c r="F124" i="7"/>
  <c r="B124" i="7"/>
  <c r="D120" i="5"/>
  <c r="C120" i="5"/>
  <c r="E121" i="5"/>
  <c r="B121" i="5"/>
  <c r="B100" i="1"/>
  <c r="D125" i="3"/>
  <c r="C125" i="3"/>
  <c r="C116" i="2"/>
  <c r="D116" i="2"/>
  <c r="F126" i="3"/>
  <c r="B126" i="3"/>
  <c r="F117" i="2"/>
  <c r="B117" i="2"/>
  <c r="C201" i="9" l="1"/>
  <c r="D201" i="9"/>
  <c r="E202" i="9"/>
  <c r="B202" i="9"/>
  <c r="D197" i="8"/>
  <c r="C197" i="8"/>
  <c r="E198" i="8"/>
  <c r="B198" i="8"/>
  <c r="D123" i="6"/>
  <c r="C123" i="6"/>
  <c r="F124" i="6"/>
  <c r="B124" i="6"/>
  <c r="C124" i="7"/>
  <c r="D124" i="7"/>
  <c r="F125" i="7"/>
  <c r="B125" i="7"/>
  <c r="D121" i="5"/>
  <c r="C121" i="5"/>
  <c r="E122" i="5"/>
  <c r="B122" i="5"/>
  <c r="D100" i="1"/>
  <c r="F100" i="1" s="1"/>
  <c r="C100" i="1"/>
  <c r="F127" i="3"/>
  <c r="B127" i="3"/>
  <c r="C126" i="3"/>
  <c r="D126" i="3"/>
  <c r="C117" i="2"/>
  <c r="D117" i="2"/>
  <c r="F118" i="2"/>
  <c r="B118" i="2"/>
  <c r="D202" i="9" l="1"/>
  <c r="C202" i="9"/>
  <c r="E203" i="9"/>
  <c r="B203" i="9"/>
  <c r="D198" i="8"/>
  <c r="C198" i="8"/>
  <c r="E199" i="8"/>
  <c r="B199" i="8"/>
  <c r="D124" i="6"/>
  <c r="C124" i="6"/>
  <c r="F125" i="6"/>
  <c r="B125" i="6"/>
  <c r="D125" i="7"/>
  <c r="C125" i="7"/>
  <c r="F126" i="7"/>
  <c r="B126" i="7"/>
  <c r="D122" i="5"/>
  <c r="C122" i="5"/>
  <c r="E123" i="5"/>
  <c r="B123" i="5"/>
  <c r="B101" i="1"/>
  <c r="F119" i="2"/>
  <c r="B119" i="2"/>
  <c r="D118" i="2"/>
  <c r="C118" i="2"/>
  <c r="D127" i="3"/>
  <c r="C127" i="3"/>
  <c r="F128" i="3"/>
  <c r="B128" i="3"/>
  <c r="D203" i="9" l="1"/>
  <c r="C203" i="9"/>
  <c r="E204" i="9"/>
  <c r="B204" i="9"/>
  <c r="D199" i="8"/>
  <c r="C199" i="8"/>
  <c r="E200" i="8"/>
  <c r="B200" i="8"/>
  <c r="D125" i="6"/>
  <c r="C125" i="6"/>
  <c r="F126" i="6"/>
  <c r="B126" i="6"/>
  <c r="D126" i="7"/>
  <c r="C126" i="7"/>
  <c r="F127" i="7"/>
  <c r="B127" i="7"/>
  <c r="C123" i="5"/>
  <c r="D123" i="5"/>
  <c r="E124" i="5"/>
  <c r="B124" i="5"/>
  <c r="C101" i="1"/>
  <c r="D101" i="1" s="1"/>
  <c r="F101" i="1" s="1"/>
  <c r="C128" i="3"/>
  <c r="D128" i="3"/>
  <c r="F129" i="3"/>
  <c r="B129" i="3"/>
  <c r="C119" i="2"/>
  <c r="D119" i="2"/>
  <c r="F120" i="2"/>
  <c r="B120" i="2"/>
  <c r="D204" i="9" l="1"/>
  <c r="C204" i="9"/>
  <c r="E205" i="9"/>
  <c r="B205" i="9"/>
  <c r="D200" i="8"/>
  <c r="C200" i="8"/>
  <c r="E201" i="8"/>
  <c r="B201" i="8"/>
  <c r="D126" i="6"/>
  <c r="C126" i="6"/>
  <c r="F127" i="6"/>
  <c r="B127" i="6"/>
  <c r="D127" i="7"/>
  <c r="C127" i="7"/>
  <c r="F128" i="7"/>
  <c r="B128" i="7"/>
  <c r="D124" i="5"/>
  <c r="C124" i="5"/>
  <c r="E125" i="5"/>
  <c r="B125" i="5"/>
  <c r="B102" i="1"/>
  <c r="D129" i="3"/>
  <c r="C129" i="3"/>
  <c r="F130" i="3"/>
  <c r="B130" i="3"/>
  <c r="D120" i="2"/>
  <c r="C120" i="2"/>
  <c r="F121" i="2"/>
  <c r="B121" i="2"/>
  <c r="D205" i="9" l="1"/>
  <c r="C205" i="9"/>
  <c r="E206" i="9"/>
  <c r="B206" i="9"/>
  <c r="D201" i="8"/>
  <c r="C201" i="8"/>
  <c r="E202" i="8"/>
  <c r="B202" i="8"/>
  <c r="D127" i="6"/>
  <c r="C127" i="6"/>
  <c r="F128" i="6"/>
  <c r="B128" i="6"/>
  <c r="D128" i="7"/>
  <c r="C128" i="7"/>
  <c r="F129" i="7"/>
  <c r="B129" i="7"/>
  <c r="D125" i="5"/>
  <c r="C125" i="5"/>
  <c r="E126" i="5"/>
  <c r="B126" i="5"/>
  <c r="C102" i="1"/>
  <c r="D102" i="1" s="1"/>
  <c r="F102" i="1" s="1"/>
  <c r="C130" i="3"/>
  <c r="D130" i="3"/>
  <c r="F131" i="3"/>
  <c r="B131" i="3"/>
  <c r="C121" i="2"/>
  <c r="D121" i="2"/>
  <c r="F122" i="2"/>
  <c r="B122" i="2"/>
  <c r="D206" i="9" l="1"/>
  <c r="C206" i="9"/>
  <c r="E207" i="9"/>
  <c r="B207" i="9"/>
  <c r="D202" i="8"/>
  <c r="C202" i="8"/>
  <c r="E203" i="8"/>
  <c r="B203" i="8"/>
  <c r="D128" i="6"/>
  <c r="C128" i="6"/>
  <c r="F129" i="6"/>
  <c r="B129" i="6"/>
  <c r="D129" i="7"/>
  <c r="C129" i="7"/>
  <c r="F130" i="7"/>
  <c r="B130" i="7"/>
  <c r="D126" i="5"/>
  <c r="C126" i="5"/>
  <c r="E127" i="5"/>
  <c r="B127" i="5"/>
  <c r="B103" i="1"/>
  <c r="C131" i="3"/>
  <c r="D131" i="3"/>
  <c r="F132" i="3"/>
  <c r="B132" i="3"/>
  <c r="D122" i="2"/>
  <c r="C122" i="2"/>
  <c r="F123" i="2"/>
  <c r="B123" i="2"/>
  <c r="D207" i="9" l="1"/>
  <c r="C207" i="9"/>
  <c r="E208" i="9"/>
  <c r="B208" i="9"/>
  <c r="D203" i="8"/>
  <c r="C203" i="8"/>
  <c r="E204" i="8"/>
  <c r="B204" i="8"/>
  <c r="D129" i="6"/>
  <c r="C129" i="6"/>
  <c r="F130" i="6"/>
  <c r="B130" i="6"/>
  <c r="D130" i="7"/>
  <c r="C130" i="7"/>
  <c r="F131" i="7"/>
  <c r="B131" i="7"/>
  <c r="C127" i="5"/>
  <c r="D127" i="5"/>
  <c r="E128" i="5"/>
  <c r="B128" i="5"/>
  <c r="C103" i="1"/>
  <c r="D103" i="1"/>
  <c r="F103" i="1" s="1"/>
  <c r="F133" i="3"/>
  <c r="B133" i="3"/>
  <c r="C123" i="2"/>
  <c r="D123" i="2"/>
  <c r="F124" i="2"/>
  <c r="B124" i="2"/>
  <c r="C132" i="3"/>
  <c r="D132" i="3"/>
  <c r="D208" i="9" l="1"/>
  <c r="C208" i="9"/>
  <c r="E209" i="9"/>
  <c r="B209" i="9"/>
  <c r="D204" i="8"/>
  <c r="C204" i="8"/>
  <c r="E205" i="8"/>
  <c r="B205" i="8"/>
  <c r="D130" i="6"/>
  <c r="C130" i="6"/>
  <c r="F131" i="6"/>
  <c r="B131" i="6"/>
  <c r="D131" i="7"/>
  <c r="C131" i="7"/>
  <c r="F132" i="7"/>
  <c r="B132" i="7"/>
  <c r="E129" i="5"/>
  <c r="B129" i="5"/>
  <c r="D128" i="5"/>
  <c r="C128" i="5"/>
  <c r="B104" i="1"/>
  <c r="D124" i="2"/>
  <c r="C124" i="2"/>
  <c r="F125" i="2"/>
  <c r="B125" i="2"/>
  <c r="D133" i="3"/>
  <c r="C133" i="3"/>
  <c r="F134" i="3"/>
  <c r="B134" i="3"/>
  <c r="E210" i="9" l="1"/>
  <c r="B210" i="9"/>
  <c r="D209" i="9"/>
  <c r="C209" i="9"/>
  <c r="D205" i="8"/>
  <c r="C205" i="8"/>
  <c r="E206" i="8"/>
  <c r="B206" i="8"/>
  <c r="D131" i="6"/>
  <c r="C131" i="6"/>
  <c r="F132" i="6"/>
  <c r="B132" i="6"/>
  <c r="D132" i="7"/>
  <c r="C132" i="7"/>
  <c r="F133" i="7"/>
  <c r="B133" i="7"/>
  <c r="D129" i="5"/>
  <c r="C129" i="5"/>
  <c r="E130" i="5"/>
  <c r="B130" i="5"/>
  <c r="C104" i="1"/>
  <c r="D104" i="1"/>
  <c r="F104" i="1" s="1"/>
  <c r="C134" i="3"/>
  <c r="D134" i="3"/>
  <c r="F135" i="3"/>
  <c r="B135" i="3"/>
  <c r="F126" i="2"/>
  <c r="B126" i="2"/>
  <c r="C125" i="2"/>
  <c r="D125" i="2"/>
  <c r="D210" i="9" l="1"/>
  <c r="C210" i="9"/>
  <c r="E211" i="9"/>
  <c r="B211" i="9"/>
  <c r="D206" i="8"/>
  <c r="C206" i="8"/>
  <c r="E207" i="8"/>
  <c r="B207" i="8"/>
  <c r="D132" i="6"/>
  <c r="C132" i="6"/>
  <c r="F133" i="6"/>
  <c r="B133" i="6"/>
  <c r="D133" i="7"/>
  <c r="C133" i="7"/>
  <c r="F134" i="7"/>
  <c r="B134" i="7"/>
  <c r="E131" i="5"/>
  <c r="B131" i="5"/>
  <c r="D130" i="5"/>
  <c r="C130" i="5"/>
  <c r="B105" i="1"/>
  <c r="D135" i="3"/>
  <c r="C135" i="3"/>
  <c r="F136" i="3"/>
  <c r="B136" i="3"/>
  <c r="F127" i="2"/>
  <c r="B127" i="2"/>
  <c r="D126" i="2"/>
  <c r="C126" i="2"/>
  <c r="E212" i="9" l="1"/>
  <c r="B212" i="9"/>
  <c r="C211" i="9"/>
  <c r="D211" i="9"/>
  <c r="D207" i="8"/>
  <c r="C207" i="8"/>
  <c r="E208" i="8"/>
  <c r="B208" i="8"/>
  <c r="D133" i="6"/>
  <c r="C133" i="6"/>
  <c r="F134" i="6"/>
  <c r="B134" i="6"/>
  <c r="D134" i="7"/>
  <c r="C134" i="7"/>
  <c r="F135" i="7"/>
  <c r="B135" i="7"/>
  <c r="D131" i="5"/>
  <c r="C131" i="5"/>
  <c r="E132" i="5"/>
  <c r="B132" i="5"/>
  <c r="C105" i="1"/>
  <c r="D105" i="1" s="1"/>
  <c r="F105" i="1" s="1"/>
  <c r="C127" i="2"/>
  <c r="D127" i="2"/>
  <c r="F128" i="2"/>
  <c r="B128" i="2"/>
  <c r="C136" i="3"/>
  <c r="D136" i="3"/>
  <c r="F137" i="3"/>
  <c r="B137" i="3"/>
  <c r="D212" i="9" l="1"/>
  <c r="C212" i="9"/>
  <c r="E213" i="9"/>
  <c r="B213" i="9"/>
  <c r="D208" i="8"/>
  <c r="C208" i="8"/>
  <c r="E209" i="8"/>
  <c r="B209" i="8"/>
  <c r="D134" i="6"/>
  <c r="C134" i="6"/>
  <c r="F135" i="6"/>
  <c r="B135" i="6"/>
  <c r="D135" i="7"/>
  <c r="C135" i="7"/>
  <c r="F136" i="7"/>
  <c r="B136" i="7"/>
  <c r="D132" i="5"/>
  <c r="C132" i="5"/>
  <c r="E133" i="5"/>
  <c r="B133" i="5"/>
  <c r="B106" i="1"/>
  <c r="D137" i="3"/>
  <c r="C137" i="3"/>
  <c r="D128" i="2"/>
  <c r="C128" i="2"/>
  <c r="F129" i="2"/>
  <c r="B129" i="2"/>
  <c r="F138" i="3"/>
  <c r="B138" i="3"/>
  <c r="D213" i="9" l="1"/>
  <c r="C213" i="9"/>
  <c r="E214" i="9"/>
  <c r="B214" i="9"/>
  <c r="D209" i="8"/>
  <c r="C209" i="8"/>
  <c r="E210" i="8"/>
  <c r="B210" i="8"/>
  <c r="D135" i="6"/>
  <c r="C135" i="6"/>
  <c r="F136" i="6"/>
  <c r="B136" i="6"/>
  <c r="D136" i="7"/>
  <c r="C136" i="7"/>
  <c r="F137" i="7"/>
  <c r="B137" i="7"/>
  <c r="D133" i="5"/>
  <c r="C133" i="5"/>
  <c r="E134" i="5"/>
  <c r="B134" i="5"/>
  <c r="C106" i="1"/>
  <c r="D106" i="1" s="1"/>
  <c r="F106" i="1" s="1"/>
  <c r="C138" i="3"/>
  <c r="D138" i="3"/>
  <c r="F139" i="3"/>
  <c r="B139" i="3"/>
  <c r="F130" i="2"/>
  <c r="B130" i="2"/>
  <c r="C129" i="2"/>
  <c r="D129" i="2"/>
  <c r="D214" i="9" l="1"/>
  <c r="C214" i="9"/>
  <c r="E215" i="9"/>
  <c r="B215" i="9"/>
  <c r="D210" i="8"/>
  <c r="C210" i="8"/>
  <c r="E211" i="8"/>
  <c r="B211" i="8"/>
  <c r="D136" i="6"/>
  <c r="C136" i="6"/>
  <c r="F137" i="6"/>
  <c r="B137" i="6"/>
  <c r="D137" i="7"/>
  <c r="C137" i="7"/>
  <c r="F138" i="7"/>
  <c r="B138" i="7"/>
  <c r="D134" i="5"/>
  <c r="C134" i="5"/>
  <c r="E135" i="5"/>
  <c r="B135" i="5"/>
  <c r="B107" i="1"/>
  <c r="C139" i="3"/>
  <c r="D139" i="3"/>
  <c r="F140" i="3"/>
  <c r="B140" i="3"/>
  <c r="D130" i="2"/>
  <c r="C130" i="2"/>
  <c r="F131" i="2"/>
  <c r="B131" i="2"/>
  <c r="D215" i="9" l="1"/>
  <c r="C215" i="9"/>
  <c r="E216" i="9"/>
  <c r="B216" i="9"/>
  <c r="D211" i="8"/>
  <c r="C211" i="8"/>
  <c r="E212" i="8"/>
  <c r="B212" i="8"/>
  <c r="D137" i="6"/>
  <c r="C137" i="6"/>
  <c r="F138" i="6"/>
  <c r="B138" i="6"/>
  <c r="D138" i="7"/>
  <c r="C138" i="7"/>
  <c r="F139" i="7"/>
  <c r="B139" i="7"/>
  <c r="D135" i="5"/>
  <c r="C135" i="5"/>
  <c r="E136" i="5"/>
  <c r="B136" i="5"/>
  <c r="C107" i="1"/>
  <c r="D107" i="1" s="1"/>
  <c r="F107" i="1" s="1"/>
  <c r="C131" i="2"/>
  <c r="D131" i="2"/>
  <c r="C140" i="3"/>
  <c r="D140" i="3"/>
  <c r="F132" i="2"/>
  <c r="B132" i="2"/>
  <c r="F141" i="3"/>
  <c r="B141" i="3"/>
  <c r="D216" i="9" l="1"/>
  <c r="C216" i="9"/>
  <c r="E217" i="9"/>
  <c r="B217" i="9"/>
  <c r="D212" i="8"/>
  <c r="C212" i="8"/>
  <c r="E213" i="8"/>
  <c r="B213" i="8"/>
  <c r="D138" i="6"/>
  <c r="C138" i="6"/>
  <c r="F139" i="6"/>
  <c r="B139" i="6"/>
  <c r="C139" i="7"/>
  <c r="D139" i="7"/>
  <c r="F140" i="7"/>
  <c r="B140" i="7"/>
  <c r="D136" i="5"/>
  <c r="C136" i="5"/>
  <c r="E137" i="5"/>
  <c r="B137" i="5"/>
  <c r="B108" i="1"/>
  <c r="F142" i="3"/>
  <c r="B142" i="3"/>
  <c r="D141" i="3"/>
  <c r="C141" i="3"/>
  <c r="C132" i="2"/>
  <c r="D132" i="2"/>
  <c r="F133" i="2"/>
  <c r="B133" i="2"/>
  <c r="D217" i="9" l="1"/>
  <c r="C217" i="9"/>
  <c r="E218" i="9"/>
  <c r="B218" i="9"/>
  <c r="D213" i="8"/>
  <c r="C213" i="8"/>
  <c r="E214" i="8"/>
  <c r="B214" i="8"/>
  <c r="D139" i="6"/>
  <c r="C139" i="6"/>
  <c r="F140" i="6"/>
  <c r="B140" i="6"/>
  <c r="D140" i="7"/>
  <c r="C140" i="7"/>
  <c r="F141" i="7"/>
  <c r="B141" i="7"/>
  <c r="C137" i="5"/>
  <c r="D137" i="5"/>
  <c r="E138" i="5"/>
  <c r="B138" i="5"/>
  <c r="C108" i="1"/>
  <c r="D108" i="1" s="1"/>
  <c r="F108" i="1" s="1"/>
  <c r="C133" i="2"/>
  <c r="D133" i="2"/>
  <c r="F134" i="2"/>
  <c r="B134" i="2"/>
  <c r="C142" i="3"/>
  <c r="D142" i="3"/>
  <c r="F143" i="3"/>
  <c r="B143" i="3"/>
  <c r="D218" i="9" l="1"/>
  <c r="C218" i="9"/>
  <c r="E219" i="9"/>
  <c r="B219" i="9"/>
  <c r="D214" i="8"/>
  <c r="C214" i="8"/>
  <c r="E215" i="8"/>
  <c r="B215" i="8"/>
  <c r="D140" i="6"/>
  <c r="C140" i="6"/>
  <c r="F141" i="6"/>
  <c r="B141" i="6"/>
  <c r="C141" i="7"/>
  <c r="D141" i="7"/>
  <c r="F142" i="7"/>
  <c r="B142" i="7"/>
  <c r="D138" i="5"/>
  <c r="C138" i="5"/>
  <c r="E139" i="5"/>
  <c r="B139" i="5"/>
  <c r="B109" i="1"/>
  <c r="F144" i="3"/>
  <c r="B144" i="3"/>
  <c r="F135" i="2"/>
  <c r="B135" i="2"/>
  <c r="D143" i="3"/>
  <c r="C143" i="3"/>
  <c r="D134" i="2"/>
  <c r="C134" i="2"/>
  <c r="D219" i="9" l="1"/>
  <c r="C219" i="9"/>
  <c r="E220" i="9"/>
  <c r="B220" i="9"/>
  <c r="D215" i="8"/>
  <c r="C215" i="8"/>
  <c r="E216" i="8"/>
  <c r="B216" i="8"/>
  <c r="D141" i="6"/>
  <c r="C141" i="6"/>
  <c r="F142" i="6"/>
  <c r="B142" i="6"/>
  <c r="D142" i="7"/>
  <c r="C142" i="7"/>
  <c r="F143" i="7"/>
  <c r="B143" i="7"/>
  <c r="C139" i="5"/>
  <c r="D139" i="5"/>
  <c r="E140" i="5"/>
  <c r="B140" i="5"/>
  <c r="C109" i="1"/>
  <c r="D109" i="1" s="1"/>
  <c r="F109" i="1" s="1"/>
  <c r="F136" i="2"/>
  <c r="B136" i="2"/>
  <c r="C144" i="3"/>
  <c r="D144" i="3"/>
  <c r="C135" i="2"/>
  <c r="D135" i="2"/>
  <c r="F145" i="3"/>
  <c r="B145" i="3"/>
  <c r="D220" i="9" l="1"/>
  <c r="C220" i="9"/>
  <c r="E221" i="9"/>
  <c r="B221" i="9"/>
  <c r="D216" i="8"/>
  <c r="C216" i="8"/>
  <c r="E217" i="8"/>
  <c r="B217" i="8"/>
  <c r="D142" i="6"/>
  <c r="C142" i="6"/>
  <c r="F143" i="6"/>
  <c r="B143" i="6"/>
  <c r="D143" i="7"/>
  <c r="C143" i="7"/>
  <c r="F144" i="7"/>
  <c r="B144" i="7"/>
  <c r="D140" i="5"/>
  <c r="C140" i="5"/>
  <c r="E141" i="5"/>
  <c r="B141" i="5"/>
  <c r="B110" i="1"/>
  <c r="F146" i="3"/>
  <c r="B146" i="3"/>
  <c r="D136" i="2"/>
  <c r="C136" i="2"/>
  <c r="F137" i="2"/>
  <c r="B137" i="2"/>
  <c r="D145" i="3"/>
  <c r="C145" i="3"/>
  <c r="D221" i="9" l="1"/>
  <c r="C221" i="9"/>
  <c r="E222" i="9"/>
  <c r="B222" i="9"/>
  <c r="D217" i="8"/>
  <c r="C217" i="8"/>
  <c r="E218" i="8"/>
  <c r="B218" i="8"/>
  <c r="C143" i="6"/>
  <c r="D143" i="6"/>
  <c r="F144" i="6"/>
  <c r="B144" i="6"/>
  <c r="D144" i="7"/>
  <c r="C144" i="7"/>
  <c r="F145" i="7"/>
  <c r="B145" i="7"/>
  <c r="D141" i="5"/>
  <c r="C141" i="5"/>
  <c r="E142" i="5"/>
  <c r="B142" i="5"/>
  <c r="C110" i="1"/>
  <c r="D110" i="1" s="1"/>
  <c r="F110" i="1" s="1"/>
  <c r="C137" i="2"/>
  <c r="D137" i="2"/>
  <c r="F138" i="2"/>
  <c r="B138" i="2"/>
  <c r="C146" i="3"/>
  <c r="D146" i="3"/>
  <c r="F147" i="3"/>
  <c r="B147" i="3"/>
  <c r="D222" i="9" l="1"/>
  <c r="C222" i="9"/>
  <c r="E223" i="9"/>
  <c r="B223" i="9"/>
  <c r="D218" i="8"/>
  <c r="C218" i="8"/>
  <c r="E219" i="8"/>
  <c r="B219" i="8"/>
  <c r="D144" i="6"/>
  <c r="C144" i="6"/>
  <c r="F145" i="6"/>
  <c r="B145" i="6"/>
  <c r="D145" i="7"/>
  <c r="C145" i="7"/>
  <c r="F146" i="7"/>
  <c r="B146" i="7"/>
  <c r="D142" i="5"/>
  <c r="C142" i="5"/>
  <c r="E143" i="5"/>
  <c r="B143" i="5"/>
  <c r="B111" i="1"/>
  <c r="C147" i="3"/>
  <c r="D147" i="3"/>
  <c r="D138" i="2"/>
  <c r="C138" i="2"/>
  <c r="F148" i="3"/>
  <c r="B148" i="3"/>
  <c r="F139" i="2"/>
  <c r="B139" i="2"/>
  <c r="D223" i="9" l="1"/>
  <c r="C223" i="9"/>
  <c r="E224" i="9"/>
  <c r="B224" i="9"/>
  <c r="D219" i="8"/>
  <c r="C219" i="8"/>
  <c r="E220" i="8"/>
  <c r="B220" i="8"/>
  <c r="D145" i="6"/>
  <c r="C145" i="6"/>
  <c r="F146" i="6"/>
  <c r="B146" i="6"/>
  <c r="D146" i="7"/>
  <c r="C146" i="7"/>
  <c r="F147" i="7"/>
  <c r="B147" i="7"/>
  <c r="D143" i="5"/>
  <c r="C143" i="5"/>
  <c r="E144" i="5"/>
  <c r="B144" i="5"/>
  <c r="C111" i="1"/>
  <c r="D111" i="1" s="1"/>
  <c r="F111" i="1" s="1"/>
  <c r="C139" i="2"/>
  <c r="D139" i="2"/>
  <c r="F140" i="2"/>
  <c r="B140" i="2"/>
  <c r="C148" i="3"/>
  <c r="D148" i="3"/>
  <c r="F149" i="3"/>
  <c r="B149" i="3"/>
  <c r="D224" i="9" l="1"/>
  <c r="C224" i="9"/>
  <c r="E225" i="9"/>
  <c r="B225" i="9"/>
  <c r="D220" i="8"/>
  <c r="C220" i="8"/>
  <c r="E221" i="8"/>
  <c r="B221" i="8"/>
  <c r="D146" i="6"/>
  <c r="C146" i="6"/>
  <c r="F147" i="6"/>
  <c r="B147" i="6"/>
  <c r="C147" i="7"/>
  <c r="D147" i="7"/>
  <c r="F148" i="7"/>
  <c r="B148" i="7"/>
  <c r="D144" i="5"/>
  <c r="C144" i="5"/>
  <c r="E145" i="5"/>
  <c r="B145" i="5"/>
  <c r="B112" i="1"/>
  <c r="D149" i="3"/>
  <c r="C149" i="3"/>
  <c r="F150" i="3"/>
  <c r="B150" i="3"/>
  <c r="D140" i="2"/>
  <c r="C140" i="2"/>
  <c r="F141" i="2"/>
  <c r="B141" i="2"/>
  <c r="D225" i="9" l="1"/>
  <c r="C225" i="9"/>
  <c r="E226" i="9"/>
  <c r="B226" i="9"/>
  <c r="D221" i="8"/>
  <c r="C221" i="8"/>
  <c r="E222" i="8"/>
  <c r="B222" i="8"/>
  <c r="D147" i="6"/>
  <c r="C147" i="6"/>
  <c r="F148" i="6"/>
  <c r="B148" i="6"/>
  <c r="D148" i="7"/>
  <c r="C148" i="7"/>
  <c r="F149" i="7"/>
  <c r="B149" i="7"/>
  <c r="D145" i="5"/>
  <c r="C145" i="5"/>
  <c r="E146" i="5"/>
  <c r="B146" i="5"/>
  <c r="C112" i="1"/>
  <c r="D112" i="1"/>
  <c r="F112" i="1" s="1"/>
  <c r="C141" i="2"/>
  <c r="D141" i="2"/>
  <c r="C150" i="3"/>
  <c r="D150" i="3"/>
  <c r="F151" i="3"/>
  <c r="B151" i="3"/>
  <c r="F142" i="2"/>
  <c r="B142" i="2"/>
  <c r="D226" i="9" l="1"/>
  <c r="C226" i="9"/>
  <c r="E227" i="9"/>
  <c r="B227" i="9"/>
  <c r="D222" i="8"/>
  <c r="C222" i="8"/>
  <c r="E223" i="8"/>
  <c r="B223" i="8"/>
  <c r="D148" i="6"/>
  <c r="C148" i="6"/>
  <c r="F149" i="6"/>
  <c r="B149" i="6"/>
  <c r="C149" i="7"/>
  <c r="D149" i="7"/>
  <c r="F150" i="7"/>
  <c r="B150" i="7"/>
  <c r="D146" i="5"/>
  <c r="C146" i="5"/>
  <c r="E147" i="5"/>
  <c r="B147" i="5"/>
  <c r="B113" i="1"/>
  <c r="C142" i="2"/>
  <c r="D142" i="2"/>
  <c r="F143" i="2"/>
  <c r="B143" i="2"/>
  <c r="D151" i="3"/>
  <c r="C151" i="3"/>
  <c r="F152" i="3"/>
  <c r="B152" i="3"/>
  <c r="D227" i="9" l="1"/>
  <c r="C227" i="9"/>
  <c r="E228" i="9"/>
  <c r="B228" i="9"/>
  <c r="D223" i="8"/>
  <c r="C223" i="8"/>
  <c r="E224" i="8"/>
  <c r="B224" i="8"/>
  <c r="D149" i="6"/>
  <c r="C149" i="6"/>
  <c r="F150" i="6"/>
  <c r="B150" i="6"/>
  <c r="D150" i="7"/>
  <c r="C150" i="7"/>
  <c r="F151" i="7"/>
  <c r="B151" i="7"/>
  <c r="C147" i="5"/>
  <c r="D147" i="5"/>
  <c r="E148" i="5"/>
  <c r="B148" i="5"/>
  <c r="C113" i="1"/>
  <c r="D113" i="1" s="1"/>
  <c r="F113" i="1" s="1"/>
  <c r="C152" i="3"/>
  <c r="D152" i="3"/>
  <c r="F153" i="3"/>
  <c r="B153" i="3"/>
  <c r="C143" i="2"/>
  <c r="D143" i="2"/>
  <c r="F144" i="2"/>
  <c r="B144" i="2"/>
  <c r="D228" i="9" l="1"/>
  <c r="C228" i="9"/>
  <c r="E229" i="9"/>
  <c r="B229" i="9"/>
  <c r="D224" i="8"/>
  <c r="C224" i="8"/>
  <c r="E225" i="8"/>
  <c r="B225" i="8"/>
  <c r="D150" i="6"/>
  <c r="C150" i="6"/>
  <c r="F151" i="6"/>
  <c r="B151" i="6"/>
  <c r="D151" i="7"/>
  <c r="C151" i="7"/>
  <c r="F152" i="7"/>
  <c r="B152" i="7"/>
  <c r="D148" i="5"/>
  <c r="C148" i="5"/>
  <c r="E149" i="5"/>
  <c r="B149" i="5"/>
  <c r="B114" i="1"/>
  <c r="F145" i="2"/>
  <c r="B145" i="2"/>
  <c r="F154" i="3"/>
  <c r="B154" i="3"/>
  <c r="D153" i="3"/>
  <c r="C153" i="3"/>
  <c r="C144" i="2"/>
  <c r="D144" i="2"/>
  <c r="C229" i="9" l="1"/>
  <c r="D229" i="9"/>
  <c r="E230" i="9"/>
  <c r="B230" i="9"/>
  <c r="D225" i="8"/>
  <c r="C225" i="8"/>
  <c r="E226" i="8"/>
  <c r="B226" i="8"/>
  <c r="D151" i="6"/>
  <c r="C151" i="6"/>
  <c r="F152" i="6"/>
  <c r="B152" i="6"/>
  <c r="D152" i="7"/>
  <c r="C152" i="7"/>
  <c r="F153" i="7"/>
  <c r="B153" i="7"/>
  <c r="D149" i="5"/>
  <c r="C149" i="5"/>
  <c r="E150" i="5"/>
  <c r="B150" i="5"/>
  <c r="C114" i="1"/>
  <c r="D114" i="1"/>
  <c r="F114" i="1" s="1"/>
  <c r="C154" i="3"/>
  <c r="D154" i="3"/>
  <c r="F155" i="3"/>
  <c r="B155" i="3"/>
  <c r="C145" i="2"/>
  <c r="D145" i="2"/>
  <c r="F146" i="2"/>
  <c r="B146" i="2"/>
  <c r="D230" i="9" l="1"/>
  <c r="C230" i="9"/>
  <c r="E231" i="9"/>
  <c r="B231" i="9"/>
  <c r="D226" i="8"/>
  <c r="C226" i="8"/>
  <c r="E227" i="8"/>
  <c r="B227" i="8"/>
  <c r="D152" i="6"/>
  <c r="C152" i="6"/>
  <c r="F153" i="6"/>
  <c r="B153" i="6"/>
  <c r="C153" i="7"/>
  <c r="D153" i="7"/>
  <c r="F154" i="7"/>
  <c r="B154" i="7"/>
  <c r="D150" i="5"/>
  <c r="C150" i="5"/>
  <c r="E151" i="5"/>
  <c r="B151" i="5"/>
  <c r="B115" i="1"/>
  <c r="F156" i="3"/>
  <c r="B156" i="3"/>
  <c r="F147" i="2"/>
  <c r="B147" i="2"/>
  <c r="C146" i="2"/>
  <c r="D146" i="2"/>
  <c r="C155" i="3"/>
  <c r="D155" i="3"/>
  <c r="D231" i="9" l="1"/>
  <c r="C231" i="9"/>
  <c r="E232" i="9"/>
  <c r="B232" i="9"/>
  <c r="D227" i="8"/>
  <c r="C227" i="8"/>
  <c r="E228" i="8"/>
  <c r="B228" i="8"/>
  <c r="D153" i="6"/>
  <c r="C153" i="6"/>
  <c r="F154" i="6"/>
  <c r="B154" i="6"/>
  <c r="D154" i="7"/>
  <c r="C154" i="7"/>
  <c r="F155" i="7"/>
  <c r="B155" i="7"/>
  <c r="D151" i="5"/>
  <c r="C151" i="5"/>
  <c r="E152" i="5"/>
  <c r="B152" i="5"/>
  <c r="C115" i="1"/>
  <c r="D115" i="1" s="1"/>
  <c r="F115" i="1" s="1"/>
  <c r="C147" i="2"/>
  <c r="D147" i="2"/>
  <c r="F148" i="2"/>
  <c r="B148" i="2"/>
  <c r="C156" i="3"/>
  <c r="D156" i="3"/>
  <c r="F157" i="3"/>
  <c r="B157" i="3"/>
  <c r="D232" i="9" l="1"/>
  <c r="C232" i="9"/>
  <c r="E233" i="9"/>
  <c r="B233" i="9"/>
  <c r="D228" i="8"/>
  <c r="C228" i="8"/>
  <c r="E229" i="8"/>
  <c r="B229" i="8"/>
  <c r="C154" i="6"/>
  <c r="D154" i="6"/>
  <c r="F155" i="6"/>
  <c r="B155" i="6"/>
  <c r="C155" i="7"/>
  <c r="D155" i="7"/>
  <c r="F156" i="7"/>
  <c r="B156" i="7"/>
  <c r="D152" i="5"/>
  <c r="C152" i="5"/>
  <c r="E153" i="5"/>
  <c r="B153" i="5"/>
  <c r="B116" i="1"/>
  <c r="D157" i="3"/>
  <c r="C157" i="3"/>
  <c r="F158" i="3"/>
  <c r="B158" i="3"/>
  <c r="C148" i="2"/>
  <c r="D148" i="2"/>
  <c r="F149" i="2"/>
  <c r="B149" i="2"/>
  <c r="D233" i="9" l="1"/>
  <c r="C233" i="9"/>
  <c r="E234" i="9"/>
  <c r="B234" i="9"/>
  <c r="D229" i="8"/>
  <c r="C229" i="8"/>
  <c r="E230" i="8"/>
  <c r="B230" i="8"/>
  <c r="D155" i="6"/>
  <c r="C155" i="6"/>
  <c r="F156" i="6"/>
  <c r="B156" i="6"/>
  <c r="D156" i="7"/>
  <c r="C156" i="7"/>
  <c r="F157" i="7"/>
  <c r="B157" i="7"/>
  <c r="D153" i="5"/>
  <c r="C153" i="5"/>
  <c r="E154" i="5"/>
  <c r="B154" i="5"/>
  <c r="C116" i="1"/>
  <c r="D116" i="1" s="1"/>
  <c r="F116" i="1" s="1"/>
  <c r="F159" i="3"/>
  <c r="B159" i="3"/>
  <c r="F150" i="2"/>
  <c r="B150" i="2"/>
  <c r="C158" i="3"/>
  <c r="D158" i="3"/>
  <c r="C149" i="2"/>
  <c r="D149" i="2"/>
  <c r="D234" i="9" l="1"/>
  <c r="C234" i="9"/>
  <c r="E235" i="9"/>
  <c r="B235" i="9"/>
  <c r="D230" i="8"/>
  <c r="C230" i="8"/>
  <c r="E231" i="8"/>
  <c r="B231" i="8"/>
  <c r="D156" i="6"/>
  <c r="C156" i="6"/>
  <c r="F157" i="6"/>
  <c r="B157" i="6"/>
  <c r="D157" i="7"/>
  <c r="C157" i="7"/>
  <c r="F158" i="7"/>
  <c r="B158" i="7"/>
  <c r="D154" i="5"/>
  <c r="C154" i="5"/>
  <c r="E155" i="5"/>
  <c r="B155" i="5"/>
  <c r="B117" i="1"/>
  <c r="C150" i="2"/>
  <c r="D150" i="2"/>
  <c r="F151" i="2"/>
  <c r="B151" i="2"/>
  <c r="F160" i="3"/>
  <c r="B160" i="3"/>
  <c r="D159" i="3"/>
  <c r="C159" i="3"/>
  <c r="D235" i="9" l="1"/>
  <c r="C235" i="9"/>
  <c r="E236" i="9"/>
  <c r="B236" i="9"/>
  <c r="D231" i="8"/>
  <c r="C231" i="8"/>
  <c r="E232" i="8"/>
  <c r="B232" i="8"/>
  <c r="D157" i="6"/>
  <c r="C157" i="6"/>
  <c r="F158" i="6"/>
  <c r="B158" i="6"/>
  <c r="D158" i="7"/>
  <c r="C158" i="7"/>
  <c r="F159" i="7"/>
  <c r="B159" i="7"/>
  <c r="C155" i="5"/>
  <c r="D155" i="5"/>
  <c r="E156" i="5"/>
  <c r="B156" i="5"/>
  <c r="C117" i="1"/>
  <c r="D117" i="1"/>
  <c r="F117" i="1" s="1"/>
  <c r="C160" i="3"/>
  <c r="D160" i="3"/>
  <c r="F161" i="3"/>
  <c r="B161" i="3"/>
  <c r="C151" i="2"/>
  <c r="D151" i="2"/>
  <c r="F152" i="2"/>
  <c r="B152" i="2"/>
  <c r="D236" i="9" l="1"/>
  <c r="C236" i="9"/>
  <c r="E237" i="9"/>
  <c r="B237" i="9"/>
  <c r="D232" i="8"/>
  <c r="C232" i="8"/>
  <c r="E233" i="8"/>
  <c r="B233" i="8"/>
  <c r="D158" i="6"/>
  <c r="C158" i="6"/>
  <c r="F159" i="6"/>
  <c r="B159" i="6"/>
  <c r="D159" i="7"/>
  <c r="C159" i="7"/>
  <c r="F160" i="7"/>
  <c r="B160" i="7"/>
  <c r="D156" i="5"/>
  <c r="C156" i="5"/>
  <c r="E157" i="5"/>
  <c r="B157" i="5"/>
  <c r="B118" i="1"/>
  <c r="C152" i="2"/>
  <c r="D152" i="2"/>
  <c r="F153" i="2"/>
  <c r="B153" i="2"/>
  <c r="D161" i="3"/>
  <c r="C161" i="3"/>
  <c r="F162" i="3"/>
  <c r="B162" i="3"/>
  <c r="D237" i="9" l="1"/>
  <c r="C237" i="9"/>
  <c r="E238" i="9"/>
  <c r="B238" i="9"/>
  <c r="D233" i="8"/>
  <c r="C233" i="8"/>
  <c r="E234" i="8"/>
  <c r="B234" i="8"/>
  <c r="D159" i="6"/>
  <c r="C159" i="6"/>
  <c r="F160" i="6"/>
  <c r="B160" i="6"/>
  <c r="D160" i="7"/>
  <c r="C160" i="7"/>
  <c r="F161" i="7"/>
  <c r="B161" i="7"/>
  <c r="D157" i="5"/>
  <c r="C157" i="5"/>
  <c r="E158" i="5"/>
  <c r="B158" i="5"/>
  <c r="C118" i="1"/>
  <c r="D118" i="1"/>
  <c r="F118" i="1" s="1"/>
  <c r="C162" i="3"/>
  <c r="D162" i="3"/>
  <c r="F163" i="3"/>
  <c r="B163" i="3"/>
  <c r="C153" i="2"/>
  <c r="D153" i="2"/>
  <c r="F154" i="2"/>
  <c r="B154" i="2"/>
  <c r="D238" i="9" l="1"/>
  <c r="C238" i="9"/>
  <c r="E239" i="9"/>
  <c r="B239" i="9"/>
  <c r="D234" i="8"/>
  <c r="C234" i="8"/>
  <c r="E235" i="8"/>
  <c r="B235" i="8"/>
  <c r="D160" i="6"/>
  <c r="C160" i="6"/>
  <c r="F161" i="6"/>
  <c r="B161" i="6"/>
  <c r="D161" i="7"/>
  <c r="C161" i="7"/>
  <c r="F162" i="7"/>
  <c r="B162" i="7"/>
  <c r="D158" i="5"/>
  <c r="C158" i="5"/>
  <c r="E159" i="5"/>
  <c r="B159" i="5"/>
  <c r="B119" i="1"/>
  <c r="F164" i="3"/>
  <c r="B164" i="3"/>
  <c r="C154" i="2"/>
  <c r="D154" i="2"/>
  <c r="C163" i="3"/>
  <c r="D163" i="3"/>
  <c r="F155" i="2"/>
  <c r="B155" i="2"/>
  <c r="D239" i="9" l="1"/>
  <c r="C239" i="9"/>
  <c r="E240" i="9"/>
  <c r="B240" i="9"/>
  <c r="D235" i="8"/>
  <c r="C235" i="8"/>
  <c r="E236" i="8"/>
  <c r="B236" i="8"/>
  <c r="D161" i="6"/>
  <c r="C161" i="6"/>
  <c r="F162" i="6"/>
  <c r="B162" i="6"/>
  <c r="D162" i="7"/>
  <c r="C162" i="7"/>
  <c r="F163" i="7"/>
  <c r="B163" i="7"/>
  <c r="D159" i="5"/>
  <c r="C159" i="5"/>
  <c r="E160" i="5"/>
  <c r="B160" i="5"/>
  <c r="C119" i="1"/>
  <c r="D119" i="1" s="1"/>
  <c r="F119" i="1" s="1"/>
  <c r="F165" i="3"/>
  <c r="B165" i="3"/>
  <c r="F156" i="2"/>
  <c r="B156" i="2"/>
  <c r="C155" i="2"/>
  <c r="D155" i="2"/>
  <c r="C164" i="3"/>
  <c r="D164" i="3"/>
  <c r="D240" i="9" l="1"/>
  <c r="C240" i="9"/>
  <c r="E241" i="9"/>
  <c r="B241" i="9"/>
  <c r="D236" i="8"/>
  <c r="C236" i="8"/>
  <c r="E237" i="8"/>
  <c r="B237" i="8"/>
  <c r="D162" i="6"/>
  <c r="C162" i="6"/>
  <c r="F163" i="6"/>
  <c r="B163" i="6"/>
  <c r="D163" i="7"/>
  <c r="C163" i="7"/>
  <c r="F164" i="7"/>
  <c r="B164" i="7"/>
  <c r="D160" i="5"/>
  <c r="C160" i="5"/>
  <c r="E161" i="5"/>
  <c r="B161" i="5"/>
  <c r="B120" i="1"/>
  <c r="D165" i="3"/>
  <c r="C165" i="3"/>
  <c r="F166" i="3"/>
  <c r="B166" i="3"/>
  <c r="C156" i="2"/>
  <c r="D156" i="2"/>
  <c r="F157" i="2"/>
  <c r="B157" i="2"/>
  <c r="D241" i="9" l="1"/>
  <c r="C241" i="9"/>
  <c r="E242" i="9"/>
  <c r="B242" i="9"/>
  <c r="D237" i="8"/>
  <c r="C237" i="8"/>
  <c r="E238" i="8"/>
  <c r="B238" i="8"/>
  <c r="D163" i="6"/>
  <c r="C163" i="6"/>
  <c r="F164" i="6"/>
  <c r="B164" i="6"/>
  <c r="D164" i="7"/>
  <c r="C164" i="7"/>
  <c r="F165" i="7"/>
  <c r="B165" i="7"/>
  <c r="D161" i="5"/>
  <c r="C161" i="5"/>
  <c r="E162" i="5"/>
  <c r="B162" i="5"/>
  <c r="C120" i="1"/>
  <c r="D120" i="1" s="1"/>
  <c r="F120" i="1" s="1"/>
  <c r="F158" i="2"/>
  <c r="B158" i="2"/>
  <c r="F167" i="3"/>
  <c r="B167" i="3"/>
  <c r="C157" i="2"/>
  <c r="D157" i="2"/>
  <c r="C166" i="3"/>
  <c r="D166" i="3"/>
  <c r="D242" i="9" l="1"/>
  <c r="C242" i="9"/>
  <c r="E243" i="9"/>
  <c r="B243" i="9"/>
  <c r="D238" i="8"/>
  <c r="C238" i="8"/>
  <c r="E239" i="8"/>
  <c r="B239" i="8"/>
  <c r="D164" i="6"/>
  <c r="C164" i="6"/>
  <c r="F165" i="6"/>
  <c r="B165" i="6"/>
  <c r="D165" i="7"/>
  <c r="C165" i="7"/>
  <c r="F166" i="7"/>
  <c r="B166" i="7"/>
  <c r="D162" i="5"/>
  <c r="C162" i="5"/>
  <c r="E163" i="5"/>
  <c r="B163" i="5"/>
  <c r="B121" i="1"/>
  <c r="D167" i="3"/>
  <c r="C167" i="3"/>
  <c r="F168" i="3"/>
  <c r="B168" i="3"/>
  <c r="C158" i="2"/>
  <c r="D158" i="2"/>
  <c r="F159" i="2"/>
  <c r="B159" i="2"/>
  <c r="E244" i="9" l="1"/>
  <c r="B244" i="9"/>
  <c r="C243" i="9"/>
  <c r="D243" i="9"/>
  <c r="D239" i="8"/>
  <c r="C239" i="8"/>
  <c r="E240" i="8"/>
  <c r="B240" i="8"/>
  <c r="D165" i="6"/>
  <c r="C165" i="6"/>
  <c r="F166" i="6"/>
  <c r="B166" i="6"/>
  <c r="D166" i="7"/>
  <c r="C166" i="7"/>
  <c r="F167" i="7"/>
  <c r="B167" i="7"/>
  <c r="D163" i="5"/>
  <c r="C163" i="5"/>
  <c r="E164" i="5"/>
  <c r="B164" i="5"/>
  <c r="C121" i="1"/>
  <c r="D121" i="1" s="1"/>
  <c r="F121" i="1" s="1"/>
  <c r="F160" i="2"/>
  <c r="B160" i="2"/>
  <c r="C159" i="2"/>
  <c r="D159" i="2"/>
  <c r="C168" i="3"/>
  <c r="D168" i="3"/>
  <c r="F169" i="3"/>
  <c r="B169" i="3"/>
  <c r="D244" i="9" l="1"/>
  <c r="C244" i="9"/>
  <c r="E245" i="9"/>
  <c r="B245" i="9"/>
  <c r="D240" i="8"/>
  <c r="C240" i="8"/>
  <c r="E241" i="8"/>
  <c r="B241" i="8"/>
  <c r="D166" i="6"/>
  <c r="C166" i="6"/>
  <c r="F167" i="6"/>
  <c r="B167" i="6"/>
  <c r="D167" i="7"/>
  <c r="C167" i="7"/>
  <c r="F168" i="7"/>
  <c r="B168" i="7"/>
  <c r="D164" i="5"/>
  <c r="C164" i="5"/>
  <c r="E165" i="5"/>
  <c r="B165" i="5"/>
  <c r="B122" i="1"/>
  <c r="F170" i="3"/>
  <c r="B170" i="3"/>
  <c r="D169" i="3"/>
  <c r="C169" i="3"/>
  <c r="C160" i="2"/>
  <c r="D160" i="2"/>
  <c r="F161" i="2"/>
  <c r="B161" i="2"/>
  <c r="E246" i="9" l="1"/>
  <c r="B246" i="9"/>
  <c r="D245" i="9"/>
  <c r="C245" i="9"/>
  <c r="D241" i="8"/>
  <c r="C241" i="8"/>
  <c r="E242" i="8"/>
  <c r="B242" i="8"/>
  <c r="D167" i="6"/>
  <c r="C167" i="6"/>
  <c r="F168" i="6"/>
  <c r="B168" i="6"/>
  <c r="D168" i="7"/>
  <c r="C168" i="7"/>
  <c r="F169" i="7"/>
  <c r="B169" i="7"/>
  <c r="D165" i="5"/>
  <c r="C165" i="5"/>
  <c r="E166" i="5"/>
  <c r="B166" i="5"/>
  <c r="C122" i="1"/>
  <c r="D122" i="1"/>
  <c r="F122" i="1" s="1"/>
  <c r="C161" i="2"/>
  <c r="D161" i="2"/>
  <c r="F162" i="2"/>
  <c r="B162" i="2"/>
  <c r="C170" i="3"/>
  <c r="D170" i="3"/>
  <c r="F171" i="3"/>
  <c r="B171" i="3"/>
  <c r="D246" i="9" l="1"/>
  <c r="C246" i="9"/>
  <c r="E247" i="9"/>
  <c r="B247" i="9"/>
  <c r="D242" i="8"/>
  <c r="C242" i="8"/>
  <c r="E243" i="8"/>
  <c r="B243" i="8"/>
  <c r="D168" i="6"/>
  <c r="C168" i="6"/>
  <c r="F169" i="6"/>
  <c r="B169" i="6"/>
  <c r="D169" i="7"/>
  <c r="C169" i="7"/>
  <c r="F170" i="7"/>
  <c r="B170" i="7"/>
  <c r="D166" i="5"/>
  <c r="C166" i="5"/>
  <c r="E167" i="5"/>
  <c r="B167" i="5"/>
  <c r="B123" i="1"/>
  <c r="F163" i="2"/>
  <c r="B163" i="2"/>
  <c r="C162" i="2"/>
  <c r="D162" i="2"/>
  <c r="C171" i="3"/>
  <c r="D171" i="3"/>
  <c r="F172" i="3"/>
  <c r="B172" i="3"/>
  <c r="D247" i="9" l="1"/>
  <c r="C247" i="9"/>
  <c r="E248" i="9"/>
  <c r="B248" i="9"/>
  <c r="D243" i="8"/>
  <c r="C243" i="8"/>
  <c r="E244" i="8"/>
  <c r="B244" i="8"/>
  <c r="D169" i="6"/>
  <c r="C169" i="6"/>
  <c r="F170" i="6"/>
  <c r="B170" i="6"/>
  <c r="D170" i="7"/>
  <c r="C170" i="7"/>
  <c r="F171" i="7"/>
  <c r="B171" i="7"/>
  <c r="D167" i="5"/>
  <c r="C167" i="5"/>
  <c r="E168" i="5"/>
  <c r="B168" i="5"/>
  <c r="C123" i="1"/>
  <c r="D123" i="1" s="1"/>
  <c r="F123" i="1" s="1"/>
  <c r="F173" i="3"/>
  <c r="B173" i="3"/>
  <c r="C172" i="3"/>
  <c r="D172" i="3"/>
  <c r="C163" i="2"/>
  <c r="D163" i="2"/>
  <c r="F164" i="2"/>
  <c r="B164" i="2"/>
  <c r="E249" i="9" l="1"/>
  <c r="B249" i="9"/>
  <c r="D248" i="9"/>
  <c r="C248" i="9"/>
  <c r="D244" i="8"/>
  <c r="C244" i="8"/>
  <c r="E245" i="8"/>
  <c r="B245" i="8"/>
  <c r="D170" i="6"/>
  <c r="C170" i="6"/>
  <c r="F171" i="6"/>
  <c r="B171" i="6"/>
  <c r="D171" i="7"/>
  <c r="C171" i="7"/>
  <c r="F172" i="7"/>
  <c r="B172" i="7"/>
  <c r="D168" i="5"/>
  <c r="C168" i="5"/>
  <c r="E169" i="5"/>
  <c r="B169" i="5"/>
  <c r="B124" i="1"/>
  <c r="C164" i="2"/>
  <c r="D164" i="2"/>
  <c r="F165" i="2"/>
  <c r="B165" i="2"/>
  <c r="D173" i="3"/>
  <c r="C173" i="3"/>
  <c r="F174" i="3"/>
  <c r="B174" i="3"/>
  <c r="D249" i="9" l="1"/>
  <c r="C249" i="9"/>
  <c r="E250" i="9"/>
  <c r="B250" i="9"/>
  <c r="D245" i="8"/>
  <c r="C245" i="8"/>
  <c r="E246" i="8"/>
  <c r="B246" i="8"/>
  <c r="D171" i="6"/>
  <c r="C171" i="6"/>
  <c r="F172" i="6"/>
  <c r="B172" i="6"/>
  <c r="D172" i="7"/>
  <c r="C172" i="7"/>
  <c r="F173" i="7"/>
  <c r="B173" i="7"/>
  <c r="D169" i="5"/>
  <c r="C169" i="5"/>
  <c r="E170" i="5"/>
  <c r="B170" i="5"/>
  <c r="C124" i="1"/>
  <c r="D124" i="1" s="1"/>
  <c r="F124" i="1" s="1"/>
  <c r="C174" i="3"/>
  <c r="D174" i="3"/>
  <c r="F175" i="3"/>
  <c r="B175" i="3"/>
  <c r="C165" i="2"/>
  <c r="D165" i="2"/>
  <c r="F166" i="2"/>
  <c r="B166" i="2"/>
  <c r="D250" i="9" l="1"/>
  <c r="C250" i="9"/>
  <c r="E251" i="9"/>
  <c r="B251" i="9"/>
  <c r="D246" i="8"/>
  <c r="C246" i="8"/>
  <c r="E247" i="8"/>
  <c r="B247" i="8"/>
  <c r="D172" i="6"/>
  <c r="C172" i="6"/>
  <c r="F173" i="6"/>
  <c r="B173" i="6"/>
  <c r="D173" i="7"/>
  <c r="C173" i="7"/>
  <c r="F174" i="7"/>
  <c r="B174" i="7"/>
  <c r="D170" i="5"/>
  <c r="C170" i="5"/>
  <c r="E171" i="5"/>
  <c r="B171" i="5"/>
  <c r="B125" i="1"/>
  <c r="D175" i="3"/>
  <c r="C175" i="3"/>
  <c r="F176" i="3"/>
  <c r="B176" i="3"/>
  <c r="C166" i="2"/>
  <c r="D166" i="2"/>
  <c r="F167" i="2"/>
  <c r="B167" i="2"/>
  <c r="D251" i="9" l="1"/>
  <c r="C251" i="9"/>
  <c r="E252" i="9"/>
  <c r="B252" i="9"/>
  <c r="D247" i="8"/>
  <c r="C247" i="8"/>
  <c r="E248" i="8"/>
  <c r="B248" i="8"/>
  <c r="D173" i="6"/>
  <c r="C173" i="6"/>
  <c r="F174" i="6"/>
  <c r="B174" i="6"/>
  <c r="D174" i="7"/>
  <c r="C174" i="7"/>
  <c r="F175" i="7"/>
  <c r="B175" i="7"/>
  <c r="C171" i="5"/>
  <c r="D171" i="5"/>
  <c r="E172" i="5"/>
  <c r="B172" i="5"/>
  <c r="C125" i="1"/>
  <c r="D125" i="1" s="1"/>
  <c r="F125" i="1" s="1"/>
  <c r="F177" i="3"/>
  <c r="B177" i="3"/>
  <c r="C176" i="3"/>
  <c r="D176" i="3"/>
  <c r="C167" i="2"/>
  <c r="D167" i="2"/>
  <c r="F168" i="2"/>
  <c r="B168" i="2"/>
  <c r="D252" i="9" l="1"/>
  <c r="C252" i="9"/>
  <c r="E253" i="9"/>
  <c r="B253" i="9"/>
  <c r="D248" i="8"/>
  <c r="C248" i="8"/>
  <c r="E249" i="8"/>
  <c r="B249" i="8"/>
  <c r="D174" i="6"/>
  <c r="C174" i="6"/>
  <c r="F175" i="6"/>
  <c r="B175" i="6"/>
  <c r="D175" i="7"/>
  <c r="C175" i="7"/>
  <c r="F176" i="7"/>
  <c r="B176" i="7"/>
  <c r="D172" i="5"/>
  <c r="C172" i="5"/>
  <c r="E173" i="5"/>
  <c r="B173" i="5"/>
  <c r="B126" i="1"/>
  <c r="F169" i="2"/>
  <c r="B169" i="2"/>
  <c r="C168" i="2"/>
  <c r="D168" i="2"/>
  <c r="D177" i="3"/>
  <c r="C177" i="3"/>
  <c r="F178" i="3"/>
  <c r="B178" i="3"/>
  <c r="D253" i="9" l="1"/>
  <c r="C253" i="9"/>
  <c r="E254" i="9"/>
  <c r="B254" i="9"/>
  <c r="D249" i="8"/>
  <c r="C249" i="8"/>
  <c r="E250" i="8"/>
  <c r="B250" i="8"/>
  <c r="D175" i="6"/>
  <c r="C175" i="6"/>
  <c r="F176" i="6"/>
  <c r="B176" i="6"/>
  <c r="D176" i="7"/>
  <c r="C176" i="7"/>
  <c r="F177" i="7"/>
  <c r="B177" i="7"/>
  <c r="D173" i="5"/>
  <c r="C173" i="5"/>
  <c r="E174" i="5"/>
  <c r="B174" i="5"/>
  <c r="C126" i="1"/>
  <c r="D126" i="1" s="1"/>
  <c r="F126" i="1" s="1"/>
  <c r="C178" i="3"/>
  <c r="D178" i="3"/>
  <c r="F179" i="3"/>
  <c r="B179" i="3"/>
  <c r="F170" i="2"/>
  <c r="B170" i="2"/>
  <c r="C169" i="2"/>
  <c r="D169" i="2"/>
  <c r="D254" i="9" l="1"/>
  <c r="C254" i="9"/>
  <c r="E255" i="9"/>
  <c r="B255" i="9"/>
  <c r="D250" i="8"/>
  <c r="C250" i="8"/>
  <c r="E251" i="8"/>
  <c r="B251" i="8"/>
  <c r="D176" i="6"/>
  <c r="C176" i="6"/>
  <c r="F177" i="6"/>
  <c r="B177" i="6"/>
  <c r="D177" i="7"/>
  <c r="C177" i="7"/>
  <c r="F178" i="7"/>
  <c r="B178" i="7"/>
  <c r="D174" i="5"/>
  <c r="C174" i="5"/>
  <c r="E175" i="5"/>
  <c r="B175" i="5"/>
  <c r="B127" i="1"/>
  <c r="C170" i="2"/>
  <c r="D170" i="2"/>
  <c r="F171" i="2"/>
  <c r="B171" i="2"/>
  <c r="C179" i="3"/>
  <c r="D179" i="3"/>
  <c r="F180" i="3"/>
  <c r="B180" i="3"/>
  <c r="D255" i="9" l="1"/>
  <c r="C255" i="9"/>
  <c r="E256" i="9"/>
  <c r="B256" i="9"/>
  <c r="D251" i="8"/>
  <c r="C251" i="8"/>
  <c r="E252" i="8"/>
  <c r="B252" i="8"/>
  <c r="D177" i="6"/>
  <c r="C177" i="6"/>
  <c r="F178" i="6"/>
  <c r="B178" i="6"/>
  <c r="D178" i="7"/>
  <c r="C178" i="7"/>
  <c r="F179" i="7"/>
  <c r="B179" i="7"/>
  <c r="D175" i="5"/>
  <c r="C175" i="5"/>
  <c r="E176" i="5"/>
  <c r="B176" i="5"/>
  <c r="C127" i="1"/>
  <c r="D127" i="1"/>
  <c r="F127" i="1" s="1"/>
  <c r="F181" i="3"/>
  <c r="B181" i="3"/>
  <c r="C171" i="2"/>
  <c r="D171" i="2"/>
  <c r="F172" i="2"/>
  <c r="B172" i="2"/>
  <c r="C180" i="3"/>
  <c r="D180" i="3"/>
  <c r="D256" i="9" l="1"/>
  <c r="C256" i="9"/>
  <c r="E257" i="9"/>
  <c r="B257" i="9"/>
  <c r="D252" i="8"/>
  <c r="C252" i="8"/>
  <c r="E253" i="8"/>
  <c r="B253" i="8"/>
  <c r="D178" i="6"/>
  <c r="C178" i="6"/>
  <c r="F179" i="6"/>
  <c r="B179" i="6"/>
  <c r="D179" i="7"/>
  <c r="C179" i="7"/>
  <c r="F180" i="7"/>
  <c r="B180" i="7"/>
  <c r="D176" i="5"/>
  <c r="C176" i="5"/>
  <c r="E177" i="5"/>
  <c r="B177" i="5"/>
  <c r="B128" i="1"/>
  <c r="D181" i="3"/>
  <c r="C181" i="3"/>
  <c r="F182" i="3"/>
  <c r="B182" i="3"/>
  <c r="C172" i="2"/>
  <c r="D172" i="2"/>
  <c r="F173" i="2"/>
  <c r="B173" i="2"/>
  <c r="D257" i="9" l="1"/>
  <c r="C257" i="9"/>
  <c r="E258" i="9"/>
  <c r="B258" i="9"/>
  <c r="D253" i="8"/>
  <c r="C253" i="8"/>
  <c r="E254" i="8"/>
  <c r="B254" i="8"/>
  <c r="D179" i="6"/>
  <c r="C179" i="6"/>
  <c r="F180" i="6"/>
  <c r="B180" i="6"/>
  <c r="D180" i="7"/>
  <c r="C180" i="7"/>
  <c r="F181" i="7"/>
  <c r="B181" i="7"/>
  <c r="D177" i="5"/>
  <c r="C177" i="5"/>
  <c r="E178" i="5"/>
  <c r="B178" i="5"/>
  <c r="C128" i="1"/>
  <c r="D128" i="1" s="1"/>
  <c r="F128" i="1" s="1"/>
  <c r="F174" i="2"/>
  <c r="B174" i="2"/>
  <c r="C173" i="2"/>
  <c r="D173" i="2"/>
  <c r="C182" i="3"/>
  <c r="D182" i="3"/>
  <c r="F183" i="3"/>
  <c r="B183" i="3"/>
  <c r="D258" i="9" l="1"/>
  <c r="C258" i="9"/>
  <c r="E259" i="9"/>
  <c r="B259" i="9"/>
  <c r="D254" i="8"/>
  <c r="C254" i="8"/>
  <c r="E255" i="8"/>
  <c r="B255" i="8"/>
  <c r="D180" i="6"/>
  <c r="C180" i="6"/>
  <c r="F181" i="6"/>
  <c r="B181" i="6"/>
  <c r="C181" i="7"/>
  <c r="D181" i="7"/>
  <c r="F182" i="7"/>
  <c r="B182" i="7"/>
  <c r="D178" i="5"/>
  <c r="C178" i="5"/>
  <c r="E179" i="5"/>
  <c r="B179" i="5"/>
  <c r="B129" i="1"/>
  <c r="D183" i="3"/>
  <c r="C183" i="3"/>
  <c r="C174" i="2"/>
  <c r="D174" i="2"/>
  <c r="F184" i="3"/>
  <c r="B184" i="3"/>
  <c r="F175" i="2"/>
  <c r="B175" i="2"/>
  <c r="C259" i="9" l="1"/>
  <c r="D259" i="9"/>
  <c r="E260" i="9"/>
  <c r="B260" i="9"/>
  <c r="D255" i="8"/>
  <c r="C255" i="8"/>
  <c r="E256" i="8"/>
  <c r="B256" i="8"/>
  <c r="D181" i="6"/>
  <c r="C181" i="6"/>
  <c r="F182" i="6"/>
  <c r="B182" i="6"/>
  <c r="D182" i="7"/>
  <c r="C182" i="7"/>
  <c r="F183" i="7"/>
  <c r="B183" i="7"/>
  <c r="D179" i="5"/>
  <c r="C179" i="5"/>
  <c r="E180" i="5"/>
  <c r="B180" i="5"/>
  <c r="C129" i="1"/>
  <c r="D129" i="1"/>
  <c r="F129" i="1" s="1"/>
  <c r="F176" i="2"/>
  <c r="B176" i="2"/>
  <c r="C184" i="3"/>
  <c r="D184" i="3"/>
  <c r="F185" i="3"/>
  <c r="B185" i="3"/>
  <c r="C175" i="2"/>
  <c r="D175" i="2"/>
  <c r="E261" i="9" l="1"/>
  <c r="B261" i="9"/>
  <c r="D260" i="9"/>
  <c r="C260" i="9"/>
  <c r="D256" i="8"/>
  <c r="C256" i="8"/>
  <c r="E257" i="8"/>
  <c r="B257" i="8"/>
  <c r="D182" i="6"/>
  <c r="C182" i="6"/>
  <c r="F183" i="6"/>
  <c r="B183" i="6"/>
  <c r="D183" i="7"/>
  <c r="C183" i="7"/>
  <c r="F184" i="7"/>
  <c r="B184" i="7"/>
  <c r="D180" i="5"/>
  <c r="C180" i="5"/>
  <c r="E181" i="5"/>
  <c r="B181" i="5"/>
  <c r="B130" i="1"/>
  <c r="C176" i="2"/>
  <c r="D176" i="2"/>
  <c r="F177" i="2"/>
  <c r="B177" i="2"/>
  <c r="D185" i="3"/>
  <c r="C185" i="3"/>
  <c r="F186" i="3"/>
  <c r="B186" i="3"/>
  <c r="D261" i="9" l="1"/>
  <c r="C261" i="9"/>
  <c r="E262" i="9"/>
  <c r="B262" i="9"/>
  <c r="D257" i="8"/>
  <c r="C257" i="8"/>
  <c r="E258" i="8"/>
  <c r="B258" i="8"/>
  <c r="D183" i="6"/>
  <c r="C183" i="6"/>
  <c r="F184" i="6"/>
  <c r="B184" i="6"/>
  <c r="D184" i="7"/>
  <c r="C184" i="7"/>
  <c r="F185" i="7"/>
  <c r="B185" i="7"/>
  <c r="D181" i="5"/>
  <c r="C181" i="5"/>
  <c r="E182" i="5"/>
  <c r="B182" i="5"/>
  <c r="C130" i="1"/>
  <c r="D130" i="1" s="1"/>
  <c r="F130" i="1" s="1"/>
  <c r="C186" i="3"/>
  <c r="D186" i="3"/>
  <c r="F187" i="3"/>
  <c r="B187" i="3"/>
  <c r="C177" i="2"/>
  <c r="D177" i="2"/>
  <c r="F178" i="2"/>
  <c r="B178" i="2"/>
  <c r="D262" i="9" l="1"/>
  <c r="C262" i="9"/>
  <c r="E263" i="9"/>
  <c r="B263" i="9"/>
  <c r="D258" i="8"/>
  <c r="C258" i="8"/>
  <c r="E259" i="8"/>
  <c r="B259" i="8"/>
  <c r="D184" i="6"/>
  <c r="C184" i="6"/>
  <c r="F185" i="6"/>
  <c r="B185" i="6"/>
  <c r="D185" i="7"/>
  <c r="C185" i="7"/>
  <c r="F186" i="7"/>
  <c r="B186" i="7"/>
  <c r="D182" i="5"/>
  <c r="C182" i="5"/>
  <c r="E183" i="5"/>
  <c r="B183" i="5"/>
  <c r="B131" i="1"/>
  <c r="C187" i="3"/>
  <c r="D187" i="3"/>
  <c r="F179" i="2"/>
  <c r="B179" i="2"/>
  <c r="F188" i="3"/>
  <c r="B188" i="3"/>
  <c r="C178" i="2"/>
  <c r="D178" i="2"/>
  <c r="D263" i="9" l="1"/>
  <c r="C263" i="9"/>
  <c r="E264" i="9"/>
  <c r="B264" i="9"/>
  <c r="D259" i="8"/>
  <c r="C259" i="8"/>
  <c r="E260" i="8"/>
  <c r="B260" i="8"/>
  <c r="D185" i="6"/>
  <c r="C185" i="6"/>
  <c r="F186" i="6"/>
  <c r="B186" i="6"/>
  <c r="D186" i="7"/>
  <c r="C186" i="7"/>
  <c r="F187" i="7"/>
  <c r="B187" i="7"/>
  <c r="D183" i="5"/>
  <c r="C183" i="5"/>
  <c r="E184" i="5"/>
  <c r="B184" i="5"/>
  <c r="C131" i="1"/>
  <c r="D131" i="1"/>
  <c r="F131" i="1" s="1"/>
  <c r="C179" i="2"/>
  <c r="D179" i="2"/>
  <c r="F180" i="2"/>
  <c r="B180" i="2"/>
  <c r="C188" i="3"/>
  <c r="D188" i="3"/>
  <c r="F189" i="3"/>
  <c r="B189" i="3"/>
  <c r="D264" i="9" l="1"/>
  <c r="C264" i="9"/>
  <c r="E265" i="9"/>
  <c r="B265" i="9"/>
  <c r="E261" i="8"/>
  <c r="B261" i="8"/>
  <c r="D260" i="8"/>
  <c r="C260" i="8"/>
  <c r="C186" i="6"/>
  <c r="D186" i="6"/>
  <c r="F187" i="6"/>
  <c r="B187" i="6"/>
  <c r="D187" i="7"/>
  <c r="C187" i="7"/>
  <c r="F188" i="7"/>
  <c r="B188" i="7"/>
  <c r="D184" i="5"/>
  <c r="C184" i="5"/>
  <c r="E185" i="5"/>
  <c r="B185" i="5"/>
  <c r="B132" i="1"/>
  <c r="F190" i="3"/>
  <c r="B190" i="3"/>
  <c r="D189" i="3"/>
  <c r="C189" i="3"/>
  <c r="C180" i="2"/>
  <c r="D180" i="2"/>
  <c r="F181" i="2"/>
  <c r="B181" i="2"/>
  <c r="D265" i="9" l="1"/>
  <c r="C265" i="9"/>
  <c r="E266" i="9"/>
  <c r="B266" i="9"/>
  <c r="D261" i="8"/>
  <c r="C261" i="8"/>
  <c r="E262" i="8"/>
  <c r="B262" i="8"/>
  <c r="D187" i="6"/>
  <c r="C187" i="6"/>
  <c r="F188" i="6"/>
  <c r="B188" i="6"/>
  <c r="D188" i="7"/>
  <c r="C188" i="7"/>
  <c r="F189" i="7"/>
  <c r="B189" i="7"/>
  <c r="D185" i="5"/>
  <c r="C185" i="5"/>
  <c r="E186" i="5"/>
  <c r="B186" i="5"/>
  <c r="C132" i="1"/>
  <c r="D132" i="1" s="1"/>
  <c r="F132" i="1" s="1"/>
  <c r="F182" i="2"/>
  <c r="B182" i="2"/>
  <c r="C181" i="2"/>
  <c r="D181" i="2"/>
  <c r="C190" i="3"/>
  <c r="D190" i="3"/>
  <c r="F191" i="3"/>
  <c r="B191" i="3"/>
  <c r="D266" i="9" l="1"/>
  <c r="C266" i="9"/>
  <c r="E267" i="9"/>
  <c r="B267" i="9"/>
  <c r="D262" i="8"/>
  <c r="C262" i="8"/>
  <c r="E263" i="8"/>
  <c r="B263" i="8"/>
  <c r="D188" i="6"/>
  <c r="C188" i="6"/>
  <c r="F189" i="6"/>
  <c r="B189" i="6"/>
  <c r="D189" i="7"/>
  <c r="C189" i="7"/>
  <c r="F190" i="7"/>
  <c r="B190" i="7"/>
  <c r="D186" i="5"/>
  <c r="C186" i="5"/>
  <c r="E187" i="5"/>
  <c r="B187" i="5"/>
  <c r="B133" i="1"/>
  <c r="F192" i="3"/>
  <c r="B192" i="3"/>
  <c r="C182" i="2"/>
  <c r="D182" i="2"/>
  <c r="F183" i="2"/>
  <c r="B183" i="2"/>
  <c r="D191" i="3"/>
  <c r="C191" i="3"/>
  <c r="C267" i="9" l="1"/>
  <c r="D267" i="9"/>
  <c r="E268" i="9"/>
  <c r="B268" i="9"/>
  <c r="D263" i="8"/>
  <c r="C263" i="8"/>
  <c r="E264" i="8"/>
  <c r="B264" i="8"/>
  <c r="D189" i="6"/>
  <c r="C189" i="6"/>
  <c r="F190" i="6"/>
  <c r="B190" i="6"/>
  <c r="D190" i="7"/>
  <c r="C190" i="7"/>
  <c r="F191" i="7"/>
  <c r="B191" i="7"/>
  <c r="C187" i="5"/>
  <c r="D187" i="5"/>
  <c r="E188" i="5"/>
  <c r="B188" i="5"/>
  <c r="C133" i="1"/>
  <c r="D133" i="1" s="1"/>
  <c r="F133" i="1" s="1"/>
  <c r="C183" i="2"/>
  <c r="D183" i="2"/>
  <c r="F184" i="2"/>
  <c r="B184" i="2"/>
  <c r="C192" i="3"/>
  <c r="D192" i="3"/>
  <c r="F193" i="3"/>
  <c r="B193" i="3"/>
  <c r="D268" i="9" l="1"/>
  <c r="C268" i="9"/>
  <c r="E269" i="9"/>
  <c r="B269" i="9"/>
  <c r="D264" i="8"/>
  <c r="C264" i="8"/>
  <c r="E265" i="8"/>
  <c r="B265" i="8"/>
  <c r="D190" i="6"/>
  <c r="C190" i="6"/>
  <c r="F191" i="6"/>
  <c r="B191" i="6"/>
  <c r="D191" i="7"/>
  <c r="C191" i="7"/>
  <c r="F192" i="7"/>
  <c r="B192" i="7"/>
  <c r="D188" i="5"/>
  <c r="C188" i="5"/>
  <c r="E189" i="5"/>
  <c r="B189" i="5"/>
  <c r="B134" i="1"/>
  <c r="D193" i="3"/>
  <c r="C193" i="3"/>
  <c r="C184" i="2"/>
  <c r="D184" i="2"/>
  <c r="F185" i="2"/>
  <c r="B185" i="2"/>
  <c r="F194" i="3"/>
  <c r="B194" i="3"/>
  <c r="C269" i="9" l="1"/>
  <c r="D269" i="9"/>
  <c r="E270" i="9"/>
  <c r="B270" i="9"/>
  <c r="D265" i="8"/>
  <c r="C265" i="8"/>
  <c r="E266" i="8"/>
  <c r="B266" i="8"/>
  <c r="D191" i="6"/>
  <c r="C191" i="6"/>
  <c r="F192" i="6"/>
  <c r="B192" i="6"/>
  <c r="D192" i="7"/>
  <c r="C192" i="7"/>
  <c r="F193" i="7"/>
  <c r="B193" i="7"/>
  <c r="D189" i="5"/>
  <c r="C189" i="5"/>
  <c r="E190" i="5"/>
  <c r="B190" i="5"/>
  <c r="C134" i="1"/>
  <c r="D134" i="1" s="1"/>
  <c r="F134" i="1" s="1"/>
  <c r="F186" i="2"/>
  <c r="B186" i="2"/>
  <c r="C185" i="2"/>
  <c r="D185" i="2"/>
  <c r="C194" i="3"/>
  <c r="D194" i="3"/>
  <c r="F195" i="3"/>
  <c r="B195" i="3"/>
  <c r="E271" i="9" l="1"/>
  <c r="B271" i="9"/>
  <c r="D270" i="9"/>
  <c r="C270" i="9"/>
  <c r="D266" i="8"/>
  <c r="C266" i="8"/>
  <c r="E267" i="8"/>
  <c r="B267" i="8"/>
  <c r="D192" i="6"/>
  <c r="C192" i="6"/>
  <c r="F193" i="6"/>
  <c r="B193" i="6"/>
  <c r="D193" i="7"/>
  <c r="C193" i="7"/>
  <c r="F194" i="7"/>
  <c r="B194" i="7"/>
  <c r="D190" i="5"/>
  <c r="C190" i="5"/>
  <c r="E191" i="5"/>
  <c r="B191" i="5"/>
  <c r="B135" i="1"/>
  <c r="F196" i="3"/>
  <c r="B196" i="3"/>
  <c r="C195" i="3"/>
  <c r="D195" i="3"/>
  <c r="C186" i="2"/>
  <c r="D186" i="2"/>
  <c r="F187" i="2"/>
  <c r="B187" i="2"/>
  <c r="D271" i="9" l="1"/>
  <c r="C271" i="9"/>
  <c r="E272" i="9"/>
  <c r="B272" i="9"/>
  <c r="D267" i="8"/>
  <c r="C267" i="8"/>
  <c r="E268" i="8"/>
  <c r="B268" i="8"/>
  <c r="D193" i="6"/>
  <c r="C193" i="6"/>
  <c r="F194" i="6"/>
  <c r="B194" i="6"/>
  <c r="D194" i="7"/>
  <c r="C194" i="7"/>
  <c r="F195" i="7"/>
  <c r="B195" i="7"/>
  <c r="D191" i="5"/>
  <c r="C191" i="5"/>
  <c r="E192" i="5"/>
  <c r="B192" i="5"/>
  <c r="C135" i="1"/>
  <c r="D135" i="1" s="1"/>
  <c r="F135" i="1" s="1"/>
  <c r="C187" i="2"/>
  <c r="D187" i="2"/>
  <c r="F188" i="2"/>
  <c r="B188" i="2"/>
  <c r="C196" i="3"/>
  <c r="D196" i="3"/>
  <c r="F197" i="3"/>
  <c r="B197" i="3"/>
  <c r="D272" i="9" l="1"/>
  <c r="C272" i="9"/>
  <c r="E273" i="9"/>
  <c r="B273" i="9"/>
  <c r="D268" i="8"/>
  <c r="C268" i="8"/>
  <c r="E269" i="8"/>
  <c r="B269" i="8"/>
  <c r="D194" i="6"/>
  <c r="C194" i="6"/>
  <c r="F195" i="6"/>
  <c r="B195" i="6"/>
  <c r="D195" i="7"/>
  <c r="C195" i="7"/>
  <c r="F196" i="7"/>
  <c r="B196" i="7"/>
  <c r="E193" i="5"/>
  <c r="B193" i="5"/>
  <c r="D192" i="5"/>
  <c r="C192" i="5"/>
  <c r="B136" i="1"/>
  <c r="C188" i="2"/>
  <c r="D188" i="2"/>
  <c r="D197" i="3"/>
  <c r="C197" i="3"/>
  <c r="F198" i="3"/>
  <c r="B198" i="3"/>
  <c r="F189" i="2"/>
  <c r="B189" i="2"/>
  <c r="D273" i="9" l="1"/>
  <c r="C273" i="9"/>
  <c r="E274" i="9"/>
  <c r="B274" i="9"/>
  <c r="D269" i="8"/>
  <c r="C269" i="8"/>
  <c r="E270" i="8"/>
  <c r="B270" i="8"/>
  <c r="D195" i="6"/>
  <c r="C195" i="6"/>
  <c r="F196" i="6"/>
  <c r="B196" i="6"/>
  <c r="D196" i="7"/>
  <c r="C196" i="7"/>
  <c r="F197" i="7"/>
  <c r="B197" i="7"/>
  <c r="D193" i="5"/>
  <c r="C193" i="5"/>
  <c r="E194" i="5"/>
  <c r="B194" i="5"/>
  <c r="C136" i="1"/>
  <c r="D136" i="1" s="1"/>
  <c r="F136" i="1" s="1"/>
  <c r="C198" i="3"/>
  <c r="D198" i="3"/>
  <c r="F199" i="3"/>
  <c r="B199" i="3"/>
  <c r="C189" i="2"/>
  <c r="D189" i="2"/>
  <c r="F190" i="2"/>
  <c r="B190" i="2"/>
  <c r="D274" i="9" l="1"/>
  <c r="C274" i="9"/>
  <c r="E275" i="9"/>
  <c r="B275" i="9"/>
  <c r="D270" i="8"/>
  <c r="C270" i="8"/>
  <c r="E271" i="8"/>
  <c r="B271" i="8"/>
  <c r="D196" i="6"/>
  <c r="C196" i="6"/>
  <c r="F197" i="6"/>
  <c r="B197" i="6"/>
  <c r="C197" i="7"/>
  <c r="D197" i="7"/>
  <c r="F198" i="7"/>
  <c r="B198" i="7"/>
  <c r="D194" i="5"/>
  <c r="C194" i="5"/>
  <c r="E195" i="5"/>
  <c r="B195" i="5"/>
  <c r="B137" i="1"/>
  <c r="D199" i="3"/>
  <c r="C199" i="3"/>
  <c r="F200" i="3"/>
  <c r="B200" i="3"/>
  <c r="C190" i="2"/>
  <c r="D190" i="2"/>
  <c r="F191" i="2"/>
  <c r="B191" i="2"/>
  <c r="D275" i="9" l="1"/>
  <c r="C275" i="9"/>
  <c r="E276" i="9"/>
  <c r="B276" i="9"/>
  <c r="D271" i="8"/>
  <c r="C271" i="8"/>
  <c r="E272" i="8"/>
  <c r="B272" i="8"/>
  <c r="D197" i="6"/>
  <c r="C197" i="6"/>
  <c r="F198" i="6"/>
  <c r="B198" i="6"/>
  <c r="D198" i="7"/>
  <c r="C198" i="7"/>
  <c r="F199" i="7"/>
  <c r="B199" i="7"/>
  <c r="D195" i="5"/>
  <c r="C195" i="5"/>
  <c r="E196" i="5"/>
  <c r="B196" i="5"/>
  <c r="C137" i="1"/>
  <c r="D137" i="1" s="1"/>
  <c r="F137" i="1" s="1"/>
  <c r="C191" i="2"/>
  <c r="D191" i="2"/>
  <c r="F192" i="2"/>
  <c r="B192" i="2"/>
  <c r="C200" i="3"/>
  <c r="D200" i="3"/>
  <c r="F201" i="3"/>
  <c r="B201" i="3"/>
  <c r="D276" i="9" l="1"/>
  <c r="C276" i="9"/>
  <c r="E277" i="9"/>
  <c r="B277" i="9"/>
  <c r="D272" i="8"/>
  <c r="C272" i="8"/>
  <c r="E273" i="8"/>
  <c r="B273" i="8"/>
  <c r="D198" i="6"/>
  <c r="C198" i="6"/>
  <c r="F199" i="6"/>
  <c r="B199" i="6"/>
  <c r="D199" i="7"/>
  <c r="C199" i="7"/>
  <c r="F200" i="7"/>
  <c r="B200" i="7"/>
  <c r="D196" i="5"/>
  <c r="C196" i="5"/>
  <c r="E197" i="5"/>
  <c r="B197" i="5"/>
  <c r="B138" i="1"/>
  <c r="C192" i="2"/>
  <c r="D192" i="2"/>
  <c r="D201" i="3"/>
  <c r="C201" i="3"/>
  <c r="F193" i="2"/>
  <c r="B193" i="2"/>
  <c r="F202" i="3"/>
  <c r="B202" i="3"/>
  <c r="D277" i="9" l="1"/>
  <c r="C277" i="9"/>
  <c r="E278" i="9"/>
  <c r="B278" i="9"/>
  <c r="D273" i="8"/>
  <c r="C273" i="8"/>
  <c r="E274" i="8"/>
  <c r="B274" i="8"/>
  <c r="D199" i="6"/>
  <c r="C199" i="6"/>
  <c r="F200" i="6"/>
  <c r="B200" i="6"/>
  <c r="D200" i="7"/>
  <c r="C200" i="7"/>
  <c r="F201" i="7"/>
  <c r="B201" i="7"/>
  <c r="D197" i="5"/>
  <c r="C197" i="5"/>
  <c r="E198" i="5"/>
  <c r="B198" i="5"/>
  <c r="C138" i="1"/>
  <c r="D138" i="1" s="1"/>
  <c r="F138" i="1" s="1"/>
  <c r="C202" i="3"/>
  <c r="D202" i="3"/>
  <c r="C193" i="2"/>
  <c r="D193" i="2"/>
  <c r="F194" i="2"/>
  <c r="B194" i="2"/>
  <c r="F203" i="3"/>
  <c r="B203" i="3"/>
  <c r="D278" i="9" l="1"/>
  <c r="C278" i="9"/>
  <c r="E279" i="9"/>
  <c r="B279" i="9"/>
  <c r="D274" i="8"/>
  <c r="C274" i="8"/>
  <c r="E275" i="8"/>
  <c r="B275" i="8"/>
  <c r="D200" i="6"/>
  <c r="C200" i="6"/>
  <c r="F201" i="6"/>
  <c r="B201" i="6"/>
  <c r="D201" i="7"/>
  <c r="C201" i="7"/>
  <c r="F202" i="7"/>
  <c r="B202" i="7"/>
  <c r="D198" i="5"/>
  <c r="C198" i="5"/>
  <c r="E199" i="5"/>
  <c r="B199" i="5"/>
  <c r="B139" i="1"/>
  <c r="C203" i="3"/>
  <c r="D203" i="3"/>
  <c r="F204" i="3"/>
  <c r="B204" i="3"/>
  <c r="C194" i="2"/>
  <c r="D194" i="2"/>
  <c r="F195" i="2"/>
  <c r="B195" i="2"/>
  <c r="D279" i="9" l="1"/>
  <c r="C279" i="9"/>
  <c r="E280" i="9"/>
  <c r="B280" i="9"/>
  <c r="D275" i="8"/>
  <c r="C275" i="8"/>
  <c r="E276" i="8"/>
  <c r="B276" i="8"/>
  <c r="D201" i="6"/>
  <c r="C201" i="6"/>
  <c r="F202" i="6"/>
  <c r="B202" i="6"/>
  <c r="D202" i="7"/>
  <c r="C202" i="7"/>
  <c r="F203" i="7"/>
  <c r="B203" i="7"/>
  <c r="D199" i="5"/>
  <c r="C199" i="5"/>
  <c r="E200" i="5"/>
  <c r="B200" i="5"/>
  <c r="C139" i="1"/>
  <c r="D139" i="1" s="1"/>
  <c r="F139" i="1" s="1"/>
  <c r="C204" i="3"/>
  <c r="D204" i="3"/>
  <c r="F196" i="2"/>
  <c r="B196" i="2"/>
  <c r="F205" i="3"/>
  <c r="B205" i="3"/>
  <c r="C195" i="2"/>
  <c r="D195" i="2"/>
  <c r="D280" i="9" l="1"/>
  <c r="C280" i="9"/>
  <c r="E281" i="9"/>
  <c r="B281" i="9"/>
  <c r="D276" i="8"/>
  <c r="C276" i="8"/>
  <c r="E277" i="8"/>
  <c r="B277" i="8"/>
  <c r="D202" i="6"/>
  <c r="C202" i="6"/>
  <c r="F203" i="6"/>
  <c r="B203" i="6"/>
  <c r="D203" i="7"/>
  <c r="C203" i="7"/>
  <c r="F204" i="7"/>
  <c r="B204" i="7"/>
  <c r="D200" i="5"/>
  <c r="C200" i="5"/>
  <c r="E201" i="5"/>
  <c r="B201" i="5"/>
  <c r="B140" i="1"/>
  <c r="D205" i="3"/>
  <c r="C205" i="3"/>
  <c r="F206" i="3"/>
  <c r="B206" i="3"/>
  <c r="F197" i="2"/>
  <c r="B197" i="2"/>
  <c r="C196" i="2"/>
  <c r="D196" i="2"/>
  <c r="D281" i="9" l="1"/>
  <c r="C281" i="9"/>
  <c r="E282" i="9"/>
  <c r="B282" i="9"/>
  <c r="D277" i="8"/>
  <c r="C277" i="8"/>
  <c r="E278" i="8"/>
  <c r="B278" i="8"/>
  <c r="D203" i="6"/>
  <c r="C203" i="6"/>
  <c r="F204" i="6"/>
  <c r="B204" i="6"/>
  <c r="D204" i="7"/>
  <c r="C204" i="7"/>
  <c r="F205" i="7"/>
  <c r="B205" i="7"/>
  <c r="D201" i="5"/>
  <c r="C201" i="5"/>
  <c r="E202" i="5"/>
  <c r="B202" i="5"/>
  <c r="C140" i="1"/>
  <c r="D140" i="1"/>
  <c r="F140" i="1" s="1"/>
  <c r="F207" i="3"/>
  <c r="B207" i="3"/>
  <c r="C206" i="3"/>
  <c r="D206" i="3"/>
  <c r="C197" i="2"/>
  <c r="D197" i="2"/>
  <c r="F198" i="2"/>
  <c r="B198" i="2"/>
  <c r="D282" i="9" l="1"/>
  <c r="C282" i="9"/>
  <c r="E283" i="9"/>
  <c r="B283" i="9"/>
  <c r="D278" i="8"/>
  <c r="C278" i="8"/>
  <c r="E279" i="8"/>
  <c r="B279" i="8"/>
  <c r="C204" i="6"/>
  <c r="D204" i="6"/>
  <c r="F205" i="6"/>
  <c r="B205" i="6"/>
  <c r="C205" i="7"/>
  <c r="D205" i="7"/>
  <c r="F206" i="7"/>
  <c r="B206" i="7"/>
  <c r="D202" i="5"/>
  <c r="C202" i="5"/>
  <c r="E203" i="5"/>
  <c r="B203" i="5"/>
  <c r="B141" i="1"/>
  <c r="D207" i="3"/>
  <c r="C207" i="3"/>
  <c r="C198" i="2"/>
  <c r="D198" i="2"/>
  <c r="F199" i="2"/>
  <c r="B199" i="2"/>
  <c r="F208" i="3"/>
  <c r="B208" i="3"/>
  <c r="E284" i="9" l="1"/>
  <c r="B284" i="9"/>
  <c r="D283" i="9"/>
  <c r="C283" i="9"/>
  <c r="D279" i="8"/>
  <c r="C279" i="8"/>
  <c r="E280" i="8"/>
  <c r="B280" i="8"/>
  <c r="D205" i="6"/>
  <c r="C205" i="6"/>
  <c r="F206" i="6"/>
  <c r="B206" i="6"/>
  <c r="C206" i="7"/>
  <c r="D206" i="7"/>
  <c r="F207" i="7"/>
  <c r="B207" i="7"/>
  <c r="D203" i="5"/>
  <c r="C203" i="5"/>
  <c r="E204" i="5"/>
  <c r="B204" i="5"/>
  <c r="C141" i="1"/>
  <c r="D141" i="1" s="1"/>
  <c r="F141" i="1" s="1"/>
  <c r="C208" i="3"/>
  <c r="D208" i="3"/>
  <c r="F209" i="3"/>
  <c r="B209" i="3"/>
  <c r="C199" i="2"/>
  <c r="D199" i="2"/>
  <c r="F200" i="2"/>
  <c r="B200" i="2"/>
  <c r="D284" i="9" l="1"/>
  <c r="C284" i="9"/>
  <c r="E285" i="9"/>
  <c r="B285" i="9"/>
  <c r="D280" i="8"/>
  <c r="C280" i="8"/>
  <c r="E281" i="8"/>
  <c r="B281" i="8"/>
  <c r="D206" i="6"/>
  <c r="C206" i="6"/>
  <c r="F207" i="6"/>
  <c r="B207" i="6"/>
  <c r="C207" i="7"/>
  <c r="D207" i="7"/>
  <c r="F208" i="7"/>
  <c r="B208" i="7"/>
  <c r="C204" i="5"/>
  <c r="D204" i="5"/>
  <c r="E205" i="5"/>
  <c r="B205" i="5"/>
  <c r="B142" i="1"/>
  <c r="F201" i="2"/>
  <c r="B201" i="2"/>
  <c r="C200" i="2"/>
  <c r="D200" i="2"/>
  <c r="D209" i="3"/>
  <c r="C209" i="3"/>
  <c r="F210" i="3"/>
  <c r="B210" i="3"/>
  <c r="C285" i="9" l="1"/>
  <c r="D285" i="9"/>
  <c r="E286" i="9"/>
  <c r="B286" i="9"/>
  <c r="D281" i="8"/>
  <c r="C281" i="8"/>
  <c r="E282" i="8"/>
  <c r="B282" i="8"/>
  <c r="D207" i="6"/>
  <c r="C207" i="6"/>
  <c r="F208" i="6"/>
  <c r="B208" i="6"/>
  <c r="D208" i="7"/>
  <c r="C208" i="7"/>
  <c r="F209" i="7"/>
  <c r="B209" i="7"/>
  <c r="D205" i="5"/>
  <c r="C205" i="5"/>
  <c r="E206" i="5"/>
  <c r="B206" i="5"/>
  <c r="C142" i="1"/>
  <c r="D142" i="1" s="1"/>
  <c r="F142" i="1" s="1"/>
  <c r="F211" i="3"/>
  <c r="B211" i="3"/>
  <c r="C210" i="3"/>
  <c r="D210" i="3"/>
  <c r="C201" i="2"/>
  <c r="D201" i="2"/>
  <c r="F202" i="2"/>
  <c r="B202" i="2"/>
  <c r="D286" i="9" l="1"/>
  <c r="C286" i="9"/>
  <c r="E287" i="9"/>
  <c r="B287" i="9"/>
  <c r="D282" i="8"/>
  <c r="C282" i="8"/>
  <c r="E283" i="8"/>
  <c r="B283" i="8"/>
  <c r="D208" i="6"/>
  <c r="C208" i="6"/>
  <c r="F209" i="6"/>
  <c r="B209" i="6"/>
  <c r="D209" i="7"/>
  <c r="C209" i="7"/>
  <c r="F210" i="7"/>
  <c r="B210" i="7"/>
  <c r="C206" i="5"/>
  <c r="D206" i="5"/>
  <c r="E207" i="5"/>
  <c r="B207" i="5"/>
  <c r="B143" i="1"/>
  <c r="F212" i="3"/>
  <c r="B212" i="3"/>
  <c r="F203" i="2"/>
  <c r="B203" i="2"/>
  <c r="C211" i="3"/>
  <c r="D211" i="3"/>
  <c r="C202" i="2"/>
  <c r="D202" i="2"/>
  <c r="E288" i="9" l="1"/>
  <c r="B288" i="9"/>
  <c r="D287" i="9"/>
  <c r="C287" i="9"/>
  <c r="D283" i="8"/>
  <c r="C283" i="8"/>
  <c r="E284" i="8"/>
  <c r="B284" i="8"/>
  <c r="D209" i="6"/>
  <c r="C209" i="6"/>
  <c r="F210" i="6"/>
  <c r="B210" i="6"/>
  <c r="D210" i="7"/>
  <c r="C210" i="7"/>
  <c r="F211" i="7"/>
  <c r="B211" i="7"/>
  <c r="D207" i="5"/>
  <c r="C207" i="5"/>
  <c r="E208" i="5"/>
  <c r="B208" i="5"/>
  <c r="D143" i="1"/>
  <c r="F143" i="1" s="1"/>
  <c r="C143" i="1"/>
  <c r="F213" i="3"/>
  <c r="B213" i="3"/>
  <c r="C212" i="3"/>
  <c r="D212" i="3"/>
  <c r="C203" i="2"/>
  <c r="D203" i="2"/>
  <c r="F204" i="2"/>
  <c r="B204" i="2"/>
  <c r="D288" i="9" l="1"/>
  <c r="C288" i="9"/>
  <c r="E289" i="9"/>
  <c r="B289" i="9"/>
  <c r="D284" i="8"/>
  <c r="C284" i="8"/>
  <c r="E285" i="8"/>
  <c r="B285" i="8"/>
  <c r="D210" i="6"/>
  <c r="C210" i="6"/>
  <c r="F211" i="6"/>
  <c r="B211" i="6"/>
  <c r="D211" i="7"/>
  <c r="C211" i="7"/>
  <c r="F212" i="7"/>
  <c r="B212" i="7"/>
  <c r="D208" i="5"/>
  <c r="C208" i="5"/>
  <c r="E209" i="5"/>
  <c r="B209" i="5"/>
  <c r="B144" i="1"/>
  <c r="F205" i="2"/>
  <c r="B205" i="2"/>
  <c r="C204" i="2"/>
  <c r="D204" i="2"/>
  <c r="D213" i="3"/>
  <c r="C213" i="3"/>
  <c r="F214" i="3"/>
  <c r="B214" i="3"/>
  <c r="E290" i="9" l="1"/>
  <c r="B290" i="9"/>
  <c r="D289" i="9"/>
  <c r="C289" i="9"/>
  <c r="D285" i="8"/>
  <c r="C285" i="8"/>
  <c r="E286" i="8"/>
  <c r="B286" i="8"/>
  <c r="D211" i="6"/>
  <c r="C211" i="6"/>
  <c r="F212" i="6"/>
  <c r="B212" i="6"/>
  <c r="D212" i="7"/>
  <c r="C212" i="7"/>
  <c r="F213" i="7"/>
  <c r="B213" i="7"/>
  <c r="D209" i="5"/>
  <c r="C209" i="5"/>
  <c r="E210" i="5"/>
  <c r="B210" i="5"/>
  <c r="C144" i="1"/>
  <c r="D144" i="1" s="1"/>
  <c r="F144" i="1" s="1"/>
  <c r="F215" i="3"/>
  <c r="B215" i="3"/>
  <c r="C214" i="3"/>
  <c r="D214" i="3"/>
  <c r="C205" i="2"/>
  <c r="D205" i="2"/>
  <c r="F206" i="2"/>
  <c r="B206" i="2"/>
  <c r="D290" i="9" l="1"/>
  <c r="C290" i="9"/>
  <c r="E291" i="9"/>
  <c r="B291" i="9"/>
  <c r="D286" i="8"/>
  <c r="C286" i="8"/>
  <c r="E287" i="8"/>
  <c r="B287" i="8"/>
  <c r="D212" i="6"/>
  <c r="C212" i="6"/>
  <c r="F213" i="6"/>
  <c r="B213" i="6"/>
  <c r="D213" i="7"/>
  <c r="C213" i="7"/>
  <c r="F214" i="7"/>
  <c r="B214" i="7"/>
  <c r="D210" i="5"/>
  <c r="C210" i="5"/>
  <c r="E211" i="5"/>
  <c r="B211" i="5"/>
  <c r="B145" i="1"/>
  <c r="C206" i="2"/>
  <c r="D206" i="2"/>
  <c r="F207" i="2"/>
  <c r="B207" i="2"/>
  <c r="D215" i="3"/>
  <c r="C215" i="3"/>
  <c r="F216" i="3"/>
  <c r="B216" i="3"/>
  <c r="E292" i="9" l="1"/>
  <c r="B292" i="9"/>
  <c r="D291" i="9"/>
  <c r="C291" i="9"/>
  <c r="D287" i="8"/>
  <c r="C287" i="8"/>
  <c r="E288" i="8"/>
  <c r="B288" i="8"/>
  <c r="D213" i="6"/>
  <c r="C213" i="6"/>
  <c r="F214" i="6"/>
  <c r="B214" i="6"/>
  <c r="C214" i="7"/>
  <c r="D214" i="7"/>
  <c r="F215" i="7"/>
  <c r="B215" i="7"/>
  <c r="D211" i="5"/>
  <c r="C211" i="5"/>
  <c r="E212" i="5"/>
  <c r="B212" i="5"/>
  <c r="C145" i="1"/>
  <c r="D145" i="1"/>
  <c r="F145" i="1" s="1"/>
  <c r="C207" i="2"/>
  <c r="D207" i="2"/>
  <c r="F208" i="2"/>
  <c r="B208" i="2"/>
  <c r="F217" i="3"/>
  <c r="B217" i="3"/>
  <c r="C216" i="3"/>
  <c r="D216" i="3"/>
  <c r="D292" i="9" l="1"/>
  <c r="C292" i="9"/>
  <c r="E293" i="9"/>
  <c r="B293" i="9"/>
  <c r="D288" i="8"/>
  <c r="C288" i="8"/>
  <c r="E289" i="8"/>
  <c r="B289" i="8"/>
  <c r="D214" i="6"/>
  <c r="C214" i="6"/>
  <c r="F215" i="6"/>
  <c r="B215" i="6"/>
  <c r="D215" i="7"/>
  <c r="C215" i="7"/>
  <c r="F216" i="7"/>
  <c r="B216" i="7"/>
  <c r="C212" i="5"/>
  <c r="D212" i="5"/>
  <c r="E213" i="5"/>
  <c r="B213" i="5"/>
  <c r="B146" i="1"/>
  <c r="F218" i="3"/>
  <c r="B218" i="3"/>
  <c r="D217" i="3"/>
  <c r="C217" i="3"/>
  <c r="C208" i="2"/>
  <c r="D208" i="2"/>
  <c r="F209" i="2"/>
  <c r="B209" i="2"/>
  <c r="C293" i="9" l="1"/>
  <c r="D293" i="9"/>
  <c r="E294" i="9"/>
  <c r="B294" i="9"/>
  <c r="D289" i="8"/>
  <c r="C289" i="8"/>
  <c r="E290" i="8"/>
  <c r="B290" i="8"/>
  <c r="D215" i="6"/>
  <c r="C215" i="6"/>
  <c r="F216" i="6"/>
  <c r="B216" i="6"/>
  <c r="D216" i="7"/>
  <c r="C216" i="7"/>
  <c r="F217" i="7"/>
  <c r="B217" i="7"/>
  <c r="D213" i="5"/>
  <c r="C213" i="5"/>
  <c r="E214" i="5"/>
  <c r="B214" i="5"/>
  <c r="C146" i="1"/>
  <c r="D146" i="1" s="1"/>
  <c r="F146" i="1" s="1"/>
  <c r="C218" i="3"/>
  <c r="D218" i="3"/>
  <c r="C209" i="2"/>
  <c r="D209" i="2"/>
  <c r="F210" i="2"/>
  <c r="B210" i="2"/>
  <c r="F219" i="3"/>
  <c r="B219" i="3"/>
  <c r="D294" i="9" l="1"/>
  <c r="C294" i="9"/>
  <c r="E295" i="9"/>
  <c r="B295" i="9"/>
  <c r="D290" i="8"/>
  <c r="C290" i="8"/>
  <c r="E291" i="8"/>
  <c r="B291" i="8"/>
  <c r="D216" i="6"/>
  <c r="C216" i="6"/>
  <c r="F217" i="6"/>
  <c r="B217" i="6"/>
  <c r="D217" i="7"/>
  <c r="C217" i="7"/>
  <c r="F218" i="7"/>
  <c r="B218" i="7"/>
  <c r="D214" i="5"/>
  <c r="C214" i="5"/>
  <c r="E215" i="5"/>
  <c r="B215" i="5"/>
  <c r="B147" i="1"/>
  <c r="C219" i="3"/>
  <c r="D219" i="3"/>
  <c r="F220" i="3"/>
  <c r="B220" i="3"/>
  <c r="C210" i="2"/>
  <c r="D210" i="2"/>
  <c r="F211" i="2"/>
  <c r="B211" i="2"/>
  <c r="D295" i="9" l="1"/>
  <c r="C295" i="9"/>
  <c r="E296" i="9"/>
  <c r="B296" i="9"/>
  <c r="D291" i="8"/>
  <c r="C291" i="8"/>
  <c r="E292" i="8"/>
  <c r="B292" i="8"/>
  <c r="D217" i="6"/>
  <c r="C217" i="6"/>
  <c r="F218" i="6"/>
  <c r="B218" i="6"/>
  <c r="D218" i="7"/>
  <c r="C218" i="7"/>
  <c r="F219" i="7"/>
  <c r="B219" i="7"/>
  <c r="D215" i="5"/>
  <c r="C215" i="5"/>
  <c r="E216" i="5"/>
  <c r="B216" i="5"/>
  <c r="C147" i="1"/>
  <c r="D147" i="1" s="1"/>
  <c r="F147" i="1" s="1"/>
  <c r="F221" i="3"/>
  <c r="B221" i="3"/>
  <c r="F212" i="2"/>
  <c r="B212" i="2"/>
  <c r="C220" i="3"/>
  <c r="D220" i="3"/>
  <c r="C211" i="2"/>
  <c r="D211" i="2"/>
  <c r="D296" i="9" l="1"/>
  <c r="C296" i="9"/>
  <c r="E297" i="9"/>
  <c r="B297" i="9"/>
  <c r="D292" i="8"/>
  <c r="C292" i="8"/>
  <c r="E293" i="8"/>
  <c r="B293" i="8"/>
  <c r="D218" i="6"/>
  <c r="C218" i="6"/>
  <c r="F219" i="6"/>
  <c r="B219" i="6"/>
  <c r="D219" i="7"/>
  <c r="C219" i="7"/>
  <c r="F220" i="7"/>
  <c r="B220" i="7"/>
  <c r="D216" i="5"/>
  <c r="C216" i="5"/>
  <c r="E217" i="5"/>
  <c r="B217" i="5"/>
  <c r="B148" i="1"/>
  <c r="C212" i="2"/>
  <c r="D212" i="2"/>
  <c r="F213" i="2"/>
  <c r="B213" i="2"/>
  <c r="D221" i="3"/>
  <c r="C221" i="3"/>
  <c r="F222" i="3"/>
  <c r="B222" i="3"/>
  <c r="D297" i="9" l="1"/>
  <c r="C297" i="9"/>
  <c r="E298" i="9"/>
  <c r="B298" i="9"/>
  <c r="D293" i="8"/>
  <c r="C293" i="8"/>
  <c r="E294" i="8"/>
  <c r="B294" i="8"/>
  <c r="D219" i="6"/>
  <c r="C219" i="6"/>
  <c r="F220" i="6"/>
  <c r="B220" i="6"/>
  <c r="D220" i="7"/>
  <c r="C220" i="7"/>
  <c r="F221" i="7"/>
  <c r="B221" i="7"/>
  <c r="D217" i="5"/>
  <c r="C217" i="5"/>
  <c r="E218" i="5"/>
  <c r="B218" i="5"/>
  <c r="C148" i="1"/>
  <c r="D148" i="1" s="1"/>
  <c r="F148" i="1" s="1"/>
  <c r="C222" i="3"/>
  <c r="D222" i="3"/>
  <c r="C213" i="2"/>
  <c r="D213" i="2"/>
  <c r="F223" i="3"/>
  <c r="B223" i="3"/>
  <c r="F214" i="2"/>
  <c r="B214" i="2"/>
  <c r="D298" i="9" l="1"/>
  <c r="C298" i="9"/>
  <c r="E299" i="9"/>
  <c r="B299" i="9"/>
  <c r="D294" i="8"/>
  <c r="C294" i="8"/>
  <c r="E295" i="8"/>
  <c r="B295" i="8"/>
  <c r="D220" i="6"/>
  <c r="C220" i="6"/>
  <c r="F221" i="6"/>
  <c r="B221" i="6"/>
  <c r="D221" i="7"/>
  <c r="C221" i="7"/>
  <c r="F222" i="7"/>
  <c r="B222" i="7"/>
  <c r="D218" i="5"/>
  <c r="C218" i="5"/>
  <c r="E219" i="5"/>
  <c r="B219" i="5"/>
  <c r="B149" i="1"/>
  <c r="C214" i="2"/>
  <c r="D214" i="2"/>
  <c r="F215" i="2"/>
  <c r="B215" i="2"/>
  <c r="D223" i="3"/>
  <c r="C223" i="3"/>
  <c r="F224" i="3"/>
  <c r="B224" i="3"/>
  <c r="D299" i="9" l="1"/>
  <c r="C299" i="9"/>
  <c r="E300" i="9"/>
  <c r="B300" i="9"/>
  <c r="D295" i="8"/>
  <c r="C295" i="8"/>
  <c r="E296" i="8"/>
  <c r="B296" i="8"/>
  <c r="D221" i="6"/>
  <c r="C221" i="6"/>
  <c r="F222" i="6"/>
  <c r="B222" i="6"/>
  <c r="D222" i="7"/>
  <c r="C222" i="7"/>
  <c r="F223" i="7"/>
  <c r="B223" i="7"/>
  <c r="D219" i="5"/>
  <c r="C219" i="5"/>
  <c r="E220" i="5"/>
  <c r="B220" i="5"/>
  <c r="C149" i="1"/>
  <c r="D149" i="1" s="1"/>
  <c r="F149" i="1" s="1"/>
  <c r="C224" i="3"/>
  <c r="D224" i="3"/>
  <c r="C215" i="2"/>
  <c r="D215" i="2"/>
  <c r="F216" i="2"/>
  <c r="B216" i="2"/>
  <c r="F225" i="3"/>
  <c r="B225" i="3"/>
  <c r="D300" i="9" l="1"/>
  <c r="C300" i="9"/>
  <c r="E301" i="9"/>
  <c r="B301" i="9"/>
  <c r="D296" i="8"/>
  <c r="C296" i="8"/>
  <c r="E297" i="8"/>
  <c r="B297" i="8"/>
  <c r="D222" i="6"/>
  <c r="C222" i="6"/>
  <c r="F223" i="6"/>
  <c r="B223" i="6"/>
  <c r="D223" i="7"/>
  <c r="C223" i="7"/>
  <c r="F224" i="7"/>
  <c r="B224" i="7"/>
  <c r="C220" i="5"/>
  <c r="D220" i="5"/>
  <c r="E221" i="5"/>
  <c r="B221" i="5"/>
  <c r="B150" i="1"/>
  <c r="C216" i="2"/>
  <c r="D216" i="2"/>
  <c r="F217" i="2"/>
  <c r="B217" i="2"/>
  <c r="D225" i="3"/>
  <c r="C225" i="3"/>
  <c r="F226" i="3"/>
  <c r="B226" i="3"/>
  <c r="D301" i="9" l="1"/>
  <c r="C301" i="9"/>
  <c r="E302" i="9"/>
  <c r="B302" i="9"/>
  <c r="D297" i="8"/>
  <c r="C297" i="8"/>
  <c r="E298" i="8"/>
  <c r="B298" i="8"/>
  <c r="D223" i="6"/>
  <c r="C223" i="6"/>
  <c r="F224" i="6"/>
  <c r="B224" i="6"/>
  <c r="D224" i="7"/>
  <c r="C224" i="7"/>
  <c r="F225" i="7"/>
  <c r="B225" i="7"/>
  <c r="D221" i="5"/>
  <c r="C221" i="5"/>
  <c r="E222" i="5"/>
  <c r="B222" i="5"/>
  <c r="C150" i="1"/>
  <c r="D150" i="1" s="1"/>
  <c r="F150" i="1" s="1"/>
  <c r="C226" i="3"/>
  <c r="D226" i="3"/>
  <c r="C217" i="2"/>
  <c r="D217" i="2"/>
  <c r="F218" i="2"/>
  <c r="B218" i="2"/>
  <c r="F227" i="3"/>
  <c r="B227" i="3"/>
  <c r="D302" i="9" l="1"/>
  <c r="C302" i="9"/>
  <c r="E303" i="9"/>
  <c r="B303" i="9"/>
  <c r="D298" i="8"/>
  <c r="C298" i="8"/>
  <c r="E299" i="8"/>
  <c r="B299" i="8"/>
  <c r="D224" i="6"/>
  <c r="C224" i="6"/>
  <c r="F225" i="6"/>
  <c r="B225" i="6"/>
  <c r="D225" i="7"/>
  <c r="C225" i="7"/>
  <c r="F226" i="7"/>
  <c r="B226" i="7"/>
  <c r="D222" i="5"/>
  <c r="C222" i="5"/>
  <c r="E223" i="5"/>
  <c r="B223" i="5"/>
  <c r="B151" i="1"/>
  <c r="C227" i="3"/>
  <c r="D227" i="3"/>
  <c r="F228" i="3"/>
  <c r="B228" i="3"/>
  <c r="F219" i="2"/>
  <c r="B219" i="2"/>
  <c r="C218" i="2"/>
  <c r="D218" i="2"/>
  <c r="D303" i="9" l="1"/>
  <c r="C303" i="9"/>
  <c r="E304" i="9"/>
  <c r="B304" i="9"/>
  <c r="D299" i="8"/>
  <c r="C299" i="8"/>
  <c r="E300" i="8"/>
  <c r="B300" i="8"/>
  <c r="D225" i="6"/>
  <c r="C225" i="6"/>
  <c r="F226" i="6"/>
  <c r="B226" i="6"/>
  <c r="D226" i="7"/>
  <c r="C226" i="7"/>
  <c r="F227" i="7"/>
  <c r="B227" i="7"/>
  <c r="E224" i="5"/>
  <c r="B224" i="5"/>
  <c r="D223" i="5"/>
  <c r="C223" i="5"/>
  <c r="C151" i="1"/>
  <c r="D151" i="1" s="1"/>
  <c r="F151" i="1" s="1"/>
  <c r="F220" i="2"/>
  <c r="B220" i="2"/>
  <c r="C219" i="2"/>
  <c r="D219" i="2"/>
  <c r="C228" i="3"/>
  <c r="D228" i="3"/>
  <c r="F229" i="3"/>
  <c r="B229" i="3"/>
  <c r="D304" i="9" l="1"/>
  <c r="C304" i="9"/>
  <c r="E305" i="9"/>
  <c r="B305" i="9"/>
  <c r="D300" i="8"/>
  <c r="C300" i="8"/>
  <c r="E301" i="8"/>
  <c r="B301" i="8"/>
  <c r="D226" i="6"/>
  <c r="C226" i="6"/>
  <c r="F227" i="6"/>
  <c r="B227" i="6"/>
  <c r="D227" i="7"/>
  <c r="C227" i="7"/>
  <c r="F228" i="7"/>
  <c r="B228" i="7"/>
  <c r="D224" i="5"/>
  <c r="C224" i="5"/>
  <c r="E225" i="5"/>
  <c r="B225" i="5"/>
  <c r="B152" i="1"/>
  <c r="D229" i="3"/>
  <c r="C229" i="3"/>
  <c r="F230" i="3"/>
  <c r="B230" i="3"/>
  <c r="C220" i="2"/>
  <c r="D220" i="2"/>
  <c r="F221" i="2"/>
  <c r="B221" i="2"/>
  <c r="D305" i="9" l="1"/>
  <c r="C305" i="9"/>
  <c r="E306" i="9"/>
  <c r="B306" i="9"/>
  <c r="D301" i="8"/>
  <c r="C301" i="8"/>
  <c r="E302" i="8"/>
  <c r="B302" i="8"/>
  <c r="C227" i="6"/>
  <c r="D227" i="6"/>
  <c r="F228" i="6"/>
  <c r="B228" i="6"/>
  <c r="D228" i="7"/>
  <c r="C228" i="7"/>
  <c r="F229" i="7"/>
  <c r="B229" i="7"/>
  <c r="D225" i="5"/>
  <c r="C225" i="5"/>
  <c r="E226" i="5"/>
  <c r="B226" i="5"/>
  <c r="C152" i="1"/>
  <c r="D152" i="1" s="1"/>
  <c r="F152" i="1" s="1"/>
  <c r="F222" i="2"/>
  <c r="B222" i="2"/>
  <c r="F231" i="3"/>
  <c r="B231" i="3"/>
  <c r="C230" i="3"/>
  <c r="D230" i="3"/>
  <c r="C221" i="2"/>
  <c r="D221" i="2"/>
  <c r="D306" i="9" l="1"/>
  <c r="C306" i="9"/>
  <c r="E307" i="9"/>
  <c r="B307" i="9"/>
  <c r="D302" i="8"/>
  <c r="C302" i="8"/>
  <c r="E303" i="8"/>
  <c r="B303" i="8"/>
  <c r="D228" i="6"/>
  <c r="C228" i="6"/>
  <c r="F229" i="6"/>
  <c r="B229" i="6"/>
  <c r="C229" i="7"/>
  <c r="D229" i="7"/>
  <c r="F230" i="7"/>
  <c r="B230" i="7"/>
  <c r="D226" i="5"/>
  <c r="C226" i="5"/>
  <c r="E227" i="5"/>
  <c r="B227" i="5"/>
  <c r="B153" i="1"/>
  <c r="D231" i="3"/>
  <c r="C231" i="3"/>
  <c r="F232" i="3"/>
  <c r="B232" i="3"/>
  <c r="C222" i="2"/>
  <c r="D222" i="2"/>
  <c r="F223" i="2"/>
  <c r="B223" i="2"/>
  <c r="C307" i="9" l="1"/>
  <c r="D307" i="9"/>
  <c r="E308" i="9"/>
  <c r="B308" i="9"/>
  <c r="D303" i="8"/>
  <c r="C303" i="8"/>
  <c r="E304" i="8"/>
  <c r="B304" i="8"/>
  <c r="D229" i="6"/>
  <c r="C229" i="6"/>
  <c r="F230" i="6"/>
  <c r="B230" i="6"/>
  <c r="D230" i="7"/>
  <c r="C230" i="7"/>
  <c r="F231" i="7"/>
  <c r="B231" i="7"/>
  <c r="D227" i="5"/>
  <c r="C227" i="5"/>
  <c r="E228" i="5"/>
  <c r="B228" i="5"/>
  <c r="C153" i="1"/>
  <c r="D153" i="1" s="1"/>
  <c r="F153" i="1" s="1"/>
  <c r="C223" i="2"/>
  <c r="D223" i="2"/>
  <c r="F224" i="2"/>
  <c r="B224" i="2"/>
  <c r="C232" i="3"/>
  <c r="D232" i="3"/>
  <c r="F233" i="3"/>
  <c r="B233" i="3"/>
  <c r="D308" i="9" l="1"/>
  <c r="C308" i="9"/>
  <c r="E309" i="9"/>
  <c r="B309" i="9"/>
  <c r="D304" i="8"/>
  <c r="C304" i="8"/>
  <c r="E305" i="8"/>
  <c r="B305" i="8"/>
  <c r="D230" i="6"/>
  <c r="C230" i="6"/>
  <c r="F231" i="6"/>
  <c r="B231" i="6"/>
  <c r="F232" i="7"/>
  <c r="B232" i="7"/>
  <c r="D231" i="7"/>
  <c r="C231" i="7"/>
  <c r="D228" i="5"/>
  <c r="C228" i="5"/>
  <c r="E229" i="5"/>
  <c r="B229" i="5"/>
  <c r="B154" i="1"/>
  <c r="F225" i="2"/>
  <c r="B225" i="2"/>
  <c r="F234" i="3"/>
  <c r="B234" i="3"/>
  <c r="D233" i="3"/>
  <c r="C233" i="3"/>
  <c r="C224" i="2"/>
  <c r="D224" i="2"/>
  <c r="E310" i="9" l="1"/>
  <c r="B310" i="9"/>
  <c r="D309" i="9"/>
  <c r="C309" i="9"/>
  <c r="D305" i="8"/>
  <c r="C305" i="8"/>
  <c r="E306" i="8"/>
  <c r="B306" i="8"/>
  <c r="D231" i="6"/>
  <c r="C231" i="6"/>
  <c r="F232" i="6"/>
  <c r="B232" i="6"/>
  <c r="D232" i="7"/>
  <c r="C232" i="7"/>
  <c r="F233" i="7"/>
  <c r="B233" i="7"/>
  <c r="D229" i="5"/>
  <c r="C229" i="5"/>
  <c r="E230" i="5"/>
  <c r="B230" i="5"/>
  <c r="C154" i="1"/>
  <c r="D154" i="1" s="1"/>
  <c r="F154" i="1" s="1"/>
  <c r="C234" i="3"/>
  <c r="D234" i="3"/>
  <c r="F235" i="3"/>
  <c r="B235" i="3"/>
  <c r="C225" i="2"/>
  <c r="D225" i="2"/>
  <c r="F226" i="2"/>
  <c r="B226" i="2"/>
  <c r="D310" i="9" l="1"/>
  <c r="C310" i="9"/>
  <c r="E311" i="9"/>
  <c r="B311" i="9"/>
  <c r="D306" i="8"/>
  <c r="C306" i="8"/>
  <c r="E307" i="8"/>
  <c r="B307" i="8"/>
  <c r="D232" i="6"/>
  <c r="C232" i="6"/>
  <c r="F233" i="6"/>
  <c r="B233" i="6"/>
  <c r="D233" i="7"/>
  <c r="C233" i="7"/>
  <c r="F234" i="7"/>
  <c r="B234" i="7"/>
  <c r="D230" i="5"/>
  <c r="C230" i="5"/>
  <c r="E231" i="5"/>
  <c r="B231" i="5"/>
  <c r="B155" i="1"/>
  <c r="F227" i="2"/>
  <c r="B227" i="2"/>
  <c r="D235" i="3"/>
  <c r="C235" i="3"/>
  <c r="C226" i="2"/>
  <c r="D226" i="2"/>
  <c r="F236" i="3"/>
  <c r="B236" i="3"/>
  <c r="D311" i="9" l="1"/>
  <c r="C311" i="9"/>
  <c r="E312" i="9"/>
  <c r="B312" i="9"/>
  <c r="D307" i="8"/>
  <c r="C307" i="8"/>
  <c r="E308" i="8"/>
  <c r="B308" i="8"/>
  <c r="C233" i="6"/>
  <c r="D233" i="6"/>
  <c r="F234" i="6"/>
  <c r="B234" i="6"/>
  <c r="D234" i="7"/>
  <c r="C234" i="7"/>
  <c r="F235" i="7"/>
  <c r="B235" i="7"/>
  <c r="D231" i="5"/>
  <c r="C231" i="5"/>
  <c r="E232" i="5"/>
  <c r="B232" i="5"/>
  <c r="C155" i="1"/>
  <c r="D155" i="1" s="1"/>
  <c r="F155" i="1" s="1"/>
  <c r="D236" i="3"/>
  <c r="C236" i="3"/>
  <c r="F237" i="3"/>
  <c r="B237" i="3"/>
  <c r="F228" i="2"/>
  <c r="B228" i="2"/>
  <c r="C227" i="2"/>
  <c r="D227" i="2"/>
  <c r="D312" i="9" l="1"/>
  <c r="C312" i="9"/>
  <c r="E313" i="9"/>
  <c r="B313" i="9"/>
  <c r="D308" i="8"/>
  <c r="C308" i="8"/>
  <c r="E309" i="8"/>
  <c r="B309" i="8"/>
  <c r="D234" i="6"/>
  <c r="C234" i="6"/>
  <c r="F235" i="6"/>
  <c r="B235" i="6"/>
  <c r="D235" i="7"/>
  <c r="C235" i="7"/>
  <c r="F236" i="7"/>
  <c r="B236" i="7"/>
  <c r="D232" i="5"/>
  <c r="C232" i="5"/>
  <c r="E233" i="5"/>
  <c r="B233" i="5"/>
  <c r="B156" i="1"/>
  <c r="F229" i="2"/>
  <c r="B229" i="2"/>
  <c r="F238" i="3"/>
  <c r="B238" i="3"/>
  <c r="D237" i="3"/>
  <c r="C237" i="3"/>
  <c r="C228" i="2"/>
  <c r="D228" i="2"/>
  <c r="D313" i="9" l="1"/>
  <c r="C313" i="9"/>
  <c r="E314" i="9"/>
  <c r="B314" i="9"/>
  <c r="D309" i="8"/>
  <c r="C309" i="8"/>
  <c r="E310" i="8"/>
  <c r="B310" i="8"/>
  <c r="D235" i="6"/>
  <c r="C235" i="6"/>
  <c r="F236" i="6"/>
  <c r="B236" i="6"/>
  <c r="D236" i="7"/>
  <c r="C236" i="7"/>
  <c r="F237" i="7"/>
  <c r="B237" i="7"/>
  <c r="D233" i="5"/>
  <c r="C233" i="5"/>
  <c r="E234" i="5"/>
  <c r="B234" i="5"/>
  <c r="C156" i="1"/>
  <c r="D156" i="1" s="1"/>
  <c r="F156" i="1" s="1"/>
  <c r="D238" i="3"/>
  <c r="C238" i="3"/>
  <c r="F239" i="3"/>
  <c r="B239" i="3"/>
  <c r="C229" i="2"/>
  <c r="D229" i="2"/>
  <c r="F230" i="2"/>
  <c r="B230" i="2"/>
  <c r="D314" i="9" l="1"/>
  <c r="C314" i="9"/>
  <c r="E315" i="9"/>
  <c r="B315" i="9"/>
  <c r="D310" i="8"/>
  <c r="C310" i="8"/>
  <c r="E311" i="8"/>
  <c r="B311" i="8"/>
  <c r="D236" i="6"/>
  <c r="C236" i="6"/>
  <c r="F237" i="6"/>
  <c r="B237" i="6"/>
  <c r="C237" i="7"/>
  <c r="D237" i="7"/>
  <c r="F238" i="7"/>
  <c r="B238" i="7"/>
  <c r="D234" i="5"/>
  <c r="C234" i="5"/>
  <c r="E235" i="5"/>
  <c r="B235" i="5"/>
  <c r="B157" i="1"/>
  <c r="C230" i="2"/>
  <c r="D230" i="2"/>
  <c r="D239" i="3"/>
  <c r="C239" i="3"/>
  <c r="F240" i="3"/>
  <c r="B240" i="3"/>
  <c r="F231" i="2"/>
  <c r="B231" i="2"/>
  <c r="D315" i="9" l="1"/>
  <c r="C315" i="9"/>
  <c r="E316" i="9"/>
  <c r="B316" i="9"/>
  <c r="D311" i="8"/>
  <c r="C311" i="8"/>
  <c r="E312" i="8"/>
  <c r="B312" i="8"/>
  <c r="D237" i="6"/>
  <c r="C237" i="6"/>
  <c r="F238" i="6"/>
  <c r="B238" i="6"/>
  <c r="D238" i="7"/>
  <c r="C238" i="7"/>
  <c r="F239" i="7"/>
  <c r="B239" i="7"/>
  <c r="D235" i="5"/>
  <c r="C235" i="5"/>
  <c r="E236" i="5"/>
  <c r="B236" i="5"/>
  <c r="C157" i="1"/>
  <c r="D157" i="1" s="1"/>
  <c r="F157" i="1" s="1"/>
  <c r="C231" i="2"/>
  <c r="D231" i="2"/>
  <c r="D240" i="3"/>
  <c r="C240" i="3"/>
  <c r="F232" i="2"/>
  <c r="B232" i="2"/>
  <c r="F241" i="3"/>
  <c r="B241" i="3"/>
  <c r="D316" i="9" l="1"/>
  <c r="C316" i="9"/>
  <c r="E317" i="9"/>
  <c r="B317" i="9"/>
  <c r="D312" i="8"/>
  <c r="C312" i="8"/>
  <c r="E313" i="8"/>
  <c r="B313" i="8"/>
  <c r="D238" i="6"/>
  <c r="C238" i="6"/>
  <c r="B239" i="6"/>
  <c r="F239" i="6"/>
  <c r="D239" i="7"/>
  <c r="C239" i="7"/>
  <c r="F240" i="7"/>
  <c r="B240" i="7"/>
  <c r="C236" i="5"/>
  <c r="D236" i="5"/>
  <c r="E237" i="5"/>
  <c r="B237" i="5"/>
  <c r="B158" i="1"/>
  <c r="C241" i="3"/>
  <c r="D241" i="3"/>
  <c r="F233" i="2"/>
  <c r="B233" i="2"/>
  <c r="F242" i="3"/>
  <c r="B242" i="3"/>
  <c r="C232" i="2"/>
  <c r="D232" i="2"/>
  <c r="E318" i="9" l="1"/>
  <c r="B318" i="9"/>
  <c r="D317" i="9"/>
  <c r="C317" i="9"/>
  <c r="D313" i="8"/>
  <c r="C313" i="8"/>
  <c r="E314" i="8"/>
  <c r="B314" i="8"/>
  <c r="F240" i="6"/>
  <c r="B240" i="6"/>
  <c r="D239" i="6"/>
  <c r="C239" i="6"/>
  <c r="D240" i="7"/>
  <c r="C240" i="7"/>
  <c r="F241" i="7"/>
  <c r="B241" i="7"/>
  <c r="D237" i="5"/>
  <c r="C237" i="5"/>
  <c r="E238" i="5"/>
  <c r="B238" i="5"/>
  <c r="C158" i="1"/>
  <c r="D158" i="1" s="1"/>
  <c r="F158" i="1" s="1"/>
  <c r="D242" i="3"/>
  <c r="C242" i="3"/>
  <c r="C233" i="2"/>
  <c r="D233" i="2"/>
  <c r="F243" i="3"/>
  <c r="B243" i="3"/>
  <c r="F234" i="2"/>
  <c r="B234" i="2"/>
  <c r="D318" i="9" l="1"/>
  <c r="C318" i="9"/>
  <c r="E319" i="9"/>
  <c r="B319" i="9"/>
  <c r="D314" i="8"/>
  <c r="C314" i="8"/>
  <c r="E315" i="8"/>
  <c r="B315" i="8"/>
  <c r="D240" i="6"/>
  <c r="C240" i="6"/>
  <c r="F241" i="6"/>
  <c r="B241" i="6"/>
  <c r="F242" i="7"/>
  <c r="B242" i="7"/>
  <c r="C241" i="7"/>
  <c r="D241" i="7"/>
  <c r="C238" i="5"/>
  <c r="D238" i="5"/>
  <c r="E239" i="5"/>
  <c r="B239" i="5"/>
  <c r="B159" i="1"/>
  <c r="D243" i="3"/>
  <c r="C243" i="3"/>
  <c r="F244" i="3"/>
  <c r="B244" i="3"/>
  <c r="C234" i="2"/>
  <c r="D234" i="2"/>
  <c r="F235" i="2"/>
  <c r="B235" i="2"/>
  <c r="D319" i="9" l="1"/>
  <c r="C319" i="9"/>
  <c r="E320" i="9"/>
  <c r="B320" i="9"/>
  <c r="D315" i="8"/>
  <c r="C315" i="8"/>
  <c r="E316" i="8"/>
  <c r="B316" i="8"/>
  <c r="C241" i="6"/>
  <c r="D241" i="6"/>
  <c r="F242" i="6"/>
  <c r="B242" i="6"/>
  <c r="D242" i="7"/>
  <c r="C242" i="7"/>
  <c r="F243" i="7"/>
  <c r="B243" i="7"/>
  <c r="D239" i="5"/>
  <c r="C239" i="5"/>
  <c r="E240" i="5"/>
  <c r="B240" i="5"/>
  <c r="C159" i="1"/>
  <c r="D159" i="1"/>
  <c r="F159" i="1" s="1"/>
  <c r="C235" i="2"/>
  <c r="D235" i="2"/>
  <c r="D244" i="3"/>
  <c r="C244" i="3"/>
  <c r="F236" i="2"/>
  <c r="B236" i="2"/>
  <c r="F245" i="3"/>
  <c r="B245" i="3"/>
  <c r="D320" i="9" l="1"/>
  <c r="C320" i="9"/>
  <c r="E321" i="9"/>
  <c r="B321" i="9"/>
  <c r="D316" i="8"/>
  <c r="C316" i="8"/>
  <c r="E317" i="8"/>
  <c r="B317" i="8"/>
  <c r="D242" i="6"/>
  <c r="C242" i="6"/>
  <c r="B243" i="6"/>
  <c r="F243" i="6"/>
  <c r="D243" i="7"/>
  <c r="C243" i="7"/>
  <c r="F244" i="7"/>
  <c r="B244" i="7"/>
  <c r="D240" i="5"/>
  <c r="C240" i="5"/>
  <c r="E241" i="5"/>
  <c r="B241" i="5"/>
  <c r="B160" i="1"/>
  <c r="C236" i="2"/>
  <c r="D236" i="2"/>
  <c r="D245" i="3"/>
  <c r="C245" i="3"/>
  <c r="F246" i="3"/>
  <c r="B246" i="3"/>
  <c r="F237" i="2"/>
  <c r="B237" i="2"/>
  <c r="E322" i="9" l="1"/>
  <c r="B322" i="9"/>
  <c r="D321" i="9"/>
  <c r="C321" i="9"/>
  <c r="D317" i="8"/>
  <c r="C317" i="8"/>
  <c r="E318" i="8"/>
  <c r="B318" i="8"/>
  <c r="F244" i="6"/>
  <c r="B244" i="6"/>
  <c r="C243" i="6"/>
  <c r="D243" i="6"/>
  <c r="D244" i="7"/>
  <c r="C244" i="7"/>
  <c r="F245" i="7"/>
  <c r="B245" i="7"/>
  <c r="D241" i="5"/>
  <c r="C241" i="5"/>
  <c r="E242" i="5"/>
  <c r="B242" i="5"/>
  <c r="C160" i="1"/>
  <c r="D160" i="1" s="1"/>
  <c r="F160" i="1" s="1"/>
  <c r="F238" i="2"/>
  <c r="B238" i="2"/>
  <c r="C237" i="2"/>
  <c r="D237" i="2"/>
  <c r="D246" i="3"/>
  <c r="C246" i="3"/>
  <c r="F247" i="3"/>
  <c r="B247" i="3"/>
  <c r="D322" i="9" l="1"/>
  <c r="C322" i="9"/>
  <c r="E323" i="9"/>
  <c r="B323" i="9"/>
  <c r="D318" i="8"/>
  <c r="C318" i="8"/>
  <c r="E319" i="8"/>
  <c r="B319" i="8"/>
  <c r="D244" i="6"/>
  <c r="C244" i="6"/>
  <c r="F245" i="6"/>
  <c r="B245" i="6"/>
  <c r="F246" i="7"/>
  <c r="B246" i="7"/>
  <c r="C245" i="7"/>
  <c r="D245" i="7"/>
  <c r="D242" i="5"/>
  <c r="C242" i="5"/>
  <c r="E243" i="5"/>
  <c r="B243" i="5"/>
  <c r="B161" i="1"/>
  <c r="D247" i="3"/>
  <c r="C247" i="3"/>
  <c r="C238" i="2"/>
  <c r="D238" i="2"/>
  <c r="F239" i="2"/>
  <c r="B239" i="2"/>
  <c r="F248" i="3"/>
  <c r="B248" i="3"/>
  <c r="D323" i="9" l="1"/>
  <c r="C323" i="9"/>
  <c r="E324" i="9"/>
  <c r="B324" i="9"/>
  <c r="D319" i="8"/>
  <c r="C319" i="8"/>
  <c r="E320" i="8"/>
  <c r="B320" i="8"/>
  <c r="C245" i="6"/>
  <c r="D245" i="6"/>
  <c r="F246" i="6"/>
  <c r="B246" i="6"/>
  <c r="D246" i="7"/>
  <c r="C246" i="7"/>
  <c r="F247" i="7"/>
  <c r="B247" i="7"/>
  <c r="D243" i="5"/>
  <c r="C243" i="5"/>
  <c r="E244" i="5"/>
  <c r="B244" i="5"/>
  <c r="C161" i="1"/>
  <c r="D161" i="1" s="1"/>
  <c r="F161" i="1" s="1"/>
  <c r="D248" i="3"/>
  <c r="C248" i="3"/>
  <c r="F249" i="3"/>
  <c r="B249" i="3"/>
  <c r="C239" i="2"/>
  <c r="D239" i="2"/>
  <c r="F240" i="2"/>
  <c r="B240" i="2"/>
  <c r="D324" i="9" l="1"/>
  <c r="C324" i="9"/>
  <c r="E325" i="9"/>
  <c r="B325" i="9"/>
  <c r="D320" i="8"/>
  <c r="C320" i="8"/>
  <c r="E321" i="8"/>
  <c r="B321" i="8"/>
  <c r="D246" i="6"/>
  <c r="C246" i="6"/>
  <c r="F247" i="6"/>
  <c r="B247" i="6"/>
  <c r="D247" i="7"/>
  <c r="C247" i="7"/>
  <c r="F248" i="7"/>
  <c r="B248" i="7"/>
  <c r="D244" i="5"/>
  <c r="C244" i="5"/>
  <c r="E245" i="5"/>
  <c r="B245" i="5"/>
  <c r="B162" i="1"/>
  <c r="F250" i="3"/>
  <c r="B250" i="3"/>
  <c r="C240" i="2"/>
  <c r="D240" i="2"/>
  <c r="D249" i="3"/>
  <c r="C249" i="3"/>
  <c r="F241" i="2"/>
  <c r="B241" i="2"/>
  <c r="E326" i="9" l="1"/>
  <c r="B326" i="9"/>
  <c r="D325" i="9"/>
  <c r="C325" i="9"/>
  <c r="D321" i="8"/>
  <c r="C321" i="8"/>
  <c r="E322" i="8"/>
  <c r="B322" i="8"/>
  <c r="D247" i="6"/>
  <c r="C247" i="6"/>
  <c r="F248" i="6"/>
  <c r="B248" i="6"/>
  <c r="D248" i="7"/>
  <c r="C248" i="7"/>
  <c r="F249" i="7"/>
  <c r="B249" i="7"/>
  <c r="D245" i="5"/>
  <c r="C245" i="5"/>
  <c r="E246" i="5"/>
  <c r="B246" i="5"/>
  <c r="D162" i="1"/>
  <c r="F162" i="1" s="1"/>
  <c r="C162" i="1"/>
  <c r="F242" i="2"/>
  <c r="B242" i="2"/>
  <c r="C250" i="3"/>
  <c r="D250" i="3"/>
  <c r="F251" i="3"/>
  <c r="B251" i="3"/>
  <c r="C241" i="2"/>
  <c r="D241" i="2"/>
  <c r="D326" i="9" l="1"/>
  <c r="C326" i="9"/>
  <c r="E327" i="9"/>
  <c r="B327" i="9"/>
  <c r="D322" i="8"/>
  <c r="C322" i="8"/>
  <c r="E323" i="8"/>
  <c r="B323" i="8"/>
  <c r="B249" i="6"/>
  <c r="F249" i="6"/>
  <c r="D248" i="6"/>
  <c r="C248" i="6"/>
  <c r="D249" i="7"/>
  <c r="C249" i="7"/>
  <c r="F250" i="7"/>
  <c r="B250" i="7"/>
  <c r="D246" i="5"/>
  <c r="C246" i="5"/>
  <c r="E247" i="5"/>
  <c r="B247" i="5"/>
  <c r="B163" i="1"/>
  <c r="C242" i="2"/>
  <c r="D242" i="2"/>
  <c r="F243" i="2"/>
  <c r="B243" i="2"/>
  <c r="D251" i="3"/>
  <c r="C251" i="3"/>
  <c r="F252" i="3"/>
  <c r="B252" i="3"/>
  <c r="D327" i="9" l="1"/>
  <c r="C327" i="9"/>
  <c r="E328" i="9"/>
  <c r="B328" i="9"/>
  <c r="D323" i="8"/>
  <c r="C323" i="8"/>
  <c r="E324" i="8"/>
  <c r="B324" i="8"/>
  <c r="F250" i="6"/>
  <c r="B250" i="6"/>
  <c r="D249" i="6"/>
  <c r="C249" i="6"/>
  <c r="D250" i="7"/>
  <c r="C250" i="7"/>
  <c r="F251" i="7"/>
  <c r="B251" i="7"/>
  <c r="D247" i="5"/>
  <c r="C247" i="5"/>
  <c r="E248" i="5"/>
  <c r="B248" i="5"/>
  <c r="C163" i="1"/>
  <c r="D163" i="1" s="1"/>
  <c r="F163" i="1" s="1"/>
  <c r="D252" i="3"/>
  <c r="C252" i="3"/>
  <c r="F253" i="3"/>
  <c r="B253" i="3"/>
  <c r="C243" i="2"/>
  <c r="D243" i="2"/>
  <c r="F244" i="2"/>
  <c r="B244" i="2"/>
  <c r="D328" i="9" l="1"/>
  <c r="C328" i="9"/>
  <c r="E329" i="9"/>
  <c r="B329" i="9"/>
  <c r="D324" i="8"/>
  <c r="C324" i="8"/>
  <c r="E325" i="8"/>
  <c r="B325" i="8"/>
  <c r="D250" i="6"/>
  <c r="C250" i="6"/>
  <c r="F251" i="6"/>
  <c r="B251" i="6"/>
  <c r="F252" i="7"/>
  <c r="B252" i="7"/>
  <c r="D251" i="7"/>
  <c r="C251" i="7"/>
  <c r="C248" i="5"/>
  <c r="D248" i="5"/>
  <c r="E249" i="5"/>
  <c r="B249" i="5"/>
  <c r="B164" i="1"/>
  <c r="F245" i="2"/>
  <c r="B245" i="2"/>
  <c r="C244" i="2"/>
  <c r="D244" i="2"/>
  <c r="F254" i="3"/>
  <c r="B254" i="3"/>
  <c r="D253" i="3"/>
  <c r="C253" i="3"/>
  <c r="C329" i="9" l="1"/>
  <c r="D329" i="9"/>
  <c r="E330" i="9"/>
  <c r="B330" i="9"/>
  <c r="D325" i="8"/>
  <c r="C325" i="8"/>
  <c r="E326" i="8"/>
  <c r="B326" i="8"/>
  <c r="D251" i="6"/>
  <c r="C251" i="6"/>
  <c r="F252" i="6"/>
  <c r="B252" i="6"/>
  <c r="D252" i="7"/>
  <c r="C252" i="7"/>
  <c r="F253" i="7"/>
  <c r="B253" i="7"/>
  <c r="D249" i="5"/>
  <c r="C249" i="5"/>
  <c r="E250" i="5"/>
  <c r="B250" i="5"/>
  <c r="C164" i="1"/>
  <c r="D164" i="1" s="1"/>
  <c r="F164" i="1" s="1"/>
  <c r="F255" i="3"/>
  <c r="B255" i="3"/>
  <c r="D254" i="3"/>
  <c r="C254" i="3"/>
  <c r="C245" i="2"/>
  <c r="D245" i="2"/>
  <c r="F246" i="2"/>
  <c r="B246" i="2"/>
  <c r="E331" i="9" l="1"/>
  <c r="B331" i="9"/>
  <c r="D330" i="9"/>
  <c r="C330" i="9"/>
  <c r="D326" i="8"/>
  <c r="C326" i="8"/>
  <c r="E327" i="8"/>
  <c r="B327" i="8"/>
  <c r="D252" i="6"/>
  <c r="C252" i="6"/>
  <c r="B253" i="6"/>
  <c r="F253" i="6"/>
  <c r="D253" i="7"/>
  <c r="C253" i="7"/>
  <c r="F254" i="7"/>
  <c r="B254" i="7"/>
  <c r="E251" i="5"/>
  <c r="B251" i="5"/>
  <c r="D250" i="5"/>
  <c r="C250" i="5"/>
  <c r="B165" i="1"/>
  <c r="C246" i="2"/>
  <c r="D246" i="2"/>
  <c r="F247" i="2"/>
  <c r="B247" i="2"/>
  <c r="D255" i="3"/>
  <c r="C255" i="3"/>
  <c r="F256" i="3"/>
  <c r="B256" i="3"/>
  <c r="C331" i="9" l="1"/>
  <c r="D331" i="9"/>
  <c r="E332" i="9"/>
  <c r="B332" i="9"/>
  <c r="D327" i="8"/>
  <c r="C327" i="8"/>
  <c r="E328" i="8"/>
  <c r="B328" i="8"/>
  <c r="F254" i="6"/>
  <c r="B254" i="6"/>
  <c r="D253" i="6"/>
  <c r="C253" i="6"/>
  <c r="D254" i="7"/>
  <c r="C254" i="7"/>
  <c r="F255" i="7"/>
  <c r="B255" i="7"/>
  <c r="D251" i="5"/>
  <c r="C251" i="5"/>
  <c r="E252" i="5"/>
  <c r="B252" i="5"/>
  <c r="C165" i="1"/>
  <c r="D165" i="1" s="1"/>
  <c r="F165" i="1" s="1"/>
  <c r="F257" i="3"/>
  <c r="B257" i="3"/>
  <c r="D256" i="3"/>
  <c r="C256" i="3"/>
  <c r="C247" i="2"/>
  <c r="D247" i="2"/>
  <c r="F248" i="2"/>
  <c r="B248" i="2"/>
  <c r="D332" i="9" l="1"/>
  <c r="C332" i="9"/>
  <c r="E333" i="9"/>
  <c r="B333" i="9"/>
  <c r="D328" i="8"/>
  <c r="C328" i="8"/>
  <c r="E329" i="8"/>
  <c r="B329" i="8"/>
  <c r="D254" i="6"/>
  <c r="C254" i="6"/>
  <c r="F255" i="6"/>
  <c r="B255" i="6"/>
  <c r="D255" i="7"/>
  <c r="C255" i="7"/>
  <c r="F256" i="7"/>
  <c r="B256" i="7"/>
  <c r="C252" i="5"/>
  <c r="D252" i="5"/>
  <c r="E253" i="5"/>
  <c r="B253" i="5"/>
  <c r="B166" i="1"/>
  <c r="C248" i="2"/>
  <c r="D248" i="2"/>
  <c r="F249" i="2"/>
  <c r="B249" i="2"/>
  <c r="C257" i="3"/>
  <c r="D257" i="3"/>
  <c r="F258" i="3"/>
  <c r="B258" i="3"/>
  <c r="E334" i="9" l="1"/>
  <c r="B334" i="9"/>
  <c r="D333" i="9"/>
  <c r="C333" i="9"/>
  <c r="D329" i="8"/>
  <c r="C329" i="8"/>
  <c r="E330" i="8"/>
  <c r="B330" i="8"/>
  <c r="D255" i="6"/>
  <c r="C255" i="6"/>
  <c r="F256" i="6"/>
  <c r="B256" i="6"/>
  <c r="D256" i="7"/>
  <c r="C256" i="7"/>
  <c r="F257" i="7"/>
  <c r="B257" i="7"/>
  <c r="E254" i="5"/>
  <c r="B254" i="5"/>
  <c r="D253" i="5"/>
  <c r="C253" i="5"/>
  <c r="C166" i="1"/>
  <c r="D166" i="1" s="1"/>
  <c r="F166" i="1" s="1"/>
  <c r="C249" i="2"/>
  <c r="D249" i="2"/>
  <c r="F250" i="2"/>
  <c r="B250" i="2"/>
  <c r="D258" i="3"/>
  <c r="C258" i="3"/>
  <c r="F259" i="3"/>
  <c r="B259" i="3"/>
  <c r="D334" i="9" l="1"/>
  <c r="C334" i="9"/>
  <c r="E335" i="9"/>
  <c r="B335" i="9"/>
  <c r="D330" i="8"/>
  <c r="C330" i="8"/>
  <c r="E331" i="8"/>
  <c r="B331" i="8"/>
  <c r="D256" i="6"/>
  <c r="C256" i="6"/>
  <c r="F257" i="6"/>
  <c r="B257" i="6"/>
  <c r="D257" i="7"/>
  <c r="C257" i="7"/>
  <c r="F258" i="7"/>
  <c r="B258" i="7"/>
  <c r="D254" i="5"/>
  <c r="C254" i="5"/>
  <c r="E255" i="5"/>
  <c r="B255" i="5"/>
  <c r="B167" i="1"/>
  <c r="D259" i="3"/>
  <c r="C259" i="3"/>
  <c r="F260" i="3"/>
  <c r="B260" i="3"/>
  <c r="C250" i="2"/>
  <c r="D250" i="2"/>
  <c r="F251" i="2"/>
  <c r="B251" i="2"/>
  <c r="D335" i="9" l="1"/>
  <c r="C335" i="9"/>
  <c r="E336" i="9"/>
  <c r="B336" i="9"/>
  <c r="D331" i="8"/>
  <c r="C331" i="8"/>
  <c r="E332" i="8"/>
  <c r="B332" i="8"/>
  <c r="D257" i="6"/>
  <c r="C257" i="6"/>
  <c r="F258" i="6"/>
  <c r="B258" i="6"/>
  <c r="D258" i="7"/>
  <c r="C258" i="7"/>
  <c r="F259" i="7"/>
  <c r="B259" i="7"/>
  <c r="E256" i="5"/>
  <c r="B256" i="5"/>
  <c r="D255" i="5"/>
  <c r="C255" i="5"/>
  <c r="C167" i="1"/>
  <c r="D167" i="1" s="1"/>
  <c r="F167" i="1" s="1"/>
  <c r="F252" i="2"/>
  <c r="B252" i="2"/>
  <c r="C251" i="2"/>
  <c r="D251" i="2"/>
  <c r="D260" i="3"/>
  <c r="C260" i="3"/>
  <c r="F261" i="3"/>
  <c r="B261" i="3"/>
  <c r="D336" i="9" l="1"/>
  <c r="C336" i="9"/>
  <c r="E337" i="9"/>
  <c r="B337" i="9"/>
  <c r="D332" i="8"/>
  <c r="C332" i="8"/>
  <c r="E333" i="8"/>
  <c r="B333" i="8"/>
  <c r="D258" i="6"/>
  <c r="C258" i="6"/>
  <c r="B259" i="6"/>
  <c r="F259" i="6"/>
  <c r="D259" i="7"/>
  <c r="C259" i="7"/>
  <c r="F260" i="7"/>
  <c r="B260" i="7"/>
  <c r="D256" i="5"/>
  <c r="C256" i="5"/>
  <c r="E257" i="5"/>
  <c r="B257" i="5"/>
  <c r="B168" i="1"/>
  <c r="D261" i="3"/>
  <c r="C261" i="3"/>
  <c r="C252" i="2"/>
  <c r="D252" i="2"/>
  <c r="F262" i="3"/>
  <c r="B262" i="3"/>
  <c r="F253" i="2"/>
  <c r="B253" i="2"/>
  <c r="E338" i="9" l="1"/>
  <c r="B338" i="9"/>
  <c r="D337" i="9"/>
  <c r="C337" i="9"/>
  <c r="D333" i="8"/>
  <c r="C333" i="8"/>
  <c r="E334" i="8"/>
  <c r="B334" i="8"/>
  <c r="F260" i="6"/>
  <c r="B260" i="6"/>
  <c r="C259" i="6"/>
  <c r="D259" i="6"/>
  <c r="D260" i="7"/>
  <c r="C260" i="7"/>
  <c r="F261" i="7"/>
  <c r="B261" i="7"/>
  <c r="E258" i="5"/>
  <c r="B258" i="5"/>
  <c r="D257" i="5"/>
  <c r="C257" i="5"/>
  <c r="C168" i="1"/>
  <c r="D168" i="1" s="1"/>
  <c r="F168" i="1" s="1"/>
  <c r="F263" i="3"/>
  <c r="B263" i="3"/>
  <c r="D262" i="3"/>
  <c r="C262" i="3"/>
  <c r="C253" i="2"/>
  <c r="D253" i="2"/>
  <c r="F254" i="2"/>
  <c r="B254" i="2"/>
  <c r="D338" i="9" l="1"/>
  <c r="C338" i="9"/>
  <c r="E339" i="9"/>
  <c r="B339" i="9"/>
  <c r="D334" i="8"/>
  <c r="C334" i="8"/>
  <c r="E335" i="8"/>
  <c r="B335" i="8"/>
  <c r="D260" i="6"/>
  <c r="C260" i="6"/>
  <c r="F261" i="6"/>
  <c r="B261" i="6"/>
  <c r="D261" i="7"/>
  <c r="C261" i="7"/>
  <c r="F262" i="7"/>
  <c r="B262" i="7"/>
  <c r="D258" i="5"/>
  <c r="C258" i="5"/>
  <c r="E259" i="5"/>
  <c r="B259" i="5"/>
  <c r="B169" i="1"/>
  <c r="F255" i="2"/>
  <c r="B255" i="2"/>
  <c r="C254" i="2"/>
  <c r="D254" i="2"/>
  <c r="D263" i="3"/>
  <c r="C263" i="3"/>
  <c r="F264" i="3"/>
  <c r="B264" i="3"/>
  <c r="E340" i="9" l="1"/>
  <c r="B340" i="9"/>
  <c r="C339" i="9"/>
  <c r="D339" i="9"/>
  <c r="D335" i="8"/>
  <c r="C335" i="8"/>
  <c r="E336" i="8"/>
  <c r="B336" i="8"/>
  <c r="C261" i="6"/>
  <c r="D261" i="6"/>
  <c r="F262" i="6"/>
  <c r="B262" i="6"/>
  <c r="D262" i="7"/>
  <c r="C262" i="7"/>
  <c r="F263" i="7"/>
  <c r="B263" i="7"/>
  <c r="E260" i="5"/>
  <c r="B260" i="5"/>
  <c r="D259" i="5"/>
  <c r="C259" i="5"/>
  <c r="C169" i="1"/>
  <c r="D169" i="1" s="1"/>
  <c r="F169" i="1" s="1"/>
  <c r="D264" i="3"/>
  <c r="C264" i="3"/>
  <c r="C255" i="2"/>
  <c r="D255" i="2"/>
  <c r="F265" i="3"/>
  <c r="B265" i="3"/>
  <c r="F256" i="2"/>
  <c r="B256" i="2"/>
  <c r="D340" i="9" l="1"/>
  <c r="C340" i="9"/>
  <c r="E341" i="9"/>
  <c r="B341" i="9"/>
  <c r="D336" i="8"/>
  <c r="C336" i="8"/>
  <c r="E337" i="8"/>
  <c r="B337" i="8"/>
  <c r="D262" i="6"/>
  <c r="C262" i="6"/>
  <c r="F263" i="6"/>
  <c r="B263" i="6"/>
  <c r="D263" i="7"/>
  <c r="C263" i="7"/>
  <c r="F264" i="7"/>
  <c r="B264" i="7"/>
  <c r="D260" i="5"/>
  <c r="C260" i="5"/>
  <c r="E261" i="5"/>
  <c r="B261" i="5"/>
  <c r="B170" i="1"/>
  <c r="F257" i="2"/>
  <c r="B257" i="2"/>
  <c r="C256" i="2"/>
  <c r="D256" i="2"/>
  <c r="F266" i="3"/>
  <c r="B266" i="3"/>
  <c r="D265" i="3"/>
  <c r="C265" i="3"/>
  <c r="E342" i="9" l="1"/>
  <c r="B342" i="9"/>
  <c r="D341" i="9"/>
  <c r="C341" i="9"/>
  <c r="D337" i="8"/>
  <c r="C337" i="8"/>
  <c r="E338" i="8"/>
  <c r="B338" i="8"/>
  <c r="C263" i="6"/>
  <c r="D263" i="6"/>
  <c r="F264" i="6"/>
  <c r="B264" i="6"/>
  <c r="D264" i="7"/>
  <c r="C264" i="7"/>
  <c r="F265" i="7"/>
  <c r="B265" i="7"/>
  <c r="E262" i="5"/>
  <c r="B262" i="5"/>
  <c r="D261" i="5"/>
  <c r="C261" i="5"/>
  <c r="C170" i="1"/>
  <c r="D170" i="1" s="1"/>
  <c r="F170" i="1" s="1"/>
  <c r="C266" i="3"/>
  <c r="D266" i="3"/>
  <c r="F267" i="3"/>
  <c r="B267" i="3"/>
  <c r="C257" i="2"/>
  <c r="D257" i="2"/>
  <c r="F258" i="2"/>
  <c r="B258" i="2"/>
  <c r="D342" i="9" l="1"/>
  <c r="C342" i="9"/>
  <c r="E343" i="9"/>
  <c r="B343" i="9"/>
  <c r="D338" i="8"/>
  <c r="C338" i="8"/>
  <c r="E339" i="8"/>
  <c r="B339" i="8"/>
  <c r="D264" i="6"/>
  <c r="C264" i="6"/>
  <c r="F265" i="6"/>
  <c r="B265" i="6"/>
  <c r="D265" i="7"/>
  <c r="C265" i="7"/>
  <c r="F266" i="7"/>
  <c r="B266" i="7"/>
  <c r="D262" i="5"/>
  <c r="C262" i="5"/>
  <c r="E263" i="5"/>
  <c r="B263" i="5"/>
  <c r="B171" i="1"/>
  <c r="D267" i="3"/>
  <c r="C267" i="3"/>
  <c r="F268" i="3"/>
  <c r="B268" i="3"/>
  <c r="C258" i="2"/>
  <c r="D258" i="2"/>
  <c r="F259" i="2"/>
  <c r="B259" i="2"/>
  <c r="D343" i="9" l="1"/>
  <c r="C343" i="9"/>
  <c r="E344" i="9"/>
  <c r="B344" i="9"/>
  <c r="D339" i="8"/>
  <c r="C339" i="8"/>
  <c r="E340" i="8"/>
  <c r="B340" i="8"/>
  <c r="D265" i="6"/>
  <c r="C265" i="6"/>
  <c r="B266" i="6"/>
  <c r="F266" i="6"/>
  <c r="D266" i="7"/>
  <c r="C266" i="7"/>
  <c r="F267" i="7"/>
  <c r="B267" i="7"/>
  <c r="E264" i="5"/>
  <c r="B264" i="5"/>
  <c r="D263" i="5"/>
  <c r="C263" i="5"/>
  <c r="C171" i="1"/>
  <c r="D171" i="1" s="1"/>
  <c r="F171" i="1" s="1"/>
  <c r="F260" i="2"/>
  <c r="B260" i="2"/>
  <c r="C259" i="2"/>
  <c r="D259" i="2"/>
  <c r="D268" i="3"/>
  <c r="C268" i="3"/>
  <c r="F269" i="3"/>
  <c r="B269" i="3"/>
  <c r="E345" i="9" l="1"/>
  <c r="B345" i="9"/>
  <c r="D344" i="9"/>
  <c r="C344" i="9"/>
  <c r="D340" i="8"/>
  <c r="C340" i="8"/>
  <c r="E341" i="8"/>
  <c r="B341" i="8"/>
  <c r="F267" i="6"/>
  <c r="B267" i="6"/>
  <c r="D266" i="6"/>
  <c r="C266" i="6"/>
  <c r="D267" i="7"/>
  <c r="C267" i="7"/>
  <c r="F268" i="7"/>
  <c r="B268" i="7"/>
  <c r="C264" i="5"/>
  <c r="D264" i="5"/>
  <c r="E265" i="5"/>
  <c r="B265" i="5"/>
  <c r="B172" i="1"/>
  <c r="D269" i="3"/>
  <c r="C269" i="3"/>
  <c r="C260" i="2"/>
  <c r="D260" i="2"/>
  <c r="F270" i="3"/>
  <c r="B270" i="3"/>
  <c r="F261" i="2"/>
  <c r="B261" i="2"/>
  <c r="D345" i="9" l="1"/>
  <c r="C345" i="9"/>
  <c r="E346" i="9"/>
  <c r="B346" i="9"/>
  <c r="D341" i="8"/>
  <c r="C341" i="8"/>
  <c r="E342" i="8"/>
  <c r="B342" i="8"/>
  <c r="C267" i="6"/>
  <c r="D267" i="6"/>
  <c r="F268" i="6"/>
  <c r="B268" i="6"/>
  <c r="D268" i="7"/>
  <c r="C268" i="7"/>
  <c r="F269" i="7"/>
  <c r="B269" i="7"/>
  <c r="D265" i="5"/>
  <c r="C265" i="5"/>
  <c r="E266" i="5"/>
  <c r="B266" i="5"/>
  <c r="C172" i="1"/>
  <c r="D172" i="1"/>
  <c r="F172" i="1" s="1"/>
  <c r="F271" i="3"/>
  <c r="B271" i="3"/>
  <c r="F262" i="2"/>
  <c r="B262" i="2"/>
  <c r="D270" i="3"/>
  <c r="C270" i="3"/>
  <c r="C261" i="2"/>
  <c r="D261" i="2"/>
  <c r="D346" i="9" l="1"/>
  <c r="C346" i="9"/>
  <c r="E347" i="9"/>
  <c r="B347" i="9"/>
  <c r="D342" i="8"/>
  <c r="C342" i="8"/>
  <c r="E343" i="8"/>
  <c r="B343" i="8"/>
  <c r="D268" i="6"/>
  <c r="C268" i="6"/>
  <c r="F269" i="6"/>
  <c r="B269" i="6"/>
  <c r="C269" i="7"/>
  <c r="D269" i="7"/>
  <c r="F270" i="7"/>
  <c r="B270" i="7"/>
  <c r="E267" i="5"/>
  <c r="B267" i="5"/>
  <c r="D266" i="5"/>
  <c r="C266" i="5"/>
  <c r="B173" i="1"/>
  <c r="C262" i="2"/>
  <c r="D262" i="2"/>
  <c r="F263" i="2"/>
  <c r="B263" i="2"/>
  <c r="D271" i="3"/>
  <c r="C271" i="3"/>
  <c r="F272" i="3"/>
  <c r="B272" i="3"/>
  <c r="C347" i="9" l="1"/>
  <c r="D347" i="9"/>
  <c r="E348" i="9"/>
  <c r="B348" i="9"/>
  <c r="D343" i="8"/>
  <c r="C343" i="8"/>
  <c r="E344" i="8"/>
  <c r="B344" i="8"/>
  <c r="D269" i="6"/>
  <c r="C269" i="6"/>
  <c r="F270" i="6"/>
  <c r="B270" i="6"/>
  <c r="D270" i="7"/>
  <c r="C270" i="7"/>
  <c r="F271" i="7"/>
  <c r="B271" i="7"/>
  <c r="D267" i="5"/>
  <c r="C267" i="5"/>
  <c r="E268" i="5"/>
  <c r="B268" i="5"/>
  <c r="C173" i="1"/>
  <c r="D173" i="1"/>
  <c r="F173" i="1" s="1"/>
  <c r="D272" i="3"/>
  <c r="C272" i="3"/>
  <c r="F273" i="3"/>
  <c r="B273" i="3"/>
  <c r="C263" i="2"/>
  <c r="D263" i="2"/>
  <c r="F264" i="2"/>
  <c r="B264" i="2"/>
  <c r="E349" i="9" l="1"/>
  <c r="B349" i="9"/>
  <c r="D348" i="9"/>
  <c r="C348" i="9"/>
  <c r="D344" i="8"/>
  <c r="C344" i="8"/>
  <c r="E345" i="8"/>
  <c r="B345" i="8"/>
  <c r="D270" i="6"/>
  <c r="C270" i="6"/>
  <c r="F271" i="6"/>
  <c r="B271" i="6"/>
  <c r="D271" i="7"/>
  <c r="C271" i="7"/>
  <c r="F272" i="7"/>
  <c r="B272" i="7"/>
  <c r="C268" i="5"/>
  <c r="D268" i="5"/>
  <c r="E269" i="5"/>
  <c r="B269" i="5"/>
  <c r="B174" i="1"/>
  <c r="F265" i="2"/>
  <c r="B265" i="2"/>
  <c r="F274" i="3"/>
  <c r="B274" i="3"/>
  <c r="C264" i="2"/>
  <c r="D264" i="2"/>
  <c r="C273" i="3"/>
  <c r="D273" i="3"/>
  <c r="D349" i="9" l="1"/>
  <c r="C349" i="9"/>
  <c r="E350" i="9"/>
  <c r="B350" i="9"/>
  <c r="D345" i="8"/>
  <c r="C345" i="8"/>
  <c r="E346" i="8"/>
  <c r="B346" i="8"/>
  <c r="B272" i="6"/>
  <c r="F272" i="6"/>
  <c r="D271" i="6"/>
  <c r="C271" i="6"/>
  <c r="D272" i="7"/>
  <c r="C272" i="7"/>
  <c r="F273" i="7"/>
  <c r="B273" i="7"/>
  <c r="D269" i="5"/>
  <c r="C269" i="5"/>
  <c r="E270" i="5"/>
  <c r="B270" i="5"/>
  <c r="C174" i="1"/>
  <c r="D174" i="1" s="1"/>
  <c r="F174" i="1" s="1"/>
  <c r="F275" i="3"/>
  <c r="B275" i="3"/>
  <c r="D274" i="3"/>
  <c r="C274" i="3"/>
  <c r="C265" i="2"/>
  <c r="D265" i="2"/>
  <c r="F266" i="2"/>
  <c r="B266" i="2"/>
  <c r="D350" i="9" l="1"/>
  <c r="C350" i="9"/>
  <c r="E351" i="9"/>
  <c r="B351" i="9"/>
  <c r="D346" i="8"/>
  <c r="C346" i="8"/>
  <c r="E347" i="8"/>
  <c r="B347" i="8"/>
  <c r="F273" i="6"/>
  <c r="B273" i="6"/>
  <c r="D272" i="6"/>
  <c r="C272" i="6"/>
  <c r="C273" i="7"/>
  <c r="D273" i="7"/>
  <c r="F274" i="7"/>
  <c r="B274" i="7"/>
  <c r="D270" i="5"/>
  <c r="C270" i="5"/>
  <c r="E271" i="5"/>
  <c r="B271" i="5"/>
  <c r="B175" i="1"/>
  <c r="C266" i="2"/>
  <c r="D266" i="2"/>
  <c r="D275" i="3"/>
  <c r="C275" i="3"/>
  <c r="F267" i="2"/>
  <c r="B267" i="2"/>
  <c r="F276" i="3"/>
  <c r="B276" i="3"/>
  <c r="D351" i="9" l="1"/>
  <c r="C351" i="9"/>
  <c r="E352" i="9"/>
  <c r="B352" i="9"/>
  <c r="D347" i="8"/>
  <c r="C347" i="8"/>
  <c r="E348" i="8"/>
  <c r="B348" i="8"/>
  <c r="D273" i="6"/>
  <c r="C273" i="6"/>
  <c r="B274" i="6"/>
  <c r="F274" i="6"/>
  <c r="D274" i="7"/>
  <c r="C274" i="7"/>
  <c r="F275" i="7"/>
  <c r="B275" i="7"/>
  <c r="E272" i="5"/>
  <c r="B272" i="5"/>
  <c r="D271" i="5"/>
  <c r="C271" i="5"/>
  <c r="C175" i="1"/>
  <c r="D175" i="1" s="1"/>
  <c r="F175" i="1" s="1"/>
  <c r="D276" i="3"/>
  <c r="C276" i="3"/>
  <c r="F277" i="3"/>
  <c r="B277" i="3"/>
  <c r="F268" i="2"/>
  <c r="B268" i="2"/>
  <c r="C267" i="2"/>
  <c r="D267" i="2"/>
  <c r="D352" i="9" l="1"/>
  <c r="C352" i="9"/>
  <c r="E353" i="9"/>
  <c r="B353" i="9"/>
  <c r="D348" i="8"/>
  <c r="C348" i="8"/>
  <c r="E349" i="8"/>
  <c r="B349" i="8"/>
  <c r="F275" i="6"/>
  <c r="B275" i="6"/>
  <c r="D274" i="6"/>
  <c r="C274" i="6"/>
  <c r="D275" i="7"/>
  <c r="C275" i="7"/>
  <c r="F276" i="7"/>
  <c r="B276" i="7"/>
  <c r="D272" i="5"/>
  <c r="C272" i="5"/>
  <c r="E273" i="5"/>
  <c r="B273" i="5"/>
  <c r="B176" i="1"/>
  <c r="D277" i="3"/>
  <c r="C277" i="3"/>
  <c r="F278" i="3"/>
  <c r="B278" i="3"/>
  <c r="C268" i="2"/>
  <c r="D268" i="2"/>
  <c r="F269" i="2"/>
  <c r="B269" i="2"/>
  <c r="D353" i="9" l="1"/>
  <c r="C353" i="9"/>
  <c r="E354" i="9"/>
  <c r="B354" i="9"/>
  <c r="D349" i="8"/>
  <c r="C349" i="8"/>
  <c r="E350" i="8"/>
  <c r="B350" i="8"/>
  <c r="C275" i="6"/>
  <c r="D275" i="6"/>
  <c r="F276" i="6"/>
  <c r="B276" i="6"/>
  <c r="D276" i="7"/>
  <c r="C276" i="7"/>
  <c r="F277" i="7"/>
  <c r="B277" i="7"/>
  <c r="E274" i="5"/>
  <c r="B274" i="5"/>
  <c r="D273" i="5"/>
  <c r="C273" i="5"/>
  <c r="C176" i="1"/>
  <c r="D176" i="1" s="1"/>
  <c r="F176" i="1" s="1"/>
  <c r="C269" i="2"/>
  <c r="D269" i="2"/>
  <c r="D278" i="3"/>
  <c r="C278" i="3"/>
  <c r="F270" i="2"/>
  <c r="B270" i="2"/>
  <c r="F279" i="3"/>
  <c r="B279" i="3"/>
  <c r="D354" i="9" l="1"/>
  <c r="C354" i="9"/>
  <c r="E355" i="9"/>
  <c r="B355" i="9"/>
  <c r="D350" i="8"/>
  <c r="C350" i="8"/>
  <c r="E351" i="8"/>
  <c r="B351" i="8"/>
  <c r="D276" i="6"/>
  <c r="C276" i="6"/>
  <c r="B277" i="6"/>
  <c r="F277" i="6"/>
  <c r="C277" i="7"/>
  <c r="D277" i="7"/>
  <c r="F278" i="7"/>
  <c r="B278" i="7"/>
  <c r="D274" i="5"/>
  <c r="C274" i="5"/>
  <c r="E275" i="5"/>
  <c r="B275" i="5"/>
  <c r="B177" i="1"/>
  <c r="D279" i="3"/>
  <c r="C279" i="3"/>
  <c r="F280" i="3"/>
  <c r="B280" i="3"/>
  <c r="C270" i="2"/>
  <c r="D270" i="2"/>
  <c r="F271" i="2"/>
  <c r="B271" i="2"/>
  <c r="D355" i="9" l="1"/>
  <c r="C355" i="9"/>
  <c r="E356" i="9"/>
  <c r="B356" i="9"/>
  <c r="D351" i="8"/>
  <c r="C351" i="8"/>
  <c r="E352" i="8"/>
  <c r="B352" i="8"/>
  <c r="B278" i="6"/>
  <c r="F278" i="6"/>
  <c r="D277" i="6"/>
  <c r="C277" i="6"/>
  <c r="D278" i="7"/>
  <c r="C278" i="7"/>
  <c r="F279" i="7"/>
  <c r="B279" i="7"/>
  <c r="D275" i="5"/>
  <c r="C275" i="5"/>
  <c r="E276" i="5"/>
  <c r="B276" i="5"/>
  <c r="C177" i="1"/>
  <c r="D177" i="1" s="1"/>
  <c r="F177" i="1" s="1"/>
  <c r="C271" i="2"/>
  <c r="D271" i="2"/>
  <c r="F272" i="2"/>
  <c r="B272" i="2"/>
  <c r="F281" i="3"/>
  <c r="B281" i="3"/>
  <c r="D280" i="3"/>
  <c r="C280" i="3"/>
  <c r="D356" i="9" l="1"/>
  <c r="C356" i="9"/>
  <c r="E357" i="9"/>
  <c r="B357" i="9"/>
  <c r="D352" i="8"/>
  <c r="C352" i="8"/>
  <c r="E353" i="8"/>
  <c r="B353" i="8"/>
  <c r="F279" i="6"/>
  <c r="B279" i="6"/>
  <c r="D278" i="6"/>
  <c r="C278" i="6"/>
  <c r="D279" i="7"/>
  <c r="C279" i="7"/>
  <c r="F280" i="7"/>
  <c r="B280" i="7"/>
  <c r="D276" i="5"/>
  <c r="C276" i="5"/>
  <c r="E277" i="5"/>
  <c r="B277" i="5"/>
  <c r="B178" i="1"/>
  <c r="F282" i="3"/>
  <c r="B282" i="3"/>
  <c r="C281" i="3"/>
  <c r="D281" i="3"/>
  <c r="C272" i="2"/>
  <c r="D272" i="2"/>
  <c r="F273" i="2"/>
  <c r="B273" i="2"/>
  <c r="D357" i="9" l="1"/>
  <c r="C357" i="9"/>
  <c r="E358" i="9"/>
  <c r="B358" i="9"/>
  <c r="D353" i="8"/>
  <c r="C353" i="8"/>
  <c r="E354" i="8"/>
  <c r="B354" i="8"/>
  <c r="D279" i="6"/>
  <c r="C279" i="6"/>
  <c r="F280" i="6"/>
  <c r="B280" i="6"/>
  <c r="D280" i="7"/>
  <c r="C280" i="7"/>
  <c r="F281" i="7"/>
  <c r="B281" i="7"/>
  <c r="D277" i="5"/>
  <c r="C277" i="5"/>
  <c r="E278" i="5"/>
  <c r="B278" i="5"/>
  <c r="C178" i="1"/>
  <c r="D178" i="1" s="1"/>
  <c r="F178" i="1" s="1"/>
  <c r="C273" i="2"/>
  <c r="D273" i="2"/>
  <c r="C282" i="3"/>
  <c r="D282" i="3"/>
  <c r="F283" i="3"/>
  <c r="B283" i="3"/>
  <c r="F274" i="2"/>
  <c r="B274" i="2"/>
  <c r="D358" i="9" l="1"/>
  <c r="C358" i="9"/>
  <c r="E359" i="9"/>
  <c r="B359" i="9"/>
  <c r="D354" i="8"/>
  <c r="C354" i="8"/>
  <c r="E355" i="8"/>
  <c r="B355" i="8"/>
  <c r="D280" i="6"/>
  <c r="C280" i="6"/>
  <c r="F281" i="6"/>
  <c r="B281" i="6"/>
  <c r="D281" i="7"/>
  <c r="C281" i="7"/>
  <c r="F282" i="7"/>
  <c r="B282" i="7"/>
  <c r="E279" i="5"/>
  <c r="B279" i="5"/>
  <c r="D278" i="5"/>
  <c r="C278" i="5"/>
  <c r="B179" i="1"/>
  <c r="C283" i="3"/>
  <c r="D283" i="3"/>
  <c r="F284" i="3"/>
  <c r="B284" i="3"/>
  <c r="F275" i="2"/>
  <c r="B275" i="2"/>
  <c r="C274" i="2"/>
  <c r="D274" i="2"/>
  <c r="D359" i="9" l="1"/>
  <c r="C359" i="9"/>
  <c r="E360" i="9"/>
  <c r="B360" i="9"/>
  <c r="D355" i="8"/>
  <c r="C355" i="8"/>
  <c r="E356" i="8"/>
  <c r="B356" i="8"/>
  <c r="F282" i="6"/>
  <c r="B282" i="6"/>
  <c r="D281" i="6"/>
  <c r="C281" i="6"/>
  <c r="D282" i="7"/>
  <c r="C282" i="7"/>
  <c r="F283" i="7"/>
  <c r="B283" i="7"/>
  <c r="D279" i="5"/>
  <c r="C279" i="5"/>
  <c r="E280" i="5"/>
  <c r="B280" i="5"/>
  <c r="C179" i="1"/>
  <c r="D179" i="1"/>
  <c r="F179" i="1" s="1"/>
  <c r="C275" i="2"/>
  <c r="D275" i="2"/>
  <c r="F276" i="2"/>
  <c r="B276" i="2"/>
  <c r="D284" i="3"/>
  <c r="C284" i="3"/>
  <c r="F285" i="3"/>
  <c r="B285" i="3"/>
  <c r="D360" i="9" l="1"/>
  <c r="C360" i="9"/>
  <c r="E361" i="9"/>
  <c r="B361" i="9"/>
  <c r="D356" i="8"/>
  <c r="C356" i="8"/>
  <c r="E357" i="8"/>
  <c r="B357" i="8"/>
  <c r="D282" i="6"/>
  <c r="C282" i="6"/>
  <c r="F283" i="6"/>
  <c r="B283" i="6"/>
  <c r="D283" i="7"/>
  <c r="C283" i="7"/>
  <c r="F284" i="7"/>
  <c r="B284" i="7"/>
  <c r="D280" i="5"/>
  <c r="C280" i="5"/>
  <c r="E281" i="5"/>
  <c r="B281" i="5"/>
  <c r="B180" i="1"/>
  <c r="C276" i="2"/>
  <c r="D276" i="2"/>
  <c r="F277" i="2"/>
  <c r="B277" i="2"/>
  <c r="F286" i="3"/>
  <c r="B286" i="3"/>
  <c r="C285" i="3"/>
  <c r="D285" i="3"/>
  <c r="D361" i="9" l="1"/>
  <c r="C361" i="9"/>
  <c r="E362" i="9"/>
  <c r="B362" i="9"/>
  <c r="D357" i="8"/>
  <c r="C357" i="8"/>
  <c r="E358" i="8"/>
  <c r="B358" i="8"/>
  <c r="D283" i="6"/>
  <c r="C283" i="6"/>
  <c r="F284" i="6"/>
  <c r="B284" i="6"/>
  <c r="D284" i="7"/>
  <c r="C284" i="7"/>
  <c r="F285" i="7"/>
  <c r="B285" i="7"/>
  <c r="D281" i="5"/>
  <c r="C281" i="5"/>
  <c r="E282" i="5"/>
  <c r="B282" i="5"/>
  <c r="C180" i="1"/>
  <c r="D180" i="1"/>
  <c r="F180" i="1" s="1"/>
  <c r="D286" i="3"/>
  <c r="C286" i="3"/>
  <c r="F287" i="3"/>
  <c r="B287" i="3"/>
  <c r="C277" i="2"/>
  <c r="D277" i="2"/>
  <c r="F278" i="2"/>
  <c r="B278" i="2"/>
  <c r="D362" i="9" l="1"/>
  <c r="C362" i="9"/>
  <c r="E363" i="9"/>
  <c r="B363" i="9"/>
  <c r="D358" i="8"/>
  <c r="C358" i="8"/>
  <c r="E359" i="8"/>
  <c r="B359" i="8"/>
  <c r="D284" i="6"/>
  <c r="C284" i="6"/>
  <c r="F285" i="6"/>
  <c r="B285" i="6"/>
  <c r="C285" i="7"/>
  <c r="D285" i="7"/>
  <c r="F286" i="7"/>
  <c r="B286" i="7"/>
  <c r="D282" i="5"/>
  <c r="C282" i="5"/>
  <c r="E283" i="5"/>
  <c r="B283" i="5"/>
  <c r="B181" i="1"/>
  <c r="C287" i="3"/>
  <c r="D287" i="3"/>
  <c r="F288" i="3"/>
  <c r="B288" i="3"/>
  <c r="C278" i="2"/>
  <c r="D278" i="2"/>
  <c r="F279" i="2"/>
  <c r="B279" i="2"/>
  <c r="C363" i="9" l="1"/>
  <c r="D363" i="9"/>
  <c r="E364" i="9"/>
  <c r="B364" i="9"/>
  <c r="D359" i="8"/>
  <c r="C359" i="8"/>
  <c r="E360" i="8"/>
  <c r="B360" i="8"/>
  <c r="D285" i="6"/>
  <c r="C285" i="6"/>
  <c r="F286" i="6"/>
  <c r="B286" i="6"/>
  <c r="D286" i="7"/>
  <c r="C286" i="7"/>
  <c r="F287" i="7"/>
  <c r="B287" i="7"/>
  <c r="D283" i="5"/>
  <c r="C283" i="5"/>
  <c r="E284" i="5"/>
  <c r="B284" i="5"/>
  <c r="C181" i="1"/>
  <c r="D181" i="1" s="1"/>
  <c r="F181" i="1" s="1"/>
  <c r="C279" i="2"/>
  <c r="D279" i="2"/>
  <c r="D288" i="3"/>
  <c r="C288" i="3"/>
  <c r="F289" i="3"/>
  <c r="B289" i="3"/>
  <c r="F280" i="2"/>
  <c r="B280" i="2"/>
  <c r="D364" i="9" l="1"/>
  <c r="C364" i="9"/>
  <c r="E365" i="9"/>
  <c r="B365" i="9"/>
  <c r="D360" i="8"/>
  <c r="C360" i="8"/>
  <c r="E361" i="8"/>
  <c r="B361" i="8"/>
  <c r="D286" i="6"/>
  <c r="C286" i="6"/>
  <c r="F287" i="6"/>
  <c r="B287" i="6"/>
  <c r="D287" i="7"/>
  <c r="C287" i="7"/>
  <c r="F288" i="7"/>
  <c r="B288" i="7"/>
  <c r="C284" i="5"/>
  <c r="D284" i="5"/>
  <c r="E285" i="5"/>
  <c r="B285" i="5"/>
  <c r="B182" i="1"/>
  <c r="C280" i="2"/>
  <c r="D280" i="2"/>
  <c r="F281" i="2"/>
  <c r="B281" i="2"/>
  <c r="D289" i="3"/>
  <c r="C289" i="3"/>
  <c r="F290" i="3"/>
  <c r="B290" i="3"/>
  <c r="C365" i="9" l="1"/>
  <c r="D365" i="9"/>
  <c r="E366" i="9"/>
  <c r="B366" i="9"/>
  <c r="D361" i="8"/>
  <c r="C361" i="8"/>
  <c r="E362" i="8"/>
  <c r="B362" i="8"/>
  <c r="D287" i="6"/>
  <c r="C287" i="6"/>
  <c r="F288" i="6"/>
  <c r="B288" i="6"/>
  <c r="D288" i="7"/>
  <c r="C288" i="7"/>
  <c r="F289" i="7"/>
  <c r="B289" i="7"/>
  <c r="D285" i="5"/>
  <c r="C285" i="5"/>
  <c r="E286" i="5"/>
  <c r="B286" i="5"/>
  <c r="C182" i="1"/>
  <c r="D182" i="1" s="1"/>
  <c r="F182" i="1" s="1"/>
  <c r="F282" i="2"/>
  <c r="B282" i="2"/>
  <c r="C281" i="2"/>
  <c r="D281" i="2"/>
  <c r="D290" i="3"/>
  <c r="C290" i="3"/>
  <c r="F291" i="3"/>
  <c r="B291" i="3"/>
  <c r="D366" i="9" l="1"/>
  <c r="C366" i="9"/>
  <c r="E367" i="9"/>
  <c r="B367" i="9"/>
  <c r="D362" i="8"/>
  <c r="C362" i="8"/>
  <c r="E363" i="8"/>
  <c r="B363" i="8"/>
  <c r="D288" i="6"/>
  <c r="C288" i="6"/>
  <c r="F289" i="6"/>
  <c r="B289" i="6"/>
  <c r="D289" i="7"/>
  <c r="C289" i="7"/>
  <c r="F290" i="7"/>
  <c r="B290" i="7"/>
  <c r="D286" i="5"/>
  <c r="C286" i="5"/>
  <c r="E287" i="5"/>
  <c r="B287" i="5"/>
  <c r="B183" i="1"/>
  <c r="D291" i="3"/>
  <c r="C291" i="3"/>
  <c r="F292" i="3"/>
  <c r="B292" i="3"/>
  <c r="C282" i="2"/>
  <c r="D282" i="2"/>
  <c r="F283" i="2"/>
  <c r="B283" i="2"/>
  <c r="D367" i="9" l="1"/>
  <c r="C367" i="9"/>
  <c r="E368" i="9"/>
  <c r="B368" i="9"/>
  <c r="D363" i="8"/>
  <c r="C363" i="8"/>
  <c r="E364" i="8"/>
  <c r="B364" i="8"/>
  <c r="D289" i="6"/>
  <c r="C289" i="6"/>
  <c r="F290" i="6"/>
  <c r="B290" i="6"/>
  <c r="D290" i="7"/>
  <c r="C290" i="7"/>
  <c r="F291" i="7"/>
  <c r="B291" i="7"/>
  <c r="D287" i="5"/>
  <c r="C287" i="5"/>
  <c r="E288" i="5"/>
  <c r="B288" i="5"/>
  <c r="C183" i="1"/>
  <c r="D183" i="1" s="1"/>
  <c r="F183" i="1" s="1"/>
  <c r="C283" i="2"/>
  <c r="D283" i="2"/>
  <c r="F284" i="2"/>
  <c r="B284" i="2"/>
  <c r="D292" i="3"/>
  <c r="C292" i="3"/>
  <c r="F293" i="3"/>
  <c r="B293" i="3"/>
  <c r="E369" i="9" l="1"/>
  <c r="B369" i="9"/>
  <c r="D368" i="9"/>
  <c r="C368" i="9"/>
  <c r="D364" i="8"/>
  <c r="C364" i="8"/>
  <c r="E365" i="8"/>
  <c r="B365" i="8"/>
  <c r="D290" i="6"/>
  <c r="C290" i="6"/>
  <c r="F291" i="6"/>
  <c r="B291" i="6"/>
  <c r="D291" i="7"/>
  <c r="C291" i="7"/>
  <c r="F292" i="7"/>
  <c r="B292" i="7"/>
  <c r="D288" i="5"/>
  <c r="C288" i="5"/>
  <c r="E289" i="5"/>
  <c r="B289" i="5"/>
  <c r="B184" i="1"/>
  <c r="F294" i="3"/>
  <c r="B294" i="3"/>
  <c r="C284" i="2"/>
  <c r="D284" i="2"/>
  <c r="F285" i="2"/>
  <c r="B285" i="2"/>
  <c r="D293" i="3"/>
  <c r="C293" i="3"/>
  <c r="D369" i="9" l="1"/>
  <c r="C369" i="9"/>
  <c r="E370" i="9"/>
  <c r="B370" i="9"/>
  <c r="D365" i="8"/>
  <c r="C365" i="8"/>
  <c r="E366" i="8"/>
  <c r="B366" i="8"/>
  <c r="D291" i="6"/>
  <c r="C291" i="6"/>
  <c r="F292" i="6"/>
  <c r="B292" i="6"/>
  <c r="D292" i="7"/>
  <c r="C292" i="7"/>
  <c r="F293" i="7"/>
  <c r="B293" i="7"/>
  <c r="D289" i="5"/>
  <c r="C289" i="5"/>
  <c r="E290" i="5"/>
  <c r="B290" i="5"/>
  <c r="C184" i="1"/>
  <c r="D184" i="1"/>
  <c r="F184" i="1" s="1"/>
  <c r="C285" i="2"/>
  <c r="D285" i="2"/>
  <c r="F286" i="2"/>
  <c r="B286" i="2"/>
  <c r="D294" i="3"/>
  <c r="C294" i="3"/>
  <c r="F295" i="3"/>
  <c r="B295" i="3"/>
  <c r="D370" i="9" l="1"/>
  <c r="C370" i="9"/>
  <c r="E371" i="9"/>
  <c r="B371" i="9"/>
  <c r="D366" i="8"/>
  <c r="C366" i="8"/>
  <c r="E367" i="8"/>
  <c r="B367" i="8"/>
  <c r="D292" i="6"/>
  <c r="C292" i="6"/>
  <c r="F293" i="6"/>
  <c r="B293" i="6"/>
  <c r="D293" i="7"/>
  <c r="C293" i="7"/>
  <c r="F294" i="7"/>
  <c r="B294" i="7"/>
  <c r="C290" i="5"/>
  <c r="D290" i="5"/>
  <c r="E291" i="5"/>
  <c r="B291" i="5"/>
  <c r="B185" i="1"/>
  <c r="D295" i="3"/>
  <c r="C295" i="3"/>
  <c r="C286" i="2"/>
  <c r="D286" i="2"/>
  <c r="F287" i="2"/>
  <c r="B287" i="2"/>
  <c r="F296" i="3"/>
  <c r="B296" i="3"/>
  <c r="D371" i="9" l="1"/>
  <c r="C371" i="9"/>
  <c r="E372" i="9"/>
  <c r="B372" i="9"/>
  <c r="D367" i="8"/>
  <c r="C367" i="8"/>
  <c r="E368" i="8"/>
  <c r="B368" i="8"/>
  <c r="D293" i="6"/>
  <c r="C293" i="6"/>
  <c r="F294" i="6"/>
  <c r="B294" i="6"/>
  <c r="D294" i="7"/>
  <c r="C294" i="7"/>
  <c r="F295" i="7"/>
  <c r="B295" i="7"/>
  <c r="D291" i="5"/>
  <c r="C291" i="5"/>
  <c r="E292" i="5"/>
  <c r="B292" i="5"/>
  <c r="C185" i="1"/>
  <c r="D185" i="1"/>
  <c r="F185" i="1" s="1"/>
  <c r="F297" i="3"/>
  <c r="B297" i="3"/>
  <c r="D296" i="3"/>
  <c r="C296" i="3"/>
  <c r="F288" i="2"/>
  <c r="B288" i="2"/>
  <c r="C287" i="2"/>
  <c r="D287" i="2"/>
  <c r="D372" i="9" l="1"/>
  <c r="C372" i="9"/>
  <c r="D368" i="8"/>
  <c r="C368" i="8"/>
  <c r="E369" i="8"/>
  <c r="B369" i="8"/>
  <c r="D294" i="6"/>
  <c r="C294" i="6"/>
  <c r="F295" i="6"/>
  <c r="B295" i="6"/>
  <c r="D295" i="7"/>
  <c r="C295" i="7"/>
  <c r="F296" i="7"/>
  <c r="B296" i="7"/>
  <c r="D292" i="5"/>
  <c r="C292" i="5"/>
  <c r="E293" i="5"/>
  <c r="B293" i="5"/>
  <c r="B186" i="1"/>
  <c r="C288" i="2"/>
  <c r="D288" i="2"/>
  <c r="F289" i="2"/>
  <c r="B289" i="2"/>
  <c r="D297" i="3"/>
  <c r="C297" i="3"/>
  <c r="F298" i="3"/>
  <c r="B298" i="3"/>
  <c r="D369" i="8" l="1"/>
  <c r="C369" i="8"/>
  <c r="E370" i="8"/>
  <c r="B370" i="8"/>
  <c r="D295" i="6"/>
  <c r="C295" i="6"/>
  <c r="F296" i="6"/>
  <c r="B296" i="6"/>
  <c r="D296" i="7"/>
  <c r="C296" i="7"/>
  <c r="F297" i="7"/>
  <c r="B297" i="7"/>
  <c r="D293" i="5"/>
  <c r="C293" i="5"/>
  <c r="E294" i="5"/>
  <c r="B294" i="5"/>
  <c r="C186" i="1"/>
  <c r="D186" i="1" s="1"/>
  <c r="F186" i="1" s="1"/>
  <c r="F299" i="3"/>
  <c r="B299" i="3"/>
  <c r="C289" i="2"/>
  <c r="D289" i="2"/>
  <c r="D298" i="3"/>
  <c r="C298" i="3"/>
  <c r="F290" i="2"/>
  <c r="B290" i="2"/>
  <c r="D370" i="8" l="1"/>
  <c r="C370" i="8"/>
  <c r="E371" i="8"/>
  <c r="B371" i="8"/>
  <c r="D296" i="6"/>
  <c r="C296" i="6"/>
  <c r="F297" i="6"/>
  <c r="B297" i="6"/>
  <c r="D297" i="7"/>
  <c r="C297" i="7"/>
  <c r="F298" i="7"/>
  <c r="B298" i="7"/>
  <c r="E295" i="5"/>
  <c r="B295" i="5"/>
  <c r="D294" i="5"/>
  <c r="C294" i="5"/>
  <c r="B187" i="1"/>
  <c r="C290" i="2"/>
  <c r="D290" i="2"/>
  <c r="D299" i="3"/>
  <c r="C299" i="3"/>
  <c r="F291" i="2"/>
  <c r="B291" i="2"/>
  <c r="F300" i="3"/>
  <c r="B300" i="3"/>
  <c r="D371" i="8" l="1"/>
  <c r="C371" i="8"/>
  <c r="E372" i="8"/>
  <c r="B372" i="8"/>
  <c r="C297" i="6"/>
  <c r="D297" i="6"/>
  <c r="F298" i="6"/>
  <c r="B298" i="6"/>
  <c r="D298" i="7"/>
  <c r="C298" i="7"/>
  <c r="F299" i="7"/>
  <c r="B299" i="7"/>
  <c r="D295" i="5"/>
  <c r="C295" i="5"/>
  <c r="E296" i="5"/>
  <c r="B296" i="5"/>
  <c r="C187" i="1"/>
  <c r="D187" i="1" s="1"/>
  <c r="F187" i="1" s="1"/>
  <c r="C291" i="2"/>
  <c r="D291" i="2"/>
  <c r="D300" i="3"/>
  <c r="C300" i="3"/>
  <c r="F292" i="2"/>
  <c r="B292" i="2"/>
  <c r="F301" i="3"/>
  <c r="B301" i="3"/>
  <c r="D372" i="8" l="1"/>
  <c r="C372" i="8"/>
  <c r="D298" i="6"/>
  <c r="C298" i="6"/>
  <c r="F299" i="6"/>
  <c r="B299" i="6"/>
  <c r="D299" i="7"/>
  <c r="C299" i="7"/>
  <c r="F300" i="7"/>
  <c r="B300" i="7"/>
  <c r="D296" i="5"/>
  <c r="C296" i="5"/>
  <c r="E297" i="5"/>
  <c r="B297" i="5"/>
  <c r="B188" i="1"/>
  <c r="F302" i="3"/>
  <c r="B302" i="3"/>
  <c r="D301" i="3"/>
  <c r="C301" i="3"/>
  <c r="C292" i="2"/>
  <c r="D292" i="2"/>
  <c r="F293" i="2"/>
  <c r="B293" i="2"/>
  <c r="D299" i="6" l="1"/>
  <c r="C299" i="6"/>
  <c r="F300" i="6"/>
  <c r="B300" i="6"/>
  <c r="D300" i="7"/>
  <c r="C300" i="7"/>
  <c r="F301" i="7"/>
  <c r="B301" i="7"/>
  <c r="D297" i="5"/>
  <c r="C297" i="5"/>
  <c r="E298" i="5"/>
  <c r="B298" i="5"/>
  <c r="C188" i="1"/>
  <c r="D188" i="1" s="1"/>
  <c r="F188" i="1" s="1"/>
  <c r="C293" i="2"/>
  <c r="D293" i="2"/>
  <c r="F294" i="2"/>
  <c r="B294" i="2"/>
  <c r="D302" i="3"/>
  <c r="C302" i="3"/>
  <c r="F303" i="3"/>
  <c r="B303" i="3"/>
  <c r="D300" i="6" l="1"/>
  <c r="C300" i="6"/>
  <c r="F301" i="6"/>
  <c r="B301" i="6"/>
  <c r="C301" i="7"/>
  <c r="D301" i="7"/>
  <c r="F302" i="7"/>
  <c r="B302" i="7"/>
  <c r="D298" i="5"/>
  <c r="C298" i="5"/>
  <c r="E299" i="5"/>
  <c r="B299" i="5"/>
  <c r="B189" i="1"/>
  <c r="F295" i="2"/>
  <c r="B295" i="2"/>
  <c r="C294" i="2"/>
  <c r="D294" i="2"/>
  <c r="C303" i="3"/>
  <c r="D303" i="3"/>
  <c r="F304" i="3"/>
  <c r="B304" i="3"/>
  <c r="D301" i="6" l="1"/>
  <c r="C301" i="6"/>
  <c r="F302" i="6"/>
  <c r="B302" i="6"/>
  <c r="D302" i="7"/>
  <c r="C302" i="7"/>
  <c r="F303" i="7"/>
  <c r="B303" i="7"/>
  <c r="D299" i="5"/>
  <c r="C299" i="5"/>
  <c r="E300" i="5"/>
  <c r="B300" i="5"/>
  <c r="C189" i="1"/>
  <c r="D189" i="1" s="1"/>
  <c r="F189" i="1" s="1"/>
  <c r="F305" i="3"/>
  <c r="B305" i="3"/>
  <c r="D304" i="3"/>
  <c r="C304" i="3"/>
  <c r="C295" i="2"/>
  <c r="D295" i="2"/>
  <c r="F296" i="2"/>
  <c r="B296" i="2"/>
  <c r="D302" i="6" l="1"/>
  <c r="C302" i="6"/>
  <c r="F303" i="6"/>
  <c r="B303" i="6"/>
  <c r="D303" i="7"/>
  <c r="C303" i="7"/>
  <c r="F304" i="7"/>
  <c r="B304" i="7"/>
  <c r="C300" i="5"/>
  <c r="D300" i="5"/>
  <c r="E301" i="5"/>
  <c r="B301" i="5"/>
  <c r="B190" i="1"/>
  <c r="D305" i="3"/>
  <c r="C305" i="3"/>
  <c r="F306" i="3"/>
  <c r="B306" i="3"/>
  <c r="C296" i="2"/>
  <c r="D296" i="2"/>
  <c r="F297" i="2"/>
  <c r="B297" i="2"/>
  <c r="D303" i="6" l="1"/>
  <c r="C303" i="6"/>
  <c r="F304" i="6"/>
  <c r="B304" i="6"/>
  <c r="D304" i="7"/>
  <c r="C304" i="7"/>
  <c r="F305" i="7"/>
  <c r="B305" i="7"/>
  <c r="D301" i="5"/>
  <c r="C301" i="5"/>
  <c r="E302" i="5"/>
  <c r="B302" i="5"/>
  <c r="C190" i="1"/>
  <c r="D190" i="1" s="1"/>
  <c r="F190" i="1" s="1"/>
  <c r="C297" i="2"/>
  <c r="D297" i="2"/>
  <c r="F298" i="2"/>
  <c r="B298" i="2"/>
  <c r="D306" i="3"/>
  <c r="C306" i="3"/>
  <c r="F307" i="3"/>
  <c r="B307" i="3"/>
  <c r="D304" i="6" l="1"/>
  <c r="C304" i="6"/>
  <c r="F305" i="6"/>
  <c r="B305" i="6"/>
  <c r="D305" i="7"/>
  <c r="C305" i="7"/>
  <c r="F306" i="7"/>
  <c r="B306" i="7"/>
  <c r="D302" i="5"/>
  <c r="C302" i="5"/>
  <c r="E303" i="5"/>
  <c r="B303" i="5"/>
  <c r="B191" i="1"/>
  <c r="C298" i="2"/>
  <c r="D298" i="2"/>
  <c r="F299" i="2"/>
  <c r="B299" i="2"/>
  <c r="D307" i="3"/>
  <c r="C307" i="3"/>
  <c r="F308" i="3"/>
  <c r="B308" i="3"/>
  <c r="D305" i="6" l="1"/>
  <c r="C305" i="6"/>
  <c r="F306" i="6"/>
  <c r="B306" i="6"/>
  <c r="D306" i="7"/>
  <c r="C306" i="7"/>
  <c r="F307" i="7"/>
  <c r="B307" i="7"/>
  <c r="E304" i="5"/>
  <c r="B304" i="5"/>
  <c r="D303" i="5"/>
  <c r="C303" i="5"/>
  <c r="C191" i="1"/>
  <c r="D191" i="1" s="1"/>
  <c r="F191" i="1" s="1"/>
  <c r="D308" i="3"/>
  <c r="C308" i="3"/>
  <c r="C299" i="2"/>
  <c r="D299" i="2"/>
  <c r="F300" i="2"/>
  <c r="B300" i="2"/>
  <c r="F309" i="3"/>
  <c r="B309" i="3"/>
  <c r="D306" i="6" l="1"/>
  <c r="C306" i="6"/>
  <c r="F307" i="6"/>
  <c r="B307" i="6"/>
  <c r="D307" i="7"/>
  <c r="C307" i="7"/>
  <c r="F308" i="7"/>
  <c r="B308" i="7"/>
  <c r="E305" i="5"/>
  <c r="B305" i="5"/>
  <c r="D304" i="5"/>
  <c r="C304" i="5"/>
  <c r="B192" i="1"/>
  <c r="F301" i="2"/>
  <c r="B301" i="2"/>
  <c r="D309" i="3"/>
  <c r="C309" i="3"/>
  <c r="C300" i="2"/>
  <c r="D300" i="2"/>
  <c r="F310" i="3"/>
  <c r="B310" i="3"/>
  <c r="D307" i="6" l="1"/>
  <c r="C307" i="6"/>
  <c r="F308" i="6"/>
  <c r="B308" i="6"/>
  <c r="D308" i="7"/>
  <c r="C308" i="7"/>
  <c r="F309" i="7"/>
  <c r="B309" i="7"/>
  <c r="D305" i="5"/>
  <c r="C305" i="5"/>
  <c r="E306" i="5"/>
  <c r="B306" i="5"/>
  <c r="C192" i="1"/>
  <c r="D192" i="1" s="1"/>
  <c r="F192" i="1" s="1"/>
  <c r="F311" i="3"/>
  <c r="B311" i="3"/>
  <c r="C301" i="2"/>
  <c r="D301" i="2"/>
  <c r="D310" i="3"/>
  <c r="C310" i="3"/>
  <c r="F302" i="2"/>
  <c r="B302" i="2"/>
  <c r="D308" i="6" l="1"/>
  <c r="C308" i="6"/>
  <c r="F309" i="6"/>
  <c r="B309" i="6"/>
  <c r="F310" i="7"/>
  <c r="B310" i="7"/>
  <c r="D309" i="7"/>
  <c r="C309" i="7"/>
  <c r="E307" i="5"/>
  <c r="B307" i="5"/>
  <c r="D306" i="5"/>
  <c r="C306" i="5"/>
  <c r="B193" i="1"/>
  <c r="F303" i="2"/>
  <c r="B303" i="2"/>
  <c r="C302" i="2"/>
  <c r="D302" i="2"/>
  <c r="D311" i="3"/>
  <c r="C311" i="3"/>
  <c r="F312" i="3"/>
  <c r="B312" i="3"/>
  <c r="C309" i="6" l="1"/>
  <c r="D309" i="6"/>
  <c r="F310" i="6"/>
  <c r="B310" i="6"/>
  <c r="D310" i="7"/>
  <c r="C310" i="7"/>
  <c r="F311" i="7"/>
  <c r="B311" i="7"/>
  <c r="D307" i="5"/>
  <c r="C307" i="5"/>
  <c r="E308" i="5"/>
  <c r="B308" i="5"/>
  <c r="C193" i="1"/>
  <c r="D193" i="1" s="1"/>
  <c r="F193" i="1" s="1"/>
  <c r="D312" i="3"/>
  <c r="C312" i="3"/>
  <c r="C303" i="2"/>
  <c r="D303" i="2"/>
  <c r="F313" i="3"/>
  <c r="B313" i="3"/>
  <c r="F304" i="2"/>
  <c r="B304" i="2"/>
  <c r="D310" i="6" l="1"/>
  <c r="C310" i="6"/>
  <c r="F311" i="6"/>
  <c r="B311" i="6"/>
  <c r="D311" i="7"/>
  <c r="C311" i="7"/>
  <c r="F312" i="7"/>
  <c r="B312" i="7"/>
  <c r="D308" i="5"/>
  <c r="C308" i="5"/>
  <c r="E309" i="5"/>
  <c r="B309" i="5"/>
  <c r="B194" i="1"/>
  <c r="C313" i="3"/>
  <c r="D313" i="3"/>
  <c r="C304" i="2"/>
  <c r="D304" i="2"/>
  <c r="F305" i="2"/>
  <c r="B305" i="2"/>
  <c r="F314" i="3"/>
  <c r="B314" i="3"/>
  <c r="D311" i="6" l="1"/>
  <c r="C311" i="6"/>
  <c r="F312" i="6"/>
  <c r="B312" i="6"/>
  <c r="D312" i="7"/>
  <c r="C312" i="7"/>
  <c r="F313" i="7"/>
  <c r="B313" i="7"/>
  <c r="E310" i="5"/>
  <c r="B310" i="5"/>
  <c r="D309" i="5"/>
  <c r="C309" i="5"/>
  <c r="C194" i="1"/>
  <c r="D194" i="1" s="1"/>
  <c r="F194" i="1" s="1"/>
  <c r="F306" i="2"/>
  <c r="B306" i="2"/>
  <c r="D305" i="2"/>
  <c r="C305" i="2"/>
  <c r="D314" i="3"/>
  <c r="C314" i="3"/>
  <c r="F315" i="3"/>
  <c r="B315" i="3"/>
  <c r="D312" i="6" l="1"/>
  <c r="C312" i="6"/>
  <c r="F313" i="6"/>
  <c r="B313" i="6"/>
  <c r="F314" i="7"/>
  <c r="B314" i="7"/>
  <c r="D313" i="7"/>
  <c r="C313" i="7"/>
  <c r="D310" i="5"/>
  <c r="C310" i="5"/>
  <c r="E311" i="5"/>
  <c r="B311" i="5"/>
  <c r="B195" i="1"/>
  <c r="F316" i="3"/>
  <c r="B316" i="3"/>
  <c r="D315" i="3"/>
  <c r="C315" i="3"/>
  <c r="D306" i="2"/>
  <c r="C306" i="2"/>
  <c r="F307" i="2"/>
  <c r="B307" i="2"/>
  <c r="C313" i="6" l="1"/>
  <c r="D313" i="6"/>
  <c r="F314" i="6"/>
  <c r="B314" i="6"/>
  <c r="D314" i="7"/>
  <c r="C314" i="7"/>
  <c r="F315" i="7"/>
  <c r="B315" i="7"/>
  <c r="D311" i="5"/>
  <c r="C311" i="5"/>
  <c r="E312" i="5"/>
  <c r="B312" i="5"/>
  <c r="C195" i="1"/>
  <c r="D195" i="1" s="1"/>
  <c r="F195" i="1" s="1"/>
  <c r="F308" i="2"/>
  <c r="B308" i="2"/>
  <c r="D316" i="3"/>
  <c r="C316" i="3"/>
  <c r="D307" i="2"/>
  <c r="C307" i="2"/>
  <c r="F317" i="3"/>
  <c r="B317" i="3"/>
  <c r="D314" i="6" l="1"/>
  <c r="C314" i="6"/>
  <c r="F315" i="6"/>
  <c r="B315" i="6"/>
  <c r="D315" i="7"/>
  <c r="C315" i="7"/>
  <c r="F316" i="7"/>
  <c r="B316" i="7"/>
  <c r="E313" i="5"/>
  <c r="B313" i="5"/>
  <c r="D312" i="5"/>
  <c r="C312" i="5"/>
  <c r="B196" i="1"/>
  <c r="D317" i="3"/>
  <c r="C317" i="3"/>
  <c r="D308" i="2"/>
  <c r="C308" i="2"/>
  <c r="F318" i="3"/>
  <c r="B318" i="3"/>
  <c r="F309" i="2"/>
  <c r="B309" i="2"/>
  <c r="D315" i="6" l="1"/>
  <c r="C315" i="6"/>
  <c r="F316" i="6"/>
  <c r="B316" i="6"/>
  <c r="D316" i="7"/>
  <c r="C316" i="7"/>
  <c r="F317" i="7"/>
  <c r="B317" i="7"/>
  <c r="D313" i="5"/>
  <c r="C313" i="5"/>
  <c r="E314" i="5"/>
  <c r="B314" i="5"/>
  <c r="C196" i="1"/>
  <c r="D196" i="1" s="1"/>
  <c r="F196" i="1" s="1"/>
  <c r="F310" i="2"/>
  <c r="B310" i="2"/>
  <c r="D318" i="3"/>
  <c r="C318" i="3"/>
  <c r="D309" i="2"/>
  <c r="C309" i="2"/>
  <c r="F319" i="3"/>
  <c r="B319" i="3"/>
  <c r="D316" i="6" l="1"/>
  <c r="C316" i="6"/>
  <c r="F317" i="6"/>
  <c r="B317" i="6"/>
  <c r="C317" i="7"/>
  <c r="D317" i="7"/>
  <c r="F318" i="7"/>
  <c r="B318" i="7"/>
  <c r="D314" i="5"/>
  <c r="C314" i="5"/>
  <c r="E315" i="5"/>
  <c r="B315" i="5"/>
  <c r="B197" i="1"/>
  <c r="C319" i="3"/>
  <c r="D319" i="3"/>
  <c r="F320" i="3"/>
  <c r="B320" i="3"/>
  <c r="C310" i="2"/>
  <c r="D310" i="2"/>
  <c r="F311" i="2"/>
  <c r="B311" i="2"/>
  <c r="D317" i="6" l="1"/>
  <c r="C317" i="6"/>
  <c r="F318" i="6"/>
  <c r="B318" i="6"/>
  <c r="D318" i="7"/>
  <c r="C318" i="7"/>
  <c r="F319" i="7"/>
  <c r="B319" i="7"/>
  <c r="D315" i="5"/>
  <c r="C315" i="5"/>
  <c r="E316" i="5"/>
  <c r="B316" i="5"/>
  <c r="C197" i="1"/>
  <c r="D197" i="1"/>
  <c r="F197" i="1" s="1"/>
  <c r="C311" i="2"/>
  <c r="D311" i="2"/>
  <c r="D320" i="3"/>
  <c r="C320" i="3"/>
  <c r="F321" i="3"/>
  <c r="B321" i="3"/>
  <c r="F312" i="2"/>
  <c r="B312" i="2"/>
  <c r="D318" i="6" l="1"/>
  <c r="C318" i="6"/>
  <c r="F319" i="6"/>
  <c r="B319" i="6"/>
  <c r="D319" i="7"/>
  <c r="C319" i="7"/>
  <c r="F320" i="7"/>
  <c r="B320" i="7"/>
  <c r="C316" i="5"/>
  <c r="D316" i="5"/>
  <c r="E317" i="5"/>
  <c r="B317" i="5"/>
  <c r="B198" i="1"/>
  <c r="D321" i="3"/>
  <c r="C321" i="3"/>
  <c r="C312" i="2"/>
  <c r="D312" i="2"/>
  <c r="F322" i="3"/>
  <c r="B322" i="3"/>
  <c r="F313" i="2"/>
  <c r="B313" i="2"/>
  <c r="D319" i="6" l="1"/>
  <c r="C319" i="6"/>
  <c r="F320" i="6"/>
  <c r="B320" i="6"/>
  <c r="D320" i="7"/>
  <c r="C320" i="7"/>
  <c r="F321" i="7"/>
  <c r="B321" i="7"/>
  <c r="E318" i="5"/>
  <c r="B318" i="5"/>
  <c r="D317" i="5"/>
  <c r="C317" i="5"/>
  <c r="C198" i="1"/>
  <c r="D198" i="1"/>
  <c r="F198" i="1" s="1"/>
  <c r="D313" i="2"/>
  <c r="C313" i="2"/>
  <c r="D322" i="3"/>
  <c r="C322" i="3"/>
  <c r="F314" i="2"/>
  <c r="B314" i="2"/>
  <c r="F323" i="3"/>
  <c r="B323" i="3"/>
  <c r="D320" i="6" l="1"/>
  <c r="C320" i="6"/>
  <c r="F321" i="6"/>
  <c r="B321" i="6"/>
  <c r="D321" i="7"/>
  <c r="C321" i="7"/>
  <c r="F322" i="7"/>
  <c r="B322" i="7"/>
  <c r="D318" i="5"/>
  <c r="C318" i="5"/>
  <c r="E319" i="5"/>
  <c r="B319" i="5"/>
  <c r="B199" i="1"/>
  <c r="C323" i="3"/>
  <c r="D323" i="3"/>
  <c r="F324" i="3"/>
  <c r="B324" i="3"/>
  <c r="D314" i="2"/>
  <c r="C314" i="2"/>
  <c r="F315" i="2"/>
  <c r="B315" i="2"/>
  <c r="D321" i="6" l="1"/>
  <c r="C321" i="6"/>
  <c r="F322" i="6"/>
  <c r="B322" i="6"/>
  <c r="D322" i="7"/>
  <c r="C322" i="7"/>
  <c r="F323" i="7"/>
  <c r="B323" i="7"/>
  <c r="D319" i="5"/>
  <c r="C319" i="5"/>
  <c r="E320" i="5"/>
  <c r="B320" i="5"/>
  <c r="C199" i="1"/>
  <c r="D199" i="1"/>
  <c r="F199" i="1" s="1"/>
  <c r="D324" i="3"/>
  <c r="C324" i="3"/>
  <c r="F325" i="3"/>
  <c r="B325" i="3"/>
  <c r="D315" i="2"/>
  <c r="C315" i="2"/>
  <c r="F316" i="2"/>
  <c r="B316" i="2"/>
  <c r="D322" i="6" l="1"/>
  <c r="C322" i="6"/>
  <c r="F323" i="6"/>
  <c r="B323" i="6"/>
  <c r="D323" i="7"/>
  <c r="C323" i="7"/>
  <c r="F324" i="7"/>
  <c r="B324" i="7"/>
  <c r="D320" i="5"/>
  <c r="C320" i="5"/>
  <c r="E321" i="5"/>
  <c r="B321" i="5"/>
  <c r="B200" i="1"/>
  <c r="F326" i="3"/>
  <c r="B326" i="3"/>
  <c r="F317" i="2"/>
  <c r="B317" i="2"/>
  <c r="D316" i="2"/>
  <c r="C316" i="2"/>
  <c r="D325" i="3"/>
  <c r="C325" i="3"/>
  <c r="D323" i="6" l="1"/>
  <c r="C323" i="6"/>
  <c r="F324" i="6"/>
  <c r="B324" i="6"/>
  <c r="D324" i="7"/>
  <c r="C324" i="7"/>
  <c r="F325" i="7"/>
  <c r="B325" i="7"/>
  <c r="D321" i="5"/>
  <c r="C321" i="5"/>
  <c r="E322" i="5"/>
  <c r="B322" i="5"/>
  <c r="C200" i="1"/>
  <c r="D200" i="1"/>
  <c r="F200" i="1" s="1"/>
  <c r="F318" i="2"/>
  <c r="B318" i="2"/>
  <c r="D326" i="3"/>
  <c r="C326" i="3"/>
  <c r="C317" i="2"/>
  <c r="D317" i="2"/>
  <c r="F327" i="3"/>
  <c r="B327" i="3"/>
  <c r="D324" i="6" l="1"/>
  <c r="C324" i="6"/>
  <c r="F325" i="6"/>
  <c r="B325" i="6"/>
  <c r="D325" i="7"/>
  <c r="C325" i="7"/>
  <c r="F326" i="7"/>
  <c r="B326" i="7"/>
  <c r="E323" i="5"/>
  <c r="B323" i="5"/>
  <c r="D322" i="5"/>
  <c r="C322" i="5"/>
  <c r="B201" i="1"/>
  <c r="C318" i="2"/>
  <c r="D318" i="2"/>
  <c r="F319" i="2"/>
  <c r="B319" i="2"/>
  <c r="D327" i="3"/>
  <c r="C327" i="3"/>
  <c r="F328" i="3"/>
  <c r="B328" i="3"/>
  <c r="D325" i="6" l="1"/>
  <c r="C325" i="6"/>
  <c r="F326" i="6"/>
  <c r="B326" i="6"/>
  <c r="D326" i="7"/>
  <c r="C326" i="7"/>
  <c r="F327" i="7"/>
  <c r="B327" i="7"/>
  <c r="D323" i="5"/>
  <c r="C323" i="5"/>
  <c r="E324" i="5"/>
  <c r="B324" i="5"/>
  <c r="C201" i="1"/>
  <c r="D201" i="1" s="1"/>
  <c r="F201" i="1" s="1"/>
  <c r="C319" i="2"/>
  <c r="D319" i="2"/>
  <c r="F320" i="2"/>
  <c r="B320" i="2"/>
  <c r="D328" i="3"/>
  <c r="C328" i="3"/>
  <c r="F329" i="3"/>
  <c r="B329" i="3"/>
  <c r="D326" i="6" l="1"/>
  <c r="C326" i="6"/>
  <c r="F327" i="6"/>
  <c r="B327" i="6"/>
  <c r="D327" i="7"/>
  <c r="C327" i="7"/>
  <c r="F328" i="7"/>
  <c r="B328" i="7"/>
  <c r="D324" i="5"/>
  <c r="C324" i="5"/>
  <c r="E325" i="5"/>
  <c r="B325" i="5"/>
  <c r="B202" i="1"/>
  <c r="F321" i="2"/>
  <c r="B321" i="2"/>
  <c r="D329" i="3"/>
  <c r="C329" i="3"/>
  <c r="F330" i="3"/>
  <c r="B330" i="3"/>
  <c r="C320" i="2"/>
  <c r="D320" i="2"/>
  <c r="D327" i="6" l="1"/>
  <c r="C327" i="6"/>
  <c r="F328" i="6"/>
  <c r="B328" i="6"/>
  <c r="D328" i="7"/>
  <c r="C328" i="7"/>
  <c r="F329" i="7"/>
  <c r="B329" i="7"/>
  <c r="D325" i="5"/>
  <c r="C325" i="5"/>
  <c r="E326" i="5"/>
  <c r="B326" i="5"/>
  <c r="C202" i="1"/>
  <c r="D202" i="1" s="1"/>
  <c r="F202" i="1" s="1"/>
  <c r="D330" i="3"/>
  <c r="C330" i="3"/>
  <c r="F331" i="3"/>
  <c r="B331" i="3"/>
  <c r="D321" i="2"/>
  <c r="C321" i="2"/>
  <c r="F322" i="2"/>
  <c r="B322" i="2"/>
  <c r="D328" i="6" l="1"/>
  <c r="C328" i="6"/>
  <c r="F329" i="6"/>
  <c r="B329" i="6"/>
  <c r="C329" i="7"/>
  <c r="D329" i="7"/>
  <c r="F330" i="7"/>
  <c r="B330" i="7"/>
  <c r="D326" i="5"/>
  <c r="C326" i="5"/>
  <c r="E327" i="5"/>
  <c r="B327" i="5"/>
  <c r="B203" i="1"/>
  <c r="D331" i="3"/>
  <c r="C331" i="3"/>
  <c r="F323" i="2"/>
  <c r="B323" i="2"/>
  <c r="F332" i="3"/>
  <c r="B332" i="3"/>
  <c r="D322" i="2"/>
  <c r="C322" i="2"/>
  <c r="C329" i="6" l="1"/>
  <c r="D329" i="6"/>
  <c r="F330" i="6"/>
  <c r="B330" i="6"/>
  <c r="D330" i="7"/>
  <c r="C330" i="7"/>
  <c r="F331" i="7"/>
  <c r="B331" i="7"/>
  <c r="E328" i="5"/>
  <c r="B328" i="5"/>
  <c r="D327" i="5"/>
  <c r="C327" i="5"/>
  <c r="C203" i="1"/>
  <c r="D203" i="1" s="1"/>
  <c r="F203" i="1" s="1"/>
  <c r="D323" i="2"/>
  <c r="C323" i="2"/>
  <c r="F324" i="2"/>
  <c r="B324" i="2"/>
  <c r="F333" i="3"/>
  <c r="B333" i="3"/>
  <c r="D332" i="3"/>
  <c r="C332" i="3"/>
  <c r="D330" i="6" l="1"/>
  <c r="C330" i="6"/>
  <c r="F331" i="6"/>
  <c r="B331" i="6"/>
  <c r="D331" i="7"/>
  <c r="C331" i="7"/>
  <c r="F332" i="7"/>
  <c r="B332" i="7"/>
  <c r="C328" i="5"/>
  <c r="D328" i="5"/>
  <c r="E329" i="5"/>
  <c r="B329" i="5"/>
  <c r="B204" i="1"/>
  <c r="F334" i="3"/>
  <c r="B334" i="3"/>
  <c r="D324" i="2"/>
  <c r="C324" i="2"/>
  <c r="C333" i="3"/>
  <c r="D333" i="3"/>
  <c r="F325" i="2"/>
  <c r="B325" i="2"/>
  <c r="D331" i="6" l="1"/>
  <c r="C331" i="6"/>
  <c r="F332" i="6"/>
  <c r="B332" i="6"/>
  <c r="D332" i="7"/>
  <c r="C332" i="7"/>
  <c r="F333" i="7"/>
  <c r="B333" i="7"/>
  <c r="E330" i="5"/>
  <c r="B330" i="5"/>
  <c r="D329" i="5"/>
  <c r="C329" i="5"/>
  <c r="D204" i="1"/>
  <c r="F204" i="1" s="1"/>
  <c r="C204" i="1"/>
  <c r="D325" i="2"/>
  <c r="C325" i="2"/>
  <c r="D334" i="3"/>
  <c r="C334" i="3"/>
  <c r="F326" i="2"/>
  <c r="B326" i="2"/>
  <c r="F335" i="3"/>
  <c r="B335" i="3"/>
  <c r="D332" i="6" l="1"/>
  <c r="C332" i="6"/>
  <c r="F333" i="6"/>
  <c r="B333" i="6"/>
  <c r="C333" i="7"/>
  <c r="D333" i="7"/>
  <c r="F334" i="7"/>
  <c r="B334" i="7"/>
  <c r="D330" i="5"/>
  <c r="C330" i="5"/>
  <c r="E331" i="5"/>
  <c r="B331" i="5"/>
  <c r="F205" i="1"/>
  <c r="B205" i="1"/>
  <c r="C335" i="3"/>
  <c r="D335" i="3"/>
  <c r="C326" i="2"/>
  <c r="D326" i="2"/>
  <c r="F336" i="3"/>
  <c r="B336" i="3"/>
  <c r="F327" i="2"/>
  <c r="B327" i="2"/>
  <c r="D333" i="6" l="1"/>
  <c r="C333" i="6"/>
  <c r="F334" i="6"/>
  <c r="B334" i="6"/>
  <c r="D334" i="7"/>
  <c r="C334" i="7"/>
  <c r="F335" i="7"/>
  <c r="B335" i="7"/>
  <c r="D331" i="5"/>
  <c r="C331" i="5"/>
  <c r="E332" i="5"/>
  <c r="B332" i="5"/>
  <c r="D205" i="1"/>
  <c r="C205" i="1"/>
  <c r="B206" i="1"/>
  <c r="F206" i="1"/>
  <c r="C327" i="2"/>
  <c r="D327" i="2"/>
  <c r="F328" i="2"/>
  <c r="B328" i="2"/>
  <c r="D336" i="3"/>
  <c r="C336" i="3"/>
  <c r="F337" i="3"/>
  <c r="B337" i="3"/>
  <c r="D334" i="6" l="1"/>
  <c r="C334" i="6"/>
  <c r="F335" i="6"/>
  <c r="B335" i="6"/>
  <c r="D335" i="7"/>
  <c r="C335" i="7"/>
  <c r="F336" i="7"/>
  <c r="B336" i="7"/>
  <c r="C332" i="5"/>
  <c r="D332" i="5"/>
  <c r="E333" i="5"/>
  <c r="B333" i="5"/>
  <c r="B207" i="1"/>
  <c r="F207" i="1"/>
  <c r="C206" i="1"/>
  <c r="D206" i="1"/>
  <c r="F329" i="2"/>
  <c r="B329" i="2"/>
  <c r="F338" i="3"/>
  <c r="B338" i="3"/>
  <c r="C328" i="2"/>
  <c r="D328" i="2"/>
  <c r="D337" i="3"/>
  <c r="C337" i="3"/>
  <c r="D335" i="6" l="1"/>
  <c r="C335" i="6"/>
  <c r="F336" i="6"/>
  <c r="B336" i="6"/>
  <c r="D336" i="7"/>
  <c r="C336" i="7"/>
  <c r="F337" i="7"/>
  <c r="B337" i="7"/>
  <c r="E334" i="5"/>
  <c r="B334" i="5"/>
  <c r="D333" i="5"/>
  <c r="C333" i="5"/>
  <c r="F208" i="1"/>
  <c r="B208" i="1"/>
  <c r="D207" i="1"/>
  <c r="C207" i="1"/>
  <c r="D338" i="3"/>
  <c r="C338" i="3"/>
  <c r="F339" i="3"/>
  <c r="B339" i="3"/>
  <c r="D329" i="2"/>
  <c r="C329" i="2"/>
  <c r="F330" i="2"/>
  <c r="B330" i="2"/>
  <c r="D336" i="6" l="1"/>
  <c r="C336" i="6"/>
  <c r="F337" i="6"/>
  <c r="B337" i="6"/>
  <c r="D337" i="7"/>
  <c r="C337" i="7"/>
  <c r="F338" i="7"/>
  <c r="B338" i="7"/>
  <c r="D334" i="5"/>
  <c r="C334" i="5"/>
  <c r="E335" i="5"/>
  <c r="B335" i="5"/>
  <c r="C208" i="1"/>
  <c r="D208" i="1"/>
  <c r="B209" i="1"/>
  <c r="F209" i="1"/>
  <c r="D339" i="3"/>
  <c r="C339" i="3"/>
  <c r="D330" i="2"/>
  <c r="C330" i="2"/>
  <c r="F340" i="3"/>
  <c r="B340" i="3"/>
  <c r="F331" i="2"/>
  <c r="B331" i="2"/>
  <c r="D337" i="6" l="1"/>
  <c r="C337" i="6"/>
  <c r="F338" i="6"/>
  <c r="B338" i="6"/>
  <c r="D338" i="7"/>
  <c r="C338" i="7"/>
  <c r="F339" i="7"/>
  <c r="B339" i="7"/>
  <c r="D335" i="5"/>
  <c r="C335" i="5"/>
  <c r="E336" i="5"/>
  <c r="B336" i="5"/>
  <c r="F210" i="1"/>
  <c r="B210" i="1"/>
  <c r="C209" i="1"/>
  <c r="D209" i="1"/>
  <c r="F332" i="2"/>
  <c r="B332" i="2"/>
  <c r="D340" i="3"/>
  <c r="C340" i="3"/>
  <c r="D331" i="2"/>
  <c r="C331" i="2"/>
  <c r="F341" i="3"/>
  <c r="B341" i="3"/>
  <c r="D338" i="6" l="1"/>
  <c r="C338" i="6"/>
  <c r="F339" i="6"/>
  <c r="B339" i="6"/>
  <c r="D339" i="7"/>
  <c r="C339" i="7"/>
  <c r="F340" i="7"/>
  <c r="B340" i="7"/>
  <c r="D336" i="5"/>
  <c r="C336" i="5"/>
  <c r="E337" i="5"/>
  <c r="B337" i="5"/>
  <c r="C210" i="1"/>
  <c r="D210" i="1"/>
  <c r="F211" i="1"/>
  <c r="B211" i="1"/>
  <c r="D341" i="3"/>
  <c r="C341" i="3"/>
  <c r="D332" i="2"/>
  <c r="C332" i="2"/>
  <c r="F342" i="3"/>
  <c r="B342" i="3"/>
  <c r="F333" i="2"/>
  <c r="B333" i="2"/>
  <c r="D339" i="6" l="1"/>
  <c r="C339" i="6"/>
  <c r="F340" i="6"/>
  <c r="B340" i="6"/>
  <c r="D340" i="7"/>
  <c r="C340" i="7"/>
  <c r="F341" i="7"/>
  <c r="B341" i="7"/>
  <c r="E338" i="5"/>
  <c r="B338" i="5"/>
  <c r="D337" i="5"/>
  <c r="C337" i="5"/>
  <c r="C211" i="1"/>
  <c r="D211" i="1"/>
  <c r="B212" i="1"/>
  <c r="F212" i="1"/>
  <c r="C333" i="2"/>
  <c r="D333" i="2"/>
  <c r="F334" i="2"/>
  <c r="B334" i="2"/>
  <c r="D342" i="3"/>
  <c r="C342" i="3"/>
  <c r="F343" i="3"/>
  <c r="B343" i="3"/>
  <c r="D340" i="6" l="1"/>
  <c r="C340" i="6"/>
  <c r="F341" i="6"/>
  <c r="B341" i="6"/>
  <c r="C341" i="7"/>
  <c r="D341" i="7"/>
  <c r="F342" i="7"/>
  <c r="B342" i="7"/>
  <c r="D338" i="5"/>
  <c r="C338" i="5"/>
  <c r="E339" i="5"/>
  <c r="B339" i="5"/>
  <c r="B213" i="1"/>
  <c r="F213" i="1"/>
  <c r="D212" i="1"/>
  <c r="C212" i="1"/>
  <c r="D334" i="2"/>
  <c r="C334" i="2"/>
  <c r="F335" i="2"/>
  <c r="B335" i="2"/>
  <c r="C343" i="3"/>
  <c r="D343" i="3"/>
  <c r="F344" i="3"/>
  <c r="B344" i="3"/>
  <c r="D341" i="6" l="1"/>
  <c r="C341" i="6"/>
  <c r="F342" i="6"/>
  <c r="B342" i="6"/>
  <c r="D342" i="7"/>
  <c r="C342" i="7"/>
  <c r="F343" i="7"/>
  <c r="B343" i="7"/>
  <c r="D339" i="5"/>
  <c r="C339" i="5"/>
  <c r="E340" i="5"/>
  <c r="B340" i="5"/>
  <c r="F214" i="1"/>
  <c r="B214" i="1"/>
  <c r="C213" i="1"/>
  <c r="D213" i="1"/>
  <c r="F336" i="2"/>
  <c r="B336" i="2"/>
  <c r="D335" i="2"/>
  <c r="C335" i="2"/>
  <c r="F345" i="3"/>
  <c r="B345" i="3"/>
  <c r="D344" i="3"/>
  <c r="C344" i="3"/>
  <c r="D342" i="6" l="1"/>
  <c r="C342" i="6"/>
  <c r="F343" i="6"/>
  <c r="B343" i="6"/>
  <c r="D343" i="7"/>
  <c r="C343" i="7"/>
  <c r="F344" i="7"/>
  <c r="B344" i="7"/>
  <c r="D340" i="5"/>
  <c r="C340" i="5"/>
  <c r="E341" i="5"/>
  <c r="B341" i="5"/>
  <c r="D214" i="1"/>
  <c r="C214" i="1"/>
  <c r="F215" i="1"/>
  <c r="B215" i="1"/>
  <c r="F346" i="3"/>
  <c r="B346" i="3"/>
  <c r="C336" i="2"/>
  <c r="D336" i="2"/>
  <c r="D345" i="3"/>
  <c r="C345" i="3"/>
  <c r="F337" i="2"/>
  <c r="B337" i="2"/>
  <c r="D343" i="6" l="1"/>
  <c r="C343" i="6"/>
  <c r="F344" i="6"/>
  <c r="B344" i="6"/>
  <c r="D344" i="7"/>
  <c r="C344" i="7"/>
  <c r="F345" i="7"/>
  <c r="B345" i="7"/>
  <c r="D341" i="5"/>
  <c r="C341" i="5"/>
  <c r="E342" i="5"/>
  <c r="B342" i="5"/>
  <c r="C215" i="1"/>
  <c r="D215" i="1"/>
  <c r="B216" i="1"/>
  <c r="F216" i="1"/>
  <c r="D337" i="2"/>
  <c r="C337" i="2"/>
  <c r="F338" i="2"/>
  <c r="B338" i="2"/>
  <c r="D346" i="3"/>
  <c r="C346" i="3"/>
  <c r="F347" i="3"/>
  <c r="B347" i="3"/>
  <c r="D344" i="6" l="1"/>
  <c r="C344" i="6"/>
  <c r="F345" i="6"/>
  <c r="B345" i="6"/>
  <c r="D345" i="7"/>
  <c r="C345" i="7"/>
  <c r="F346" i="7"/>
  <c r="B346" i="7"/>
  <c r="D342" i="5"/>
  <c r="C342" i="5"/>
  <c r="E343" i="5"/>
  <c r="B343" i="5"/>
  <c r="F217" i="1"/>
  <c r="B217" i="1"/>
  <c r="D216" i="1"/>
  <c r="C216" i="1"/>
  <c r="D338" i="2"/>
  <c r="C338" i="2"/>
  <c r="D347" i="3"/>
  <c r="C347" i="3"/>
  <c r="F339" i="2"/>
  <c r="B339" i="2"/>
  <c r="F348" i="3"/>
  <c r="B348" i="3"/>
  <c r="C345" i="6" l="1"/>
  <c r="D345" i="6"/>
  <c r="F346" i="6"/>
  <c r="B346" i="6"/>
  <c r="D346" i="7"/>
  <c r="C346" i="7"/>
  <c r="F347" i="7"/>
  <c r="B347" i="7"/>
  <c r="D343" i="5"/>
  <c r="C343" i="5"/>
  <c r="E344" i="5"/>
  <c r="B344" i="5"/>
  <c r="D217" i="1"/>
  <c r="C217" i="1"/>
  <c r="F218" i="1"/>
  <c r="B218" i="1"/>
  <c r="C339" i="2"/>
  <c r="D339" i="2"/>
  <c r="F340" i="2"/>
  <c r="B340" i="2"/>
  <c r="D348" i="3"/>
  <c r="C348" i="3"/>
  <c r="F349" i="3"/>
  <c r="B349" i="3"/>
  <c r="D346" i="6" l="1"/>
  <c r="C346" i="6"/>
  <c r="F347" i="6"/>
  <c r="B347" i="6"/>
  <c r="D347" i="7"/>
  <c r="C347" i="7"/>
  <c r="F348" i="7"/>
  <c r="B348" i="7"/>
  <c r="D344" i="5"/>
  <c r="C344" i="5"/>
  <c r="E345" i="5"/>
  <c r="B345" i="5"/>
  <c r="F219" i="1"/>
  <c r="B219" i="1"/>
  <c r="D218" i="1"/>
  <c r="C218" i="1"/>
  <c r="D340" i="2"/>
  <c r="C340" i="2"/>
  <c r="F350" i="3"/>
  <c r="B350" i="3"/>
  <c r="F341" i="2"/>
  <c r="B341" i="2"/>
  <c r="D349" i="3"/>
  <c r="C349" i="3"/>
  <c r="D347" i="6" l="1"/>
  <c r="C347" i="6"/>
  <c r="F348" i="6"/>
  <c r="B348" i="6"/>
  <c r="D348" i="7"/>
  <c r="C348" i="7"/>
  <c r="F349" i="7"/>
  <c r="B349" i="7"/>
  <c r="D345" i="5"/>
  <c r="C345" i="5"/>
  <c r="E346" i="5"/>
  <c r="B346" i="5"/>
  <c r="C219" i="1"/>
  <c r="D219" i="1"/>
  <c r="B220" i="1"/>
  <c r="F220" i="1"/>
  <c r="F342" i="2"/>
  <c r="B342" i="2"/>
  <c r="F351" i="3"/>
  <c r="B351" i="3"/>
  <c r="D341" i="2"/>
  <c r="C341" i="2"/>
  <c r="D350" i="3"/>
  <c r="C350" i="3"/>
  <c r="D348" i="6" l="1"/>
  <c r="C348" i="6"/>
  <c r="F349" i="6"/>
  <c r="B349" i="6"/>
  <c r="F350" i="7"/>
  <c r="B350" i="7"/>
  <c r="D349" i="7"/>
  <c r="C349" i="7"/>
  <c r="D346" i="5"/>
  <c r="C346" i="5"/>
  <c r="E347" i="5"/>
  <c r="B347" i="5"/>
  <c r="B221" i="1"/>
  <c r="F221" i="1"/>
  <c r="C220" i="1"/>
  <c r="D220" i="1"/>
  <c r="F352" i="3"/>
  <c r="B352" i="3"/>
  <c r="C351" i="3"/>
  <c r="D351" i="3"/>
  <c r="D342" i="2"/>
  <c r="C342" i="2"/>
  <c r="F343" i="2"/>
  <c r="B343" i="2"/>
  <c r="D349" i="6" l="1"/>
  <c r="C349" i="6"/>
  <c r="F350" i="6"/>
  <c r="B350" i="6"/>
  <c r="D350" i="7"/>
  <c r="C350" i="7"/>
  <c r="F351" i="7"/>
  <c r="B351" i="7"/>
  <c r="D347" i="5"/>
  <c r="C347" i="5"/>
  <c r="E348" i="5"/>
  <c r="B348" i="5"/>
  <c r="C221" i="1"/>
  <c r="D221" i="1"/>
  <c r="B222" i="1"/>
  <c r="F222" i="1"/>
  <c r="D352" i="3"/>
  <c r="C352" i="3"/>
  <c r="D343" i="2"/>
  <c r="C343" i="2"/>
  <c r="F353" i="3"/>
  <c r="B353" i="3"/>
  <c r="F344" i="2"/>
  <c r="B344" i="2"/>
  <c r="D350" i="6" l="1"/>
  <c r="C350" i="6"/>
  <c r="F351" i="6"/>
  <c r="B351" i="6"/>
  <c r="D351" i="7"/>
  <c r="C351" i="7"/>
  <c r="F352" i="7"/>
  <c r="B352" i="7"/>
  <c r="E349" i="5"/>
  <c r="B349" i="5"/>
  <c r="C348" i="5"/>
  <c r="D348" i="5"/>
  <c r="F223" i="1"/>
  <c r="B223" i="1"/>
  <c r="D222" i="1"/>
  <c r="C222" i="1"/>
  <c r="C344" i="2"/>
  <c r="D344" i="2"/>
  <c r="F354" i="3"/>
  <c r="B354" i="3"/>
  <c r="D353" i="3"/>
  <c r="C353" i="3"/>
  <c r="F345" i="2"/>
  <c r="B345" i="2"/>
  <c r="D351" i="6" l="1"/>
  <c r="C351" i="6"/>
  <c r="F352" i="6"/>
  <c r="B352" i="6"/>
  <c r="D352" i="7"/>
  <c r="C352" i="7"/>
  <c r="F353" i="7"/>
  <c r="B353" i="7"/>
  <c r="D349" i="5"/>
  <c r="C349" i="5"/>
  <c r="E350" i="5"/>
  <c r="B350" i="5"/>
  <c r="F224" i="1"/>
  <c r="B224" i="1"/>
  <c r="C223" i="1"/>
  <c r="D223" i="1"/>
  <c r="D354" i="3"/>
  <c r="C354" i="3"/>
  <c r="F355" i="3"/>
  <c r="B355" i="3"/>
  <c r="D345" i="2"/>
  <c r="C345" i="2"/>
  <c r="F346" i="2"/>
  <c r="B346" i="2"/>
  <c r="D352" i="6" l="1"/>
  <c r="C352" i="6"/>
  <c r="F353" i="6"/>
  <c r="B353" i="6"/>
  <c r="D353" i="7"/>
  <c r="C353" i="7"/>
  <c r="F354" i="7"/>
  <c r="B354" i="7"/>
  <c r="D350" i="5"/>
  <c r="C350" i="5"/>
  <c r="E351" i="5"/>
  <c r="B351" i="5"/>
  <c r="C224" i="1"/>
  <c r="D224" i="1"/>
  <c r="B225" i="1"/>
  <c r="F225" i="1"/>
  <c r="F347" i="2"/>
  <c r="B347" i="2"/>
  <c r="D355" i="3"/>
  <c r="C355" i="3"/>
  <c r="F356" i="3"/>
  <c r="B356" i="3"/>
  <c r="C346" i="2"/>
  <c r="D346" i="2"/>
  <c r="D353" i="6" l="1"/>
  <c r="C353" i="6"/>
  <c r="F354" i="6"/>
  <c r="B354" i="6"/>
  <c r="D354" i="7"/>
  <c r="C354" i="7"/>
  <c r="F355" i="7"/>
  <c r="B355" i="7"/>
  <c r="D351" i="5"/>
  <c r="C351" i="5"/>
  <c r="E352" i="5"/>
  <c r="B352" i="5"/>
  <c r="F226" i="1"/>
  <c r="B226" i="1"/>
  <c r="C225" i="1"/>
  <c r="D225" i="1"/>
  <c r="C347" i="2"/>
  <c r="D347" i="2"/>
  <c r="F348" i="2"/>
  <c r="B348" i="2"/>
  <c r="D356" i="3"/>
  <c r="C356" i="3"/>
  <c r="F357" i="3"/>
  <c r="B357" i="3"/>
  <c r="D354" i="6" l="1"/>
  <c r="C354" i="6"/>
  <c r="F355" i="6"/>
  <c r="B355" i="6"/>
  <c r="D355" i="7"/>
  <c r="C355" i="7"/>
  <c r="F356" i="7"/>
  <c r="B356" i="7"/>
  <c r="D352" i="5"/>
  <c r="C352" i="5"/>
  <c r="E353" i="5"/>
  <c r="B353" i="5"/>
  <c r="C226" i="1"/>
  <c r="D226" i="1"/>
  <c r="F227" i="1"/>
  <c r="B227" i="1"/>
  <c r="D348" i="2"/>
  <c r="C348" i="2"/>
  <c r="F349" i="2"/>
  <c r="B349" i="2"/>
  <c r="D357" i="3"/>
  <c r="C357" i="3"/>
  <c r="F358" i="3"/>
  <c r="B358" i="3"/>
  <c r="D355" i="6" l="1"/>
  <c r="C355" i="6"/>
  <c r="F356" i="6"/>
  <c r="B356" i="6"/>
  <c r="D356" i="7"/>
  <c r="C356" i="7"/>
  <c r="F357" i="7"/>
  <c r="B357" i="7"/>
  <c r="D353" i="5"/>
  <c r="C353" i="5"/>
  <c r="E354" i="5"/>
  <c r="B354" i="5"/>
  <c r="F228" i="1"/>
  <c r="B228" i="1"/>
  <c r="D227" i="1"/>
  <c r="C227" i="1"/>
  <c r="D349" i="2"/>
  <c r="C349" i="2"/>
  <c r="F350" i="2"/>
  <c r="B350" i="2"/>
  <c r="F359" i="3"/>
  <c r="B359" i="3"/>
  <c r="D358" i="3"/>
  <c r="C358" i="3"/>
  <c r="D356" i="6" l="1"/>
  <c r="C356" i="6"/>
  <c r="F357" i="6"/>
  <c r="B357" i="6"/>
  <c r="D357" i="7"/>
  <c r="C357" i="7"/>
  <c r="F358" i="7"/>
  <c r="B358" i="7"/>
  <c r="D354" i="5"/>
  <c r="C354" i="5"/>
  <c r="E355" i="5"/>
  <c r="B355" i="5"/>
  <c r="F229" i="1"/>
  <c r="B229" i="1"/>
  <c r="D228" i="1"/>
  <c r="C228" i="1"/>
  <c r="F351" i="2"/>
  <c r="B351" i="2"/>
  <c r="D359" i="3"/>
  <c r="C359" i="3"/>
  <c r="F360" i="3"/>
  <c r="B360" i="3"/>
  <c r="D350" i="2"/>
  <c r="C350" i="2"/>
  <c r="D357" i="6" l="1"/>
  <c r="C357" i="6"/>
  <c r="F358" i="6"/>
  <c r="B358" i="6"/>
  <c r="D358" i="7"/>
  <c r="C358" i="7"/>
  <c r="F359" i="7"/>
  <c r="B359" i="7"/>
  <c r="D355" i="5"/>
  <c r="C355" i="5"/>
  <c r="E356" i="5"/>
  <c r="B356" i="5"/>
  <c r="C229" i="1"/>
  <c r="D229" i="1"/>
  <c r="B230" i="1"/>
  <c r="F230" i="1"/>
  <c r="D360" i="3"/>
  <c r="C360" i="3"/>
  <c r="F361" i="3"/>
  <c r="B361" i="3"/>
  <c r="D351" i="2"/>
  <c r="C351" i="2"/>
  <c r="F352" i="2"/>
  <c r="B352" i="2"/>
  <c r="D358" i="6" l="1"/>
  <c r="C358" i="6"/>
  <c r="F359" i="6"/>
  <c r="B359" i="6"/>
  <c r="D359" i="7"/>
  <c r="C359" i="7"/>
  <c r="F360" i="7"/>
  <c r="B360" i="7"/>
  <c r="D356" i="5"/>
  <c r="C356" i="5"/>
  <c r="E357" i="5"/>
  <c r="B357" i="5"/>
  <c r="B231" i="1"/>
  <c r="F231" i="1"/>
  <c r="C230" i="1"/>
  <c r="D230" i="1"/>
  <c r="F362" i="3"/>
  <c r="B362" i="3"/>
  <c r="D361" i="3"/>
  <c r="C361" i="3"/>
  <c r="D352" i="2"/>
  <c r="C352" i="2"/>
  <c r="F353" i="2"/>
  <c r="B353" i="2"/>
  <c r="D359" i="6" l="1"/>
  <c r="C359" i="6"/>
  <c r="F360" i="6"/>
  <c r="B360" i="6"/>
  <c r="D360" i="7"/>
  <c r="C360" i="7"/>
  <c r="F361" i="7"/>
  <c r="B361" i="7"/>
  <c r="D357" i="5"/>
  <c r="C357" i="5"/>
  <c r="E358" i="5"/>
  <c r="B358" i="5"/>
  <c r="B232" i="1"/>
  <c r="F232" i="1"/>
  <c r="C231" i="1"/>
  <c r="D231" i="1"/>
  <c r="D353" i="2"/>
  <c r="C353" i="2"/>
  <c r="D362" i="3"/>
  <c r="C362" i="3"/>
  <c r="F354" i="2"/>
  <c r="B354" i="2"/>
  <c r="F363" i="3"/>
  <c r="B363" i="3"/>
  <c r="D360" i="6" l="1"/>
  <c r="C360" i="6"/>
  <c r="F361" i="6"/>
  <c r="B361" i="6"/>
  <c r="F362" i="7"/>
  <c r="B362" i="7"/>
  <c r="D361" i="7"/>
  <c r="C361" i="7"/>
  <c r="D358" i="5"/>
  <c r="C358" i="5"/>
  <c r="E359" i="5"/>
  <c r="B359" i="5"/>
  <c r="F233" i="1"/>
  <c r="B233" i="1"/>
  <c r="C232" i="1"/>
  <c r="D232" i="1"/>
  <c r="F364" i="3"/>
  <c r="B364" i="3"/>
  <c r="D363" i="3"/>
  <c r="C363" i="3"/>
  <c r="D354" i="2"/>
  <c r="C354" i="2"/>
  <c r="F355" i="2"/>
  <c r="B355" i="2"/>
  <c r="C361" i="6" l="1"/>
  <c r="D361" i="6"/>
  <c r="F362" i="6"/>
  <c r="B362" i="6"/>
  <c r="D362" i="7"/>
  <c r="C362" i="7"/>
  <c r="F363" i="7"/>
  <c r="B363" i="7"/>
  <c r="D359" i="5"/>
  <c r="C359" i="5"/>
  <c r="E360" i="5"/>
  <c r="B360" i="5"/>
  <c r="C233" i="1"/>
  <c r="D233" i="1"/>
  <c r="B234" i="1"/>
  <c r="F234" i="1"/>
  <c r="D355" i="2"/>
  <c r="C355" i="2"/>
  <c r="D364" i="3"/>
  <c r="C364" i="3"/>
  <c r="F356" i="2"/>
  <c r="B356" i="2"/>
  <c r="F365" i="3"/>
  <c r="B365" i="3"/>
  <c r="D362" i="6" l="1"/>
  <c r="C362" i="6"/>
  <c r="F363" i="6"/>
  <c r="B363" i="6"/>
  <c r="D363" i="7"/>
  <c r="C363" i="7"/>
  <c r="F364" i="7"/>
  <c r="B364" i="7"/>
  <c r="D360" i="5"/>
  <c r="C360" i="5"/>
  <c r="E361" i="5"/>
  <c r="B361" i="5"/>
  <c r="F235" i="1"/>
  <c r="B235" i="1"/>
  <c r="D234" i="1"/>
  <c r="C234" i="1"/>
  <c r="D365" i="3"/>
  <c r="C365" i="3"/>
  <c r="F366" i="3"/>
  <c r="B366" i="3"/>
  <c r="D356" i="2"/>
  <c r="C356" i="2"/>
  <c r="F357" i="2"/>
  <c r="B357" i="2"/>
  <c r="D363" i="6" l="1"/>
  <c r="C363" i="6"/>
  <c r="F364" i="6"/>
  <c r="B364" i="6"/>
  <c r="D364" i="7"/>
  <c r="C364" i="7"/>
  <c r="F365" i="7"/>
  <c r="B365" i="7"/>
  <c r="D361" i="5"/>
  <c r="C361" i="5"/>
  <c r="E362" i="5"/>
  <c r="B362" i="5"/>
  <c r="C235" i="1"/>
  <c r="D235" i="1"/>
  <c r="F236" i="1"/>
  <c r="B236" i="1"/>
  <c r="D366" i="3"/>
  <c r="C366" i="3"/>
  <c r="F367" i="3"/>
  <c r="B367" i="3"/>
  <c r="D357" i="2"/>
  <c r="C357" i="2"/>
  <c r="F358" i="2"/>
  <c r="B358" i="2"/>
  <c r="D364" i="6" l="1"/>
  <c r="C364" i="6"/>
  <c r="F365" i="6"/>
  <c r="B365" i="6"/>
  <c r="C365" i="7"/>
  <c r="D365" i="7"/>
  <c r="F366" i="7"/>
  <c r="B366" i="7"/>
  <c r="E363" i="5"/>
  <c r="B363" i="5"/>
  <c r="D362" i="5"/>
  <c r="C362" i="5"/>
  <c r="F237" i="1"/>
  <c r="B237" i="1"/>
  <c r="D236" i="1"/>
  <c r="C236" i="1"/>
  <c r="D358" i="2"/>
  <c r="C358" i="2"/>
  <c r="F359" i="2"/>
  <c r="B359" i="2"/>
  <c r="C367" i="3"/>
  <c r="D367" i="3"/>
  <c r="F368" i="3"/>
  <c r="B368" i="3"/>
  <c r="D365" i="6" l="1"/>
  <c r="C365" i="6"/>
  <c r="F366" i="6"/>
  <c r="B366" i="6"/>
  <c r="D366" i="7"/>
  <c r="C366" i="7"/>
  <c r="F367" i="7"/>
  <c r="B367" i="7"/>
  <c r="D363" i="5"/>
  <c r="C363" i="5"/>
  <c r="E364" i="5"/>
  <c r="B364" i="5"/>
  <c r="C237" i="1"/>
  <c r="D237" i="1"/>
  <c r="B238" i="1"/>
  <c r="F238" i="1"/>
  <c r="F369" i="3"/>
  <c r="B369" i="3"/>
  <c r="D359" i="2"/>
  <c r="C359" i="2"/>
  <c r="F360" i="2"/>
  <c r="B360" i="2"/>
  <c r="D368" i="3"/>
  <c r="C368" i="3"/>
  <c r="D366" i="6" l="1"/>
  <c r="C366" i="6"/>
  <c r="F367" i="6"/>
  <c r="B367" i="6"/>
  <c r="D367" i="7"/>
  <c r="C367" i="7"/>
  <c r="F368" i="7"/>
  <c r="B368" i="7"/>
  <c r="D364" i="5"/>
  <c r="C364" i="5"/>
  <c r="E365" i="5"/>
  <c r="B365" i="5"/>
  <c r="F239" i="1"/>
  <c r="B239" i="1"/>
  <c r="C238" i="1"/>
  <c r="D238" i="1"/>
  <c r="D360" i="2"/>
  <c r="C360" i="2"/>
  <c r="F361" i="2"/>
  <c r="B361" i="2"/>
  <c r="D369" i="3"/>
  <c r="C369" i="3"/>
  <c r="F370" i="3"/>
  <c r="B370" i="3"/>
  <c r="D367" i="6" l="1"/>
  <c r="C367" i="6"/>
  <c r="F368" i="6"/>
  <c r="B368" i="6"/>
  <c r="D368" i="7"/>
  <c r="C368" i="7"/>
  <c r="F369" i="7"/>
  <c r="B369" i="7"/>
  <c r="D365" i="5"/>
  <c r="C365" i="5"/>
  <c r="E366" i="5"/>
  <c r="B366" i="5"/>
  <c r="C239" i="1"/>
  <c r="D239" i="1"/>
  <c r="F240" i="1"/>
  <c r="B240" i="1"/>
  <c r="D361" i="2"/>
  <c r="C361" i="2"/>
  <c r="F371" i="3"/>
  <c r="B371" i="3"/>
  <c r="F362" i="2"/>
  <c r="B362" i="2"/>
  <c r="D370" i="3"/>
  <c r="C370" i="3"/>
  <c r="D368" i="6" l="1"/>
  <c r="C368" i="6"/>
  <c r="F369" i="6"/>
  <c r="B369" i="6"/>
  <c r="F370" i="7"/>
  <c r="B370" i="7"/>
  <c r="D369" i="7"/>
  <c r="C369" i="7"/>
  <c r="D366" i="5"/>
  <c r="C366" i="5"/>
  <c r="E367" i="5"/>
  <c r="B367" i="5"/>
  <c r="C240" i="1"/>
  <c r="D240" i="1"/>
  <c r="B241" i="1"/>
  <c r="F241" i="1"/>
  <c r="F363" i="2"/>
  <c r="B363" i="2"/>
  <c r="D362" i="2"/>
  <c r="C362" i="2"/>
  <c r="D371" i="3"/>
  <c r="C371" i="3"/>
  <c r="F372" i="3"/>
  <c r="B372" i="3"/>
  <c r="D369" i="6" l="1"/>
  <c r="C369" i="6"/>
  <c r="F370" i="6"/>
  <c r="B370" i="6"/>
  <c r="D370" i="7"/>
  <c r="C370" i="7"/>
  <c r="F371" i="7"/>
  <c r="B371" i="7"/>
  <c r="D367" i="5"/>
  <c r="C367" i="5"/>
  <c r="E368" i="5"/>
  <c r="B368" i="5"/>
  <c r="B242" i="1"/>
  <c r="F242" i="1"/>
  <c r="C241" i="1"/>
  <c r="D241" i="1"/>
  <c r="D363" i="2"/>
  <c r="C363" i="2"/>
  <c r="D372" i="3"/>
  <c r="C372" i="3"/>
  <c r="F364" i="2"/>
  <c r="B364" i="2"/>
  <c r="D370" i="6" l="1"/>
  <c r="C370" i="6"/>
  <c r="F371" i="6"/>
  <c r="B371" i="6"/>
  <c r="D371" i="7"/>
  <c r="C371" i="7"/>
  <c r="F372" i="7"/>
  <c r="B372" i="7"/>
  <c r="D368" i="5"/>
  <c r="C368" i="5"/>
  <c r="E369" i="5"/>
  <c r="B369" i="5"/>
  <c r="F243" i="1"/>
  <c r="B243" i="1"/>
  <c r="C242" i="1"/>
  <c r="D242" i="1"/>
  <c r="D364" i="2"/>
  <c r="C364" i="2"/>
  <c r="F365" i="2"/>
  <c r="B365" i="2"/>
  <c r="D371" i="6" l="1"/>
  <c r="C371" i="6"/>
  <c r="F372" i="6"/>
  <c r="B372" i="6"/>
  <c r="D372" i="7"/>
  <c r="C372" i="7"/>
  <c r="D369" i="5"/>
  <c r="C369" i="5"/>
  <c r="E370" i="5"/>
  <c r="B370" i="5"/>
  <c r="D243" i="1"/>
  <c r="C243" i="1"/>
  <c r="B244" i="1"/>
  <c r="F244" i="1"/>
  <c r="F366" i="2"/>
  <c r="B366" i="2"/>
  <c r="D365" i="2"/>
  <c r="C365" i="2"/>
  <c r="D372" i="6" l="1"/>
  <c r="C372" i="6"/>
  <c r="D370" i="5"/>
  <c r="C370" i="5"/>
  <c r="E371" i="5"/>
  <c r="B371" i="5"/>
  <c r="F245" i="1"/>
  <c r="B245" i="1"/>
  <c r="C244" i="1"/>
  <c r="D244" i="1"/>
  <c r="D366" i="2"/>
  <c r="C366" i="2"/>
  <c r="F367" i="2"/>
  <c r="B367" i="2"/>
  <c r="D371" i="5" l="1"/>
  <c r="C371" i="5"/>
  <c r="E372" i="5"/>
  <c r="B372" i="5"/>
  <c r="D245" i="1"/>
  <c r="C245" i="1"/>
  <c r="F246" i="1"/>
  <c r="B246" i="1"/>
  <c r="D367" i="2"/>
  <c r="C367" i="2"/>
  <c r="F368" i="2"/>
  <c r="B368" i="2"/>
  <c r="D372" i="5" l="1"/>
  <c r="C372" i="5"/>
  <c r="F247" i="1"/>
  <c r="B247" i="1"/>
  <c r="C246" i="1"/>
  <c r="D246" i="1"/>
  <c r="F369" i="2"/>
  <c r="B369" i="2"/>
  <c r="D368" i="2"/>
  <c r="C368" i="2"/>
  <c r="C247" i="1" l="1"/>
  <c r="D247" i="1"/>
  <c r="B248" i="1"/>
  <c r="F248" i="1"/>
  <c r="D369" i="2"/>
  <c r="C369" i="2"/>
  <c r="F370" i="2"/>
  <c r="B370" i="2"/>
  <c r="F249" i="1" l="1"/>
  <c r="B249" i="1"/>
  <c r="D248" i="1"/>
  <c r="C248" i="1"/>
  <c r="F371" i="2"/>
  <c r="B371" i="2"/>
  <c r="D370" i="2"/>
  <c r="C370" i="2"/>
  <c r="C249" i="1" l="1"/>
  <c r="D249" i="1"/>
  <c r="F250" i="1"/>
  <c r="B250" i="1"/>
  <c r="D371" i="2"/>
  <c r="C371" i="2"/>
  <c r="F372" i="2"/>
  <c r="B372" i="2"/>
  <c r="F251" i="1" l="1"/>
  <c r="B251" i="1"/>
  <c r="C250" i="1"/>
  <c r="D250" i="1"/>
  <c r="D372" i="2"/>
  <c r="C372" i="2"/>
  <c r="C251" i="1" l="1"/>
  <c r="D251" i="1"/>
  <c r="F252" i="1"/>
  <c r="B252" i="1"/>
  <c r="C252" i="1" l="1"/>
  <c r="D252" i="1"/>
  <c r="B253" i="1"/>
  <c r="F253" i="1"/>
  <c r="C253" i="1" l="1"/>
  <c r="D253" i="1"/>
  <c r="F254" i="1"/>
  <c r="B254" i="1"/>
  <c r="D254" i="1" l="1"/>
  <c r="C254" i="1"/>
  <c r="B255" i="1"/>
  <c r="F255" i="1"/>
  <c r="B256" i="1" l="1"/>
  <c r="F256" i="1"/>
  <c r="C255" i="1"/>
  <c r="D255" i="1"/>
  <c r="F257" i="1" l="1"/>
  <c r="B257" i="1"/>
  <c r="C256" i="1"/>
  <c r="D256" i="1"/>
  <c r="C257" i="1" l="1"/>
  <c r="D257" i="1"/>
  <c r="B258" i="1"/>
  <c r="F258" i="1"/>
  <c r="D258" i="1" l="1"/>
  <c r="C258" i="1"/>
  <c r="F259" i="1"/>
  <c r="B259" i="1"/>
  <c r="F260" i="1" l="1"/>
  <c r="B260" i="1"/>
  <c r="C259" i="1"/>
  <c r="D259" i="1"/>
  <c r="D260" i="1" l="1"/>
  <c r="C260" i="1"/>
  <c r="F261" i="1"/>
  <c r="B261" i="1"/>
  <c r="D261" i="1" l="1"/>
  <c r="C261" i="1"/>
  <c r="F262" i="1"/>
  <c r="B262" i="1"/>
  <c r="D262" i="1" l="1"/>
  <c r="C262" i="1"/>
  <c r="F263" i="1"/>
  <c r="B263" i="1"/>
  <c r="C263" i="1" l="1"/>
  <c r="D263" i="1"/>
  <c r="F264" i="1"/>
  <c r="B264" i="1"/>
  <c r="D264" i="1" l="1"/>
  <c r="C264" i="1"/>
  <c r="F265" i="1"/>
  <c r="B265" i="1"/>
  <c r="D265" i="1" l="1"/>
  <c r="C265" i="1"/>
  <c r="B266" i="1"/>
  <c r="F266" i="1"/>
  <c r="F267" i="1" l="1"/>
  <c r="B267" i="1"/>
  <c r="C266" i="1"/>
  <c r="D266" i="1"/>
  <c r="D267" i="1" l="1"/>
  <c r="C267" i="1"/>
  <c r="F268" i="1"/>
  <c r="B268" i="1"/>
  <c r="D268" i="1" l="1"/>
  <c r="C268" i="1"/>
  <c r="F269" i="1"/>
  <c r="B269" i="1"/>
  <c r="D269" i="1" l="1"/>
  <c r="C269" i="1"/>
  <c r="B270" i="1"/>
  <c r="F270" i="1"/>
  <c r="B271" i="1" l="1"/>
  <c r="F271" i="1"/>
  <c r="C270" i="1"/>
  <c r="D270" i="1"/>
  <c r="B272" i="1" l="1"/>
  <c r="F272" i="1"/>
  <c r="C271" i="1"/>
  <c r="D271" i="1"/>
  <c r="B273" i="1" l="1"/>
  <c r="F273" i="1"/>
  <c r="C272" i="1"/>
  <c r="D272" i="1"/>
  <c r="B274" i="1" l="1"/>
  <c r="F274" i="1"/>
  <c r="C273" i="1"/>
  <c r="D273" i="1"/>
  <c r="B275" i="1" l="1"/>
  <c r="F275" i="1"/>
  <c r="D274" i="1"/>
  <c r="C274" i="1"/>
  <c r="B276" i="1" l="1"/>
  <c r="F276" i="1"/>
  <c r="D275" i="1"/>
  <c r="C275" i="1"/>
  <c r="B277" i="1" l="1"/>
  <c r="F277" i="1"/>
  <c r="D276" i="1"/>
  <c r="C276" i="1"/>
  <c r="B278" i="1" l="1"/>
  <c r="F278" i="1"/>
  <c r="D277" i="1"/>
  <c r="C277" i="1"/>
  <c r="B279" i="1" l="1"/>
  <c r="F279" i="1"/>
  <c r="C278" i="1"/>
  <c r="D278" i="1"/>
  <c r="F280" i="1" l="1"/>
  <c r="B280" i="1"/>
  <c r="C279" i="1"/>
  <c r="D279" i="1"/>
  <c r="C280" i="1" l="1"/>
  <c r="D280" i="1"/>
  <c r="B281" i="1"/>
  <c r="F281" i="1"/>
  <c r="F282" i="1" l="1"/>
  <c r="B282" i="1"/>
  <c r="C281" i="1"/>
  <c r="D281" i="1"/>
  <c r="C282" i="1" l="1"/>
  <c r="D282" i="1"/>
  <c r="F283" i="1"/>
  <c r="B283" i="1"/>
  <c r="C283" i="1" l="1"/>
  <c r="D283" i="1"/>
  <c r="B284" i="1"/>
  <c r="F284" i="1"/>
  <c r="B285" i="1" l="1"/>
  <c r="F285" i="1"/>
  <c r="D284" i="1"/>
  <c r="C284" i="1"/>
  <c r="B286" i="1" l="1"/>
  <c r="F286" i="1"/>
  <c r="C285" i="1"/>
  <c r="D285" i="1"/>
  <c r="F287" i="1" l="1"/>
  <c r="B287" i="1"/>
  <c r="C286" i="1"/>
  <c r="D286" i="1"/>
  <c r="D287" i="1" l="1"/>
  <c r="C287" i="1"/>
  <c r="F288" i="1"/>
  <c r="B288" i="1"/>
  <c r="D288" i="1" l="1"/>
  <c r="C288" i="1"/>
  <c r="F289" i="1"/>
  <c r="B289" i="1"/>
  <c r="D289" i="1" l="1"/>
  <c r="C289" i="1"/>
  <c r="B290" i="1"/>
  <c r="F290" i="1"/>
  <c r="F291" i="1" l="1"/>
  <c r="B291" i="1"/>
  <c r="D290" i="1"/>
  <c r="C290" i="1"/>
  <c r="C291" i="1" l="1"/>
  <c r="D291" i="1"/>
  <c r="F292" i="1"/>
  <c r="B292" i="1"/>
  <c r="F293" i="1" l="1"/>
  <c r="B293" i="1"/>
  <c r="C292" i="1"/>
  <c r="D292" i="1"/>
  <c r="D293" i="1" l="1"/>
  <c r="C293" i="1"/>
  <c r="B294" i="1"/>
  <c r="F294" i="1"/>
  <c r="D294" i="1" l="1"/>
  <c r="C294" i="1"/>
  <c r="F295" i="1"/>
  <c r="B295" i="1"/>
  <c r="D295" i="1" l="1"/>
  <c r="C295" i="1"/>
  <c r="B296" i="1"/>
  <c r="F296" i="1"/>
  <c r="F297" i="1" l="1"/>
  <c r="B297" i="1"/>
  <c r="C296" i="1"/>
  <c r="D296" i="1"/>
  <c r="C297" i="1" l="1"/>
  <c r="D297" i="1"/>
  <c r="F298" i="1"/>
  <c r="B298" i="1"/>
  <c r="C298" i="1" l="1"/>
  <c r="D298" i="1"/>
  <c r="B299" i="1"/>
  <c r="F299" i="1"/>
  <c r="B300" i="1" l="1"/>
  <c r="F300" i="1"/>
  <c r="C299" i="1"/>
  <c r="D299" i="1"/>
  <c r="B301" i="1" l="1"/>
  <c r="F301" i="1"/>
  <c r="D300" i="1"/>
  <c r="C300" i="1"/>
  <c r="B302" i="1" l="1"/>
  <c r="F302" i="1"/>
  <c r="D301" i="1"/>
  <c r="C301" i="1"/>
  <c r="F303" i="1" l="1"/>
  <c r="B303" i="1"/>
  <c r="C302" i="1"/>
  <c r="D302" i="1"/>
  <c r="D303" i="1" l="1"/>
  <c r="C303" i="1"/>
  <c r="B304" i="1"/>
  <c r="F304" i="1"/>
  <c r="C304" i="1" l="1"/>
  <c r="D304" i="1"/>
  <c r="F305" i="1"/>
  <c r="B305" i="1"/>
  <c r="D305" i="1" l="1"/>
  <c r="C305" i="1"/>
  <c r="F306" i="1"/>
  <c r="B306" i="1"/>
  <c r="F307" i="1" l="1"/>
  <c r="B307" i="1"/>
  <c r="C306" i="1"/>
  <c r="D306" i="1"/>
  <c r="C307" i="1" l="1"/>
  <c r="D307" i="1"/>
  <c r="F308" i="1"/>
  <c r="B308" i="1"/>
  <c r="C308" i="1" l="1"/>
  <c r="D308" i="1"/>
  <c r="B309" i="1"/>
  <c r="F309" i="1"/>
  <c r="D309" i="1" l="1"/>
  <c r="C309" i="1"/>
  <c r="B310" i="1"/>
  <c r="F310" i="1"/>
  <c r="F311" i="1" l="1"/>
  <c r="B311" i="1"/>
  <c r="C310" i="1"/>
  <c r="D310" i="1"/>
  <c r="D311" i="1" l="1"/>
  <c r="C311" i="1"/>
  <c r="B312" i="1"/>
  <c r="F312" i="1"/>
  <c r="F313" i="1" l="1"/>
  <c r="B313" i="1"/>
  <c r="D312" i="1"/>
  <c r="C312" i="1"/>
  <c r="C313" i="1" l="1"/>
  <c r="D313" i="1"/>
  <c r="F314" i="1"/>
  <c r="B314" i="1"/>
  <c r="F315" i="1" l="1"/>
  <c r="B315" i="1"/>
  <c r="C314" i="1"/>
  <c r="D314" i="1"/>
  <c r="D315" i="1" l="1"/>
  <c r="C315" i="1"/>
  <c r="F316" i="1"/>
  <c r="B316" i="1"/>
  <c r="D316" i="1" l="1"/>
  <c r="C316" i="1"/>
  <c r="F317" i="1"/>
  <c r="B317" i="1"/>
  <c r="C317" i="1" l="1"/>
  <c r="D317" i="1"/>
  <c r="F318" i="1"/>
  <c r="B318" i="1"/>
  <c r="C318" i="1" l="1"/>
  <c r="D318" i="1"/>
  <c r="F319" i="1"/>
  <c r="B319" i="1"/>
  <c r="F320" i="1" l="1"/>
  <c r="B320" i="1"/>
  <c r="C319" i="1"/>
  <c r="D319" i="1"/>
  <c r="C320" i="1" l="1"/>
  <c r="D320" i="1"/>
  <c r="F321" i="1"/>
  <c r="B321" i="1"/>
  <c r="D321" i="1" l="1"/>
  <c r="C321" i="1"/>
  <c r="B322" i="1"/>
  <c r="F322" i="1"/>
  <c r="F323" i="1" l="1"/>
  <c r="B323" i="1"/>
  <c r="D322" i="1"/>
  <c r="C322" i="1"/>
  <c r="C323" i="1" l="1"/>
  <c r="D323" i="1"/>
  <c r="F324" i="1"/>
  <c r="B324" i="1"/>
  <c r="D324" i="1" l="1"/>
  <c r="C324" i="1"/>
  <c r="F325" i="1"/>
  <c r="B325" i="1"/>
  <c r="C325" i="1" l="1"/>
  <c r="D325" i="1"/>
  <c r="F326" i="1"/>
  <c r="B326" i="1"/>
  <c r="C326" i="1" l="1"/>
  <c r="D326" i="1"/>
  <c r="F327" i="1"/>
  <c r="B327" i="1"/>
  <c r="C327" i="1" l="1"/>
  <c r="D327" i="1"/>
  <c r="F328" i="1"/>
  <c r="B328" i="1"/>
  <c r="D328" i="1" l="1"/>
  <c r="C328" i="1"/>
  <c r="F329" i="1"/>
  <c r="B329" i="1"/>
  <c r="D329" i="1" l="1"/>
  <c r="C329" i="1"/>
  <c r="B330" i="1"/>
  <c r="F330" i="1"/>
  <c r="B331" i="1" l="1"/>
  <c r="F331" i="1"/>
  <c r="D330" i="1"/>
  <c r="C330" i="1"/>
  <c r="F332" i="1" l="1"/>
  <c r="B332" i="1"/>
  <c r="C331" i="1"/>
  <c r="D331" i="1"/>
  <c r="C332" i="1" l="1"/>
  <c r="D332" i="1"/>
  <c r="F333" i="1"/>
  <c r="B333" i="1"/>
  <c r="C333" i="1" l="1"/>
  <c r="D333" i="1"/>
  <c r="F334" i="1"/>
  <c r="B334" i="1"/>
  <c r="F335" i="1" l="1"/>
  <c r="B335" i="1"/>
  <c r="D334" i="1"/>
  <c r="C334" i="1"/>
  <c r="C335" i="1" l="1"/>
  <c r="D335" i="1"/>
  <c r="B336" i="1"/>
  <c r="F336" i="1"/>
  <c r="C336" i="1" l="1"/>
  <c r="D336" i="1"/>
  <c r="B337" i="1"/>
  <c r="F337" i="1"/>
  <c r="B338" i="1" l="1"/>
  <c r="F338" i="1"/>
  <c r="D337" i="1"/>
  <c r="C337" i="1"/>
  <c r="F339" i="1" l="1"/>
  <c r="B339" i="1"/>
  <c r="C338" i="1"/>
  <c r="D338" i="1"/>
  <c r="C339" i="1" l="1"/>
  <c r="D339" i="1"/>
  <c r="F340" i="1"/>
  <c r="B340" i="1"/>
  <c r="C340" i="1" l="1"/>
  <c r="D340" i="1"/>
  <c r="B341" i="1"/>
  <c r="F341" i="1"/>
  <c r="C341" i="1" l="1"/>
  <c r="D341" i="1"/>
  <c r="F342" i="1"/>
  <c r="B342" i="1"/>
  <c r="D342" i="1" l="1"/>
  <c r="C342" i="1"/>
  <c r="F343" i="1"/>
  <c r="B343" i="1"/>
  <c r="D343" i="1" l="1"/>
  <c r="C343" i="1"/>
  <c r="B344" i="1"/>
  <c r="F344" i="1"/>
  <c r="B345" i="1" l="1"/>
  <c r="F345" i="1"/>
  <c r="C344" i="1"/>
  <c r="D344" i="1"/>
  <c r="B346" i="1" l="1"/>
  <c r="F346" i="1"/>
  <c r="C345" i="1"/>
  <c r="D345" i="1"/>
  <c r="B347" i="1" l="1"/>
  <c r="F347" i="1"/>
  <c r="C346" i="1"/>
  <c r="D346" i="1"/>
  <c r="B348" i="1" l="1"/>
  <c r="F348" i="1"/>
  <c r="C347" i="1"/>
  <c r="D347" i="1"/>
  <c r="F349" i="1" l="1"/>
  <c r="B349" i="1"/>
  <c r="D348" i="1"/>
  <c r="C348" i="1"/>
  <c r="F350" i="1" l="1"/>
  <c r="B350" i="1"/>
  <c r="D349" i="1"/>
  <c r="C349" i="1"/>
  <c r="C350" i="1" l="1"/>
  <c r="D350" i="1"/>
  <c r="B351" i="1"/>
  <c r="F351" i="1"/>
  <c r="C351" i="1" l="1"/>
  <c r="D351" i="1"/>
  <c r="F352" i="1"/>
  <c r="B352" i="1"/>
  <c r="D352" i="1" l="1"/>
  <c r="C352" i="1"/>
  <c r="B353" i="1"/>
  <c r="F353" i="1"/>
  <c r="B354" i="1" l="1"/>
  <c r="F354" i="1"/>
  <c r="C353" i="1"/>
  <c r="D353" i="1"/>
  <c r="F355" i="1" l="1"/>
  <c r="B355" i="1"/>
  <c r="C354" i="1"/>
  <c r="D354" i="1"/>
  <c r="D355" i="1" l="1"/>
  <c r="C355" i="1"/>
  <c r="F356" i="1"/>
  <c r="B356" i="1"/>
  <c r="B357" i="1" l="1"/>
  <c r="F357" i="1"/>
  <c r="D356" i="1"/>
  <c r="C356" i="1"/>
  <c r="F358" i="1" l="1"/>
  <c r="B358" i="1"/>
  <c r="D357" i="1"/>
  <c r="C357" i="1"/>
  <c r="C358" i="1" l="1"/>
  <c r="D358" i="1"/>
  <c r="F359" i="1"/>
  <c r="B359" i="1"/>
  <c r="C359" i="1" l="1"/>
  <c r="D359" i="1"/>
  <c r="F360" i="1"/>
  <c r="B360" i="1"/>
  <c r="D360" i="1" l="1"/>
  <c r="C360" i="1"/>
  <c r="B361" i="1"/>
  <c r="F361" i="1"/>
  <c r="B362" i="1" l="1"/>
  <c r="F362" i="1"/>
  <c r="C361" i="1"/>
  <c r="D361" i="1"/>
  <c r="F363" i="1" l="1"/>
  <c r="B363" i="1"/>
  <c r="C362" i="1"/>
  <c r="D362" i="1"/>
  <c r="C363" i="1" l="1"/>
  <c r="D363" i="1"/>
  <c r="B364" i="1"/>
  <c r="F364" i="1"/>
  <c r="B365" i="1" l="1"/>
  <c r="F365" i="1"/>
  <c r="D364" i="1"/>
  <c r="C364" i="1"/>
  <c r="B366" i="1" l="1"/>
  <c r="F366" i="1"/>
  <c r="C365" i="1"/>
  <c r="D365" i="1"/>
  <c r="B367" i="1" l="1"/>
  <c r="F367" i="1"/>
  <c r="D366" i="1"/>
  <c r="C366" i="1"/>
  <c r="F368" i="1" l="1"/>
  <c r="B368" i="1"/>
  <c r="D367" i="1"/>
  <c r="C367" i="1"/>
  <c r="C368" i="1" l="1"/>
  <c r="D368" i="1"/>
  <c r="B369" i="1"/>
  <c r="F369" i="1"/>
  <c r="F370" i="1" l="1"/>
  <c r="B370" i="1"/>
  <c r="C369" i="1"/>
  <c r="D369" i="1"/>
  <c r="C370" i="1" l="1"/>
  <c r="D370" i="1"/>
  <c r="B371" i="1"/>
  <c r="F371" i="1"/>
  <c r="D371" i="1" l="1"/>
  <c r="C371" i="1"/>
  <c r="F372" i="1"/>
  <c r="B372" i="1"/>
  <c r="D372" i="1" l="1"/>
  <c r="C372" i="1"/>
</calcChain>
</file>

<file path=xl/sharedStrings.xml><?xml version="1.0" encoding="utf-8"?>
<sst xmlns="http://schemas.openxmlformats.org/spreadsheetml/2006/main" count="296" uniqueCount="43">
  <si>
    <t>Data</t>
  </si>
  <si>
    <t>Original Principal</t>
  </si>
  <si>
    <t xml:space="preserve">ΠΑ_Mισθωμάτων = Κόστος Αγοράς ΠΣ - ΠΑ_ΥΑ </t>
  </si>
  <si>
    <t>DP</t>
  </si>
  <si>
    <t>Total Interest</t>
  </si>
  <si>
    <t>OTP</t>
  </si>
  <si>
    <t>Loan amount</t>
  </si>
  <si>
    <t>Regular Principal</t>
  </si>
  <si>
    <t>Κόστος Αγοράς ΠΣ</t>
  </si>
  <si>
    <t>Balloon</t>
  </si>
  <si>
    <t>ΠΑ(ΥΑ)</t>
  </si>
  <si>
    <t>Lease Term (Years)</t>
  </si>
  <si>
    <t>Total Principal</t>
  </si>
  <si>
    <t>ΠΑ Μισθωμάτων</t>
  </si>
  <si>
    <t>Annual Interest Rate</t>
  </si>
  <si>
    <t>Total Payments</t>
  </si>
  <si>
    <t>Payments per Year</t>
  </si>
  <si>
    <t>Total Payments VAT inc.</t>
  </si>
  <si>
    <t>Ποιο το L 'μηνιαίο μίσθωμα' της ΠΑ (μισθωμάτων) -&gt; equation solving:</t>
  </si>
  <si>
    <t>Payment</t>
  </si>
  <si>
    <t>VAT</t>
  </si>
  <si>
    <t>ΠΑ Μισθωμάτων (13.680,63) = L + L∗ 1 / (12%/12) * (1- 1 / (1+ (12%/12) )^47)  = L ∗ [1 + 1 / (12%/12) * (1 - (1 / (1+ (12%/12) )^47]</t>
  </si>
  <si>
    <t xml:space="preserve"> L = 13.680,63 / 1 + 1 / (12%/12) * (1 - (1 / (1 + (12%/12) )^47])</t>
  </si>
  <si>
    <t>Month</t>
  </si>
  <si>
    <t>Interest</t>
  </si>
  <si>
    <t>Principal</t>
  </si>
  <si>
    <t>Payment VAT inc.</t>
  </si>
  <si>
    <t>Balance</t>
  </si>
  <si>
    <t>divide</t>
  </si>
  <si>
    <t xml:space="preserve">L = </t>
  </si>
  <si>
    <t>48 months L</t>
  </si>
  <si>
    <t>48 months L + YA</t>
  </si>
  <si>
    <t>ΚΠΑ = - Κόστος Αγοράς ΠΣ + ΠΑ(ΥΑ) + ΠΑ(μισθωμάτων)</t>
  </si>
  <si>
    <t>ΚΠΑ =</t>
  </si>
  <si>
    <t>-Κόστος Αγοράς ΠΣ + ΠΑ(ΥΑ) + ΠΑ(μισθωμάτων)</t>
  </si>
  <si>
    <t>ΚΠΑ = νεκρό σημείο/break even</t>
  </si>
  <si>
    <t xml:space="preserve"> = </t>
  </si>
  <si>
    <t>Η Παρούσα Αξία των Μισθωμάτων ισούται με το Κόστος Αγοράς του Παγίου Στοιχείου μείον την Παρούσα Αξία της Υπολειμματικής Αξίας.</t>
  </si>
  <si>
    <t xml:space="preserve"> υπολογισμός για χρηματοδοτικές μισθώσεις (finance leases), σύμφωνα με τα λογιστικά πρότυπα (π.χ. IFRS 16).</t>
  </si>
  <si>
    <t>Αν ο ΦΠΑ δεν είναι εκπιπτόμενος (π.χ. χρήση για ιδιώτες, μη φορολογητέες δραστηριότητες),</t>
  </si>
  <si>
    <t>το Κόστος Αγοράς ΠΣ λαμβάνεται χωρίς ΦΠΑ.</t>
  </si>
  <si>
    <t>το Κόστος Αγοράς ΠΣ περιλαμβάνει τον ΦΠΑ, γιατί αποτελεί ουσιαστικά πραγματικό κόστος για την επιχείρηση.</t>
  </si>
  <si>
    <t xml:space="preserve">Αν η επιχείρηση έχει δικαίωμα έκπτωσης ΦΠΑ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</si>
</sst>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#,##0.00\ &quot;€&quot;;[Red]\-#,##0.00\ &quot;€&quot;"/>
    <numFmt numFmtId="164" formatCode="&quot;$&quot;#,##0.00_);[Red]\(&quot;$&quot;#,##0.00\)"/>
    <numFmt numFmtId="165" formatCode="&quot;Period &quot;0_)"/>
    <numFmt numFmtId="166" formatCode="#,##0.00\ &quot;€&quot;"/>
    <numFmt numFmtId="167" formatCode="_(* #,##0_);_(* \(#,##0\);_(* &quot;-&quot;??_);_(@_)"/>
    <numFmt numFmtId="168" formatCode="0.0%"/>
    <numFmt numFmtId="169" formatCode="0.000%"/>
    <numFmt numFmtId="170" formatCode="_-* #,##0.00\ _€_-;\-* #,##0.00\ _€_-;_-* &quot;-&quot;??\ _€_-;_-@"/>
    <numFmt numFmtId="171" formatCode="0.00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Times New Roman"/>
      <family val="1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</font>
    <font>
      <sz val="11"/>
      <color theme="1"/>
      <name val="Times New Roman"/>
      <family val="1"/>
      <charset val="161"/>
    </font>
    <font>
      <sz val="11"/>
      <color theme="1"/>
      <name val="Calibri"/>
      <family val="2"/>
      <charset val="161"/>
    </font>
    <font>
      <sz val="10"/>
      <color rgb="FF000000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/>
    <xf numFmtId="0" fontId="5" fillId="0" borderId="0" xfId="0" applyFont="1"/>
    <xf numFmtId="4" fontId="5" fillId="0" borderId="0" xfId="0" applyNumberFormat="1" applyFont="1"/>
    <xf numFmtId="0" fontId="6" fillId="0" borderId="0" xfId="0" applyFont="1"/>
    <xf numFmtId="165" fontId="6" fillId="0" borderId="0" xfId="0" applyNumberFormat="1" applyFont="1"/>
    <xf numFmtId="0" fontId="5" fillId="2" borderId="2" xfId="0" applyFont="1" applyFill="1" applyBorder="1"/>
    <xf numFmtId="0" fontId="7" fillId="2" borderId="2" xfId="0" applyFont="1" applyFill="1" applyBorder="1"/>
    <xf numFmtId="4" fontId="7" fillId="3" borderId="2" xfId="0" applyNumberFormat="1" applyFont="1" applyFill="1" applyBorder="1"/>
    <xf numFmtId="4" fontId="6" fillId="0" borderId="0" xfId="0" applyNumberFormat="1" applyFont="1"/>
    <xf numFmtId="4" fontId="7" fillId="0" borderId="0" xfId="0" applyNumberFormat="1" applyFont="1"/>
    <xf numFmtId="164" fontId="7" fillId="2" borderId="2" xfId="0" applyNumberFormat="1" applyFont="1" applyFill="1" applyBorder="1"/>
    <xf numFmtId="164" fontId="7" fillId="0" borderId="0" xfId="0" applyNumberFormat="1" applyFont="1"/>
    <xf numFmtId="8" fontId="7" fillId="2" borderId="3" xfId="0" applyNumberFormat="1" applyFont="1" applyFill="1" applyBorder="1" applyAlignment="1">
      <alignment horizontal="right"/>
    </xf>
    <xf numFmtId="0" fontId="7" fillId="2" borderId="4" xfId="0" applyFont="1" applyFill="1" applyBorder="1"/>
    <xf numFmtId="0" fontId="7" fillId="2" borderId="5" xfId="0" applyFont="1" applyFill="1" applyBorder="1" applyAlignment="1">
      <alignment horizontal="center"/>
    </xf>
    <xf numFmtId="8" fontId="7" fillId="0" borderId="0" xfId="0" applyNumberFormat="1" applyFont="1"/>
    <xf numFmtId="2" fontId="7" fillId="0" borderId="0" xfId="0" applyNumberFormat="1" applyFont="1"/>
    <xf numFmtId="9" fontId="5" fillId="2" borderId="2" xfId="0" applyNumberFormat="1" applyFont="1" applyFill="1" applyBorder="1"/>
    <xf numFmtId="8" fontId="7" fillId="2" borderId="2" xfId="0" applyNumberFormat="1" applyFont="1" applyFill="1" applyBorder="1" applyAlignment="1">
      <alignment horizontal="right"/>
    </xf>
    <xf numFmtId="9" fontId="7" fillId="2" borderId="2" xfId="0" applyNumberFormat="1" applyFont="1" applyFill="1" applyBorder="1"/>
    <xf numFmtId="9" fontId="7" fillId="0" borderId="0" xfId="0" applyNumberFormat="1" applyFont="1"/>
    <xf numFmtId="166" fontId="8" fillId="2" borderId="6" xfId="0" applyNumberFormat="1" applyFont="1" applyFill="1" applyBorder="1"/>
    <xf numFmtId="0" fontId="8" fillId="2" borderId="7" xfId="0" applyFont="1" applyFill="1" applyBorder="1"/>
    <xf numFmtId="2" fontId="7" fillId="3" borderId="2" xfId="0" applyNumberFormat="1" applyFont="1" applyFill="1" applyBorder="1"/>
    <xf numFmtId="9" fontId="7" fillId="4" borderId="2" xfId="0" applyNumberFormat="1" applyFont="1" applyFill="1" applyBorder="1" applyAlignment="1">
      <alignment horizontal="center"/>
    </xf>
    <xf numFmtId="0" fontId="7" fillId="2" borderId="7" xfId="0" applyFont="1" applyFill="1" applyBorder="1"/>
    <xf numFmtId="167" fontId="7" fillId="3" borderId="2" xfId="0" applyNumberFormat="1" applyFont="1" applyFill="1" applyBorder="1"/>
    <xf numFmtId="166" fontId="7" fillId="2" borderId="6" xfId="0" applyNumberFormat="1" applyFont="1" applyFill="1" applyBorder="1" applyAlignment="1">
      <alignment horizontal="right"/>
    </xf>
    <xf numFmtId="167" fontId="7" fillId="2" borderId="2" xfId="0" applyNumberFormat="1" applyFont="1" applyFill="1" applyBorder="1"/>
    <xf numFmtId="10" fontId="7" fillId="0" borderId="0" xfId="0" applyNumberFormat="1" applyFont="1"/>
    <xf numFmtId="8" fontId="7" fillId="0" borderId="0" xfId="0" applyNumberFormat="1" applyFont="1" applyAlignment="1">
      <alignment horizontal="right"/>
    </xf>
    <xf numFmtId="8" fontId="7" fillId="2" borderId="8" xfId="0" applyNumberFormat="1" applyFont="1" applyFill="1" applyBorder="1"/>
    <xf numFmtId="8" fontId="7" fillId="2" borderId="9" xfId="0" applyNumberFormat="1" applyFont="1" applyFill="1" applyBorder="1"/>
    <xf numFmtId="10" fontId="7" fillId="2" borderId="10" xfId="0" applyNumberFormat="1" applyFont="1" applyFill="1" applyBorder="1"/>
    <xf numFmtId="167" fontId="7" fillId="0" borderId="0" xfId="0" applyNumberFormat="1" applyFont="1"/>
    <xf numFmtId="0" fontId="2" fillId="0" borderId="11" xfId="0" applyFont="1" applyBorder="1"/>
    <xf numFmtId="4" fontId="2" fillId="0" borderId="12" xfId="0" applyNumberFormat="1" applyFont="1" applyBorder="1"/>
    <xf numFmtId="2" fontId="8" fillId="2" borderId="6" xfId="0" applyNumberFormat="1" applyFont="1" applyFill="1" applyBorder="1"/>
    <xf numFmtId="168" fontId="7" fillId="0" borderId="0" xfId="0" applyNumberFormat="1" applyFont="1"/>
    <xf numFmtId="169" fontId="7" fillId="0" borderId="0" xfId="0" applyNumberFormat="1" applyFont="1"/>
    <xf numFmtId="0" fontId="2" fillId="5" borderId="13" xfId="0" applyFont="1" applyFill="1" applyBorder="1" applyAlignment="1">
      <alignment horizontal="center"/>
    </xf>
    <xf numFmtId="2" fontId="7" fillId="2" borderId="6" xfId="0" applyNumberFormat="1" applyFont="1" applyFill="1" applyBorder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" fontId="7" fillId="2" borderId="2" xfId="0" applyNumberFormat="1" applyFont="1" applyFill="1" applyBorder="1" applyAlignment="1">
      <alignment horizontal="right"/>
    </xf>
    <xf numFmtId="4" fontId="4" fillId="0" borderId="0" xfId="0" applyNumberFormat="1" applyFont="1"/>
    <xf numFmtId="4" fontId="7" fillId="0" borderId="0" xfId="0" applyNumberFormat="1" applyFont="1" applyAlignment="1">
      <alignment horizontal="right"/>
    </xf>
    <xf numFmtId="9" fontId="5" fillId="2" borderId="2" xfId="0" applyNumberFormat="1" applyFont="1" applyFill="1" applyBorder="1" applyAlignment="1">
      <alignment horizontal="left"/>
    </xf>
    <xf numFmtId="16" fontId="7" fillId="0" borderId="0" xfId="0" applyNumberFormat="1" applyFont="1"/>
    <xf numFmtId="9" fontId="7" fillId="0" borderId="0" xfId="0" applyNumberFormat="1" applyFont="1" applyAlignment="1">
      <alignment horizontal="center"/>
    </xf>
    <xf numFmtId="170" fontId="7" fillId="2" borderId="2" xfId="0" applyNumberFormat="1" applyFont="1" applyFill="1" applyBorder="1"/>
    <xf numFmtId="8" fontId="7" fillId="2" borderId="2" xfId="0" applyNumberFormat="1" applyFont="1" applyFill="1" applyBorder="1"/>
    <xf numFmtId="171" fontId="7" fillId="2" borderId="2" xfId="0" applyNumberFormat="1" applyFont="1" applyFill="1" applyBorder="1"/>
    <xf numFmtId="0" fontId="7" fillId="0" borderId="0" xfId="0" quotePrefix="1" applyFont="1"/>
    <xf numFmtId="2" fontId="7" fillId="2" borderId="2" xfId="0" applyNumberFormat="1" applyFont="1" applyFill="1" applyBorder="1"/>
    <xf numFmtId="8" fontId="8" fillId="0" borderId="0" xfId="0" applyNumberFormat="1" applyFont="1"/>
    <xf numFmtId="170" fontId="7" fillId="0" borderId="0" xfId="0" applyNumberFormat="1" applyFont="1" applyAlignment="1">
      <alignment horizontal="right"/>
    </xf>
    <xf numFmtId="0" fontId="8" fillId="0" borderId="0" xfId="0" applyFont="1"/>
    <xf numFmtId="170" fontId="7" fillId="2" borderId="2" xfId="0" applyNumberFormat="1" applyFont="1" applyFill="1" applyBorder="1" applyAlignment="1">
      <alignment horizontal="left"/>
    </xf>
    <xf numFmtId="0" fontId="7" fillId="6" borderId="2" xfId="0" applyFont="1" applyFill="1" applyBorder="1"/>
    <xf numFmtId="2" fontId="7" fillId="6" borderId="2" xfId="0" applyNumberFormat="1" applyFont="1" applyFill="1" applyBorder="1"/>
    <xf numFmtId="8" fontId="5" fillId="0" borderId="0" xfId="0" applyNumberFormat="1" applyFont="1"/>
    <xf numFmtId="9" fontId="0" fillId="0" borderId="0" xfId="0" applyNumberFormat="1"/>
    <xf numFmtId="9" fontId="0" fillId="0" borderId="0" xfId="1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0" xfId="0" applyFont="1"/>
  </cellXfs>
  <cellStyles count="2">
    <cellStyle name="Normal" xfId="0" builtinId="0"/>
    <cellStyle name="Percent" xfId="1" builtinId="5"/>
  </cellStyles>
  <dxfs count="33">
    <dxf>
      <fill>
        <patternFill patternType="none"/>
      </fill>
      <border>
        <bottom style="thin">
          <color rgb="FF000000"/>
        </bottom>
      </border>
    </dxf>
    <dxf>
      <font>
        <color rgb="FFFFFFFF"/>
      </font>
      <fill>
        <patternFill patternType="none"/>
      </fill>
    </dxf>
    <dxf>
      <font>
        <color theme="0"/>
      </font>
      <fill>
        <patternFill patternType="none"/>
      </fill>
    </dxf>
    <dxf>
      <fill>
        <patternFill patternType="none"/>
      </fill>
      <border>
        <bottom style="thin">
          <color rgb="FF000000"/>
        </bottom>
      </border>
    </dxf>
    <dxf>
      <font>
        <color rgb="FFFFFFFF"/>
      </font>
      <fill>
        <patternFill patternType="none"/>
      </fill>
    </dxf>
    <dxf>
      <font>
        <color theme="0"/>
      </font>
      <fill>
        <patternFill patternType="none"/>
      </fill>
    </dxf>
    <dxf>
      <fill>
        <patternFill patternType="none"/>
      </fill>
      <border>
        <bottom style="thin">
          <color rgb="FF000000"/>
        </bottom>
      </border>
    </dxf>
    <dxf>
      <font>
        <color rgb="FFFFFFFF"/>
      </font>
      <fill>
        <patternFill patternType="none"/>
      </fill>
    </dxf>
    <dxf>
      <font>
        <color theme="0"/>
      </font>
      <fill>
        <patternFill patternType="none"/>
      </fill>
    </dxf>
    <dxf>
      <fill>
        <patternFill patternType="none"/>
      </fill>
      <border>
        <bottom style="thin">
          <color rgb="FF000000"/>
        </bottom>
      </border>
    </dxf>
    <dxf>
      <font>
        <color rgb="FFFFFFFF"/>
      </font>
      <fill>
        <patternFill patternType="none"/>
      </fill>
    </dxf>
    <dxf>
      <font>
        <color theme="0"/>
      </font>
      <fill>
        <patternFill patternType="none"/>
      </fill>
    </dxf>
    <dxf>
      <fill>
        <patternFill patternType="none"/>
      </fill>
      <border>
        <bottom style="thin">
          <color rgb="FF000000"/>
        </bottom>
      </border>
    </dxf>
    <dxf>
      <font>
        <color rgb="FFFFFFFF"/>
      </font>
      <fill>
        <patternFill patternType="none"/>
      </fill>
    </dxf>
    <dxf>
      <font>
        <color theme="0"/>
      </font>
      <fill>
        <patternFill patternType="none"/>
      </fill>
    </dxf>
    <dxf>
      <fill>
        <patternFill patternType="none"/>
      </fill>
      <border>
        <bottom style="thin">
          <color rgb="FF000000"/>
        </bottom>
      </border>
    </dxf>
    <dxf>
      <font>
        <color rgb="FFFFFFFF"/>
      </font>
      <fill>
        <patternFill patternType="none"/>
      </fill>
    </dxf>
    <dxf>
      <font>
        <color theme="0"/>
      </font>
      <fill>
        <patternFill patternType="none"/>
      </fill>
    </dxf>
    <dxf>
      <fill>
        <patternFill patternType="none"/>
      </fill>
      <border>
        <bottom style="thin">
          <color rgb="FF000000"/>
        </bottom>
      </border>
    </dxf>
    <dxf>
      <font>
        <color rgb="FFFFFFFF"/>
      </font>
      <fill>
        <patternFill patternType="none"/>
      </fill>
    </dxf>
    <dxf>
      <font>
        <color theme="0"/>
      </font>
      <fill>
        <patternFill patternType="none"/>
      </fill>
    </dxf>
    <dxf>
      <fill>
        <patternFill patternType="none"/>
      </fill>
      <border>
        <bottom style="thin">
          <color rgb="FF000000"/>
        </bottom>
      </border>
    </dxf>
    <dxf>
      <font>
        <color rgb="FFFFFFFF"/>
      </font>
      <fill>
        <patternFill patternType="none"/>
      </fill>
    </dxf>
    <dxf>
      <font>
        <color theme="0"/>
      </font>
      <fill>
        <patternFill patternType="none"/>
      </fill>
    </dxf>
    <dxf>
      <fill>
        <patternFill patternType="none"/>
      </fill>
      <border>
        <bottom style="thin">
          <color rgb="FF000000"/>
        </bottom>
      </border>
    </dxf>
    <dxf>
      <font>
        <color rgb="FFFFFFFF"/>
      </font>
      <fill>
        <patternFill patternType="none"/>
      </fill>
    </dxf>
    <dxf>
      <font>
        <color theme="0"/>
      </font>
      <fill>
        <patternFill patternType="none"/>
      </fill>
    </dxf>
    <dxf>
      <fill>
        <patternFill patternType="none"/>
      </fill>
      <border>
        <bottom style="thin">
          <color rgb="FF000000"/>
        </bottom>
      </border>
    </dxf>
    <dxf>
      <font>
        <color rgb="FFFFFFFF"/>
      </font>
      <fill>
        <patternFill patternType="none"/>
      </fill>
    </dxf>
    <dxf>
      <font>
        <color theme="0"/>
      </font>
      <fill>
        <patternFill patternType="none"/>
      </fill>
    </dxf>
    <dxf>
      <fill>
        <patternFill patternType="none"/>
      </fill>
      <border>
        <bottom style="thin">
          <color rgb="FF000000"/>
        </bottom>
      </border>
    </dxf>
    <dxf>
      <font>
        <color rgb="FFFFFFFF"/>
      </font>
      <fill>
        <patternFill patternType="none"/>
      </fill>
    </dxf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</xdr:colOff>
      <xdr:row>10</xdr:row>
      <xdr:rowOff>28575</xdr:rowOff>
    </xdr:from>
    <xdr:ext cx="190500" cy="133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55513" y="3722850"/>
          <a:ext cx="180975" cy="11430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</xdr:colOff>
      <xdr:row>10</xdr:row>
      <xdr:rowOff>28575</xdr:rowOff>
    </xdr:from>
    <xdr:ext cx="190500" cy="1333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F7D4F717-2AE5-4393-9155-0F6D6A14E0BD}"/>
            </a:ext>
          </a:extLst>
        </xdr:cNvPr>
        <xdr:cNvSpPr/>
      </xdr:nvSpPr>
      <xdr:spPr>
        <a:xfrm>
          <a:off x="7972425" y="1781175"/>
          <a:ext cx="190500" cy="1333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</xdr:colOff>
      <xdr:row>10</xdr:row>
      <xdr:rowOff>28575</xdr:rowOff>
    </xdr:from>
    <xdr:ext cx="190500" cy="1333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1DAC707-8754-4B59-93E9-91A863E9B26F}"/>
            </a:ext>
          </a:extLst>
        </xdr:cNvPr>
        <xdr:cNvSpPr/>
      </xdr:nvSpPr>
      <xdr:spPr>
        <a:xfrm>
          <a:off x="7972425" y="1781175"/>
          <a:ext cx="190500" cy="1333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zoomScaleNormal="100" workbookViewId="0">
      <selection activeCell="B2" sqref="B2"/>
    </sheetView>
  </sheetViews>
  <sheetFormatPr defaultColWidth="14.44140625" defaultRowHeight="15" customHeight="1" x14ac:dyDescent="0.3"/>
  <cols>
    <col min="1" max="1" width="21.109375" customWidth="1"/>
    <col min="2" max="3" width="13.109375" bestFit="1" customWidth="1"/>
    <col min="4" max="4" width="22.5546875" customWidth="1"/>
    <col min="5" max="5" width="17" customWidth="1"/>
    <col min="6" max="6" width="12.6640625" customWidth="1"/>
    <col min="7" max="7" width="16" customWidth="1"/>
    <col min="8" max="8" width="17.5546875" customWidth="1"/>
    <col min="9" max="9" width="28.33203125" customWidth="1"/>
    <col min="10" max="13" width="11.6640625" customWidth="1"/>
    <col min="14" max="14" width="16" customWidth="1"/>
    <col min="15" max="15" width="15" customWidth="1"/>
    <col min="16" max="16" width="12.6640625" customWidth="1"/>
    <col min="17" max="17" width="8.6640625" customWidth="1"/>
    <col min="18" max="19" width="16" customWidth="1"/>
    <col min="20" max="20" width="15.109375" customWidth="1"/>
    <col min="21" max="21" width="22.33203125" customWidth="1"/>
    <col min="22" max="26" width="8.6640625" customWidth="1"/>
  </cols>
  <sheetData>
    <row r="1" spans="1:23" ht="14.25" customHeight="1" x14ac:dyDescent="0.3">
      <c r="A1" s="65" t="s">
        <v>0</v>
      </c>
      <c r="B1" s="66"/>
      <c r="F1" s="1"/>
    </row>
    <row r="2" spans="1:23" ht="14.25" customHeight="1" x14ac:dyDescent="0.3">
      <c r="A2" s="2" t="s">
        <v>1</v>
      </c>
      <c r="B2" s="3">
        <f>+'Financial Lease (Indiv.)'!B2/1.2</f>
        <v>16666.666666666668</v>
      </c>
      <c r="D2" s="4"/>
      <c r="E2" s="5"/>
      <c r="F2" s="1"/>
      <c r="G2" s="1"/>
      <c r="H2" s="6" t="s">
        <v>2</v>
      </c>
      <c r="I2" s="7"/>
      <c r="J2" s="7"/>
    </row>
    <row r="3" spans="1:23" ht="14.25" customHeight="1" x14ac:dyDescent="0.3">
      <c r="A3" s="1" t="s">
        <v>3</v>
      </c>
      <c r="B3" s="8">
        <v>0</v>
      </c>
      <c r="D3" s="4" t="s">
        <v>4</v>
      </c>
      <c r="E3" s="9">
        <f>+SUM(C13:C60)</f>
        <v>3623.400081131088</v>
      </c>
      <c r="F3" s="10"/>
      <c r="G3" s="1"/>
      <c r="H3" s="11"/>
      <c r="I3" s="7"/>
      <c r="J3" s="11"/>
      <c r="K3" s="12"/>
      <c r="L3" s="12"/>
      <c r="M3" s="12"/>
      <c r="S3" s="13"/>
      <c r="T3" s="14"/>
      <c r="U3" s="15" t="s">
        <v>5</v>
      </c>
      <c r="V3" s="16"/>
    </row>
    <row r="4" spans="1:23" ht="14.25" customHeight="1" x14ac:dyDescent="0.3">
      <c r="A4" s="1" t="s">
        <v>6</v>
      </c>
      <c r="B4" s="10">
        <f>+B2-B3</f>
        <v>16666.666666666668</v>
      </c>
      <c r="D4" s="4" t="s">
        <v>7</v>
      </c>
      <c r="E4" s="9">
        <f>+SUM(D13:D60)</f>
        <v>16666.666666666675</v>
      </c>
      <c r="F4" s="9"/>
      <c r="G4" s="17"/>
      <c r="H4" s="18" t="s">
        <v>8</v>
      </c>
      <c r="I4" s="19">
        <f>+B2</f>
        <v>16666.666666666668</v>
      </c>
      <c r="J4" s="20"/>
      <c r="K4" s="21"/>
      <c r="L4" s="21"/>
      <c r="M4" s="21"/>
      <c r="R4" s="1" t="s">
        <v>8</v>
      </c>
      <c r="S4" s="22">
        <v>20000</v>
      </c>
      <c r="T4" s="7"/>
      <c r="U4" s="23">
        <v>374.35</v>
      </c>
      <c r="V4" s="16"/>
    </row>
    <row r="5" spans="1:23" ht="14.25" customHeight="1" x14ac:dyDescent="0.3">
      <c r="A5" s="1" t="s">
        <v>9</v>
      </c>
      <c r="B5" s="24">
        <f>+C5*B2</f>
        <v>0</v>
      </c>
      <c r="C5" s="25">
        <v>0</v>
      </c>
      <c r="D5" s="4"/>
      <c r="E5" s="9"/>
      <c r="H5" s="6" t="s">
        <v>10</v>
      </c>
      <c r="I5" s="19">
        <f>B5/(1+(B7)/12)^48</f>
        <v>0</v>
      </c>
      <c r="J5" s="7"/>
      <c r="R5" s="1" t="s">
        <v>10</v>
      </c>
      <c r="S5" s="22">
        <f>2000/(1+(U7)/12)^48</f>
        <v>1488.9275748937866</v>
      </c>
      <c r="T5" s="20"/>
      <c r="U5" s="26">
        <v>12</v>
      </c>
    </row>
    <row r="6" spans="1:23" ht="14.25" customHeight="1" x14ac:dyDescent="0.3">
      <c r="A6" s="1" t="s">
        <v>11</v>
      </c>
      <c r="B6" s="27">
        <v>4</v>
      </c>
      <c r="C6" s="10"/>
      <c r="D6" s="4" t="s">
        <v>12</v>
      </c>
      <c r="E6" s="9">
        <f>SUM(E4:E5)</f>
        <v>16666.666666666675</v>
      </c>
      <c r="H6" s="6" t="s">
        <v>13</v>
      </c>
      <c r="I6" s="19">
        <f>+I4-I5</f>
        <v>16666.666666666668</v>
      </c>
      <c r="J6" s="7"/>
      <c r="R6" s="1" t="s">
        <v>13</v>
      </c>
      <c r="S6" s="28">
        <f>+S4-S5</f>
        <v>18511.072425106213</v>
      </c>
      <c r="T6" s="29"/>
      <c r="U6" s="26">
        <v>4</v>
      </c>
    </row>
    <row r="7" spans="1:23" ht="14.25" customHeight="1" x14ac:dyDescent="0.3">
      <c r="A7" s="1" t="s">
        <v>14</v>
      </c>
      <c r="B7" s="30">
        <v>0.1</v>
      </c>
      <c r="D7" s="4" t="s">
        <v>15</v>
      </c>
      <c r="E7" s="9">
        <f>SUM(E3:E5)</f>
        <v>20290.066747797762</v>
      </c>
      <c r="H7" s="31"/>
      <c r="I7" s="31"/>
      <c r="S7" s="32"/>
      <c r="T7" s="33"/>
      <c r="U7" s="34">
        <v>7.3999999999999996E-2</v>
      </c>
    </row>
    <row r="8" spans="1:23" ht="14.25" customHeight="1" x14ac:dyDescent="0.3">
      <c r="A8" s="1" t="s">
        <v>16</v>
      </c>
      <c r="B8" s="35">
        <v>12</v>
      </c>
      <c r="D8" s="36" t="s">
        <v>17</v>
      </c>
      <c r="E8" s="37">
        <f>+SUM(E13:E60)</f>
        <v>25159.682767269223</v>
      </c>
      <c r="F8" s="10"/>
      <c r="H8" s="1" t="s">
        <v>18</v>
      </c>
      <c r="U8" s="16"/>
    </row>
    <row r="9" spans="1:23" ht="14.25" customHeight="1" x14ac:dyDescent="0.3">
      <c r="A9" s="1" t="s">
        <v>19</v>
      </c>
      <c r="B9" s="62">
        <f>-PMT(B7/B8,(B6*B8),B4,-B5)</f>
        <v>422.70972391245317</v>
      </c>
      <c r="D9" s="4" t="s">
        <v>20</v>
      </c>
      <c r="E9" s="10">
        <f>+E8-E7</f>
        <v>4869.6160194714612</v>
      </c>
      <c r="H9" s="1" t="s">
        <v>21</v>
      </c>
      <c r="S9" s="21" t="s">
        <v>8</v>
      </c>
      <c r="T9" s="38">
        <f t="shared" ref="T9:T10" si="0">+S4</f>
        <v>20000</v>
      </c>
      <c r="U9" s="39"/>
      <c r="V9" s="39"/>
    </row>
    <row r="10" spans="1:23" ht="14.25" customHeight="1" x14ac:dyDescent="0.3">
      <c r="B10" s="16">
        <f>PMT(B7/B8,(B6*B8),-B4,+B5)</f>
        <v>422.70972391245317</v>
      </c>
      <c r="C10" s="16">
        <f>PMT(B7/B8,(B6*B8),-B4+B5/(1+(B7)/12)^48)</f>
        <v>422.70972391245317</v>
      </c>
      <c r="H10" s="1" t="s">
        <v>22</v>
      </c>
      <c r="S10" s="1" t="s">
        <v>10</v>
      </c>
      <c r="T10" s="38">
        <f t="shared" si="0"/>
        <v>1488.9275748937866</v>
      </c>
      <c r="U10" s="40"/>
      <c r="V10" s="40"/>
    </row>
    <row r="11" spans="1:23" ht="14.25" customHeight="1" x14ac:dyDescent="0.3">
      <c r="A11" s="41" t="s">
        <v>23</v>
      </c>
      <c r="B11" s="41" t="s">
        <v>19</v>
      </c>
      <c r="C11" s="41" t="s">
        <v>24</v>
      </c>
      <c r="D11" s="41" t="s">
        <v>25</v>
      </c>
      <c r="E11" s="41" t="s">
        <v>26</v>
      </c>
      <c r="F11" s="41" t="s">
        <v>27</v>
      </c>
      <c r="P11" s="16"/>
      <c r="S11" s="1" t="s">
        <v>13</v>
      </c>
      <c r="T11" s="42">
        <f>+T9-T10</f>
        <v>18511.072425106213</v>
      </c>
      <c r="U11" s="43"/>
    </row>
    <row r="12" spans="1:23" ht="14.25" customHeight="1" x14ac:dyDescent="0.3">
      <c r="A12" s="44">
        <v>0</v>
      </c>
      <c r="B12" s="10"/>
      <c r="C12" s="10"/>
      <c r="D12" s="10"/>
      <c r="F12" s="10">
        <f>B4</f>
        <v>16666.666666666668</v>
      </c>
      <c r="H12" s="6" t="s">
        <v>13</v>
      </c>
      <c r="I12" s="45">
        <f>+I6</f>
        <v>16666.666666666668</v>
      </c>
      <c r="K12" s="46"/>
      <c r="L12" s="1"/>
      <c r="O12" s="16"/>
      <c r="T12" s="43"/>
      <c r="U12" s="43"/>
    </row>
    <row r="13" spans="1:23" ht="14.25" customHeight="1" x14ac:dyDescent="0.3">
      <c r="A13" s="44">
        <v>1</v>
      </c>
      <c r="B13" s="10">
        <f t="shared" ref="B13:B267" si="1">IF($B$9&lt;=F12,$B$9,F12+F12*$B$7/$B$8)</f>
        <v>422.70972391245317</v>
      </c>
      <c r="C13" s="10">
        <f t="shared" ref="C13:C267" si="2">IF(B13&gt;0,$B$7/$B$8*F12,0)</f>
        <v>138.88888888888889</v>
      </c>
      <c r="D13" s="10">
        <f t="shared" ref="D13:D267" si="3">IF(B13&gt;0,MIN(B13-C13,F12),0)</f>
        <v>283.82083502356431</v>
      </c>
      <c r="E13" s="17">
        <f>+B13*1.24</f>
        <v>524.16005765144189</v>
      </c>
      <c r="F13" s="10">
        <f t="shared" ref="F13:F267" si="4">IF(ROUND(F12,5)&gt;0,F12-D13,0)</f>
        <v>16382.845831643104</v>
      </c>
      <c r="G13" s="10"/>
      <c r="H13" s="20" t="s">
        <v>28</v>
      </c>
      <c r="I13" s="45">
        <f>1+1/0.01*(1-1/1.01^47)</f>
        <v>38.353699088415063</v>
      </c>
      <c r="K13" s="46"/>
      <c r="L13" s="1"/>
      <c r="T13" s="1" t="str">
        <f t="shared" ref="T13:U13" si="5">+S11</f>
        <v>ΠΑ Μισθωμάτων</v>
      </c>
      <c r="U13" s="47">
        <f t="shared" si="5"/>
        <v>18511.072425106213</v>
      </c>
    </row>
    <row r="14" spans="1:23" ht="14.25" customHeight="1" x14ac:dyDescent="0.3">
      <c r="A14" s="44">
        <v>2</v>
      </c>
      <c r="B14" s="10">
        <f t="shared" si="1"/>
        <v>422.70972391245317</v>
      </c>
      <c r="C14" s="10">
        <f t="shared" si="2"/>
        <v>136.52371526369254</v>
      </c>
      <c r="D14" s="10">
        <f t="shared" si="3"/>
        <v>286.18600864876066</v>
      </c>
      <c r="E14" s="17">
        <f t="shared" ref="E14:E60" si="6">+B14*1.24</f>
        <v>524.16005765144189</v>
      </c>
      <c r="F14" s="10">
        <f t="shared" si="4"/>
        <v>16096.659822994343</v>
      </c>
      <c r="G14" s="10"/>
      <c r="H14" s="48" t="s">
        <v>29</v>
      </c>
      <c r="I14" s="45">
        <f>+I12/I13</f>
        <v>434.55173980078814</v>
      </c>
      <c r="K14" s="46"/>
      <c r="L14" s="1"/>
      <c r="T14" s="21"/>
      <c r="U14" s="47">
        <f>1+1/0.006167*(1-1/1.006167^47)</f>
        <v>41.693532625878035</v>
      </c>
      <c r="V14" s="49"/>
      <c r="W14" s="1">
        <f>+U7/12</f>
        <v>6.1666666666666667E-3</v>
      </c>
    </row>
    <row r="15" spans="1:23" ht="14.25" customHeight="1" x14ac:dyDescent="0.3">
      <c r="A15" s="44">
        <v>3</v>
      </c>
      <c r="B15" s="10">
        <f t="shared" si="1"/>
        <v>422.70972391245317</v>
      </c>
      <c r="C15" s="10">
        <f t="shared" si="2"/>
        <v>134.13883185828618</v>
      </c>
      <c r="D15" s="10">
        <f t="shared" si="3"/>
        <v>288.57089205416696</v>
      </c>
      <c r="E15" s="17">
        <f t="shared" si="6"/>
        <v>524.16005765144189</v>
      </c>
      <c r="F15" s="10">
        <f t="shared" si="4"/>
        <v>15808.088930940175</v>
      </c>
      <c r="G15" s="10"/>
      <c r="H15" s="7" t="s">
        <v>30</v>
      </c>
      <c r="I15" s="45">
        <f>+I14*48</f>
        <v>20858.483510437829</v>
      </c>
      <c r="T15" s="50" t="s">
        <v>29</v>
      </c>
      <c r="U15" s="47">
        <f>+U13/U14</f>
        <v>443.9794677800196</v>
      </c>
    </row>
    <row r="16" spans="1:23" ht="14.25" customHeight="1" x14ac:dyDescent="0.3">
      <c r="A16" s="44">
        <v>4</v>
      </c>
      <c r="B16" s="10">
        <f t="shared" si="1"/>
        <v>422.70972391245317</v>
      </c>
      <c r="C16" s="10">
        <f t="shared" si="2"/>
        <v>131.73407442450147</v>
      </c>
      <c r="D16" s="10">
        <f t="shared" si="3"/>
        <v>290.97564948795173</v>
      </c>
      <c r="E16" s="17">
        <f t="shared" si="6"/>
        <v>524.16005765144189</v>
      </c>
      <c r="F16" s="10">
        <f t="shared" si="4"/>
        <v>15517.113281452224</v>
      </c>
      <c r="G16" s="10"/>
      <c r="H16" s="7" t="s">
        <v>31</v>
      </c>
      <c r="I16" s="45">
        <f>+I15+B5</f>
        <v>20858.483510437829</v>
      </c>
      <c r="U16" s="47">
        <f>+U15*48</f>
        <v>21311.014453440941</v>
      </c>
    </row>
    <row r="17" spans="1:21" ht="14.25" customHeight="1" x14ac:dyDescent="0.3">
      <c r="A17" s="44">
        <v>5</v>
      </c>
      <c r="B17" s="10">
        <f t="shared" si="1"/>
        <v>422.70972391245317</v>
      </c>
      <c r="C17" s="10">
        <f t="shared" si="2"/>
        <v>129.30927734543519</v>
      </c>
      <c r="D17" s="10">
        <f t="shared" si="3"/>
        <v>293.40044656701798</v>
      </c>
      <c r="E17" s="17">
        <f t="shared" si="6"/>
        <v>524.16005765144189</v>
      </c>
      <c r="F17" s="10">
        <f t="shared" si="4"/>
        <v>15223.712834885206</v>
      </c>
      <c r="G17" s="10"/>
      <c r="H17" s="6" t="s">
        <v>32</v>
      </c>
      <c r="I17" s="19"/>
      <c r="U17" s="47">
        <f>+U16+2000</f>
        <v>23311.014453440941</v>
      </c>
    </row>
    <row r="18" spans="1:21" ht="14.25" customHeight="1" x14ac:dyDescent="0.3">
      <c r="A18" s="44">
        <v>6</v>
      </c>
      <c r="B18" s="10">
        <f t="shared" si="1"/>
        <v>422.70972391245317</v>
      </c>
      <c r="C18" s="10">
        <f t="shared" si="2"/>
        <v>126.86427362404338</v>
      </c>
      <c r="D18" s="10">
        <f t="shared" si="3"/>
        <v>295.84545028840978</v>
      </c>
      <c r="E18" s="17">
        <f t="shared" si="6"/>
        <v>524.16005765144189</v>
      </c>
      <c r="F18" s="10">
        <f t="shared" si="4"/>
        <v>14927.867384596795</v>
      </c>
      <c r="G18" s="10"/>
      <c r="H18" s="51" t="s">
        <v>8</v>
      </c>
      <c r="I18" s="52">
        <f>-I4</f>
        <v>-16666.666666666668</v>
      </c>
    </row>
    <row r="19" spans="1:21" ht="14.25" customHeight="1" x14ac:dyDescent="0.3">
      <c r="A19" s="44">
        <v>7</v>
      </c>
      <c r="B19" s="10">
        <f t="shared" si="1"/>
        <v>422.70972391245317</v>
      </c>
      <c r="C19" s="10">
        <f t="shared" si="2"/>
        <v>124.39889487163995</v>
      </c>
      <c r="D19" s="10">
        <f t="shared" si="3"/>
        <v>298.31082904081325</v>
      </c>
      <c r="E19" s="17">
        <f t="shared" si="6"/>
        <v>524.16005765144189</v>
      </c>
      <c r="F19" s="10">
        <f t="shared" si="4"/>
        <v>14629.556555555982</v>
      </c>
      <c r="G19" s="10"/>
      <c r="H19" s="53" t="str">
        <f t="shared" ref="H19:I19" si="7">+H5</f>
        <v>ΠΑ(ΥΑ)</v>
      </c>
      <c r="I19" s="52">
        <f t="shared" si="7"/>
        <v>0</v>
      </c>
      <c r="T19" s="1" t="s">
        <v>33</v>
      </c>
      <c r="U19" s="54" t="s">
        <v>34</v>
      </c>
    </row>
    <row r="20" spans="1:21" ht="14.25" customHeight="1" x14ac:dyDescent="0.3">
      <c r="A20" s="44">
        <v>8</v>
      </c>
      <c r="B20" s="10">
        <f t="shared" si="1"/>
        <v>422.70972391245317</v>
      </c>
      <c r="C20" s="10">
        <f t="shared" si="2"/>
        <v>121.91297129629986</v>
      </c>
      <c r="D20" s="10">
        <f t="shared" si="3"/>
        <v>300.7967526161533</v>
      </c>
      <c r="E20" s="17">
        <f t="shared" si="6"/>
        <v>524.16005765144189</v>
      </c>
      <c r="F20" s="10">
        <f t="shared" si="4"/>
        <v>14328.759802939829</v>
      </c>
      <c r="G20" s="10"/>
      <c r="H20" s="7" t="str">
        <f t="shared" ref="H20:I20" si="8">+H6</f>
        <v>ΠΑ Μισθωμάτων</v>
      </c>
      <c r="I20" s="52">
        <f t="shared" si="8"/>
        <v>16666.666666666668</v>
      </c>
    </row>
    <row r="21" spans="1:21" ht="14.25" customHeight="1" x14ac:dyDescent="0.3">
      <c r="A21" s="44">
        <v>9</v>
      </c>
      <c r="B21" s="10">
        <f t="shared" si="1"/>
        <v>422.70972391245317</v>
      </c>
      <c r="C21" s="10">
        <f t="shared" si="2"/>
        <v>119.40633169116524</v>
      </c>
      <c r="D21" s="10">
        <f t="shared" si="3"/>
        <v>303.30339222128794</v>
      </c>
      <c r="E21" s="17">
        <f t="shared" si="6"/>
        <v>524.16005765144189</v>
      </c>
      <c r="F21" s="10">
        <f t="shared" si="4"/>
        <v>14025.456410718542</v>
      </c>
      <c r="G21" s="10"/>
      <c r="H21" s="7" t="s">
        <v>35</v>
      </c>
      <c r="I21" s="55">
        <f>+I20+I19+I18</f>
        <v>0</v>
      </c>
      <c r="U21" s="17">
        <f>-T9</f>
        <v>-20000</v>
      </c>
    </row>
    <row r="22" spans="1:21" ht="14.25" customHeight="1" x14ac:dyDescent="0.3">
      <c r="A22" s="44">
        <v>10</v>
      </c>
      <c r="B22" s="10">
        <f t="shared" si="1"/>
        <v>422.70972391245317</v>
      </c>
      <c r="C22" s="10">
        <f t="shared" si="2"/>
        <v>116.87880342265451</v>
      </c>
      <c r="D22" s="10">
        <f t="shared" si="3"/>
        <v>305.83092048979864</v>
      </c>
      <c r="E22" s="17">
        <f t="shared" si="6"/>
        <v>524.16005765144189</v>
      </c>
      <c r="F22" s="10">
        <f t="shared" si="4"/>
        <v>13719.625490228744</v>
      </c>
      <c r="G22" s="10"/>
      <c r="U22" s="17">
        <f t="shared" ref="U22:U23" si="9">+T10</f>
        <v>1488.9275748937866</v>
      </c>
    </row>
    <row r="23" spans="1:21" ht="14.25" customHeight="1" x14ac:dyDescent="0.3">
      <c r="A23" s="44">
        <v>11</v>
      </c>
      <c r="B23" s="10">
        <f t="shared" si="1"/>
        <v>422.70972391245317</v>
      </c>
      <c r="C23" s="10">
        <f t="shared" si="2"/>
        <v>114.33021241857286</v>
      </c>
      <c r="D23" s="10">
        <f t="shared" si="3"/>
        <v>308.37951149388033</v>
      </c>
      <c r="E23" s="17">
        <f t="shared" si="6"/>
        <v>524.16005765144189</v>
      </c>
      <c r="F23" s="10">
        <f t="shared" si="4"/>
        <v>13411.245978734863</v>
      </c>
      <c r="G23" s="10"/>
      <c r="H23" t="s">
        <v>42</v>
      </c>
      <c r="U23" s="17">
        <f t="shared" si="9"/>
        <v>18511.072425106213</v>
      </c>
    </row>
    <row r="24" spans="1:21" ht="14.25" customHeight="1" x14ac:dyDescent="0.3">
      <c r="A24" s="44">
        <v>12</v>
      </c>
      <c r="B24" s="10">
        <f t="shared" si="1"/>
        <v>422.70972391245317</v>
      </c>
      <c r="C24" s="10">
        <f t="shared" si="2"/>
        <v>111.76038315612386</v>
      </c>
      <c r="D24" s="10">
        <f t="shared" si="3"/>
        <v>310.94934075632932</v>
      </c>
      <c r="E24" s="17">
        <f t="shared" si="6"/>
        <v>524.16005765144189</v>
      </c>
      <c r="F24" s="10">
        <f t="shared" si="4"/>
        <v>13100.296637978534</v>
      </c>
      <c r="G24" s="10"/>
      <c r="H24" t="s">
        <v>40</v>
      </c>
      <c r="I24" s="1"/>
      <c r="U24" s="17">
        <f>+U23+U22+U21</f>
        <v>0</v>
      </c>
    </row>
    <row r="25" spans="1:21" ht="14.25" customHeight="1" x14ac:dyDescent="0.3">
      <c r="A25" s="44">
        <v>13</v>
      </c>
      <c r="B25" s="10">
        <f t="shared" si="1"/>
        <v>422.70972391245317</v>
      </c>
      <c r="C25" s="10">
        <f t="shared" si="2"/>
        <v>109.16913864982111</v>
      </c>
      <c r="D25" s="10">
        <f t="shared" si="3"/>
        <v>313.54058526263208</v>
      </c>
      <c r="E25" s="17">
        <f t="shared" si="6"/>
        <v>524.16005765144189</v>
      </c>
      <c r="F25" s="10">
        <f t="shared" si="4"/>
        <v>12786.756052715902</v>
      </c>
      <c r="G25" s="10"/>
      <c r="H25" t="s">
        <v>39</v>
      </c>
      <c r="I25" s="46"/>
    </row>
    <row r="26" spans="1:21" ht="14.25" customHeight="1" x14ac:dyDescent="0.3">
      <c r="A26" s="44">
        <v>14</v>
      </c>
      <c r="B26" s="10">
        <f t="shared" si="1"/>
        <v>422.70972391245317</v>
      </c>
      <c r="C26" s="10">
        <f t="shared" si="2"/>
        <v>106.55630043929918</v>
      </c>
      <c r="D26" s="10">
        <f t="shared" si="3"/>
        <v>316.15342347315402</v>
      </c>
      <c r="E26" s="17">
        <f t="shared" si="6"/>
        <v>524.16005765144189</v>
      </c>
      <c r="F26" s="10">
        <f t="shared" si="4"/>
        <v>12470.602629242749</v>
      </c>
      <c r="G26" s="10"/>
      <c r="H26" s="10" t="s">
        <v>41</v>
      </c>
    </row>
    <row r="27" spans="1:21" ht="14.25" customHeight="1" x14ac:dyDescent="0.3">
      <c r="A27" s="44">
        <v>15</v>
      </c>
      <c r="B27" s="10">
        <f t="shared" si="1"/>
        <v>422.70972391245317</v>
      </c>
      <c r="C27" s="10">
        <f t="shared" si="2"/>
        <v>103.92168857702291</v>
      </c>
      <c r="D27" s="10">
        <f t="shared" si="3"/>
        <v>318.78803533543027</v>
      </c>
      <c r="E27" s="17">
        <f t="shared" si="6"/>
        <v>524.16005765144189</v>
      </c>
      <c r="F27" s="10">
        <f t="shared" si="4"/>
        <v>12151.814593907318</v>
      </c>
      <c r="G27" s="10"/>
      <c r="H27" s="10"/>
    </row>
    <row r="28" spans="1:21" ht="14.25" customHeight="1" x14ac:dyDescent="0.3">
      <c r="A28" s="44">
        <v>16</v>
      </c>
      <c r="B28" s="10">
        <f t="shared" si="1"/>
        <v>422.70972391245317</v>
      </c>
      <c r="C28" s="10">
        <f t="shared" si="2"/>
        <v>101.26512161589432</v>
      </c>
      <c r="D28" s="10">
        <f t="shared" si="3"/>
        <v>321.44460229655886</v>
      </c>
      <c r="E28" s="17">
        <f t="shared" si="6"/>
        <v>524.16005765144189</v>
      </c>
      <c r="F28" s="10">
        <f t="shared" si="4"/>
        <v>11830.36999161076</v>
      </c>
      <c r="G28" s="10"/>
    </row>
    <row r="29" spans="1:21" ht="14.25" customHeight="1" x14ac:dyDescent="0.3">
      <c r="A29" s="44">
        <v>17</v>
      </c>
      <c r="B29" s="10">
        <f t="shared" si="1"/>
        <v>422.70972391245317</v>
      </c>
      <c r="C29" s="10">
        <f t="shared" si="2"/>
        <v>98.586416596756337</v>
      </c>
      <c r="D29" s="10">
        <f t="shared" si="3"/>
        <v>324.12330731569682</v>
      </c>
      <c r="E29" s="17">
        <f t="shared" si="6"/>
        <v>524.16005765144189</v>
      </c>
      <c r="F29" s="10">
        <f t="shared" si="4"/>
        <v>11506.246684295063</v>
      </c>
      <c r="G29" s="10"/>
      <c r="H29" s="21"/>
    </row>
    <row r="30" spans="1:21" ht="14.25" customHeight="1" x14ac:dyDescent="0.3">
      <c r="A30" s="44">
        <v>18</v>
      </c>
      <c r="B30" s="10">
        <f t="shared" si="1"/>
        <v>422.70972391245317</v>
      </c>
      <c r="C30" s="10">
        <f t="shared" si="2"/>
        <v>95.885389035792201</v>
      </c>
      <c r="D30" s="10">
        <f t="shared" si="3"/>
        <v>326.82433487666094</v>
      </c>
      <c r="E30" s="17">
        <f t="shared" si="6"/>
        <v>524.16005765144189</v>
      </c>
      <c r="F30" s="10">
        <f t="shared" si="4"/>
        <v>11179.422349418403</v>
      </c>
      <c r="G30" s="10"/>
      <c r="H30" s="17"/>
    </row>
    <row r="31" spans="1:21" ht="14.25" customHeight="1" x14ac:dyDescent="0.3">
      <c r="A31" s="44">
        <v>19</v>
      </c>
      <c r="B31" s="10">
        <f t="shared" si="1"/>
        <v>422.70972391245317</v>
      </c>
      <c r="C31" s="10">
        <f t="shared" si="2"/>
        <v>93.16185291182002</v>
      </c>
      <c r="D31" s="10">
        <f t="shared" si="3"/>
        <v>329.54787100063317</v>
      </c>
      <c r="E31" s="17">
        <f t="shared" si="6"/>
        <v>524.16005765144189</v>
      </c>
      <c r="F31" s="10">
        <f t="shared" si="4"/>
        <v>10849.874478417769</v>
      </c>
      <c r="G31" s="10"/>
      <c r="H31" s="56"/>
    </row>
    <row r="32" spans="1:21" ht="14.25" customHeight="1" x14ac:dyDescent="0.3">
      <c r="A32" s="44">
        <v>20</v>
      </c>
      <c r="B32" s="10">
        <f t="shared" si="1"/>
        <v>422.70972391245317</v>
      </c>
      <c r="C32" s="10">
        <f t="shared" si="2"/>
        <v>90.415620653481412</v>
      </c>
      <c r="D32" s="10">
        <f t="shared" si="3"/>
        <v>332.29410325897175</v>
      </c>
      <c r="E32" s="17">
        <f t="shared" si="6"/>
        <v>524.16005765144189</v>
      </c>
      <c r="F32" s="10">
        <f t="shared" si="4"/>
        <v>10517.580375158797</v>
      </c>
      <c r="G32" s="10"/>
      <c r="H32" s="57"/>
    </row>
    <row r="33" spans="1:13" ht="14.25" customHeight="1" x14ac:dyDescent="0.3">
      <c r="A33" s="44">
        <v>21</v>
      </c>
      <c r="B33" s="10">
        <f t="shared" si="1"/>
        <v>422.70972391245317</v>
      </c>
      <c r="C33" s="10">
        <f t="shared" si="2"/>
        <v>87.64650312632331</v>
      </c>
      <c r="D33" s="10">
        <f t="shared" si="3"/>
        <v>335.06322078612988</v>
      </c>
      <c r="E33" s="17">
        <f t="shared" si="6"/>
        <v>524.16005765144189</v>
      </c>
      <c r="F33" s="10">
        <f t="shared" si="4"/>
        <v>10182.517154372668</v>
      </c>
      <c r="G33" s="10"/>
      <c r="H33" s="10"/>
    </row>
    <row r="34" spans="1:13" ht="14.25" customHeight="1" x14ac:dyDescent="0.3">
      <c r="A34" s="44">
        <v>22</v>
      </c>
      <c r="B34" s="10">
        <f t="shared" si="1"/>
        <v>422.70972391245317</v>
      </c>
      <c r="C34" s="10">
        <f t="shared" si="2"/>
        <v>84.854309619772238</v>
      </c>
      <c r="D34" s="10">
        <f t="shared" si="3"/>
        <v>337.85541429268096</v>
      </c>
      <c r="E34" s="17">
        <f t="shared" si="6"/>
        <v>524.16005765144189</v>
      </c>
      <c r="F34" s="10">
        <f t="shared" si="4"/>
        <v>9844.6617400799878</v>
      </c>
      <c r="G34" s="10"/>
      <c r="H34" s="10"/>
    </row>
    <row r="35" spans="1:13" ht="14.25" customHeight="1" x14ac:dyDescent="0.3">
      <c r="A35" s="44">
        <v>23</v>
      </c>
      <c r="B35" s="10">
        <f t="shared" si="1"/>
        <v>422.70972391245317</v>
      </c>
      <c r="C35" s="10">
        <f t="shared" si="2"/>
        <v>82.038847833999895</v>
      </c>
      <c r="D35" s="10">
        <f t="shared" si="3"/>
        <v>340.67087607845326</v>
      </c>
      <c r="E35" s="17">
        <f t="shared" si="6"/>
        <v>524.16005765144189</v>
      </c>
      <c r="F35" s="10">
        <f t="shared" si="4"/>
        <v>9503.9908640015346</v>
      </c>
      <c r="G35" s="10"/>
      <c r="H35" s="10"/>
    </row>
    <row r="36" spans="1:13" ht="14.25" customHeight="1" x14ac:dyDescent="0.3">
      <c r="A36" s="44">
        <v>24</v>
      </c>
      <c r="B36" s="10">
        <f t="shared" si="1"/>
        <v>422.70972391245317</v>
      </c>
      <c r="C36" s="10">
        <f t="shared" si="2"/>
        <v>79.199923866679455</v>
      </c>
      <c r="D36" s="10">
        <f t="shared" si="3"/>
        <v>343.50980004577372</v>
      </c>
      <c r="E36" s="17">
        <f t="shared" si="6"/>
        <v>524.16005765144189</v>
      </c>
      <c r="F36" s="10">
        <f t="shared" si="4"/>
        <v>9160.4810639557618</v>
      </c>
      <c r="G36" s="10"/>
      <c r="H36" s="10"/>
    </row>
    <row r="37" spans="1:13" ht="14.25" customHeight="1" x14ac:dyDescent="0.3">
      <c r="A37" s="44">
        <v>25</v>
      </c>
      <c r="B37" s="10">
        <f t="shared" si="1"/>
        <v>422.70972391245317</v>
      </c>
      <c r="C37" s="10">
        <f t="shared" si="2"/>
        <v>76.337342199631351</v>
      </c>
      <c r="D37" s="10">
        <f t="shared" si="3"/>
        <v>346.37238171282183</v>
      </c>
      <c r="E37" s="17">
        <f t="shared" si="6"/>
        <v>524.16005765144189</v>
      </c>
      <c r="F37" s="10">
        <f t="shared" si="4"/>
        <v>8814.1086822429406</v>
      </c>
      <c r="G37" s="10"/>
      <c r="H37" s="10"/>
      <c r="J37" s="10"/>
      <c r="K37" s="10"/>
      <c r="L37" s="10"/>
      <c r="M37" s="10"/>
    </row>
    <row r="38" spans="1:13" ht="14.25" customHeight="1" x14ac:dyDescent="0.3">
      <c r="A38" s="44">
        <v>26</v>
      </c>
      <c r="B38" s="10">
        <f t="shared" si="1"/>
        <v>422.70972391245317</v>
      </c>
      <c r="C38" s="10">
        <f t="shared" si="2"/>
        <v>73.450905685357839</v>
      </c>
      <c r="D38" s="10">
        <f t="shared" si="3"/>
        <v>349.25881822709533</v>
      </c>
      <c r="E38" s="17">
        <f t="shared" si="6"/>
        <v>524.16005765144189</v>
      </c>
      <c r="F38" s="10">
        <f t="shared" si="4"/>
        <v>8464.849864015845</v>
      </c>
      <c r="G38" s="10"/>
      <c r="H38" s="10"/>
      <c r="J38" s="21"/>
      <c r="K38" s="21"/>
      <c r="L38" s="21"/>
      <c r="M38" s="21"/>
    </row>
    <row r="39" spans="1:13" ht="14.25" customHeight="1" x14ac:dyDescent="0.3">
      <c r="A39" s="44">
        <v>27</v>
      </c>
      <c r="B39" s="10">
        <f t="shared" si="1"/>
        <v>422.70972391245317</v>
      </c>
      <c r="C39" s="10">
        <f t="shared" si="2"/>
        <v>70.540415533465378</v>
      </c>
      <c r="D39" s="10">
        <f t="shared" si="3"/>
        <v>352.16930837898781</v>
      </c>
      <c r="E39" s="17">
        <f t="shared" si="6"/>
        <v>524.16005765144189</v>
      </c>
      <c r="F39" s="10">
        <f t="shared" si="4"/>
        <v>8112.6805556368572</v>
      </c>
      <c r="G39" s="10"/>
      <c r="H39" s="10"/>
    </row>
    <row r="40" spans="1:13" ht="14.25" customHeight="1" x14ac:dyDescent="0.3">
      <c r="A40" s="44">
        <v>28</v>
      </c>
      <c r="B40" s="10">
        <f t="shared" si="1"/>
        <v>422.70972391245317</v>
      </c>
      <c r="C40" s="10">
        <f t="shared" si="2"/>
        <v>67.60567129697381</v>
      </c>
      <c r="D40" s="10">
        <f t="shared" si="3"/>
        <v>355.10405261547936</v>
      </c>
      <c r="E40" s="17">
        <f t="shared" si="6"/>
        <v>524.16005765144189</v>
      </c>
      <c r="F40" s="10">
        <f t="shared" si="4"/>
        <v>7757.5765030213779</v>
      </c>
      <c r="G40" s="10"/>
      <c r="H40" s="10"/>
    </row>
    <row r="41" spans="1:13" ht="14.25" customHeight="1" x14ac:dyDescent="0.3">
      <c r="A41" s="44">
        <v>29</v>
      </c>
      <c r="B41" s="10">
        <f t="shared" si="1"/>
        <v>422.70972391245317</v>
      </c>
      <c r="C41" s="10">
        <f t="shared" si="2"/>
        <v>64.646470858511478</v>
      </c>
      <c r="D41" s="10">
        <f t="shared" si="3"/>
        <v>358.06325305394171</v>
      </c>
      <c r="E41" s="17">
        <f t="shared" si="6"/>
        <v>524.16005765144189</v>
      </c>
      <c r="F41" s="10">
        <f t="shared" si="4"/>
        <v>7399.5132499674364</v>
      </c>
      <c r="G41" s="10"/>
      <c r="H41" s="10"/>
    </row>
    <row r="42" spans="1:13" ht="14.25" customHeight="1" x14ac:dyDescent="0.3">
      <c r="A42" s="44">
        <v>30</v>
      </c>
      <c r="B42" s="10">
        <f t="shared" si="1"/>
        <v>422.70972391245317</v>
      </c>
      <c r="C42" s="10">
        <f t="shared" si="2"/>
        <v>61.662610416395303</v>
      </c>
      <c r="D42" s="10">
        <f t="shared" si="3"/>
        <v>361.04711349605788</v>
      </c>
      <c r="E42" s="17">
        <f t="shared" si="6"/>
        <v>524.16005765144189</v>
      </c>
      <c r="F42" s="10">
        <f t="shared" si="4"/>
        <v>7038.4661364713784</v>
      </c>
      <c r="G42" s="10"/>
      <c r="H42" s="10"/>
    </row>
    <row r="43" spans="1:13" ht="14.25" customHeight="1" x14ac:dyDescent="0.3">
      <c r="A43" s="44">
        <v>31</v>
      </c>
      <c r="B43" s="10">
        <f t="shared" si="1"/>
        <v>422.70972391245317</v>
      </c>
      <c r="C43" s="10">
        <f t="shared" si="2"/>
        <v>58.653884470594818</v>
      </c>
      <c r="D43" s="10">
        <f t="shared" si="3"/>
        <v>364.05583944185832</v>
      </c>
      <c r="E43" s="17">
        <f t="shared" si="6"/>
        <v>524.16005765144189</v>
      </c>
      <c r="F43" s="10">
        <f t="shared" si="4"/>
        <v>6674.4102970295198</v>
      </c>
      <c r="G43" s="10"/>
      <c r="H43" s="10"/>
    </row>
    <row r="44" spans="1:13" ht="14.25" customHeight="1" x14ac:dyDescent="0.3">
      <c r="A44" s="44">
        <v>32</v>
      </c>
      <c r="B44" s="10">
        <f t="shared" si="1"/>
        <v>422.70972391245317</v>
      </c>
      <c r="C44" s="10">
        <f t="shared" si="2"/>
        <v>55.620085808579333</v>
      </c>
      <c r="D44" s="10">
        <f t="shared" si="3"/>
        <v>367.08963810387382</v>
      </c>
      <c r="E44" s="17">
        <f t="shared" si="6"/>
        <v>524.16005765144189</v>
      </c>
      <c r="F44" s="10">
        <f t="shared" si="4"/>
        <v>6307.3206589256461</v>
      </c>
      <c r="G44" s="10"/>
      <c r="H44" s="10"/>
    </row>
    <row r="45" spans="1:13" ht="14.25" customHeight="1" x14ac:dyDescent="0.3">
      <c r="A45" s="44">
        <v>33</v>
      </c>
      <c r="B45" s="10">
        <f t="shared" si="1"/>
        <v>422.70972391245317</v>
      </c>
      <c r="C45" s="10">
        <f t="shared" si="2"/>
        <v>52.561005491047048</v>
      </c>
      <c r="D45" s="10">
        <f t="shared" si="3"/>
        <v>370.1487184214061</v>
      </c>
      <c r="E45" s="17">
        <f t="shared" si="6"/>
        <v>524.16005765144189</v>
      </c>
      <c r="F45" s="10">
        <f t="shared" si="4"/>
        <v>5937.1719405042404</v>
      </c>
      <c r="G45" s="10"/>
      <c r="H45" s="10"/>
    </row>
    <row r="46" spans="1:13" ht="14.25" customHeight="1" x14ac:dyDescent="0.3">
      <c r="A46" s="44">
        <v>34</v>
      </c>
      <c r="B46" s="10">
        <f t="shared" si="1"/>
        <v>422.70972391245317</v>
      </c>
      <c r="C46" s="10">
        <f t="shared" si="2"/>
        <v>49.476432837535334</v>
      </c>
      <c r="D46" s="10">
        <f t="shared" si="3"/>
        <v>373.23329107491782</v>
      </c>
      <c r="E46" s="17">
        <f t="shared" si="6"/>
        <v>524.16005765144189</v>
      </c>
      <c r="F46" s="10">
        <f t="shared" si="4"/>
        <v>5563.938649429323</v>
      </c>
      <c r="G46" s="10"/>
      <c r="H46" s="10"/>
    </row>
    <row r="47" spans="1:13" ht="14.25" customHeight="1" x14ac:dyDescent="0.3">
      <c r="A47" s="44">
        <v>35</v>
      </c>
      <c r="B47" s="10">
        <f t="shared" si="1"/>
        <v>422.70972391245317</v>
      </c>
      <c r="C47" s="10">
        <f t="shared" si="2"/>
        <v>46.366155411911024</v>
      </c>
      <c r="D47" s="10">
        <f t="shared" si="3"/>
        <v>376.34356850054212</v>
      </c>
      <c r="E47" s="17">
        <f t="shared" si="6"/>
        <v>524.16005765144189</v>
      </c>
      <c r="F47" s="10">
        <f t="shared" si="4"/>
        <v>5187.5950809287806</v>
      </c>
      <c r="G47" s="10"/>
      <c r="H47" s="10"/>
    </row>
    <row r="48" spans="1:13" ht="14.25" customHeight="1" x14ac:dyDescent="0.3">
      <c r="A48" s="44">
        <v>36</v>
      </c>
      <c r="B48" s="10">
        <f t="shared" si="1"/>
        <v>422.70972391245317</v>
      </c>
      <c r="C48" s="10">
        <f t="shared" si="2"/>
        <v>43.229959007739836</v>
      </c>
      <c r="D48" s="10">
        <f t="shared" si="3"/>
        <v>379.47976490471331</v>
      </c>
      <c r="E48" s="17">
        <f t="shared" si="6"/>
        <v>524.16005765144189</v>
      </c>
      <c r="F48" s="10">
        <f t="shared" si="4"/>
        <v>4808.1153160240674</v>
      </c>
      <c r="G48" s="10"/>
      <c r="H48" s="10"/>
    </row>
    <row r="49" spans="1:8" ht="14.25" customHeight="1" x14ac:dyDescent="0.3">
      <c r="A49" s="44">
        <v>37</v>
      </c>
      <c r="B49" s="10">
        <f t="shared" si="1"/>
        <v>422.70972391245317</v>
      </c>
      <c r="C49" s="10">
        <f t="shared" si="2"/>
        <v>40.067627633533895</v>
      </c>
      <c r="D49" s="10">
        <f t="shared" si="3"/>
        <v>382.64209627891927</v>
      </c>
      <c r="E49" s="17">
        <f t="shared" si="6"/>
        <v>524.16005765144189</v>
      </c>
      <c r="F49" s="10">
        <f t="shared" si="4"/>
        <v>4425.4732197451485</v>
      </c>
      <c r="G49" s="10"/>
      <c r="H49" s="10"/>
    </row>
    <row r="50" spans="1:8" ht="14.25" customHeight="1" x14ac:dyDescent="0.3">
      <c r="A50" s="44">
        <v>38</v>
      </c>
      <c r="B50" s="10">
        <f t="shared" si="1"/>
        <v>422.70972391245317</v>
      </c>
      <c r="C50" s="10">
        <f t="shared" si="2"/>
        <v>36.878943497876236</v>
      </c>
      <c r="D50" s="10">
        <f t="shared" si="3"/>
        <v>385.83078041457691</v>
      </c>
      <c r="E50" s="17">
        <f t="shared" si="6"/>
        <v>524.16005765144189</v>
      </c>
      <c r="F50" s="10">
        <f t="shared" si="4"/>
        <v>4039.6424393305715</v>
      </c>
      <c r="G50" s="10"/>
      <c r="H50" s="10"/>
    </row>
    <row r="51" spans="1:8" ht="14.25" customHeight="1" x14ac:dyDescent="0.3">
      <c r="A51" s="44">
        <v>39</v>
      </c>
      <c r="B51" s="10">
        <f t="shared" si="1"/>
        <v>422.70972391245317</v>
      </c>
      <c r="C51" s="10">
        <f t="shared" si="2"/>
        <v>33.663686994421425</v>
      </c>
      <c r="D51" s="10">
        <f t="shared" si="3"/>
        <v>389.04603691803175</v>
      </c>
      <c r="E51" s="17">
        <f t="shared" si="6"/>
        <v>524.16005765144189</v>
      </c>
      <c r="F51" s="10">
        <f t="shared" si="4"/>
        <v>3650.5964024125396</v>
      </c>
      <c r="G51" s="10"/>
      <c r="H51" s="10"/>
    </row>
    <row r="52" spans="1:8" ht="14.25" customHeight="1" x14ac:dyDescent="0.3">
      <c r="A52" s="44">
        <v>40</v>
      </c>
      <c r="B52" s="10">
        <f t="shared" si="1"/>
        <v>422.70972391245317</v>
      </c>
      <c r="C52" s="10">
        <f t="shared" si="2"/>
        <v>30.421636686771162</v>
      </c>
      <c r="D52" s="10">
        <f t="shared" si="3"/>
        <v>392.28808722568203</v>
      </c>
      <c r="E52" s="17">
        <f t="shared" si="6"/>
        <v>524.16005765144189</v>
      </c>
      <c r="F52" s="10">
        <f t="shared" si="4"/>
        <v>3258.3083151868577</v>
      </c>
      <c r="G52" s="10"/>
      <c r="H52" s="10"/>
    </row>
    <row r="53" spans="1:8" ht="14.25" customHeight="1" x14ac:dyDescent="0.3">
      <c r="A53" s="44">
        <v>41</v>
      </c>
      <c r="B53" s="10">
        <f t="shared" si="1"/>
        <v>422.70972391245317</v>
      </c>
      <c r="C53" s="10">
        <f t="shared" si="2"/>
        <v>27.152569293223813</v>
      </c>
      <c r="D53" s="10">
        <f t="shared" si="3"/>
        <v>395.55715461922938</v>
      </c>
      <c r="E53" s="17">
        <f t="shared" si="6"/>
        <v>524.16005765144189</v>
      </c>
      <c r="F53" s="10">
        <f t="shared" si="4"/>
        <v>2862.7511605676282</v>
      </c>
      <c r="G53" s="10"/>
      <c r="H53" s="10"/>
    </row>
    <row r="54" spans="1:8" ht="14.25" customHeight="1" x14ac:dyDescent="0.3">
      <c r="A54" s="44">
        <v>42</v>
      </c>
      <c r="B54" s="10">
        <f t="shared" si="1"/>
        <v>422.70972391245317</v>
      </c>
      <c r="C54" s="10">
        <f t="shared" si="2"/>
        <v>23.856259671396902</v>
      </c>
      <c r="D54" s="10">
        <f t="shared" si="3"/>
        <v>398.85346424105626</v>
      </c>
      <c r="E54" s="17">
        <f t="shared" si="6"/>
        <v>524.16005765144189</v>
      </c>
      <c r="F54" s="10">
        <f t="shared" si="4"/>
        <v>2463.8976963265718</v>
      </c>
      <c r="G54" s="10"/>
      <c r="H54" s="10"/>
    </row>
    <row r="55" spans="1:8" ht="14.25" customHeight="1" x14ac:dyDescent="0.3">
      <c r="A55" s="44">
        <v>43</v>
      </c>
      <c r="B55" s="10">
        <f t="shared" si="1"/>
        <v>422.70972391245317</v>
      </c>
      <c r="C55" s="10">
        <f t="shared" si="2"/>
        <v>20.53248080272143</v>
      </c>
      <c r="D55" s="10">
        <f t="shared" si="3"/>
        <v>402.17724310973176</v>
      </c>
      <c r="E55" s="17">
        <f t="shared" si="6"/>
        <v>524.16005765144189</v>
      </c>
      <c r="F55" s="10">
        <f t="shared" si="4"/>
        <v>2061.7204532168398</v>
      </c>
      <c r="G55" s="10"/>
      <c r="H55" s="10"/>
    </row>
    <row r="56" spans="1:8" ht="14.25" customHeight="1" x14ac:dyDescent="0.3">
      <c r="A56" s="44">
        <v>44</v>
      </c>
      <c r="B56" s="10">
        <f t="shared" si="1"/>
        <v>422.70972391245317</v>
      </c>
      <c r="C56" s="10">
        <f t="shared" si="2"/>
        <v>17.181003776807</v>
      </c>
      <c r="D56" s="10">
        <f t="shared" si="3"/>
        <v>405.52872013564615</v>
      </c>
      <c r="E56" s="17">
        <f t="shared" si="6"/>
        <v>524.16005765144189</v>
      </c>
      <c r="F56" s="10">
        <f t="shared" si="4"/>
        <v>1656.1917330811937</v>
      </c>
      <c r="G56" s="10"/>
      <c r="H56" s="10"/>
    </row>
    <row r="57" spans="1:8" ht="14.25" customHeight="1" x14ac:dyDescent="0.3">
      <c r="A57" s="44">
        <v>45</v>
      </c>
      <c r="B57" s="10">
        <f t="shared" si="1"/>
        <v>422.70972391245317</v>
      </c>
      <c r="C57" s="10">
        <f t="shared" si="2"/>
        <v>13.801597775676614</v>
      </c>
      <c r="D57" s="10">
        <f t="shared" si="3"/>
        <v>408.90812613677656</v>
      </c>
      <c r="E57" s="17">
        <f t="shared" si="6"/>
        <v>524.16005765144189</v>
      </c>
      <c r="F57" s="10">
        <f t="shared" si="4"/>
        <v>1247.283606944417</v>
      </c>
      <c r="G57" s="10"/>
      <c r="H57" s="10"/>
    </row>
    <row r="58" spans="1:8" ht="14.25" customHeight="1" x14ac:dyDescent="0.3">
      <c r="A58" s="44">
        <v>46</v>
      </c>
      <c r="B58" s="10">
        <f t="shared" si="1"/>
        <v>422.70972391245317</v>
      </c>
      <c r="C58" s="10">
        <f t="shared" si="2"/>
        <v>10.394030057870141</v>
      </c>
      <c r="D58" s="10">
        <f t="shared" si="3"/>
        <v>412.315693854583</v>
      </c>
      <c r="E58" s="17">
        <f t="shared" si="6"/>
        <v>524.16005765144189</v>
      </c>
      <c r="F58" s="10">
        <f t="shared" si="4"/>
        <v>834.96791308983393</v>
      </c>
      <c r="G58" s="10"/>
      <c r="H58" s="10"/>
    </row>
    <row r="59" spans="1:8" ht="14.25" customHeight="1" x14ac:dyDescent="0.3">
      <c r="A59" s="44">
        <v>47</v>
      </c>
      <c r="B59" s="10">
        <f t="shared" si="1"/>
        <v>422.70972391245317</v>
      </c>
      <c r="C59" s="10">
        <f t="shared" si="2"/>
        <v>6.9580659424152822</v>
      </c>
      <c r="D59" s="10">
        <f t="shared" si="3"/>
        <v>415.75165797003791</v>
      </c>
      <c r="E59" s="17">
        <f t="shared" si="6"/>
        <v>524.16005765144189</v>
      </c>
      <c r="F59" s="10">
        <f t="shared" si="4"/>
        <v>419.21625511979602</v>
      </c>
      <c r="G59" s="10"/>
      <c r="H59" s="10"/>
    </row>
    <row r="60" spans="1:8" ht="14.25" customHeight="1" x14ac:dyDescent="0.3">
      <c r="A60" s="44">
        <v>48</v>
      </c>
      <c r="B60" s="10">
        <f t="shared" si="1"/>
        <v>422.70972391246096</v>
      </c>
      <c r="C60" s="10">
        <f t="shared" si="2"/>
        <v>3.4934687926649666</v>
      </c>
      <c r="D60" s="10">
        <f t="shared" si="3"/>
        <v>419.21625511979602</v>
      </c>
      <c r="E60" s="10">
        <f t="shared" si="6"/>
        <v>524.16005765145155</v>
      </c>
      <c r="F60" s="10">
        <f t="shared" si="4"/>
        <v>0</v>
      </c>
      <c r="G60" s="10"/>
      <c r="H60" s="10"/>
    </row>
    <row r="61" spans="1:8" ht="14.25" customHeight="1" x14ac:dyDescent="0.3">
      <c r="A61" s="44">
        <v>49</v>
      </c>
      <c r="B61" s="10">
        <f t="shared" si="1"/>
        <v>0</v>
      </c>
      <c r="C61" s="10">
        <f t="shared" si="2"/>
        <v>0</v>
      </c>
      <c r="D61" s="10">
        <f t="shared" si="3"/>
        <v>0</v>
      </c>
      <c r="E61" s="17"/>
      <c r="F61" s="10">
        <f t="shared" si="4"/>
        <v>0</v>
      </c>
    </row>
    <row r="62" spans="1:8" ht="14.25" customHeight="1" x14ac:dyDescent="0.3">
      <c r="A62" s="44">
        <v>50</v>
      </c>
      <c r="B62" s="10">
        <f t="shared" si="1"/>
        <v>0</v>
      </c>
      <c r="C62" s="10">
        <f t="shared" si="2"/>
        <v>0</v>
      </c>
      <c r="D62" s="10">
        <f t="shared" si="3"/>
        <v>0</v>
      </c>
      <c r="E62" s="17"/>
      <c r="F62" s="10">
        <f t="shared" si="4"/>
        <v>0</v>
      </c>
    </row>
    <row r="63" spans="1:8" ht="14.25" customHeight="1" x14ac:dyDescent="0.3">
      <c r="A63" s="44">
        <v>51</v>
      </c>
      <c r="B63" s="10">
        <f t="shared" si="1"/>
        <v>0</v>
      </c>
      <c r="C63" s="10">
        <f t="shared" si="2"/>
        <v>0</v>
      </c>
      <c r="D63" s="10">
        <f t="shared" si="3"/>
        <v>0</v>
      </c>
      <c r="E63" s="17"/>
      <c r="F63" s="10">
        <f t="shared" si="4"/>
        <v>0</v>
      </c>
    </row>
    <row r="64" spans="1:8" ht="14.25" customHeight="1" x14ac:dyDescent="0.3">
      <c r="A64" s="44">
        <v>52</v>
      </c>
      <c r="B64" s="10">
        <f t="shared" si="1"/>
        <v>0</v>
      </c>
      <c r="C64" s="10">
        <f t="shared" si="2"/>
        <v>0</v>
      </c>
      <c r="D64" s="10">
        <f t="shared" si="3"/>
        <v>0</v>
      </c>
      <c r="E64" s="17"/>
      <c r="F64" s="10">
        <f t="shared" si="4"/>
        <v>0</v>
      </c>
    </row>
    <row r="65" spans="1:6" ht="14.25" customHeight="1" x14ac:dyDescent="0.3">
      <c r="A65" s="44">
        <v>53</v>
      </c>
      <c r="B65" s="10">
        <f t="shared" si="1"/>
        <v>0</v>
      </c>
      <c r="C65" s="10">
        <f t="shared" si="2"/>
        <v>0</v>
      </c>
      <c r="D65" s="10">
        <f t="shared" si="3"/>
        <v>0</v>
      </c>
      <c r="E65" s="17"/>
      <c r="F65" s="10">
        <f t="shared" si="4"/>
        <v>0</v>
      </c>
    </row>
    <row r="66" spans="1:6" ht="14.25" customHeight="1" x14ac:dyDescent="0.3">
      <c r="A66" s="44">
        <v>54</v>
      </c>
      <c r="B66" s="10">
        <f t="shared" si="1"/>
        <v>0</v>
      </c>
      <c r="C66" s="10">
        <f t="shared" si="2"/>
        <v>0</v>
      </c>
      <c r="D66" s="10">
        <f t="shared" si="3"/>
        <v>0</v>
      </c>
      <c r="E66" s="17"/>
      <c r="F66" s="10">
        <f t="shared" si="4"/>
        <v>0</v>
      </c>
    </row>
    <row r="67" spans="1:6" ht="14.25" customHeight="1" x14ac:dyDescent="0.3">
      <c r="A67" s="44">
        <v>55</v>
      </c>
      <c r="B67" s="10">
        <f t="shared" si="1"/>
        <v>0</v>
      </c>
      <c r="C67" s="10">
        <f t="shared" si="2"/>
        <v>0</v>
      </c>
      <c r="D67" s="10">
        <f t="shared" si="3"/>
        <v>0</v>
      </c>
      <c r="E67" s="17"/>
      <c r="F67" s="10">
        <f t="shared" si="4"/>
        <v>0</v>
      </c>
    </row>
    <row r="68" spans="1:6" ht="14.25" customHeight="1" x14ac:dyDescent="0.3">
      <c r="A68" s="44">
        <v>56</v>
      </c>
      <c r="B68" s="10">
        <f t="shared" si="1"/>
        <v>0</v>
      </c>
      <c r="C68" s="10">
        <f t="shared" si="2"/>
        <v>0</v>
      </c>
      <c r="D68" s="10">
        <f t="shared" si="3"/>
        <v>0</v>
      </c>
      <c r="E68" s="17"/>
      <c r="F68" s="10">
        <f t="shared" si="4"/>
        <v>0</v>
      </c>
    </row>
    <row r="69" spans="1:6" ht="14.25" customHeight="1" x14ac:dyDescent="0.3">
      <c r="A69" s="44">
        <v>57</v>
      </c>
      <c r="B69" s="10">
        <f t="shared" si="1"/>
        <v>0</v>
      </c>
      <c r="C69" s="10">
        <f t="shared" si="2"/>
        <v>0</v>
      </c>
      <c r="D69" s="10">
        <f t="shared" si="3"/>
        <v>0</v>
      </c>
      <c r="E69" s="17"/>
      <c r="F69" s="10">
        <f t="shared" si="4"/>
        <v>0</v>
      </c>
    </row>
    <row r="70" spans="1:6" ht="14.25" customHeight="1" x14ac:dyDescent="0.3">
      <c r="A70" s="44">
        <v>58</v>
      </c>
      <c r="B70" s="10">
        <f t="shared" si="1"/>
        <v>0</v>
      </c>
      <c r="C70" s="10">
        <f t="shared" si="2"/>
        <v>0</v>
      </c>
      <c r="D70" s="10">
        <f t="shared" si="3"/>
        <v>0</v>
      </c>
      <c r="E70" s="17"/>
      <c r="F70" s="10">
        <f t="shared" si="4"/>
        <v>0</v>
      </c>
    </row>
    <row r="71" spans="1:6" ht="14.25" customHeight="1" x14ac:dyDescent="0.3">
      <c r="A71" s="44">
        <v>59</v>
      </c>
      <c r="B71" s="10">
        <f t="shared" si="1"/>
        <v>0</v>
      </c>
      <c r="C71" s="10">
        <f t="shared" si="2"/>
        <v>0</v>
      </c>
      <c r="D71" s="10">
        <f t="shared" si="3"/>
        <v>0</v>
      </c>
      <c r="E71" s="17"/>
      <c r="F71" s="10">
        <f t="shared" si="4"/>
        <v>0</v>
      </c>
    </row>
    <row r="72" spans="1:6" ht="14.25" customHeight="1" x14ac:dyDescent="0.3">
      <c r="A72" s="44">
        <v>60</v>
      </c>
      <c r="B72" s="10">
        <f t="shared" si="1"/>
        <v>0</v>
      </c>
      <c r="C72" s="10">
        <f t="shared" si="2"/>
        <v>0</v>
      </c>
      <c r="D72" s="10">
        <f t="shared" si="3"/>
        <v>0</v>
      </c>
      <c r="E72" s="17"/>
      <c r="F72" s="10">
        <f t="shared" si="4"/>
        <v>0</v>
      </c>
    </row>
    <row r="73" spans="1:6" ht="14.25" customHeight="1" x14ac:dyDescent="0.3">
      <c r="A73" s="44">
        <v>61</v>
      </c>
      <c r="B73" s="10">
        <f t="shared" si="1"/>
        <v>0</v>
      </c>
      <c r="C73" s="10">
        <f t="shared" si="2"/>
        <v>0</v>
      </c>
      <c r="D73" s="10">
        <f t="shared" si="3"/>
        <v>0</v>
      </c>
      <c r="F73" s="10">
        <f t="shared" si="4"/>
        <v>0</v>
      </c>
    </row>
    <row r="74" spans="1:6" ht="14.25" customHeight="1" x14ac:dyDescent="0.3">
      <c r="A74" s="44">
        <v>62</v>
      </c>
      <c r="B74" s="10">
        <f t="shared" si="1"/>
        <v>0</v>
      </c>
      <c r="C74" s="10">
        <f t="shared" si="2"/>
        <v>0</v>
      </c>
      <c r="D74" s="10">
        <f t="shared" si="3"/>
        <v>0</v>
      </c>
      <c r="F74" s="10">
        <f t="shared" si="4"/>
        <v>0</v>
      </c>
    </row>
    <row r="75" spans="1:6" ht="14.25" customHeight="1" x14ac:dyDescent="0.3">
      <c r="A75" s="44">
        <v>63</v>
      </c>
      <c r="B75" s="10">
        <f t="shared" si="1"/>
        <v>0</v>
      </c>
      <c r="C75" s="10">
        <f t="shared" si="2"/>
        <v>0</v>
      </c>
      <c r="D75" s="10">
        <f t="shared" si="3"/>
        <v>0</v>
      </c>
      <c r="F75" s="10">
        <f t="shared" si="4"/>
        <v>0</v>
      </c>
    </row>
    <row r="76" spans="1:6" ht="14.25" customHeight="1" x14ac:dyDescent="0.3">
      <c r="A76" s="44">
        <v>64</v>
      </c>
      <c r="B76" s="10">
        <f t="shared" si="1"/>
        <v>0</v>
      </c>
      <c r="C76" s="10">
        <f t="shared" si="2"/>
        <v>0</v>
      </c>
      <c r="D76" s="10">
        <f t="shared" si="3"/>
        <v>0</v>
      </c>
      <c r="F76" s="10">
        <f t="shared" si="4"/>
        <v>0</v>
      </c>
    </row>
    <row r="77" spans="1:6" ht="14.25" customHeight="1" x14ac:dyDescent="0.3">
      <c r="A77" s="44">
        <v>65</v>
      </c>
      <c r="B77" s="10">
        <f t="shared" si="1"/>
        <v>0</v>
      </c>
      <c r="C77" s="10">
        <f t="shared" si="2"/>
        <v>0</v>
      </c>
      <c r="D77" s="10">
        <f t="shared" si="3"/>
        <v>0</v>
      </c>
      <c r="F77" s="10">
        <f t="shared" si="4"/>
        <v>0</v>
      </c>
    </row>
    <row r="78" spans="1:6" ht="14.25" customHeight="1" x14ac:dyDescent="0.3">
      <c r="A78" s="44">
        <v>66</v>
      </c>
      <c r="B78" s="10">
        <f t="shared" si="1"/>
        <v>0</v>
      </c>
      <c r="C78" s="10">
        <f t="shared" si="2"/>
        <v>0</v>
      </c>
      <c r="D78" s="10">
        <f t="shared" si="3"/>
        <v>0</v>
      </c>
      <c r="F78" s="10">
        <f t="shared" si="4"/>
        <v>0</v>
      </c>
    </row>
    <row r="79" spans="1:6" ht="14.25" customHeight="1" x14ac:dyDescent="0.3">
      <c r="A79" s="44">
        <v>67</v>
      </c>
      <c r="B79" s="10">
        <f t="shared" si="1"/>
        <v>0</v>
      </c>
      <c r="C79" s="10">
        <f t="shared" si="2"/>
        <v>0</v>
      </c>
      <c r="D79" s="10">
        <f t="shared" si="3"/>
        <v>0</v>
      </c>
      <c r="F79" s="10">
        <f t="shared" si="4"/>
        <v>0</v>
      </c>
    </row>
    <row r="80" spans="1:6" ht="14.25" customHeight="1" x14ac:dyDescent="0.3">
      <c r="A80" s="44">
        <v>68</v>
      </c>
      <c r="B80" s="10">
        <f t="shared" si="1"/>
        <v>0</v>
      </c>
      <c r="C80" s="10">
        <f t="shared" si="2"/>
        <v>0</v>
      </c>
      <c r="D80" s="10">
        <f t="shared" si="3"/>
        <v>0</v>
      </c>
      <c r="F80" s="10">
        <f t="shared" si="4"/>
        <v>0</v>
      </c>
    </row>
    <row r="81" spans="1:6" ht="14.25" customHeight="1" x14ac:dyDescent="0.3">
      <c r="A81" s="44">
        <v>69</v>
      </c>
      <c r="B81" s="10">
        <f t="shared" si="1"/>
        <v>0</v>
      </c>
      <c r="C81" s="10">
        <f t="shared" si="2"/>
        <v>0</v>
      </c>
      <c r="D81" s="10">
        <f t="shared" si="3"/>
        <v>0</v>
      </c>
      <c r="F81" s="10">
        <f t="shared" si="4"/>
        <v>0</v>
      </c>
    </row>
    <row r="82" spans="1:6" ht="14.25" customHeight="1" x14ac:dyDescent="0.3">
      <c r="A82" s="44">
        <v>70</v>
      </c>
      <c r="B82" s="10">
        <f t="shared" si="1"/>
        <v>0</v>
      </c>
      <c r="C82" s="10">
        <f t="shared" si="2"/>
        <v>0</v>
      </c>
      <c r="D82" s="10">
        <f t="shared" si="3"/>
        <v>0</v>
      </c>
      <c r="F82" s="10">
        <f t="shared" si="4"/>
        <v>0</v>
      </c>
    </row>
    <row r="83" spans="1:6" ht="14.25" customHeight="1" x14ac:dyDescent="0.3">
      <c r="A83" s="44">
        <v>71</v>
      </c>
      <c r="B83" s="10">
        <f t="shared" si="1"/>
        <v>0</v>
      </c>
      <c r="C83" s="10">
        <f t="shared" si="2"/>
        <v>0</v>
      </c>
      <c r="D83" s="10">
        <f t="shared" si="3"/>
        <v>0</v>
      </c>
      <c r="F83" s="10">
        <f t="shared" si="4"/>
        <v>0</v>
      </c>
    </row>
    <row r="84" spans="1:6" ht="14.25" customHeight="1" x14ac:dyDescent="0.3">
      <c r="A84" s="44">
        <v>72</v>
      </c>
      <c r="B84" s="10">
        <f t="shared" si="1"/>
        <v>0</v>
      </c>
      <c r="C84" s="10">
        <f t="shared" si="2"/>
        <v>0</v>
      </c>
      <c r="D84" s="10">
        <f t="shared" si="3"/>
        <v>0</v>
      </c>
      <c r="F84" s="10">
        <f t="shared" si="4"/>
        <v>0</v>
      </c>
    </row>
    <row r="85" spans="1:6" ht="14.25" customHeight="1" x14ac:dyDescent="0.3">
      <c r="A85" s="44">
        <v>73</v>
      </c>
      <c r="B85" s="10">
        <f t="shared" si="1"/>
        <v>0</v>
      </c>
      <c r="C85" s="10">
        <f t="shared" si="2"/>
        <v>0</v>
      </c>
      <c r="D85" s="10">
        <f t="shared" si="3"/>
        <v>0</v>
      </c>
      <c r="F85" s="10">
        <f t="shared" si="4"/>
        <v>0</v>
      </c>
    </row>
    <row r="86" spans="1:6" ht="14.25" customHeight="1" x14ac:dyDescent="0.3">
      <c r="A86" s="44">
        <v>74</v>
      </c>
      <c r="B86" s="10">
        <f t="shared" si="1"/>
        <v>0</v>
      </c>
      <c r="C86" s="10">
        <f t="shared" si="2"/>
        <v>0</v>
      </c>
      <c r="D86" s="10">
        <f t="shared" si="3"/>
        <v>0</v>
      </c>
      <c r="F86" s="10">
        <f t="shared" si="4"/>
        <v>0</v>
      </c>
    </row>
    <row r="87" spans="1:6" ht="14.25" customHeight="1" x14ac:dyDescent="0.3">
      <c r="A87" s="44">
        <v>75</v>
      </c>
      <c r="B87" s="10">
        <f t="shared" si="1"/>
        <v>0</v>
      </c>
      <c r="C87" s="10">
        <f t="shared" si="2"/>
        <v>0</v>
      </c>
      <c r="D87" s="10">
        <f t="shared" si="3"/>
        <v>0</v>
      </c>
      <c r="F87" s="10">
        <f t="shared" si="4"/>
        <v>0</v>
      </c>
    </row>
    <row r="88" spans="1:6" ht="14.25" customHeight="1" x14ac:dyDescent="0.3">
      <c r="A88" s="44">
        <v>76</v>
      </c>
      <c r="B88" s="10">
        <f t="shared" si="1"/>
        <v>0</v>
      </c>
      <c r="C88" s="10">
        <f t="shared" si="2"/>
        <v>0</v>
      </c>
      <c r="D88" s="10">
        <f t="shared" si="3"/>
        <v>0</v>
      </c>
      <c r="F88" s="10">
        <f t="shared" si="4"/>
        <v>0</v>
      </c>
    </row>
    <row r="89" spans="1:6" ht="14.25" customHeight="1" x14ac:dyDescent="0.3">
      <c r="A89" s="44">
        <v>77</v>
      </c>
      <c r="B89" s="10">
        <f t="shared" si="1"/>
        <v>0</v>
      </c>
      <c r="C89" s="10">
        <f t="shared" si="2"/>
        <v>0</v>
      </c>
      <c r="D89" s="10">
        <f t="shared" si="3"/>
        <v>0</v>
      </c>
      <c r="F89" s="10">
        <f t="shared" si="4"/>
        <v>0</v>
      </c>
    </row>
    <row r="90" spans="1:6" ht="14.25" customHeight="1" x14ac:dyDescent="0.3">
      <c r="A90" s="44">
        <v>78</v>
      </c>
      <c r="B90" s="10">
        <f t="shared" si="1"/>
        <v>0</v>
      </c>
      <c r="C90" s="10">
        <f t="shared" si="2"/>
        <v>0</v>
      </c>
      <c r="D90" s="10">
        <f t="shared" si="3"/>
        <v>0</v>
      </c>
      <c r="F90" s="10">
        <f t="shared" si="4"/>
        <v>0</v>
      </c>
    </row>
    <row r="91" spans="1:6" ht="14.25" customHeight="1" x14ac:dyDescent="0.3">
      <c r="A91" s="44">
        <v>79</v>
      </c>
      <c r="B91" s="10">
        <f t="shared" si="1"/>
        <v>0</v>
      </c>
      <c r="C91" s="10">
        <f t="shared" si="2"/>
        <v>0</v>
      </c>
      <c r="D91" s="10">
        <f t="shared" si="3"/>
        <v>0</v>
      </c>
      <c r="F91" s="10">
        <f t="shared" si="4"/>
        <v>0</v>
      </c>
    </row>
    <row r="92" spans="1:6" ht="14.25" customHeight="1" x14ac:dyDescent="0.3">
      <c r="A92" s="44">
        <v>80</v>
      </c>
      <c r="B92" s="10">
        <f t="shared" si="1"/>
        <v>0</v>
      </c>
      <c r="C92" s="10">
        <f t="shared" si="2"/>
        <v>0</v>
      </c>
      <c r="D92" s="10">
        <f t="shared" si="3"/>
        <v>0</v>
      </c>
      <c r="F92" s="10">
        <f t="shared" si="4"/>
        <v>0</v>
      </c>
    </row>
    <row r="93" spans="1:6" ht="14.25" customHeight="1" x14ac:dyDescent="0.3">
      <c r="A93" s="44">
        <v>81</v>
      </c>
      <c r="B93" s="10">
        <f t="shared" si="1"/>
        <v>0</v>
      </c>
      <c r="C93" s="10">
        <f t="shared" si="2"/>
        <v>0</v>
      </c>
      <c r="D93" s="10">
        <f t="shared" si="3"/>
        <v>0</v>
      </c>
      <c r="F93" s="10">
        <f t="shared" si="4"/>
        <v>0</v>
      </c>
    </row>
    <row r="94" spans="1:6" ht="14.25" customHeight="1" x14ac:dyDescent="0.3">
      <c r="A94" s="44">
        <v>82</v>
      </c>
      <c r="B94" s="10">
        <f t="shared" si="1"/>
        <v>0</v>
      </c>
      <c r="C94" s="10">
        <f t="shared" si="2"/>
        <v>0</v>
      </c>
      <c r="D94" s="10">
        <f t="shared" si="3"/>
        <v>0</v>
      </c>
      <c r="F94" s="10">
        <f t="shared" si="4"/>
        <v>0</v>
      </c>
    </row>
    <row r="95" spans="1:6" ht="14.25" customHeight="1" x14ac:dyDescent="0.3">
      <c r="A95" s="44">
        <v>83</v>
      </c>
      <c r="B95" s="10">
        <f t="shared" si="1"/>
        <v>0</v>
      </c>
      <c r="C95" s="10">
        <f t="shared" si="2"/>
        <v>0</v>
      </c>
      <c r="D95" s="10">
        <f t="shared" si="3"/>
        <v>0</v>
      </c>
      <c r="F95" s="10">
        <f t="shared" si="4"/>
        <v>0</v>
      </c>
    </row>
    <row r="96" spans="1:6" ht="14.25" customHeight="1" x14ac:dyDescent="0.3">
      <c r="A96" s="44">
        <v>84</v>
      </c>
      <c r="B96" s="10">
        <f t="shared" si="1"/>
        <v>0</v>
      </c>
      <c r="C96" s="10">
        <f t="shared" si="2"/>
        <v>0</v>
      </c>
      <c r="D96" s="10">
        <f t="shared" si="3"/>
        <v>0</v>
      </c>
      <c r="F96" s="10">
        <f t="shared" si="4"/>
        <v>0</v>
      </c>
    </row>
    <row r="97" spans="1:6" ht="14.25" customHeight="1" x14ac:dyDescent="0.3">
      <c r="A97" s="44">
        <v>85</v>
      </c>
      <c r="B97" s="10">
        <f t="shared" si="1"/>
        <v>0</v>
      </c>
      <c r="C97" s="10">
        <f t="shared" si="2"/>
        <v>0</v>
      </c>
      <c r="D97" s="10">
        <f t="shared" si="3"/>
        <v>0</v>
      </c>
      <c r="F97" s="10">
        <f t="shared" si="4"/>
        <v>0</v>
      </c>
    </row>
    <row r="98" spans="1:6" ht="14.25" customHeight="1" x14ac:dyDescent="0.3">
      <c r="A98" s="44">
        <v>86</v>
      </c>
      <c r="B98" s="10">
        <f t="shared" si="1"/>
        <v>0</v>
      </c>
      <c r="C98" s="10">
        <f t="shared" si="2"/>
        <v>0</v>
      </c>
      <c r="D98" s="10">
        <f t="shared" si="3"/>
        <v>0</v>
      </c>
      <c r="F98" s="10">
        <f t="shared" si="4"/>
        <v>0</v>
      </c>
    </row>
    <row r="99" spans="1:6" ht="14.25" customHeight="1" x14ac:dyDescent="0.3">
      <c r="A99" s="44">
        <v>87</v>
      </c>
      <c r="B99" s="10">
        <f t="shared" si="1"/>
        <v>0</v>
      </c>
      <c r="C99" s="10">
        <f t="shared" si="2"/>
        <v>0</v>
      </c>
      <c r="D99" s="10">
        <f t="shared" si="3"/>
        <v>0</v>
      </c>
      <c r="F99" s="10">
        <f t="shared" si="4"/>
        <v>0</v>
      </c>
    </row>
    <row r="100" spans="1:6" ht="14.25" customHeight="1" x14ac:dyDescent="0.3">
      <c r="A100" s="44">
        <v>88</v>
      </c>
      <c r="B100" s="10">
        <f t="shared" si="1"/>
        <v>0</v>
      </c>
      <c r="C100" s="10">
        <f t="shared" si="2"/>
        <v>0</v>
      </c>
      <c r="D100" s="10">
        <f t="shared" si="3"/>
        <v>0</v>
      </c>
      <c r="F100" s="10">
        <f t="shared" si="4"/>
        <v>0</v>
      </c>
    </row>
    <row r="101" spans="1:6" ht="14.25" customHeight="1" x14ac:dyDescent="0.3">
      <c r="A101" s="44">
        <v>89</v>
      </c>
      <c r="B101" s="10">
        <f t="shared" si="1"/>
        <v>0</v>
      </c>
      <c r="C101" s="10">
        <f t="shared" si="2"/>
        <v>0</v>
      </c>
      <c r="D101" s="10">
        <f t="shared" si="3"/>
        <v>0</v>
      </c>
      <c r="F101" s="10">
        <f t="shared" si="4"/>
        <v>0</v>
      </c>
    </row>
    <row r="102" spans="1:6" ht="14.25" customHeight="1" x14ac:dyDescent="0.3">
      <c r="A102" s="44">
        <v>90</v>
      </c>
      <c r="B102" s="10">
        <f t="shared" si="1"/>
        <v>0</v>
      </c>
      <c r="C102" s="10">
        <f t="shared" si="2"/>
        <v>0</v>
      </c>
      <c r="D102" s="10">
        <f t="shared" si="3"/>
        <v>0</v>
      </c>
      <c r="F102" s="10">
        <f t="shared" si="4"/>
        <v>0</v>
      </c>
    </row>
    <row r="103" spans="1:6" ht="14.25" customHeight="1" x14ac:dyDescent="0.3">
      <c r="A103" s="44">
        <v>91</v>
      </c>
      <c r="B103" s="10">
        <f t="shared" si="1"/>
        <v>0</v>
      </c>
      <c r="C103" s="10">
        <f t="shared" si="2"/>
        <v>0</v>
      </c>
      <c r="D103" s="10">
        <f t="shared" si="3"/>
        <v>0</v>
      </c>
      <c r="F103" s="10">
        <f t="shared" si="4"/>
        <v>0</v>
      </c>
    </row>
    <row r="104" spans="1:6" ht="14.25" customHeight="1" x14ac:dyDescent="0.3">
      <c r="A104" s="44">
        <v>92</v>
      </c>
      <c r="B104" s="10">
        <f t="shared" si="1"/>
        <v>0</v>
      </c>
      <c r="C104" s="10">
        <f t="shared" si="2"/>
        <v>0</v>
      </c>
      <c r="D104" s="10">
        <f t="shared" si="3"/>
        <v>0</v>
      </c>
      <c r="F104" s="10">
        <f t="shared" si="4"/>
        <v>0</v>
      </c>
    </row>
    <row r="105" spans="1:6" ht="14.25" customHeight="1" x14ac:dyDescent="0.3">
      <c r="A105" s="44">
        <v>93</v>
      </c>
      <c r="B105" s="10">
        <f t="shared" si="1"/>
        <v>0</v>
      </c>
      <c r="C105" s="10">
        <f t="shared" si="2"/>
        <v>0</v>
      </c>
      <c r="D105" s="10">
        <f t="shared" si="3"/>
        <v>0</v>
      </c>
      <c r="F105" s="10">
        <f t="shared" si="4"/>
        <v>0</v>
      </c>
    </row>
    <row r="106" spans="1:6" ht="14.25" customHeight="1" x14ac:dyDescent="0.3">
      <c r="A106" s="44">
        <v>94</v>
      </c>
      <c r="B106" s="10">
        <f t="shared" si="1"/>
        <v>0</v>
      </c>
      <c r="C106" s="10">
        <f t="shared" si="2"/>
        <v>0</v>
      </c>
      <c r="D106" s="10">
        <f t="shared" si="3"/>
        <v>0</v>
      </c>
      <c r="F106" s="10">
        <f t="shared" si="4"/>
        <v>0</v>
      </c>
    </row>
    <row r="107" spans="1:6" ht="14.25" customHeight="1" x14ac:dyDescent="0.3">
      <c r="A107" s="44">
        <v>95</v>
      </c>
      <c r="B107" s="10">
        <f t="shared" si="1"/>
        <v>0</v>
      </c>
      <c r="C107" s="10">
        <f t="shared" si="2"/>
        <v>0</v>
      </c>
      <c r="D107" s="10">
        <f t="shared" si="3"/>
        <v>0</v>
      </c>
      <c r="F107" s="10">
        <f t="shared" si="4"/>
        <v>0</v>
      </c>
    </row>
    <row r="108" spans="1:6" ht="14.25" customHeight="1" x14ac:dyDescent="0.3">
      <c r="A108" s="44">
        <v>96</v>
      </c>
      <c r="B108" s="10">
        <f t="shared" si="1"/>
        <v>0</v>
      </c>
      <c r="C108" s="10">
        <f t="shared" si="2"/>
        <v>0</v>
      </c>
      <c r="D108" s="10">
        <f t="shared" si="3"/>
        <v>0</v>
      </c>
      <c r="F108" s="10">
        <f t="shared" si="4"/>
        <v>0</v>
      </c>
    </row>
    <row r="109" spans="1:6" ht="14.25" customHeight="1" x14ac:dyDescent="0.3">
      <c r="A109" s="44">
        <v>97</v>
      </c>
      <c r="B109" s="10">
        <f t="shared" si="1"/>
        <v>0</v>
      </c>
      <c r="C109" s="10">
        <f t="shared" si="2"/>
        <v>0</v>
      </c>
      <c r="D109" s="10">
        <f t="shared" si="3"/>
        <v>0</v>
      </c>
      <c r="F109" s="10">
        <f t="shared" si="4"/>
        <v>0</v>
      </c>
    </row>
    <row r="110" spans="1:6" ht="14.25" customHeight="1" x14ac:dyDescent="0.3">
      <c r="A110" s="44">
        <v>98</v>
      </c>
      <c r="B110" s="10">
        <f t="shared" si="1"/>
        <v>0</v>
      </c>
      <c r="C110" s="10">
        <f t="shared" si="2"/>
        <v>0</v>
      </c>
      <c r="D110" s="10">
        <f t="shared" si="3"/>
        <v>0</v>
      </c>
      <c r="F110" s="10">
        <f t="shared" si="4"/>
        <v>0</v>
      </c>
    </row>
    <row r="111" spans="1:6" ht="14.25" customHeight="1" x14ac:dyDescent="0.3">
      <c r="A111" s="44">
        <v>99</v>
      </c>
      <c r="B111" s="10">
        <f t="shared" si="1"/>
        <v>0</v>
      </c>
      <c r="C111" s="10">
        <f t="shared" si="2"/>
        <v>0</v>
      </c>
      <c r="D111" s="10">
        <f t="shared" si="3"/>
        <v>0</v>
      </c>
      <c r="F111" s="10">
        <f t="shared" si="4"/>
        <v>0</v>
      </c>
    </row>
    <row r="112" spans="1:6" ht="14.25" customHeight="1" x14ac:dyDescent="0.3">
      <c r="A112" s="44">
        <v>100</v>
      </c>
      <c r="B112" s="10">
        <f t="shared" si="1"/>
        <v>0</v>
      </c>
      <c r="C112" s="10">
        <f t="shared" si="2"/>
        <v>0</v>
      </c>
      <c r="D112" s="10">
        <f t="shared" si="3"/>
        <v>0</v>
      </c>
      <c r="F112" s="10">
        <f t="shared" si="4"/>
        <v>0</v>
      </c>
    </row>
    <row r="113" spans="1:6" ht="14.25" customHeight="1" x14ac:dyDescent="0.3">
      <c r="A113" s="44">
        <v>101</v>
      </c>
      <c r="B113" s="10">
        <f t="shared" si="1"/>
        <v>0</v>
      </c>
      <c r="C113" s="10">
        <f t="shared" si="2"/>
        <v>0</v>
      </c>
      <c r="D113" s="10">
        <f t="shared" si="3"/>
        <v>0</v>
      </c>
      <c r="F113" s="10">
        <f t="shared" si="4"/>
        <v>0</v>
      </c>
    </row>
    <row r="114" spans="1:6" ht="14.25" customHeight="1" x14ac:dyDescent="0.3">
      <c r="A114" s="44">
        <v>102</v>
      </c>
      <c r="B114" s="10">
        <f t="shared" si="1"/>
        <v>0</v>
      </c>
      <c r="C114" s="10">
        <f t="shared" si="2"/>
        <v>0</v>
      </c>
      <c r="D114" s="10">
        <f t="shared" si="3"/>
        <v>0</v>
      </c>
      <c r="F114" s="10">
        <f t="shared" si="4"/>
        <v>0</v>
      </c>
    </row>
    <row r="115" spans="1:6" ht="14.25" customHeight="1" x14ac:dyDescent="0.3">
      <c r="A115" s="44">
        <v>103</v>
      </c>
      <c r="B115" s="10">
        <f t="shared" si="1"/>
        <v>0</v>
      </c>
      <c r="C115" s="10">
        <f t="shared" si="2"/>
        <v>0</v>
      </c>
      <c r="D115" s="10">
        <f t="shared" si="3"/>
        <v>0</v>
      </c>
      <c r="F115" s="10">
        <f t="shared" si="4"/>
        <v>0</v>
      </c>
    </row>
    <row r="116" spans="1:6" ht="14.25" customHeight="1" x14ac:dyDescent="0.3">
      <c r="A116" s="44">
        <v>104</v>
      </c>
      <c r="B116" s="10">
        <f t="shared" si="1"/>
        <v>0</v>
      </c>
      <c r="C116" s="10">
        <f t="shared" si="2"/>
        <v>0</v>
      </c>
      <c r="D116" s="10">
        <f t="shared" si="3"/>
        <v>0</v>
      </c>
      <c r="F116" s="10">
        <f t="shared" si="4"/>
        <v>0</v>
      </c>
    </row>
    <row r="117" spans="1:6" ht="14.25" customHeight="1" x14ac:dyDescent="0.3">
      <c r="A117" s="44">
        <v>105</v>
      </c>
      <c r="B117" s="10">
        <f t="shared" si="1"/>
        <v>0</v>
      </c>
      <c r="C117" s="10">
        <f t="shared" si="2"/>
        <v>0</v>
      </c>
      <c r="D117" s="10">
        <f t="shared" si="3"/>
        <v>0</v>
      </c>
      <c r="F117" s="10">
        <f t="shared" si="4"/>
        <v>0</v>
      </c>
    </row>
    <row r="118" spans="1:6" ht="14.25" customHeight="1" x14ac:dyDescent="0.3">
      <c r="A118" s="44">
        <v>106</v>
      </c>
      <c r="B118" s="10">
        <f t="shared" si="1"/>
        <v>0</v>
      </c>
      <c r="C118" s="10">
        <f t="shared" si="2"/>
        <v>0</v>
      </c>
      <c r="D118" s="10">
        <f t="shared" si="3"/>
        <v>0</v>
      </c>
      <c r="F118" s="10">
        <f t="shared" si="4"/>
        <v>0</v>
      </c>
    </row>
    <row r="119" spans="1:6" ht="14.25" customHeight="1" x14ac:dyDescent="0.3">
      <c r="A119" s="44">
        <v>107</v>
      </c>
      <c r="B119" s="10">
        <f t="shared" si="1"/>
        <v>0</v>
      </c>
      <c r="C119" s="10">
        <f t="shared" si="2"/>
        <v>0</v>
      </c>
      <c r="D119" s="10">
        <f t="shared" si="3"/>
        <v>0</v>
      </c>
      <c r="F119" s="10">
        <f t="shared" si="4"/>
        <v>0</v>
      </c>
    </row>
    <row r="120" spans="1:6" ht="14.25" customHeight="1" x14ac:dyDescent="0.3">
      <c r="A120" s="44">
        <v>108</v>
      </c>
      <c r="B120" s="10">
        <f t="shared" si="1"/>
        <v>0</v>
      </c>
      <c r="C120" s="10">
        <f t="shared" si="2"/>
        <v>0</v>
      </c>
      <c r="D120" s="10">
        <f t="shared" si="3"/>
        <v>0</v>
      </c>
      <c r="F120" s="10">
        <f t="shared" si="4"/>
        <v>0</v>
      </c>
    </row>
    <row r="121" spans="1:6" ht="14.25" customHeight="1" x14ac:dyDescent="0.3">
      <c r="A121" s="44">
        <v>109</v>
      </c>
      <c r="B121" s="10">
        <f t="shared" si="1"/>
        <v>0</v>
      </c>
      <c r="C121" s="10">
        <f t="shared" si="2"/>
        <v>0</v>
      </c>
      <c r="D121" s="10">
        <f t="shared" si="3"/>
        <v>0</v>
      </c>
      <c r="F121" s="10">
        <f t="shared" si="4"/>
        <v>0</v>
      </c>
    </row>
    <row r="122" spans="1:6" ht="14.25" customHeight="1" x14ac:dyDescent="0.3">
      <c r="A122" s="44">
        <v>110</v>
      </c>
      <c r="B122" s="10">
        <f t="shared" si="1"/>
        <v>0</v>
      </c>
      <c r="C122" s="10">
        <f t="shared" si="2"/>
        <v>0</v>
      </c>
      <c r="D122" s="10">
        <f t="shared" si="3"/>
        <v>0</v>
      </c>
      <c r="F122" s="10">
        <f t="shared" si="4"/>
        <v>0</v>
      </c>
    </row>
    <row r="123" spans="1:6" ht="14.25" customHeight="1" x14ac:dyDescent="0.3">
      <c r="A123" s="44">
        <v>111</v>
      </c>
      <c r="B123" s="10">
        <f t="shared" si="1"/>
        <v>0</v>
      </c>
      <c r="C123" s="10">
        <f t="shared" si="2"/>
        <v>0</v>
      </c>
      <c r="D123" s="10">
        <f t="shared" si="3"/>
        <v>0</v>
      </c>
      <c r="F123" s="10">
        <f t="shared" si="4"/>
        <v>0</v>
      </c>
    </row>
    <row r="124" spans="1:6" ht="14.25" customHeight="1" x14ac:dyDescent="0.3">
      <c r="A124" s="44">
        <v>112</v>
      </c>
      <c r="B124" s="10">
        <f t="shared" si="1"/>
        <v>0</v>
      </c>
      <c r="C124" s="10">
        <f t="shared" si="2"/>
        <v>0</v>
      </c>
      <c r="D124" s="10">
        <f t="shared" si="3"/>
        <v>0</v>
      </c>
      <c r="F124" s="10">
        <f t="shared" si="4"/>
        <v>0</v>
      </c>
    </row>
    <row r="125" spans="1:6" ht="14.25" customHeight="1" x14ac:dyDescent="0.3">
      <c r="A125" s="44">
        <v>113</v>
      </c>
      <c r="B125" s="10">
        <f t="shared" si="1"/>
        <v>0</v>
      </c>
      <c r="C125" s="10">
        <f t="shared" si="2"/>
        <v>0</v>
      </c>
      <c r="D125" s="10">
        <f t="shared" si="3"/>
        <v>0</v>
      </c>
      <c r="F125" s="10">
        <f t="shared" si="4"/>
        <v>0</v>
      </c>
    </row>
    <row r="126" spans="1:6" ht="14.25" customHeight="1" x14ac:dyDescent="0.3">
      <c r="A126" s="44">
        <v>114</v>
      </c>
      <c r="B126" s="10">
        <f t="shared" si="1"/>
        <v>0</v>
      </c>
      <c r="C126" s="10">
        <f t="shared" si="2"/>
        <v>0</v>
      </c>
      <c r="D126" s="10">
        <f t="shared" si="3"/>
        <v>0</v>
      </c>
      <c r="F126" s="10">
        <f t="shared" si="4"/>
        <v>0</v>
      </c>
    </row>
    <row r="127" spans="1:6" ht="14.25" customHeight="1" x14ac:dyDescent="0.3">
      <c r="A127" s="44">
        <v>115</v>
      </c>
      <c r="B127" s="10">
        <f t="shared" si="1"/>
        <v>0</v>
      </c>
      <c r="C127" s="10">
        <f t="shared" si="2"/>
        <v>0</v>
      </c>
      <c r="D127" s="10">
        <f t="shared" si="3"/>
        <v>0</v>
      </c>
      <c r="F127" s="10">
        <f t="shared" si="4"/>
        <v>0</v>
      </c>
    </row>
    <row r="128" spans="1:6" ht="14.25" customHeight="1" x14ac:dyDescent="0.3">
      <c r="A128" s="44">
        <v>116</v>
      </c>
      <c r="B128" s="10">
        <f t="shared" si="1"/>
        <v>0</v>
      </c>
      <c r="C128" s="10">
        <f t="shared" si="2"/>
        <v>0</v>
      </c>
      <c r="D128" s="10">
        <f t="shared" si="3"/>
        <v>0</v>
      </c>
      <c r="F128" s="10">
        <f t="shared" si="4"/>
        <v>0</v>
      </c>
    </row>
    <row r="129" spans="1:6" ht="14.25" customHeight="1" x14ac:dyDescent="0.3">
      <c r="A129" s="44">
        <v>117</v>
      </c>
      <c r="B129" s="10">
        <f t="shared" si="1"/>
        <v>0</v>
      </c>
      <c r="C129" s="10">
        <f t="shared" si="2"/>
        <v>0</v>
      </c>
      <c r="D129" s="10">
        <f t="shared" si="3"/>
        <v>0</v>
      </c>
      <c r="F129" s="10">
        <f t="shared" si="4"/>
        <v>0</v>
      </c>
    </row>
    <row r="130" spans="1:6" ht="14.25" customHeight="1" x14ac:dyDescent="0.3">
      <c r="A130" s="44">
        <v>118</v>
      </c>
      <c r="B130" s="10">
        <f t="shared" si="1"/>
        <v>0</v>
      </c>
      <c r="C130" s="10">
        <f t="shared" si="2"/>
        <v>0</v>
      </c>
      <c r="D130" s="10">
        <f t="shared" si="3"/>
        <v>0</v>
      </c>
      <c r="F130" s="10">
        <f t="shared" si="4"/>
        <v>0</v>
      </c>
    </row>
    <row r="131" spans="1:6" ht="14.25" customHeight="1" x14ac:dyDescent="0.3">
      <c r="A131" s="44">
        <v>119</v>
      </c>
      <c r="B131" s="10">
        <f t="shared" si="1"/>
        <v>0</v>
      </c>
      <c r="C131" s="10">
        <f t="shared" si="2"/>
        <v>0</v>
      </c>
      <c r="D131" s="10">
        <f t="shared" si="3"/>
        <v>0</v>
      </c>
      <c r="F131" s="10">
        <f t="shared" si="4"/>
        <v>0</v>
      </c>
    </row>
    <row r="132" spans="1:6" ht="14.25" customHeight="1" x14ac:dyDescent="0.3">
      <c r="A132" s="44">
        <v>120</v>
      </c>
      <c r="B132" s="10">
        <f t="shared" si="1"/>
        <v>0</v>
      </c>
      <c r="C132" s="10">
        <f t="shared" si="2"/>
        <v>0</v>
      </c>
      <c r="D132" s="10">
        <f t="shared" si="3"/>
        <v>0</v>
      </c>
      <c r="F132" s="10">
        <f t="shared" si="4"/>
        <v>0</v>
      </c>
    </row>
    <row r="133" spans="1:6" ht="14.25" customHeight="1" x14ac:dyDescent="0.3">
      <c r="A133" s="44">
        <v>121</v>
      </c>
      <c r="B133" s="10">
        <f t="shared" si="1"/>
        <v>0</v>
      </c>
      <c r="C133" s="10">
        <f t="shared" si="2"/>
        <v>0</v>
      </c>
      <c r="D133" s="10">
        <f t="shared" si="3"/>
        <v>0</v>
      </c>
      <c r="F133" s="10">
        <f t="shared" si="4"/>
        <v>0</v>
      </c>
    </row>
    <row r="134" spans="1:6" ht="14.25" customHeight="1" x14ac:dyDescent="0.3">
      <c r="A134" s="44">
        <v>122</v>
      </c>
      <c r="B134" s="10">
        <f t="shared" si="1"/>
        <v>0</v>
      </c>
      <c r="C134" s="10">
        <f t="shared" si="2"/>
        <v>0</v>
      </c>
      <c r="D134" s="10">
        <f t="shared" si="3"/>
        <v>0</v>
      </c>
      <c r="F134" s="10">
        <f t="shared" si="4"/>
        <v>0</v>
      </c>
    </row>
    <row r="135" spans="1:6" ht="14.25" customHeight="1" x14ac:dyDescent="0.3">
      <c r="A135" s="44">
        <v>123</v>
      </c>
      <c r="B135" s="10">
        <f t="shared" si="1"/>
        <v>0</v>
      </c>
      <c r="C135" s="10">
        <f t="shared" si="2"/>
        <v>0</v>
      </c>
      <c r="D135" s="10">
        <f t="shared" si="3"/>
        <v>0</v>
      </c>
      <c r="F135" s="10">
        <f t="shared" si="4"/>
        <v>0</v>
      </c>
    </row>
    <row r="136" spans="1:6" ht="14.25" customHeight="1" x14ac:dyDescent="0.3">
      <c r="A136" s="44">
        <v>124</v>
      </c>
      <c r="B136" s="10">
        <f t="shared" si="1"/>
        <v>0</v>
      </c>
      <c r="C136" s="10">
        <f t="shared" si="2"/>
        <v>0</v>
      </c>
      <c r="D136" s="10">
        <f t="shared" si="3"/>
        <v>0</v>
      </c>
      <c r="F136" s="10">
        <f t="shared" si="4"/>
        <v>0</v>
      </c>
    </row>
    <row r="137" spans="1:6" ht="14.25" customHeight="1" x14ac:dyDescent="0.3">
      <c r="A137" s="44">
        <v>125</v>
      </c>
      <c r="B137" s="10">
        <f t="shared" si="1"/>
        <v>0</v>
      </c>
      <c r="C137" s="10">
        <f t="shared" si="2"/>
        <v>0</v>
      </c>
      <c r="D137" s="10">
        <f t="shared" si="3"/>
        <v>0</v>
      </c>
      <c r="F137" s="10">
        <f t="shared" si="4"/>
        <v>0</v>
      </c>
    </row>
    <row r="138" spans="1:6" ht="14.25" customHeight="1" x14ac:dyDescent="0.3">
      <c r="A138" s="44">
        <v>126</v>
      </c>
      <c r="B138" s="10">
        <f t="shared" si="1"/>
        <v>0</v>
      </c>
      <c r="C138" s="10">
        <f t="shared" si="2"/>
        <v>0</v>
      </c>
      <c r="D138" s="10">
        <f t="shared" si="3"/>
        <v>0</v>
      </c>
      <c r="F138" s="10">
        <f t="shared" si="4"/>
        <v>0</v>
      </c>
    </row>
    <row r="139" spans="1:6" ht="14.25" customHeight="1" x14ac:dyDescent="0.3">
      <c r="A139" s="44">
        <v>127</v>
      </c>
      <c r="B139" s="10">
        <f t="shared" si="1"/>
        <v>0</v>
      </c>
      <c r="C139" s="10">
        <f t="shared" si="2"/>
        <v>0</v>
      </c>
      <c r="D139" s="10">
        <f t="shared" si="3"/>
        <v>0</v>
      </c>
      <c r="F139" s="10">
        <f t="shared" si="4"/>
        <v>0</v>
      </c>
    </row>
    <row r="140" spans="1:6" ht="14.25" customHeight="1" x14ac:dyDescent="0.3">
      <c r="A140" s="44">
        <v>128</v>
      </c>
      <c r="B140" s="10">
        <f t="shared" si="1"/>
        <v>0</v>
      </c>
      <c r="C140" s="10">
        <f t="shared" si="2"/>
        <v>0</v>
      </c>
      <c r="D140" s="10">
        <f t="shared" si="3"/>
        <v>0</v>
      </c>
      <c r="F140" s="10">
        <f t="shared" si="4"/>
        <v>0</v>
      </c>
    </row>
    <row r="141" spans="1:6" ht="14.25" customHeight="1" x14ac:dyDescent="0.3">
      <c r="A141" s="44">
        <v>129</v>
      </c>
      <c r="B141" s="10">
        <f t="shared" si="1"/>
        <v>0</v>
      </c>
      <c r="C141" s="10">
        <f t="shared" si="2"/>
        <v>0</v>
      </c>
      <c r="D141" s="10">
        <f t="shared" si="3"/>
        <v>0</v>
      </c>
      <c r="F141" s="10">
        <f t="shared" si="4"/>
        <v>0</v>
      </c>
    </row>
    <row r="142" spans="1:6" ht="14.25" customHeight="1" x14ac:dyDescent="0.3">
      <c r="A142" s="44">
        <v>130</v>
      </c>
      <c r="B142" s="10">
        <f t="shared" si="1"/>
        <v>0</v>
      </c>
      <c r="C142" s="10">
        <f t="shared" si="2"/>
        <v>0</v>
      </c>
      <c r="D142" s="10">
        <f t="shared" si="3"/>
        <v>0</v>
      </c>
      <c r="F142" s="10">
        <f t="shared" si="4"/>
        <v>0</v>
      </c>
    </row>
    <row r="143" spans="1:6" ht="14.25" customHeight="1" x14ac:dyDescent="0.3">
      <c r="A143" s="44">
        <v>131</v>
      </c>
      <c r="B143" s="10">
        <f t="shared" si="1"/>
        <v>0</v>
      </c>
      <c r="C143" s="10">
        <f t="shared" si="2"/>
        <v>0</v>
      </c>
      <c r="D143" s="10">
        <f t="shared" si="3"/>
        <v>0</v>
      </c>
      <c r="F143" s="10">
        <f t="shared" si="4"/>
        <v>0</v>
      </c>
    </row>
    <row r="144" spans="1:6" ht="14.25" customHeight="1" x14ac:dyDescent="0.3">
      <c r="A144" s="44">
        <v>132</v>
      </c>
      <c r="B144" s="10">
        <f t="shared" si="1"/>
        <v>0</v>
      </c>
      <c r="C144" s="10">
        <f t="shared" si="2"/>
        <v>0</v>
      </c>
      <c r="D144" s="10">
        <f t="shared" si="3"/>
        <v>0</v>
      </c>
      <c r="F144" s="10">
        <f t="shared" si="4"/>
        <v>0</v>
      </c>
    </row>
    <row r="145" spans="1:6" ht="14.25" customHeight="1" x14ac:dyDescent="0.3">
      <c r="A145" s="44">
        <v>133</v>
      </c>
      <c r="B145" s="10">
        <f t="shared" si="1"/>
        <v>0</v>
      </c>
      <c r="C145" s="10">
        <f t="shared" si="2"/>
        <v>0</v>
      </c>
      <c r="D145" s="10">
        <f t="shared" si="3"/>
        <v>0</v>
      </c>
      <c r="F145" s="10">
        <f t="shared" si="4"/>
        <v>0</v>
      </c>
    </row>
    <row r="146" spans="1:6" ht="14.25" customHeight="1" x14ac:dyDescent="0.3">
      <c r="A146" s="44">
        <v>134</v>
      </c>
      <c r="B146" s="10">
        <f t="shared" si="1"/>
        <v>0</v>
      </c>
      <c r="C146" s="10">
        <f t="shared" si="2"/>
        <v>0</v>
      </c>
      <c r="D146" s="10">
        <f t="shared" si="3"/>
        <v>0</v>
      </c>
      <c r="F146" s="10">
        <f t="shared" si="4"/>
        <v>0</v>
      </c>
    </row>
    <row r="147" spans="1:6" ht="14.25" customHeight="1" x14ac:dyDescent="0.3">
      <c r="A147" s="44">
        <v>135</v>
      </c>
      <c r="B147" s="10">
        <f t="shared" si="1"/>
        <v>0</v>
      </c>
      <c r="C147" s="10">
        <f t="shared" si="2"/>
        <v>0</v>
      </c>
      <c r="D147" s="10">
        <f t="shared" si="3"/>
        <v>0</v>
      </c>
      <c r="F147" s="10">
        <f t="shared" si="4"/>
        <v>0</v>
      </c>
    </row>
    <row r="148" spans="1:6" ht="14.25" customHeight="1" x14ac:dyDescent="0.3">
      <c r="A148" s="44">
        <v>136</v>
      </c>
      <c r="B148" s="10">
        <f t="shared" si="1"/>
        <v>0</v>
      </c>
      <c r="C148" s="10">
        <f t="shared" si="2"/>
        <v>0</v>
      </c>
      <c r="D148" s="10">
        <f t="shared" si="3"/>
        <v>0</v>
      </c>
      <c r="F148" s="10">
        <f t="shared" si="4"/>
        <v>0</v>
      </c>
    </row>
    <row r="149" spans="1:6" ht="14.25" customHeight="1" x14ac:dyDescent="0.3">
      <c r="A149" s="44">
        <v>137</v>
      </c>
      <c r="B149" s="10">
        <f t="shared" si="1"/>
        <v>0</v>
      </c>
      <c r="C149" s="10">
        <f t="shared" si="2"/>
        <v>0</v>
      </c>
      <c r="D149" s="10">
        <f t="shared" si="3"/>
        <v>0</v>
      </c>
      <c r="F149" s="10">
        <f t="shared" si="4"/>
        <v>0</v>
      </c>
    </row>
    <row r="150" spans="1:6" ht="14.25" customHeight="1" x14ac:dyDescent="0.3">
      <c r="A150" s="44">
        <v>138</v>
      </c>
      <c r="B150" s="10">
        <f t="shared" si="1"/>
        <v>0</v>
      </c>
      <c r="C150" s="10">
        <f t="shared" si="2"/>
        <v>0</v>
      </c>
      <c r="D150" s="10">
        <f t="shared" si="3"/>
        <v>0</v>
      </c>
      <c r="F150" s="10">
        <f t="shared" si="4"/>
        <v>0</v>
      </c>
    </row>
    <row r="151" spans="1:6" ht="14.25" customHeight="1" x14ac:dyDescent="0.3">
      <c r="A151" s="44">
        <v>139</v>
      </c>
      <c r="B151" s="10">
        <f t="shared" si="1"/>
        <v>0</v>
      </c>
      <c r="C151" s="10">
        <f t="shared" si="2"/>
        <v>0</v>
      </c>
      <c r="D151" s="10">
        <f t="shared" si="3"/>
        <v>0</v>
      </c>
      <c r="F151" s="10">
        <f t="shared" si="4"/>
        <v>0</v>
      </c>
    </row>
    <row r="152" spans="1:6" ht="14.25" customHeight="1" x14ac:dyDescent="0.3">
      <c r="A152" s="44">
        <v>140</v>
      </c>
      <c r="B152" s="10">
        <f t="shared" si="1"/>
        <v>0</v>
      </c>
      <c r="C152" s="10">
        <f t="shared" si="2"/>
        <v>0</v>
      </c>
      <c r="D152" s="10">
        <f t="shared" si="3"/>
        <v>0</v>
      </c>
      <c r="F152" s="10">
        <f t="shared" si="4"/>
        <v>0</v>
      </c>
    </row>
    <row r="153" spans="1:6" ht="14.25" customHeight="1" x14ac:dyDescent="0.3">
      <c r="A153" s="44">
        <v>141</v>
      </c>
      <c r="B153" s="10">
        <f t="shared" si="1"/>
        <v>0</v>
      </c>
      <c r="C153" s="10">
        <f t="shared" si="2"/>
        <v>0</v>
      </c>
      <c r="D153" s="10">
        <f t="shared" si="3"/>
        <v>0</v>
      </c>
      <c r="F153" s="10">
        <f t="shared" si="4"/>
        <v>0</v>
      </c>
    </row>
    <row r="154" spans="1:6" ht="14.25" customHeight="1" x14ac:dyDescent="0.3">
      <c r="A154" s="44">
        <v>142</v>
      </c>
      <c r="B154" s="10">
        <f t="shared" si="1"/>
        <v>0</v>
      </c>
      <c r="C154" s="10">
        <f t="shared" si="2"/>
        <v>0</v>
      </c>
      <c r="D154" s="10">
        <f t="shared" si="3"/>
        <v>0</v>
      </c>
      <c r="F154" s="10">
        <f t="shared" si="4"/>
        <v>0</v>
      </c>
    </row>
    <row r="155" spans="1:6" ht="14.25" customHeight="1" x14ac:dyDescent="0.3">
      <c r="A155" s="44">
        <v>143</v>
      </c>
      <c r="B155" s="10">
        <f t="shared" si="1"/>
        <v>0</v>
      </c>
      <c r="C155" s="10">
        <f t="shared" si="2"/>
        <v>0</v>
      </c>
      <c r="D155" s="10">
        <f t="shared" si="3"/>
        <v>0</v>
      </c>
      <c r="F155" s="10">
        <f t="shared" si="4"/>
        <v>0</v>
      </c>
    </row>
    <row r="156" spans="1:6" ht="14.25" customHeight="1" x14ac:dyDescent="0.3">
      <c r="A156" s="44">
        <v>144</v>
      </c>
      <c r="B156" s="10">
        <f t="shared" si="1"/>
        <v>0</v>
      </c>
      <c r="C156" s="10">
        <f t="shared" si="2"/>
        <v>0</v>
      </c>
      <c r="D156" s="10">
        <f t="shared" si="3"/>
        <v>0</v>
      </c>
      <c r="F156" s="10">
        <f t="shared" si="4"/>
        <v>0</v>
      </c>
    </row>
    <row r="157" spans="1:6" ht="14.25" customHeight="1" x14ac:dyDescent="0.3">
      <c r="A157" s="44">
        <v>145</v>
      </c>
      <c r="B157" s="10">
        <f t="shared" si="1"/>
        <v>0</v>
      </c>
      <c r="C157" s="10">
        <f t="shared" si="2"/>
        <v>0</v>
      </c>
      <c r="D157" s="10">
        <f t="shared" si="3"/>
        <v>0</v>
      </c>
      <c r="F157" s="10">
        <f t="shared" si="4"/>
        <v>0</v>
      </c>
    </row>
    <row r="158" spans="1:6" ht="14.25" customHeight="1" x14ac:dyDescent="0.3">
      <c r="A158" s="44">
        <v>146</v>
      </c>
      <c r="B158" s="10">
        <f t="shared" si="1"/>
        <v>0</v>
      </c>
      <c r="C158" s="10">
        <f t="shared" si="2"/>
        <v>0</v>
      </c>
      <c r="D158" s="10">
        <f t="shared" si="3"/>
        <v>0</v>
      </c>
      <c r="F158" s="10">
        <f t="shared" si="4"/>
        <v>0</v>
      </c>
    </row>
    <row r="159" spans="1:6" ht="14.25" customHeight="1" x14ac:dyDescent="0.3">
      <c r="A159" s="44">
        <v>147</v>
      </c>
      <c r="B159" s="10">
        <f t="shared" si="1"/>
        <v>0</v>
      </c>
      <c r="C159" s="10">
        <f t="shared" si="2"/>
        <v>0</v>
      </c>
      <c r="D159" s="10">
        <f t="shared" si="3"/>
        <v>0</v>
      </c>
      <c r="F159" s="10">
        <f t="shared" si="4"/>
        <v>0</v>
      </c>
    </row>
    <row r="160" spans="1:6" ht="14.25" customHeight="1" x14ac:dyDescent="0.3">
      <c r="A160" s="44">
        <v>148</v>
      </c>
      <c r="B160" s="10">
        <f t="shared" si="1"/>
        <v>0</v>
      </c>
      <c r="C160" s="10">
        <f t="shared" si="2"/>
        <v>0</v>
      </c>
      <c r="D160" s="10">
        <f t="shared" si="3"/>
        <v>0</v>
      </c>
      <c r="F160" s="10">
        <f t="shared" si="4"/>
        <v>0</v>
      </c>
    </row>
    <row r="161" spans="1:6" ht="14.25" customHeight="1" x14ac:dyDescent="0.3">
      <c r="A161" s="44">
        <v>149</v>
      </c>
      <c r="B161" s="10">
        <f t="shared" si="1"/>
        <v>0</v>
      </c>
      <c r="C161" s="10">
        <f t="shared" si="2"/>
        <v>0</v>
      </c>
      <c r="D161" s="10">
        <f t="shared" si="3"/>
        <v>0</v>
      </c>
      <c r="F161" s="10">
        <f t="shared" si="4"/>
        <v>0</v>
      </c>
    </row>
    <row r="162" spans="1:6" ht="14.25" customHeight="1" x14ac:dyDescent="0.3">
      <c r="A162" s="44">
        <v>150</v>
      </c>
      <c r="B162" s="10">
        <f t="shared" si="1"/>
        <v>0</v>
      </c>
      <c r="C162" s="10">
        <f t="shared" si="2"/>
        <v>0</v>
      </c>
      <c r="D162" s="10">
        <f t="shared" si="3"/>
        <v>0</v>
      </c>
      <c r="F162" s="10">
        <f t="shared" si="4"/>
        <v>0</v>
      </c>
    </row>
    <row r="163" spans="1:6" ht="14.25" customHeight="1" x14ac:dyDescent="0.3">
      <c r="A163" s="44">
        <v>151</v>
      </c>
      <c r="B163" s="10">
        <f t="shared" si="1"/>
        <v>0</v>
      </c>
      <c r="C163" s="10">
        <f t="shared" si="2"/>
        <v>0</v>
      </c>
      <c r="D163" s="10">
        <f t="shared" si="3"/>
        <v>0</v>
      </c>
      <c r="F163" s="10">
        <f t="shared" si="4"/>
        <v>0</v>
      </c>
    </row>
    <row r="164" spans="1:6" ht="14.25" customHeight="1" x14ac:dyDescent="0.3">
      <c r="A164" s="44">
        <v>152</v>
      </c>
      <c r="B164" s="10">
        <f t="shared" si="1"/>
        <v>0</v>
      </c>
      <c r="C164" s="10">
        <f t="shared" si="2"/>
        <v>0</v>
      </c>
      <c r="D164" s="10">
        <f t="shared" si="3"/>
        <v>0</v>
      </c>
      <c r="F164" s="10">
        <f t="shared" si="4"/>
        <v>0</v>
      </c>
    </row>
    <row r="165" spans="1:6" ht="14.25" customHeight="1" x14ac:dyDescent="0.3">
      <c r="A165" s="44">
        <v>153</v>
      </c>
      <c r="B165" s="10">
        <f t="shared" si="1"/>
        <v>0</v>
      </c>
      <c r="C165" s="10">
        <f t="shared" si="2"/>
        <v>0</v>
      </c>
      <c r="D165" s="10">
        <f t="shared" si="3"/>
        <v>0</v>
      </c>
      <c r="F165" s="10">
        <f t="shared" si="4"/>
        <v>0</v>
      </c>
    </row>
    <row r="166" spans="1:6" ht="14.25" customHeight="1" x14ac:dyDescent="0.3">
      <c r="A166" s="44">
        <v>154</v>
      </c>
      <c r="B166" s="10">
        <f t="shared" si="1"/>
        <v>0</v>
      </c>
      <c r="C166" s="10">
        <f t="shared" si="2"/>
        <v>0</v>
      </c>
      <c r="D166" s="10">
        <f t="shared" si="3"/>
        <v>0</v>
      </c>
      <c r="F166" s="10">
        <f t="shared" si="4"/>
        <v>0</v>
      </c>
    </row>
    <row r="167" spans="1:6" ht="14.25" customHeight="1" x14ac:dyDescent="0.3">
      <c r="A167" s="44">
        <v>155</v>
      </c>
      <c r="B167" s="10">
        <f t="shared" si="1"/>
        <v>0</v>
      </c>
      <c r="C167" s="10">
        <f t="shared" si="2"/>
        <v>0</v>
      </c>
      <c r="D167" s="10">
        <f t="shared" si="3"/>
        <v>0</v>
      </c>
      <c r="F167" s="10">
        <f t="shared" si="4"/>
        <v>0</v>
      </c>
    </row>
    <row r="168" spans="1:6" ht="14.25" customHeight="1" x14ac:dyDescent="0.3">
      <c r="A168" s="44">
        <v>156</v>
      </c>
      <c r="B168" s="10">
        <f t="shared" si="1"/>
        <v>0</v>
      </c>
      <c r="C168" s="10">
        <f t="shared" si="2"/>
        <v>0</v>
      </c>
      <c r="D168" s="10">
        <f t="shared" si="3"/>
        <v>0</v>
      </c>
      <c r="F168" s="10">
        <f t="shared" si="4"/>
        <v>0</v>
      </c>
    </row>
    <row r="169" spans="1:6" ht="14.25" customHeight="1" x14ac:dyDescent="0.3">
      <c r="A169" s="44">
        <v>157</v>
      </c>
      <c r="B169" s="10">
        <f t="shared" si="1"/>
        <v>0</v>
      </c>
      <c r="C169" s="10">
        <f t="shared" si="2"/>
        <v>0</v>
      </c>
      <c r="D169" s="10">
        <f t="shared" si="3"/>
        <v>0</v>
      </c>
      <c r="F169" s="10">
        <f t="shared" si="4"/>
        <v>0</v>
      </c>
    </row>
    <row r="170" spans="1:6" ht="14.25" customHeight="1" x14ac:dyDescent="0.3">
      <c r="A170" s="44">
        <v>158</v>
      </c>
      <c r="B170" s="12">
        <f t="shared" si="1"/>
        <v>0</v>
      </c>
      <c r="C170" s="12">
        <f t="shared" si="2"/>
        <v>0</v>
      </c>
      <c r="D170" s="12">
        <f t="shared" si="3"/>
        <v>0</v>
      </c>
      <c r="F170" s="10">
        <f t="shared" si="4"/>
        <v>0</v>
      </c>
    </row>
    <row r="171" spans="1:6" ht="14.25" customHeight="1" x14ac:dyDescent="0.3">
      <c r="A171" s="44">
        <v>159</v>
      </c>
      <c r="B171" s="12">
        <f t="shared" si="1"/>
        <v>0</v>
      </c>
      <c r="C171" s="12">
        <f t="shared" si="2"/>
        <v>0</v>
      </c>
      <c r="D171" s="12">
        <f t="shared" si="3"/>
        <v>0</v>
      </c>
      <c r="F171" s="10">
        <f t="shared" si="4"/>
        <v>0</v>
      </c>
    </row>
    <row r="172" spans="1:6" ht="14.25" customHeight="1" x14ac:dyDescent="0.3">
      <c r="A172" s="44">
        <v>160</v>
      </c>
      <c r="B172" s="12">
        <f t="shared" si="1"/>
        <v>0</v>
      </c>
      <c r="C172" s="12">
        <f t="shared" si="2"/>
        <v>0</v>
      </c>
      <c r="D172" s="12">
        <f t="shared" si="3"/>
        <v>0</v>
      </c>
      <c r="F172" s="10">
        <f t="shared" si="4"/>
        <v>0</v>
      </c>
    </row>
    <row r="173" spans="1:6" ht="14.25" customHeight="1" x14ac:dyDescent="0.3">
      <c r="A173" s="44">
        <v>161</v>
      </c>
      <c r="B173" s="12">
        <f t="shared" si="1"/>
        <v>0</v>
      </c>
      <c r="C173" s="12">
        <f t="shared" si="2"/>
        <v>0</v>
      </c>
      <c r="D173" s="12">
        <f t="shared" si="3"/>
        <v>0</v>
      </c>
      <c r="F173" s="10">
        <f t="shared" si="4"/>
        <v>0</v>
      </c>
    </row>
    <row r="174" spans="1:6" ht="14.25" customHeight="1" x14ac:dyDescent="0.3">
      <c r="A174" s="44">
        <v>162</v>
      </c>
      <c r="B174" s="12">
        <f t="shared" si="1"/>
        <v>0</v>
      </c>
      <c r="C174" s="12">
        <f t="shared" si="2"/>
        <v>0</v>
      </c>
      <c r="D174" s="12">
        <f t="shared" si="3"/>
        <v>0</v>
      </c>
      <c r="F174" s="10">
        <f t="shared" si="4"/>
        <v>0</v>
      </c>
    </row>
    <row r="175" spans="1:6" ht="14.25" customHeight="1" x14ac:dyDescent="0.3">
      <c r="A175" s="44">
        <v>163</v>
      </c>
      <c r="B175" s="12">
        <f t="shared" si="1"/>
        <v>0</v>
      </c>
      <c r="C175" s="12">
        <f t="shared" si="2"/>
        <v>0</v>
      </c>
      <c r="D175" s="12">
        <f t="shared" si="3"/>
        <v>0</v>
      </c>
      <c r="F175" s="10">
        <f t="shared" si="4"/>
        <v>0</v>
      </c>
    </row>
    <row r="176" spans="1:6" ht="14.25" customHeight="1" x14ac:dyDescent="0.3">
      <c r="A176" s="44">
        <v>164</v>
      </c>
      <c r="B176" s="12">
        <f t="shared" si="1"/>
        <v>0</v>
      </c>
      <c r="C176" s="12">
        <f t="shared" si="2"/>
        <v>0</v>
      </c>
      <c r="D176" s="12">
        <f t="shared" si="3"/>
        <v>0</v>
      </c>
      <c r="F176" s="10">
        <f t="shared" si="4"/>
        <v>0</v>
      </c>
    </row>
    <row r="177" spans="1:6" ht="14.25" customHeight="1" x14ac:dyDescent="0.3">
      <c r="A177" s="44">
        <v>165</v>
      </c>
      <c r="B177" s="12">
        <f t="shared" si="1"/>
        <v>0</v>
      </c>
      <c r="C177" s="12">
        <f t="shared" si="2"/>
        <v>0</v>
      </c>
      <c r="D177" s="12">
        <f t="shared" si="3"/>
        <v>0</v>
      </c>
      <c r="F177" s="10">
        <f t="shared" si="4"/>
        <v>0</v>
      </c>
    </row>
    <row r="178" spans="1:6" ht="14.25" customHeight="1" x14ac:dyDescent="0.3">
      <c r="A178" s="44">
        <v>166</v>
      </c>
      <c r="B178" s="12">
        <f t="shared" si="1"/>
        <v>0</v>
      </c>
      <c r="C178" s="12">
        <f t="shared" si="2"/>
        <v>0</v>
      </c>
      <c r="D178" s="12">
        <f t="shared" si="3"/>
        <v>0</v>
      </c>
      <c r="F178" s="10">
        <f t="shared" si="4"/>
        <v>0</v>
      </c>
    </row>
    <row r="179" spans="1:6" ht="14.25" customHeight="1" x14ac:dyDescent="0.3">
      <c r="A179" s="44">
        <v>167</v>
      </c>
      <c r="B179" s="12">
        <f t="shared" si="1"/>
        <v>0</v>
      </c>
      <c r="C179" s="12">
        <f t="shared" si="2"/>
        <v>0</v>
      </c>
      <c r="D179" s="12">
        <f t="shared" si="3"/>
        <v>0</v>
      </c>
      <c r="F179" s="10">
        <f t="shared" si="4"/>
        <v>0</v>
      </c>
    </row>
    <row r="180" spans="1:6" ht="14.25" customHeight="1" x14ac:dyDescent="0.3">
      <c r="A180" s="44">
        <v>168</v>
      </c>
      <c r="B180" s="12">
        <f t="shared" si="1"/>
        <v>0</v>
      </c>
      <c r="C180" s="12">
        <f t="shared" si="2"/>
        <v>0</v>
      </c>
      <c r="D180" s="12">
        <f t="shared" si="3"/>
        <v>0</v>
      </c>
      <c r="F180" s="10">
        <f t="shared" si="4"/>
        <v>0</v>
      </c>
    </row>
    <row r="181" spans="1:6" ht="14.25" customHeight="1" x14ac:dyDescent="0.3">
      <c r="A181" s="44">
        <v>169</v>
      </c>
      <c r="B181" s="12">
        <f t="shared" si="1"/>
        <v>0</v>
      </c>
      <c r="C181" s="12">
        <f t="shared" si="2"/>
        <v>0</v>
      </c>
      <c r="D181" s="12">
        <f t="shared" si="3"/>
        <v>0</v>
      </c>
      <c r="F181" s="10">
        <f t="shared" si="4"/>
        <v>0</v>
      </c>
    </row>
    <row r="182" spans="1:6" ht="14.25" customHeight="1" x14ac:dyDescent="0.3">
      <c r="A182" s="44">
        <v>170</v>
      </c>
      <c r="B182" s="12">
        <f t="shared" si="1"/>
        <v>0</v>
      </c>
      <c r="C182" s="12">
        <f t="shared" si="2"/>
        <v>0</v>
      </c>
      <c r="D182" s="12">
        <f t="shared" si="3"/>
        <v>0</v>
      </c>
      <c r="F182" s="10">
        <f t="shared" si="4"/>
        <v>0</v>
      </c>
    </row>
    <row r="183" spans="1:6" ht="14.25" customHeight="1" x14ac:dyDescent="0.3">
      <c r="A183" s="44">
        <v>171</v>
      </c>
      <c r="B183" s="12">
        <f t="shared" si="1"/>
        <v>0</v>
      </c>
      <c r="C183" s="12">
        <f t="shared" si="2"/>
        <v>0</v>
      </c>
      <c r="D183" s="12">
        <f t="shared" si="3"/>
        <v>0</v>
      </c>
      <c r="F183" s="10">
        <f t="shared" si="4"/>
        <v>0</v>
      </c>
    </row>
    <row r="184" spans="1:6" ht="14.25" customHeight="1" x14ac:dyDescent="0.3">
      <c r="A184" s="44">
        <v>172</v>
      </c>
      <c r="B184" s="12">
        <f t="shared" si="1"/>
        <v>0</v>
      </c>
      <c r="C184" s="12">
        <f t="shared" si="2"/>
        <v>0</v>
      </c>
      <c r="D184" s="12">
        <f t="shared" si="3"/>
        <v>0</v>
      </c>
      <c r="F184" s="10">
        <f t="shared" si="4"/>
        <v>0</v>
      </c>
    </row>
    <row r="185" spans="1:6" ht="14.25" customHeight="1" x14ac:dyDescent="0.3">
      <c r="A185" s="44">
        <v>173</v>
      </c>
      <c r="B185" s="12">
        <f t="shared" si="1"/>
        <v>0</v>
      </c>
      <c r="C185" s="12">
        <f t="shared" si="2"/>
        <v>0</v>
      </c>
      <c r="D185" s="12">
        <f t="shared" si="3"/>
        <v>0</v>
      </c>
      <c r="F185" s="10">
        <f t="shared" si="4"/>
        <v>0</v>
      </c>
    </row>
    <row r="186" spans="1:6" ht="14.25" customHeight="1" x14ac:dyDescent="0.3">
      <c r="A186" s="44">
        <v>174</v>
      </c>
      <c r="B186" s="12">
        <f t="shared" si="1"/>
        <v>0</v>
      </c>
      <c r="C186" s="12">
        <f t="shared" si="2"/>
        <v>0</v>
      </c>
      <c r="D186" s="12">
        <f t="shared" si="3"/>
        <v>0</v>
      </c>
      <c r="F186" s="10">
        <f t="shared" si="4"/>
        <v>0</v>
      </c>
    </row>
    <row r="187" spans="1:6" ht="14.25" customHeight="1" x14ac:dyDescent="0.3">
      <c r="A187" s="44">
        <v>175</v>
      </c>
      <c r="B187" s="12">
        <f t="shared" si="1"/>
        <v>0</v>
      </c>
      <c r="C187" s="12">
        <f t="shared" si="2"/>
        <v>0</v>
      </c>
      <c r="D187" s="12">
        <f t="shared" si="3"/>
        <v>0</v>
      </c>
      <c r="F187" s="10">
        <f t="shared" si="4"/>
        <v>0</v>
      </c>
    </row>
    <row r="188" spans="1:6" ht="14.25" customHeight="1" x14ac:dyDescent="0.3">
      <c r="A188" s="44">
        <v>176</v>
      </c>
      <c r="B188" s="12">
        <f t="shared" si="1"/>
        <v>0</v>
      </c>
      <c r="C188" s="12">
        <f t="shared" si="2"/>
        <v>0</v>
      </c>
      <c r="D188" s="12">
        <f t="shared" si="3"/>
        <v>0</v>
      </c>
      <c r="F188" s="10">
        <f t="shared" si="4"/>
        <v>0</v>
      </c>
    </row>
    <row r="189" spans="1:6" ht="14.25" customHeight="1" x14ac:dyDescent="0.3">
      <c r="A189" s="44">
        <v>177</v>
      </c>
      <c r="B189" s="12">
        <f t="shared" si="1"/>
        <v>0</v>
      </c>
      <c r="C189" s="12">
        <f t="shared" si="2"/>
        <v>0</v>
      </c>
      <c r="D189" s="12">
        <f t="shared" si="3"/>
        <v>0</v>
      </c>
      <c r="F189" s="10">
        <f t="shared" si="4"/>
        <v>0</v>
      </c>
    </row>
    <row r="190" spans="1:6" ht="14.25" customHeight="1" x14ac:dyDescent="0.3">
      <c r="A190" s="44">
        <v>178</v>
      </c>
      <c r="B190" s="12">
        <f t="shared" si="1"/>
        <v>0</v>
      </c>
      <c r="C190" s="12">
        <f t="shared" si="2"/>
        <v>0</v>
      </c>
      <c r="D190" s="12">
        <f t="shared" si="3"/>
        <v>0</v>
      </c>
      <c r="F190" s="10">
        <f t="shared" si="4"/>
        <v>0</v>
      </c>
    </row>
    <row r="191" spans="1:6" ht="14.25" customHeight="1" x14ac:dyDescent="0.3">
      <c r="A191" s="44">
        <v>179</v>
      </c>
      <c r="B191" s="12">
        <f t="shared" si="1"/>
        <v>0</v>
      </c>
      <c r="C191" s="12">
        <f t="shared" si="2"/>
        <v>0</v>
      </c>
      <c r="D191" s="12">
        <f t="shared" si="3"/>
        <v>0</v>
      </c>
      <c r="F191" s="10">
        <f t="shared" si="4"/>
        <v>0</v>
      </c>
    </row>
    <row r="192" spans="1:6" ht="14.25" customHeight="1" x14ac:dyDescent="0.3">
      <c r="A192" s="44">
        <v>180</v>
      </c>
      <c r="B192" s="12">
        <f t="shared" si="1"/>
        <v>0</v>
      </c>
      <c r="C192" s="12">
        <f t="shared" si="2"/>
        <v>0</v>
      </c>
      <c r="D192" s="12">
        <f t="shared" si="3"/>
        <v>0</v>
      </c>
      <c r="F192" s="10">
        <f t="shared" si="4"/>
        <v>0</v>
      </c>
    </row>
    <row r="193" spans="1:6" ht="14.25" customHeight="1" x14ac:dyDescent="0.3">
      <c r="A193" s="44">
        <v>181</v>
      </c>
      <c r="B193" s="12">
        <f t="shared" si="1"/>
        <v>0</v>
      </c>
      <c r="C193" s="12">
        <f t="shared" si="2"/>
        <v>0</v>
      </c>
      <c r="D193" s="12">
        <f t="shared" si="3"/>
        <v>0</v>
      </c>
      <c r="F193" s="10">
        <f t="shared" si="4"/>
        <v>0</v>
      </c>
    </row>
    <row r="194" spans="1:6" ht="14.25" customHeight="1" x14ac:dyDescent="0.3">
      <c r="A194" s="44">
        <v>182</v>
      </c>
      <c r="B194" s="12">
        <f t="shared" si="1"/>
        <v>0</v>
      </c>
      <c r="C194" s="12">
        <f t="shared" si="2"/>
        <v>0</v>
      </c>
      <c r="D194" s="12">
        <f t="shared" si="3"/>
        <v>0</v>
      </c>
      <c r="F194" s="10">
        <f t="shared" si="4"/>
        <v>0</v>
      </c>
    </row>
    <row r="195" spans="1:6" ht="14.25" customHeight="1" x14ac:dyDescent="0.3">
      <c r="A195" s="44">
        <v>183</v>
      </c>
      <c r="B195" s="12">
        <f t="shared" si="1"/>
        <v>0</v>
      </c>
      <c r="C195" s="12">
        <f t="shared" si="2"/>
        <v>0</v>
      </c>
      <c r="D195" s="12">
        <f t="shared" si="3"/>
        <v>0</v>
      </c>
      <c r="F195" s="10">
        <f t="shared" si="4"/>
        <v>0</v>
      </c>
    </row>
    <row r="196" spans="1:6" ht="14.25" customHeight="1" x14ac:dyDescent="0.3">
      <c r="A196" s="44">
        <v>184</v>
      </c>
      <c r="B196" s="12">
        <f t="shared" si="1"/>
        <v>0</v>
      </c>
      <c r="C196" s="12">
        <f t="shared" si="2"/>
        <v>0</v>
      </c>
      <c r="D196" s="12">
        <f t="shared" si="3"/>
        <v>0</v>
      </c>
      <c r="F196" s="10">
        <f t="shared" si="4"/>
        <v>0</v>
      </c>
    </row>
    <row r="197" spans="1:6" ht="14.25" customHeight="1" x14ac:dyDescent="0.3">
      <c r="A197" s="44">
        <v>185</v>
      </c>
      <c r="B197" s="12">
        <f t="shared" si="1"/>
        <v>0</v>
      </c>
      <c r="C197" s="12">
        <f t="shared" si="2"/>
        <v>0</v>
      </c>
      <c r="D197" s="12">
        <f t="shared" si="3"/>
        <v>0</v>
      </c>
      <c r="F197" s="10">
        <f t="shared" si="4"/>
        <v>0</v>
      </c>
    </row>
    <row r="198" spans="1:6" ht="14.25" customHeight="1" x14ac:dyDescent="0.3">
      <c r="A198" s="44">
        <v>186</v>
      </c>
      <c r="B198" s="12">
        <f t="shared" si="1"/>
        <v>0</v>
      </c>
      <c r="C198" s="12">
        <f t="shared" si="2"/>
        <v>0</v>
      </c>
      <c r="D198" s="12">
        <f t="shared" si="3"/>
        <v>0</v>
      </c>
      <c r="F198" s="10">
        <f t="shared" si="4"/>
        <v>0</v>
      </c>
    </row>
    <row r="199" spans="1:6" ht="14.25" customHeight="1" x14ac:dyDescent="0.3">
      <c r="A199" s="44">
        <v>187</v>
      </c>
      <c r="B199" s="12">
        <f t="shared" si="1"/>
        <v>0</v>
      </c>
      <c r="C199" s="12">
        <f t="shared" si="2"/>
        <v>0</v>
      </c>
      <c r="D199" s="12">
        <f t="shared" si="3"/>
        <v>0</v>
      </c>
      <c r="F199" s="10">
        <f t="shared" si="4"/>
        <v>0</v>
      </c>
    </row>
    <row r="200" spans="1:6" ht="14.25" customHeight="1" x14ac:dyDescent="0.3">
      <c r="A200" s="44">
        <v>188</v>
      </c>
      <c r="B200" s="12">
        <f t="shared" si="1"/>
        <v>0</v>
      </c>
      <c r="C200" s="12">
        <f t="shared" si="2"/>
        <v>0</v>
      </c>
      <c r="D200" s="12">
        <f t="shared" si="3"/>
        <v>0</v>
      </c>
      <c r="F200" s="10">
        <f t="shared" si="4"/>
        <v>0</v>
      </c>
    </row>
    <row r="201" spans="1:6" ht="14.25" customHeight="1" x14ac:dyDescent="0.3">
      <c r="A201" s="44">
        <v>189</v>
      </c>
      <c r="B201" s="12">
        <f t="shared" si="1"/>
        <v>0</v>
      </c>
      <c r="C201" s="12">
        <f t="shared" si="2"/>
        <v>0</v>
      </c>
      <c r="D201" s="12">
        <f t="shared" si="3"/>
        <v>0</v>
      </c>
      <c r="F201" s="10">
        <f t="shared" si="4"/>
        <v>0</v>
      </c>
    </row>
    <row r="202" spans="1:6" ht="14.25" customHeight="1" x14ac:dyDescent="0.3">
      <c r="A202" s="44">
        <v>190</v>
      </c>
      <c r="B202" s="12">
        <f t="shared" si="1"/>
        <v>0</v>
      </c>
      <c r="C202" s="12">
        <f t="shared" si="2"/>
        <v>0</v>
      </c>
      <c r="D202" s="12">
        <f t="shared" si="3"/>
        <v>0</v>
      </c>
      <c r="F202" s="10">
        <f t="shared" si="4"/>
        <v>0</v>
      </c>
    </row>
    <row r="203" spans="1:6" ht="14.25" customHeight="1" x14ac:dyDescent="0.3">
      <c r="A203" s="44">
        <v>191</v>
      </c>
      <c r="B203" s="12">
        <f t="shared" si="1"/>
        <v>0</v>
      </c>
      <c r="C203" s="12">
        <f t="shared" si="2"/>
        <v>0</v>
      </c>
      <c r="D203" s="12">
        <f t="shared" si="3"/>
        <v>0</v>
      </c>
      <c r="F203" s="10">
        <f t="shared" si="4"/>
        <v>0</v>
      </c>
    </row>
    <row r="204" spans="1:6" ht="14.25" customHeight="1" x14ac:dyDescent="0.3">
      <c r="A204" s="44">
        <v>192</v>
      </c>
      <c r="B204" s="12">
        <f t="shared" si="1"/>
        <v>0</v>
      </c>
      <c r="C204" s="12">
        <f t="shared" si="2"/>
        <v>0</v>
      </c>
      <c r="D204" s="12">
        <f t="shared" si="3"/>
        <v>0</v>
      </c>
      <c r="F204" s="10">
        <f t="shared" si="4"/>
        <v>0</v>
      </c>
    </row>
    <row r="205" spans="1:6" ht="14.25" customHeight="1" x14ac:dyDescent="0.3">
      <c r="A205" s="44">
        <v>193</v>
      </c>
      <c r="B205" s="12">
        <f t="shared" si="1"/>
        <v>0</v>
      </c>
      <c r="C205" s="12">
        <f t="shared" si="2"/>
        <v>0</v>
      </c>
      <c r="D205" s="12">
        <f t="shared" si="3"/>
        <v>0</v>
      </c>
      <c r="F205" s="10">
        <f t="shared" si="4"/>
        <v>0</v>
      </c>
    </row>
    <row r="206" spans="1:6" ht="14.25" customHeight="1" x14ac:dyDescent="0.3">
      <c r="A206" s="44">
        <v>194</v>
      </c>
      <c r="B206" s="12">
        <f t="shared" si="1"/>
        <v>0</v>
      </c>
      <c r="C206" s="12">
        <f t="shared" si="2"/>
        <v>0</v>
      </c>
      <c r="D206" s="12">
        <f t="shared" si="3"/>
        <v>0</v>
      </c>
      <c r="F206" s="10">
        <f t="shared" si="4"/>
        <v>0</v>
      </c>
    </row>
    <row r="207" spans="1:6" ht="14.25" customHeight="1" x14ac:dyDescent="0.3">
      <c r="A207" s="44">
        <v>195</v>
      </c>
      <c r="B207" s="12">
        <f t="shared" si="1"/>
        <v>0</v>
      </c>
      <c r="C207" s="12">
        <f t="shared" si="2"/>
        <v>0</v>
      </c>
      <c r="D207" s="12">
        <f t="shared" si="3"/>
        <v>0</v>
      </c>
      <c r="F207" s="10">
        <f t="shared" si="4"/>
        <v>0</v>
      </c>
    </row>
    <row r="208" spans="1:6" ht="14.25" customHeight="1" x14ac:dyDescent="0.3">
      <c r="A208" s="44">
        <v>196</v>
      </c>
      <c r="B208" s="12">
        <f t="shared" si="1"/>
        <v>0</v>
      </c>
      <c r="C208" s="12">
        <f t="shared" si="2"/>
        <v>0</v>
      </c>
      <c r="D208" s="12">
        <f t="shared" si="3"/>
        <v>0</v>
      </c>
      <c r="F208" s="10">
        <f t="shared" si="4"/>
        <v>0</v>
      </c>
    </row>
    <row r="209" spans="1:6" ht="14.25" customHeight="1" x14ac:dyDescent="0.3">
      <c r="A209" s="44">
        <v>197</v>
      </c>
      <c r="B209" s="12">
        <f t="shared" si="1"/>
        <v>0</v>
      </c>
      <c r="C209" s="12">
        <f t="shared" si="2"/>
        <v>0</v>
      </c>
      <c r="D209" s="12">
        <f t="shared" si="3"/>
        <v>0</v>
      </c>
      <c r="F209" s="10">
        <f t="shared" si="4"/>
        <v>0</v>
      </c>
    </row>
    <row r="210" spans="1:6" ht="14.25" customHeight="1" x14ac:dyDescent="0.3">
      <c r="A210" s="44">
        <v>198</v>
      </c>
      <c r="B210" s="12">
        <f t="shared" si="1"/>
        <v>0</v>
      </c>
      <c r="C210" s="12">
        <f t="shared" si="2"/>
        <v>0</v>
      </c>
      <c r="D210" s="12">
        <f t="shared" si="3"/>
        <v>0</v>
      </c>
      <c r="F210" s="10">
        <f t="shared" si="4"/>
        <v>0</v>
      </c>
    </row>
    <row r="211" spans="1:6" ht="14.25" customHeight="1" x14ac:dyDescent="0.3">
      <c r="A211" s="44">
        <v>199</v>
      </c>
      <c r="B211" s="12">
        <f t="shared" si="1"/>
        <v>0</v>
      </c>
      <c r="C211" s="12">
        <f t="shared" si="2"/>
        <v>0</v>
      </c>
      <c r="D211" s="12">
        <f t="shared" si="3"/>
        <v>0</v>
      </c>
      <c r="F211" s="10">
        <f t="shared" si="4"/>
        <v>0</v>
      </c>
    </row>
    <row r="212" spans="1:6" ht="14.25" customHeight="1" x14ac:dyDescent="0.3">
      <c r="A212" s="44">
        <v>200</v>
      </c>
      <c r="B212" s="12">
        <f t="shared" si="1"/>
        <v>0</v>
      </c>
      <c r="C212" s="12">
        <f t="shared" si="2"/>
        <v>0</v>
      </c>
      <c r="D212" s="12">
        <f t="shared" si="3"/>
        <v>0</v>
      </c>
      <c r="F212" s="10">
        <f t="shared" si="4"/>
        <v>0</v>
      </c>
    </row>
    <row r="213" spans="1:6" ht="14.25" customHeight="1" x14ac:dyDescent="0.3">
      <c r="A213" s="44">
        <v>201</v>
      </c>
      <c r="B213" s="12">
        <f t="shared" si="1"/>
        <v>0</v>
      </c>
      <c r="C213" s="12">
        <f t="shared" si="2"/>
        <v>0</v>
      </c>
      <c r="D213" s="12">
        <f t="shared" si="3"/>
        <v>0</v>
      </c>
      <c r="F213" s="10">
        <f t="shared" si="4"/>
        <v>0</v>
      </c>
    </row>
    <row r="214" spans="1:6" ht="14.25" customHeight="1" x14ac:dyDescent="0.3">
      <c r="A214" s="44">
        <v>202</v>
      </c>
      <c r="B214" s="12">
        <f t="shared" si="1"/>
        <v>0</v>
      </c>
      <c r="C214" s="12">
        <f t="shared" si="2"/>
        <v>0</v>
      </c>
      <c r="D214" s="12">
        <f t="shared" si="3"/>
        <v>0</v>
      </c>
      <c r="F214" s="10">
        <f t="shared" si="4"/>
        <v>0</v>
      </c>
    </row>
    <row r="215" spans="1:6" ht="14.25" customHeight="1" x14ac:dyDescent="0.3">
      <c r="A215" s="44">
        <v>203</v>
      </c>
      <c r="B215" s="12">
        <f t="shared" si="1"/>
        <v>0</v>
      </c>
      <c r="C215" s="12">
        <f t="shared" si="2"/>
        <v>0</v>
      </c>
      <c r="D215" s="12">
        <f t="shared" si="3"/>
        <v>0</v>
      </c>
      <c r="F215" s="10">
        <f t="shared" si="4"/>
        <v>0</v>
      </c>
    </row>
    <row r="216" spans="1:6" ht="14.25" customHeight="1" x14ac:dyDescent="0.3">
      <c r="A216" s="44">
        <v>204</v>
      </c>
      <c r="B216" s="12">
        <f t="shared" si="1"/>
        <v>0</v>
      </c>
      <c r="C216" s="12">
        <f t="shared" si="2"/>
        <v>0</v>
      </c>
      <c r="D216" s="12">
        <f t="shared" si="3"/>
        <v>0</v>
      </c>
      <c r="F216" s="10">
        <f t="shared" si="4"/>
        <v>0</v>
      </c>
    </row>
    <row r="217" spans="1:6" ht="14.25" customHeight="1" x14ac:dyDescent="0.3">
      <c r="A217" s="44">
        <v>205</v>
      </c>
      <c r="B217" s="12">
        <f t="shared" si="1"/>
        <v>0</v>
      </c>
      <c r="C217" s="12">
        <f t="shared" si="2"/>
        <v>0</v>
      </c>
      <c r="D217" s="12">
        <f t="shared" si="3"/>
        <v>0</v>
      </c>
      <c r="F217" s="10">
        <f t="shared" si="4"/>
        <v>0</v>
      </c>
    </row>
    <row r="218" spans="1:6" ht="14.25" customHeight="1" x14ac:dyDescent="0.3">
      <c r="A218" s="44">
        <v>206</v>
      </c>
      <c r="B218" s="12">
        <f t="shared" si="1"/>
        <v>0</v>
      </c>
      <c r="C218" s="12">
        <f t="shared" si="2"/>
        <v>0</v>
      </c>
      <c r="D218" s="12">
        <f t="shared" si="3"/>
        <v>0</v>
      </c>
      <c r="F218" s="10">
        <f t="shared" si="4"/>
        <v>0</v>
      </c>
    </row>
    <row r="219" spans="1:6" ht="14.25" customHeight="1" x14ac:dyDescent="0.3">
      <c r="A219" s="44">
        <v>207</v>
      </c>
      <c r="B219" s="12">
        <f t="shared" si="1"/>
        <v>0</v>
      </c>
      <c r="C219" s="12">
        <f t="shared" si="2"/>
        <v>0</v>
      </c>
      <c r="D219" s="12">
        <f t="shared" si="3"/>
        <v>0</v>
      </c>
      <c r="F219" s="10">
        <f t="shared" si="4"/>
        <v>0</v>
      </c>
    </row>
    <row r="220" spans="1:6" ht="14.25" customHeight="1" x14ac:dyDescent="0.3">
      <c r="A220" s="44">
        <v>208</v>
      </c>
      <c r="B220" s="12">
        <f t="shared" si="1"/>
        <v>0</v>
      </c>
      <c r="C220" s="12">
        <f t="shared" si="2"/>
        <v>0</v>
      </c>
      <c r="D220" s="12">
        <f t="shared" si="3"/>
        <v>0</v>
      </c>
      <c r="F220" s="10">
        <f t="shared" si="4"/>
        <v>0</v>
      </c>
    </row>
    <row r="221" spans="1:6" ht="14.25" customHeight="1" x14ac:dyDescent="0.3">
      <c r="A221" s="44">
        <v>209</v>
      </c>
      <c r="B221" s="12">
        <f t="shared" si="1"/>
        <v>0</v>
      </c>
      <c r="C221" s="12">
        <f t="shared" si="2"/>
        <v>0</v>
      </c>
      <c r="D221" s="12">
        <f t="shared" si="3"/>
        <v>0</v>
      </c>
      <c r="F221" s="10">
        <f t="shared" si="4"/>
        <v>0</v>
      </c>
    </row>
    <row r="222" spans="1:6" ht="14.25" customHeight="1" x14ac:dyDescent="0.3">
      <c r="A222" s="44">
        <v>210</v>
      </c>
      <c r="B222" s="12">
        <f t="shared" si="1"/>
        <v>0</v>
      </c>
      <c r="C222" s="12">
        <f t="shared" si="2"/>
        <v>0</v>
      </c>
      <c r="D222" s="12">
        <f t="shared" si="3"/>
        <v>0</v>
      </c>
      <c r="F222" s="10">
        <f t="shared" si="4"/>
        <v>0</v>
      </c>
    </row>
    <row r="223" spans="1:6" ht="14.25" customHeight="1" x14ac:dyDescent="0.3">
      <c r="A223" s="44">
        <v>211</v>
      </c>
      <c r="B223" s="12">
        <f t="shared" si="1"/>
        <v>0</v>
      </c>
      <c r="C223" s="12">
        <f t="shared" si="2"/>
        <v>0</v>
      </c>
      <c r="D223" s="12">
        <f t="shared" si="3"/>
        <v>0</v>
      </c>
      <c r="F223" s="10">
        <f t="shared" si="4"/>
        <v>0</v>
      </c>
    </row>
    <row r="224" spans="1:6" ht="14.25" customHeight="1" x14ac:dyDescent="0.3">
      <c r="A224" s="44">
        <v>212</v>
      </c>
      <c r="B224" s="12">
        <f t="shared" si="1"/>
        <v>0</v>
      </c>
      <c r="C224" s="12">
        <f t="shared" si="2"/>
        <v>0</v>
      </c>
      <c r="D224" s="12">
        <f t="shared" si="3"/>
        <v>0</v>
      </c>
      <c r="F224" s="10">
        <f t="shared" si="4"/>
        <v>0</v>
      </c>
    </row>
    <row r="225" spans="1:6" ht="14.25" customHeight="1" x14ac:dyDescent="0.3">
      <c r="A225" s="44">
        <v>213</v>
      </c>
      <c r="B225" s="12">
        <f t="shared" si="1"/>
        <v>0</v>
      </c>
      <c r="C225" s="12">
        <f t="shared" si="2"/>
        <v>0</v>
      </c>
      <c r="D225" s="12">
        <f t="shared" si="3"/>
        <v>0</v>
      </c>
      <c r="F225" s="10">
        <f t="shared" si="4"/>
        <v>0</v>
      </c>
    </row>
    <row r="226" spans="1:6" ht="14.25" customHeight="1" x14ac:dyDescent="0.3">
      <c r="A226" s="44">
        <v>214</v>
      </c>
      <c r="B226" s="12">
        <f t="shared" si="1"/>
        <v>0</v>
      </c>
      <c r="C226" s="12">
        <f t="shared" si="2"/>
        <v>0</v>
      </c>
      <c r="D226" s="12">
        <f t="shared" si="3"/>
        <v>0</v>
      </c>
      <c r="F226" s="10">
        <f t="shared" si="4"/>
        <v>0</v>
      </c>
    </row>
    <row r="227" spans="1:6" ht="14.25" customHeight="1" x14ac:dyDescent="0.3">
      <c r="A227" s="44">
        <v>215</v>
      </c>
      <c r="B227" s="12">
        <f t="shared" si="1"/>
        <v>0</v>
      </c>
      <c r="C227" s="12">
        <f t="shared" si="2"/>
        <v>0</v>
      </c>
      <c r="D227" s="12">
        <f t="shared" si="3"/>
        <v>0</v>
      </c>
      <c r="F227" s="10">
        <f t="shared" si="4"/>
        <v>0</v>
      </c>
    </row>
    <row r="228" spans="1:6" ht="14.25" customHeight="1" x14ac:dyDescent="0.3">
      <c r="A228" s="44">
        <v>216</v>
      </c>
      <c r="B228" s="12">
        <f t="shared" si="1"/>
        <v>0</v>
      </c>
      <c r="C228" s="12">
        <f t="shared" si="2"/>
        <v>0</v>
      </c>
      <c r="D228" s="12">
        <f t="shared" si="3"/>
        <v>0</v>
      </c>
      <c r="F228" s="10">
        <f t="shared" si="4"/>
        <v>0</v>
      </c>
    </row>
    <row r="229" spans="1:6" ht="14.25" customHeight="1" x14ac:dyDescent="0.3">
      <c r="A229" s="44">
        <v>217</v>
      </c>
      <c r="B229" s="12">
        <f t="shared" si="1"/>
        <v>0</v>
      </c>
      <c r="C229" s="12">
        <f t="shared" si="2"/>
        <v>0</v>
      </c>
      <c r="D229" s="12">
        <f t="shared" si="3"/>
        <v>0</v>
      </c>
      <c r="F229" s="10">
        <f t="shared" si="4"/>
        <v>0</v>
      </c>
    </row>
    <row r="230" spans="1:6" ht="14.25" customHeight="1" x14ac:dyDescent="0.3">
      <c r="A230" s="44">
        <v>218</v>
      </c>
      <c r="B230" s="12">
        <f t="shared" si="1"/>
        <v>0</v>
      </c>
      <c r="C230" s="12">
        <f t="shared" si="2"/>
        <v>0</v>
      </c>
      <c r="D230" s="12">
        <f t="shared" si="3"/>
        <v>0</v>
      </c>
      <c r="F230" s="10">
        <f t="shared" si="4"/>
        <v>0</v>
      </c>
    </row>
    <row r="231" spans="1:6" ht="14.25" customHeight="1" x14ac:dyDescent="0.3">
      <c r="A231" s="44">
        <v>219</v>
      </c>
      <c r="B231" s="12">
        <f t="shared" si="1"/>
        <v>0</v>
      </c>
      <c r="C231" s="12">
        <f t="shared" si="2"/>
        <v>0</v>
      </c>
      <c r="D231" s="12">
        <f t="shared" si="3"/>
        <v>0</v>
      </c>
      <c r="F231" s="10">
        <f t="shared" si="4"/>
        <v>0</v>
      </c>
    </row>
    <row r="232" spans="1:6" ht="14.25" customHeight="1" x14ac:dyDescent="0.3">
      <c r="A232" s="44">
        <v>220</v>
      </c>
      <c r="B232" s="12">
        <f t="shared" si="1"/>
        <v>0</v>
      </c>
      <c r="C232" s="12">
        <f t="shared" si="2"/>
        <v>0</v>
      </c>
      <c r="D232" s="12">
        <f t="shared" si="3"/>
        <v>0</v>
      </c>
      <c r="F232" s="10">
        <f t="shared" si="4"/>
        <v>0</v>
      </c>
    </row>
    <row r="233" spans="1:6" ht="14.25" customHeight="1" x14ac:dyDescent="0.3">
      <c r="A233" s="44">
        <v>221</v>
      </c>
      <c r="B233" s="12">
        <f t="shared" si="1"/>
        <v>0</v>
      </c>
      <c r="C233" s="12">
        <f t="shared" si="2"/>
        <v>0</v>
      </c>
      <c r="D233" s="12">
        <f t="shared" si="3"/>
        <v>0</v>
      </c>
      <c r="F233" s="10">
        <f t="shared" si="4"/>
        <v>0</v>
      </c>
    </row>
    <row r="234" spans="1:6" ht="14.25" customHeight="1" x14ac:dyDescent="0.3">
      <c r="A234" s="44">
        <v>222</v>
      </c>
      <c r="B234" s="12">
        <f t="shared" si="1"/>
        <v>0</v>
      </c>
      <c r="C234" s="12">
        <f t="shared" si="2"/>
        <v>0</v>
      </c>
      <c r="D234" s="12">
        <f t="shared" si="3"/>
        <v>0</v>
      </c>
      <c r="F234" s="10">
        <f t="shared" si="4"/>
        <v>0</v>
      </c>
    </row>
    <row r="235" spans="1:6" ht="14.25" customHeight="1" x14ac:dyDescent="0.3">
      <c r="A235" s="44">
        <v>223</v>
      </c>
      <c r="B235" s="12">
        <f t="shared" si="1"/>
        <v>0</v>
      </c>
      <c r="C235" s="12">
        <f t="shared" si="2"/>
        <v>0</v>
      </c>
      <c r="D235" s="12">
        <f t="shared" si="3"/>
        <v>0</v>
      </c>
      <c r="F235" s="10">
        <f t="shared" si="4"/>
        <v>0</v>
      </c>
    </row>
    <row r="236" spans="1:6" ht="14.25" customHeight="1" x14ac:dyDescent="0.3">
      <c r="A236" s="44">
        <v>224</v>
      </c>
      <c r="B236" s="12">
        <f t="shared" si="1"/>
        <v>0</v>
      </c>
      <c r="C236" s="12">
        <f t="shared" si="2"/>
        <v>0</v>
      </c>
      <c r="D236" s="12">
        <f t="shared" si="3"/>
        <v>0</v>
      </c>
      <c r="F236" s="10">
        <f t="shared" si="4"/>
        <v>0</v>
      </c>
    </row>
    <row r="237" spans="1:6" ht="14.25" customHeight="1" x14ac:dyDescent="0.3">
      <c r="A237" s="44">
        <v>225</v>
      </c>
      <c r="B237" s="12">
        <f t="shared" si="1"/>
        <v>0</v>
      </c>
      <c r="C237" s="12">
        <f t="shared" si="2"/>
        <v>0</v>
      </c>
      <c r="D237" s="12">
        <f t="shared" si="3"/>
        <v>0</v>
      </c>
      <c r="F237" s="10">
        <f t="shared" si="4"/>
        <v>0</v>
      </c>
    </row>
    <row r="238" spans="1:6" ht="14.25" customHeight="1" x14ac:dyDescent="0.3">
      <c r="A238" s="44">
        <v>226</v>
      </c>
      <c r="B238" s="12">
        <f t="shared" si="1"/>
        <v>0</v>
      </c>
      <c r="C238" s="12">
        <f t="shared" si="2"/>
        <v>0</v>
      </c>
      <c r="D238" s="12">
        <f t="shared" si="3"/>
        <v>0</v>
      </c>
      <c r="F238" s="10">
        <f t="shared" si="4"/>
        <v>0</v>
      </c>
    </row>
    <row r="239" spans="1:6" ht="14.25" customHeight="1" x14ac:dyDescent="0.3">
      <c r="A239" s="44">
        <v>227</v>
      </c>
      <c r="B239" s="12">
        <f t="shared" si="1"/>
        <v>0</v>
      </c>
      <c r="C239" s="12">
        <f t="shared" si="2"/>
        <v>0</v>
      </c>
      <c r="D239" s="12">
        <f t="shared" si="3"/>
        <v>0</v>
      </c>
      <c r="F239" s="10">
        <f t="shared" si="4"/>
        <v>0</v>
      </c>
    </row>
    <row r="240" spans="1:6" ht="14.25" customHeight="1" x14ac:dyDescent="0.3">
      <c r="A240" s="44">
        <v>228</v>
      </c>
      <c r="B240" s="12">
        <f t="shared" si="1"/>
        <v>0</v>
      </c>
      <c r="C240" s="12">
        <f t="shared" si="2"/>
        <v>0</v>
      </c>
      <c r="D240" s="12">
        <f t="shared" si="3"/>
        <v>0</v>
      </c>
      <c r="F240" s="10">
        <f t="shared" si="4"/>
        <v>0</v>
      </c>
    </row>
    <row r="241" spans="1:6" ht="14.25" customHeight="1" x14ac:dyDescent="0.3">
      <c r="A241" s="44">
        <v>229</v>
      </c>
      <c r="B241" s="12">
        <f t="shared" si="1"/>
        <v>0</v>
      </c>
      <c r="C241" s="12">
        <f t="shared" si="2"/>
        <v>0</v>
      </c>
      <c r="D241" s="12">
        <f t="shared" si="3"/>
        <v>0</v>
      </c>
      <c r="F241" s="10">
        <f t="shared" si="4"/>
        <v>0</v>
      </c>
    </row>
    <row r="242" spans="1:6" ht="14.25" customHeight="1" x14ac:dyDescent="0.3">
      <c r="A242" s="44">
        <v>230</v>
      </c>
      <c r="B242" s="12">
        <f t="shared" si="1"/>
        <v>0</v>
      </c>
      <c r="C242" s="12">
        <f t="shared" si="2"/>
        <v>0</v>
      </c>
      <c r="D242" s="12">
        <f t="shared" si="3"/>
        <v>0</v>
      </c>
      <c r="F242" s="10">
        <f t="shared" si="4"/>
        <v>0</v>
      </c>
    </row>
    <row r="243" spans="1:6" ht="14.25" customHeight="1" x14ac:dyDescent="0.3">
      <c r="A243" s="44">
        <v>231</v>
      </c>
      <c r="B243" s="12">
        <f t="shared" si="1"/>
        <v>0</v>
      </c>
      <c r="C243" s="12">
        <f t="shared" si="2"/>
        <v>0</v>
      </c>
      <c r="D243" s="12">
        <f t="shared" si="3"/>
        <v>0</v>
      </c>
      <c r="F243" s="10">
        <f t="shared" si="4"/>
        <v>0</v>
      </c>
    </row>
    <row r="244" spans="1:6" ht="14.25" customHeight="1" x14ac:dyDescent="0.3">
      <c r="A244" s="44">
        <v>232</v>
      </c>
      <c r="B244" s="12">
        <f t="shared" si="1"/>
        <v>0</v>
      </c>
      <c r="C244" s="12">
        <f t="shared" si="2"/>
        <v>0</v>
      </c>
      <c r="D244" s="12">
        <f t="shared" si="3"/>
        <v>0</v>
      </c>
      <c r="F244" s="10">
        <f t="shared" si="4"/>
        <v>0</v>
      </c>
    </row>
    <row r="245" spans="1:6" ht="14.25" customHeight="1" x14ac:dyDescent="0.3">
      <c r="A245" s="44">
        <v>233</v>
      </c>
      <c r="B245" s="12">
        <f t="shared" si="1"/>
        <v>0</v>
      </c>
      <c r="C245" s="12">
        <f t="shared" si="2"/>
        <v>0</v>
      </c>
      <c r="D245" s="12">
        <f t="shared" si="3"/>
        <v>0</v>
      </c>
      <c r="F245" s="10">
        <f t="shared" si="4"/>
        <v>0</v>
      </c>
    </row>
    <row r="246" spans="1:6" ht="14.25" customHeight="1" x14ac:dyDescent="0.3">
      <c r="A246" s="44">
        <v>234</v>
      </c>
      <c r="B246" s="12">
        <f t="shared" si="1"/>
        <v>0</v>
      </c>
      <c r="C246" s="12">
        <f t="shared" si="2"/>
        <v>0</v>
      </c>
      <c r="D246" s="12">
        <f t="shared" si="3"/>
        <v>0</v>
      </c>
      <c r="F246" s="10">
        <f t="shared" si="4"/>
        <v>0</v>
      </c>
    </row>
    <row r="247" spans="1:6" ht="14.25" customHeight="1" x14ac:dyDescent="0.3">
      <c r="A247" s="44">
        <v>235</v>
      </c>
      <c r="B247" s="12">
        <f t="shared" si="1"/>
        <v>0</v>
      </c>
      <c r="C247" s="12">
        <f t="shared" si="2"/>
        <v>0</v>
      </c>
      <c r="D247" s="12">
        <f t="shared" si="3"/>
        <v>0</v>
      </c>
      <c r="F247" s="10">
        <f t="shared" si="4"/>
        <v>0</v>
      </c>
    </row>
    <row r="248" spans="1:6" ht="14.25" customHeight="1" x14ac:dyDescent="0.3">
      <c r="A248" s="44">
        <v>236</v>
      </c>
      <c r="B248" s="12">
        <f t="shared" si="1"/>
        <v>0</v>
      </c>
      <c r="C248" s="12">
        <f t="shared" si="2"/>
        <v>0</v>
      </c>
      <c r="D248" s="12">
        <f t="shared" si="3"/>
        <v>0</v>
      </c>
      <c r="F248" s="10">
        <f t="shared" si="4"/>
        <v>0</v>
      </c>
    </row>
    <row r="249" spans="1:6" ht="14.25" customHeight="1" x14ac:dyDescent="0.3">
      <c r="A249" s="44">
        <v>237</v>
      </c>
      <c r="B249" s="12">
        <f t="shared" si="1"/>
        <v>0</v>
      </c>
      <c r="C249" s="12">
        <f t="shared" si="2"/>
        <v>0</v>
      </c>
      <c r="D249" s="12">
        <f t="shared" si="3"/>
        <v>0</v>
      </c>
      <c r="F249" s="10">
        <f t="shared" si="4"/>
        <v>0</v>
      </c>
    </row>
    <row r="250" spans="1:6" ht="14.25" customHeight="1" x14ac:dyDescent="0.3">
      <c r="A250" s="44">
        <v>238</v>
      </c>
      <c r="B250" s="12">
        <f t="shared" si="1"/>
        <v>0</v>
      </c>
      <c r="C250" s="12">
        <f t="shared" si="2"/>
        <v>0</v>
      </c>
      <c r="D250" s="12">
        <f t="shared" si="3"/>
        <v>0</v>
      </c>
      <c r="F250" s="10">
        <f t="shared" si="4"/>
        <v>0</v>
      </c>
    </row>
    <row r="251" spans="1:6" ht="14.25" customHeight="1" x14ac:dyDescent="0.3">
      <c r="A251" s="44">
        <v>239</v>
      </c>
      <c r="B251" s="12">
        <f t="shared" si="1"/>
        <v>0</v>
      </c>
      <c r="C251" s="12">
        <f t="shared" si="2"/>
        <v>0</v>
      </c>
      <c r="D251" s="12">
        <f t="shared" si="3"/>
        <v>0</v>
      </c>
      <c r="F251" s="10">
        <f t="shared" si="4"/>
        <v>0</v>
      </c>
    </row>
    <row r="252" spans="1:6" ht="14.25" customHeight="1" x14ac:dyDescent="0.3">
      <c r="A252" s="44">
        <v>240</v>
      </c>
      <c r="B252" s="12">
        <f t="shared" si="1"/>
        <v>0</v>
      </c>
      <c r="C252" s="12">
        <f t="shared" si="2"/>
        <v>0</v>
      </c>
      <c r="D252" s="12">
        <f t="shared" si="3"/>
        <v>0</v>
      </c>
      <c r="F252" s="10">
        <f t="shared" si="4"/>
        <v>0</v>
      </c>
    </row>
    <row r="253" spans="1:6" ht="14.25" customHeight="1" x14ac:dyDescent="0.3">
      <c r="A253" s="44">
        <v>241</v>
      </c>
      <c r="B253" s="12">
        <f t="shared" si="1"/>
        <v>0</v>
      </c>
      <c r="C253" s="12">
        <f t="shared" si="2"/>
        <v>0</v>
      </c>
      <c r="D253" s="12">
        <f t="shared" si="3"/>
        <v>0</v>
      </c>
      <c r="F253" s="10">
        <f t="shared" si="4"/>
        <v>0</v>
      </c>
    </row>
    <row r="254" spans="1:6" ht="14.25" customHeight="1" x14ac:dyDescent="0.3">
      <c r="A254" s="44">
        <v>242</v>
      </c>
      <c r="B254" s="12">
        <f t="shared" si="1"/>
        <v>0</v>
      </c>
      <c r="C254" s="12">
        <f t="shared" si="2"/>
        <v>0</v>
      </c>
      <c r="D254" s="12">
        <f t="shared" si="3"/>
        <v>0</v>
      </c>
      <c r="F254" s="10">
        <f t="shared" si="4"/>
        <v>0</v>
      </c>
    </row>
    <row r="255" spans="1:6" ht="14.25" customHeight="1" x14ac:dyDescent="0.3">
      <c r="A255" s="44">
        <v>243</v>
      </c>
      <c r="B255" s="12">
        <f t="shared" si="1"/>
        <v>0</v>
      </c>
      <c r="C255" s="12">
        <f t="shared" si="2"/>
        <v>0</v>
      </c>
      <c r="D255" s="12">
        <f t="shared" si="3"/>
        <v>0</v>
      </c>
      <c r="F255" s="10">
        <f t="shared" si="4"/>
        <v>0</v>
      </c>
    </row>
    <row r="256" spans="1:6" ht="14.25" customHeight="1" x14ac:dyDescent="0.3">
      <c r="A256" s="44">
        <v>244</v>
      </c>
      <c r="B256" s="12">
        <f t="shared" si="1"/>
        <v>0</v>
      </c>
      <c r="C256" s="12">
        <f t="shared" si="2"/>
        <v>0</v>
      </c>
      <c r="D256" s="12">
        <f t="shared" si="3"/>
        <v>0</v>
      </c>
      <c r="F256" s="10">
        <f t="shared" si="4"/>
        <v>0</v>
      </c>
    </row>
    <row r="257" spans="1:6" ht="14.25" customHeight="1" x14ac:dyDescent="0.3">
      <c r="A257" s="44">
        <v>245</v>
      </c>
      <c r="B257" s="12">
        <f t="shared" si="1"/>
        <v>0</v>
      </c>
      <c r="C257" s="12">
        <f t="shared" si="2"/>
        <v>0</v>
      </c>
      <c r="D257" s="12">
        <f t="shared" si="3"/>
        <v>0</v>
      </c>
      <c r="F257" s="10">
        <f t="shared" si="4"/>
        <v>0</v>
      </c>
    </row>
    <row r="258" spans="1:6" ht="14.25" customHeight="1" x14ac:dyDescent="0.3">
      <c r="A258" s="44">
        <v>246</v>
      </c>
      <c r="B258" s="12">
        <f t="shared" si="1"/>
        <v>0</v>
      </c>
      <c r="C258" s="12">
        <f t="shared" si="2"/>
        <v>0</v>
      </c>
      <c r="D258" s="12">
        <f t="shared" si="3"/>
        <v>0</v>
      </c>
      <c r="F258" s="10">
        <f t="shared" si="4"/>
        <v>0</v>
      </c>
    </row>
    <row r="259" spans="1:6" ht="14.25" customHeight="1" x14ac:dyDescent="0.3">
      <c r="A259" s="44">
        <v>247</v>
      </c>
      <c r="B259" s="12">
        <f t="shared" si="1"/>
        <v>0</v>
      </c>
      <c r="C259" s="12">
        <f t="shared" si="2"/>
        <v>0</v>
      </c>
      <c r="D259" s="12">
        <f t="shared" si="3"/>
        <v>0</v>
      </c>
      <c r="F259" s="10">
        <f t="shared" si="4"/>
        <v>0</v>
      </c>
    </row>
    <row r="260" spans="1:6" ht="14.25" customHeight="1" x14ac:dyDescent="0.3">
      <c r="A260" s="44">
        <v>248</v>
      </c>
      <c r="B260" s="12">
        <f t="shared" si="1"/>
        <v>0</v>
      </c>
      <c r="C260" s="12">
        <f t="shared" si="2"/>
        <v>0</v>
      </c>
      <c r="D260" s="12">
        <f t="shared" si="3"/>
        <v>0</v>
      </c>
      <c r="F260" s="10">
        <f t="shared" si="4"/>
        <v>0</v>
      </c>
    </row>
    <row r="261" spans="1:6" ht="14.25" customHeight="1" x14ac:dyDescent="0.3">
      <c r="A261" s="44">
        <v>249</v>
      </c>
      <c r="B261" s="12">
        <f t="shared" si="1"/>
        <v>0</v>
      </c>
      <c r="C261" s="12">
        <f t="shared" si="2"/>
        <v>0</v>
      </c>
      <c r="D261" s="12">
        <f t="shared" si="3"/>
        <v>0</v>
      </c>
      <c r="F261" s="10">
        <f t="shared" si="4"/>
        <v>0</v>
      </c>
    </row>
    <row r="262" spans="1:6" ht="14.25" customHeight="1" x14ac:dyDescent="0.3">
      <c r="A262" s="44">
        <v>250</v>
      </c>
      <c r="B262" s="12">
        <f t="shared" si="1"/>
        <v>0</v>
      </c>
      <c r="C262" s="12">
        <f t="shared" si="2"/>
        <v>0</v>
      </c>
      <c r="D262" s="12">
        <f t="shared" si="3"/>
        <v>0</v>
      </c>
      <c r="F262" s="10">
        <f t="shared" si="4"/>
        <v>0</v>
      </c>
    </row>
    <row r="263" spans="1:6" ht="14.25" customHeight="1" x14ac:dyDescent="0.3">
      <c r="A263" s="44">
        <v>251</v>
      </c>
      <c r="B263" s="12">
        <f t="shared" si="1"/>
        <v>0</v>
      </c>
      <c r="C263" s="12">
        <f t="shared" si="2"/>
        <v>0</v>
      </c>
      <c r="D263" s="12">
        <f t="shared" si="3"/>
        <v>0</v>
      </c>
      <c r="F263" s="10">
        <f t="shared" si="4"/>
        <v>0</v>
      </c>
    </row>
    <row r="264" spans="1:6" ht="14.25" customHeight="1" x14ac:dyDescent="0.3">
      <c r="A264" s="44">
        <v>252</v>
      </c>
      <c r="B264" s="12">
        <f t="shared" si="1"/>
        <v>0</v>
      </c>
      <c r="C264" s="12">
        <f t="shared" si="2"/>
        <v>0</v>
      </c>
      <c r="D264" s="12">
        <f t="shared" si="3"/>
        <v>0</v>
      </c>
      <c r="F264" s="10">
        <f t="shared" si="4"/>
        <v>0</v>
      </c>
    </row>
    <row r="265" spans="1:6" ht="14.25" customHeight="1" x14ac:dyDescent="0.3">
      <c r="A265" s="44">
        <v>253</v>
      </c>
      <c r="B265" s="12">
        <f t="shared" si="1"/>
        <v>0</v>
      </c>
      <c r="C265" s="12">
        <f t="shared" si="2"/>
        <v>0</v>
      </c>
      <c r="D265" s="12">
        <f t="shared" si="3"/>
        <v>0</v>
      </c>
      <c r="F265" s="10">
        <f t="shared" si="4"/>
        <v>0</v>
      </c>
    </row>
    <row r="266" spans="1:6" ht="14.25" customHeight="1" x14ac:dyDescent="0.3">
      <c r="A266" s="44">
        <v>254</v>
      </c>
      <c r="B266" s="12">
        <f t="shared" si="1"/>
        <v>0</v>
      </c>
      <c r="C266" s="12">
        <f t="shared" si="2"/>
        <v>0</v>
      </c>
      <c r="D266" s="12">
        <f t="shared" si="3"/>
        <v>0</v>
      </c>
      <c r="F266" s="10">
        <f t="shared" si="4"/>
        <v>0</v>
      </c>
    </row>
    <row r="267" spans="1:6" ht="14.25" customHeight="1" x14ac:dyDescent="0.3">
      <c r="A267" s="44">
        <v>255</v>
      </c>
      <c r="B267" s="12">
        <f t="shared" si="1"/>
        <v>0</v>
      </c>
      <c r="C267" s="12">
        <f t="shared" si="2"/>
        <v>0</v>
      </c>
      <c r="D267" s="12">
        <f t="shared" si="3"/>
        <v>0</v>
      </c>
      <c r="F267" s="10">
        <f t="shared" si="4"/>
        <v>0</v>
      </c>
    </row>
    <row r="268" spans="1:6" ht="14.25" customHeight="1" x14ac:dyDescent="0.3">
      <c r="A268" s="44">
        <v>256</v>
      </c>
      <c r="B268" s="12">
        <f t="shared" ref="B268:B372" si="10">IF($B$9&lt;=F267,$B$9,F267+F267*$B$7/$B$8)</f>
        <v>0</v>
      </c>
      <c r="C268" s="12">
        <f t="shared" ref="C268:C372" si="11">IF(B268&gt;0,$B$7/$B$8*F267,0)</f>
        <v>0</v>
      </c>
      <c r="D268" s="12">
        <f t="shared" ref="D268:D372" si="12">IF(B268&gt;0,MIN(B268-C268,F267),0)</f>
        <v>0</v>
      </c>
      <c r="F268" s="10">
        <f t="shared" ref="F268:F372" si="13">IF(ROUND(F267,5)&gt;0,F267-D268,0)</f>
        <v>0</v>
      </c>
    </row>
    <row r="269" spans="1:6" ht="14.25" customHeight="1" x14ac:dyDescent="0.3">
      <c r="A269" s="44">
        <v>257</v>
      </c>
      <c r="B269" s="12">
        <f t="shared" si="10"/>
        <v>0</v>
      </c>
      <c r="C269" s="12">
        <f t="shared" si="11"/>
        <v>0</v>
      </c>
      <c r="D269" s="12">
        <f t="shared" si="12"/>
        <v>0</v>
      </c>
      <c r="F269" s="10">
        <f t="shared" si="13"/>
        <v>0</v>
      </c>
    </row>
    <row r="270" spans="1:6" ht="14.25" customHeight="1" x14ac:dyDescent="0.3">
      <c r="A270" s="44">
        <v>258</v>
      </c>
      <c r="B270" s="12">
        <f t="shared" si="10"/>
        <v>0</v>
      </c>
      <c r="C270" s="12">
        <f t="shared" si="11"/>
        <v>0</v>
      </c>
      <c r="D270" s="12">
        <f t="shared" si="12"/>
        <v>0</v>
      </c>
      <c r="F270" s="10">
        <f t="shared" si="13"/>
        <v>0</v>
      </c>
    </row>
    <row r="271" spans="1:6" ht="14.25" customHeight="1" x14ac:dyDescent="0.3">
      <c r="A271" s="44">
        <v>259</v>
      </c>
      <c r="B271" s="12">
        <f t="shared" si="10"/>
        <v>0</v>
      </c>
      <c r="C271" s="12">
        <f t="shared" si="11"/>
        <v>0</v>
      </c>
      <c r="D271" s="12">
        <f t="shared" si="12"/>
        <v>0</v>
      </c>
      <c r="F271" s="10">
        <f t="shared" si="13"/>
        <v>0</v>
      </c>
    </row>
    <row r="272" spans="1:6" ht="14.25" customHeight="1" x14ac:dyDescent="0.3">
      <c r="A272" s="44">
        <v>260</v>
      </c>
      <c r="B272" s="12">
        <f t="shared" si="10"/>
        <v>0</v>
      </c>
      <c r="C272" s="12">
        <f t="shared" si="11"/>
        <v>0</v>
      </c>
      <c r="D272" s="12">
        <f t="shared" si="12"/>
        <v>0</v>
      </c>
      <c r="F272" s="10">
        <f t="shared" si="13"/>
        <v>0</v>
      </c>
    </row>
    <row r="273" spans="1:6" ht="14.25" customHeight="1" x14ac:dyDescent="0.3">
      <c r="A273" s="44">
        <v>261</v>
      </c>
      <c r="B273" s="12">
        <f t="shared" si="10"/>
        <v>0</v>
      </c>
      <c r="C273" s="12">
        <f t="shared" si="11"/>
        <v>0</v>
      </c>
      <c r="D273" s="12">
        <f t="shared" si="12"/>
        <v>0</v>
      </c>
      <c r="F273" s="10">
        <f t="shared" si="13"/>
        <v>0</v>
      </c>
    </row>
    <row r="274" spans="1:6" ht="14.25" customHeight="1" x14ac:dyDescent="0.3">
      <c r="A274" s="44">
        <v>262</v>
      </c>
      <c r="B274" s="12">
        <f t="shared" si="10"/>
        <v>0</v>
      </c>
      <c r="C274" s="12">
        <f t="shared" si="11"/>
        <v>0</v>
      </c>
      <c r="D274" s="12">
        <f t="shared" si="12"/>
        <v>0</v>
      </c>
      <c r="F274" s="10">
        <f t="shared" si="13"/>
        <v>0</v>
      </c>
    </row>
    <row r="275" spans="1:6" ht="14.25" customHeight="1" x14ac:dyDescent="0.3">
      <c r="A275" s="44">
        <v>263</v>
      </c>
      <c r="B275" s="12">
        <f t="shared" si="10"/>
        <v>0</v>
      </c>
      <c r="C275" s="12">
        <f t="shared" si="11"/>
        <v>0</v>
      </c>
      <c r="D275" s="12">
        <f t="shared" si="12"/>
        <v>0</v>
      </c>
      <c r="F275" s="10">
        <f t="shared" si="13"/>
        <v>0</v>
      </c>
    </row>
    <row r="276" spans="1:6" ht="14.25" customHeight="1" x14ac:dyDescent="0.3">
      <c r="A276" s="44">
        <v>264</v>
      </c>
      <c r="B276" s="12">
        <f t="shared" si="10"/>
        <v>0</v>
      </c>
      <c r="C276" s="12">
        <f t="shared" si="11"/>
        <v>0</v>
      </c>
      <c r="D276" s="12">
        <f t="shared" si="12"/>
        <v>0</v>
      </c>
      <c r="F276" s="10">
        <f t="shared" si="13"/>
        <v>0</v>
      </c>
    </row>
    <row r="277" spans="1:6" ht="14.25" customHeight="1" x14ac:dyDescent="0.3">
      <c r="A277" s="44">
        <v>265</v>
      </c>
      <c r="B277" s="12">
        <f t="shared" si="10"/>
        <v>0</v>
      </c>
      <c r="C277" s="12">
        <f t="shared" si="11"/>
        <v>0</v>
      </c>
      <c r="D277" s="12">
        <f t="shared" si="12"/>
        <v>0</v>
      </c>
      <c r="F277" s="10">
        <f t="shared" si="13"/>
        <v>0</v>
      </c>
    </row>
    <row r="278" spans="1:6" ht="14.25" customHeight="1" x14ac:dyDescent="0.3">
      <c r="A278" s="44">
        <v>266</v>
      </c>
      <c r="B278" s="12">
        <f t="shared" si="10"/>
        <v>0</v>
      </c>
      <c r="C278" s="12">
        <f t="shared" si="11"/>
        <v>0</v>
      </c>
      <c r="D278" s="12">
        <f t="shared" si="12"/>
        <v>0</v>
      </c>
      <c r="F278" s="10">
        <f t="shared" si="13"/>
        <v>0</v>
      </c>
    </row>
    <row r="279" spans="1:6" ht="14.25" customHeight="1" x14ac:dyDescent="0.3">
      <c r="A279" s="44">
        <v>267</v>
      </c>
      <c r="B279" s="12">
        <f t="shared" si="10"/>
        <v>0</v>
      </c>
      <c r="C279" s="12">
        <f t="shared" si="11"/>
        <v>0</v>
      </c>
      <c r="D279" s="12">
        <f t="shared" si="12"/>
        <v>0</v>
      </c>
      <c r="F279" s="10">
        <f t="shared" si="13"/>
        <v>0</v>
      </c>
    </row>
    <row r="280" spans="1:6" ht="14.25" customHeight="1" x14ac:dyDescent="0.3">
      <c r="A280" s="44">
        <v>268</v>
      </c>
      <c r="B280" s="12">
        <f t="shared" si="10"/>
        <v>0</v>
      </c>
      <c r="C280" s="12">
        <f t="shared" si="11"/>
        <v>0</v>
      </c>
      <c r="D280" s="12">
        <f t="shared" si="12"/>
        <v>0</v>
      </c>
      <c r="F280" s="10">
        <f t="shared" si="13"/>
        <v>0</v>
      </c>
    </row>
    <row r="281" spans="1:6" ht="14.25" customHeight="1" x14ac:dyDescent="0.3">
      <c r="A281" s="44">
        <v>269</v>
      </c>
      <c r="B281" s="12">
        <f t="shared" si="10"/>
        <v>0</v>
      </c>
      <c r="C281" s="12">
        <f t="shared" si="11"/>
        <v>0</v>
      </c>
      <c r="D281" s="12">
        <f t="shared" si="12"/>
        <v>0</v>
      </c>
      <c r="F281" s="10">
        <f t="shared" si="13"/>
        <v>0</v>
      </c>
    </row>
    <row r="282" spans="1:6" ht="14.25" customHeight="1" x14ac:dyDescent="0.3">
      <c r="A282" s="44">
        <v>270</v>
      </c>
      <c r="B282" s="12">
        <f t="shared" si="10"/>
        <v>0</v>
      </c>
      <c r="C282" s="12">
        <f t="shared" si="11"/>
        <v>0</v>
      </c>
      <c r="D282" s="12">
        <f t="shared" si="12"/>
        <v>0</v>
      </c>
      <c r="F282" s="10">
        <f t="shared" si="13"/>
        <v>0</v>
      </c>
    </row>
    <row r="283" spans="1:6" ht="14.25" customHeight="1" x14ac:dyDescent="0.3">
      <c r="A283" s="44">
        <v>271</v>
      </c>
      <c r="B283" s="12">
        <f t="shared" si="10"/>
        <v>0</v>
      </c>
      <c r="C283" s="12">
        <f t="shared" si="11"/>
        <v>0</v>
      </c>
      <c r="D283" s="12">
        <f t="shared" si="12"/>
        <v>0</v>
      </c>
      <c r="F283" s="10">
        <f t="shared" si="13"/>
        <v>0</v>
      </c>
    </row>
    <row r="284" spans="1:6" ht="14.25" customHeight="1" x14ac:dyDescent="0.3">
      <c r="A284" s="44">
        <v>272</v>
      </c>
      <c r="B284" s="12">
        <f t="shared" si="10"/>
        <v>0</v>
      </c>
      <c r="C284" s="12">
        <f t="shared" si="11"/>
        <v>0</v>
      </c>
      <c r="D284" s="12">
        <f t="shared" si="12"/>
        <v>0</v>
      </c>
      <c r="F284" s="10">
        <f t="shared" si="13"/>
        <v>0</v>
      </c>
    </row>
    <row r="285" spans="1:6" ht="14.25" customHeight="1" x14ac:dyDescent="0.3">
      <c r="A285" s="44">
        <v>273</v>
      </c>
      <c r="B285" s="12">
        <f t="shared" si="10"/>
        <v>0</v>
      </c>
      <c r="C285" s="12">
        <f t="shared" si="11"/>
        <v>0</v>
      </c>
      <c r="D285" s="12">
        <f t="shared" si="12"/>
        <v>0</v>
      </c>
      <c r="F285" s="10">
        <f t="shared" si="13"/>
        <v>0</v>
      </c>
    </row>
    <row r="286" spans="1:6" ht="14.25" customHeight="1" x14ac:dyDescent="0.3">
      <c r="A286" s="44">
        <v>274</v>
      </c>
      <c r="B286" s="12">
        <f t="shared" si="10"/>
        <v>0</v>
      </c>
      <c r="C286" s="12">
        <f t="shared" si="11"/>
        <v>0</v>
      </c>
      <c r="D286" s="12">
        <f t="shared" si="12"/>
        <v>0</v>
      </c>
      <c r="F286" s="10">
        <f t="shared" si="13"/>
        <v>0</v>
      </c>
    </row>
    <row r="287" spans="1:6" ht="14.25" customHeight="1" x14ac:dyDescent="0.3">
      <c r="A287" s="44">
        <v>275</v>
      </c>
      <c r="B287" s="12">
        <f t="shared" si="10"/>
        <v>0</v>
      </c>
      <c r="C287" s="12">
        <f t="shared" si="11"/>
        <v>0</v>
      </c>
      <c r="D287" s="12">
        <f t="shared" si="12"/>
        <v>0</v>
      </c>
      <c r="F287" s="10">
        <f t="shared" si="13"/>
        <v>0</v>
      </c>
    </row>
    <row r="288" spans="1:6" ht="14.25" customHeight="1" x14ac:dyDescent="0.3">
      <c r="A288" s="44">
        <v>276</v>
      </c>
      <c r="B288" s="12">
        <f t="shared" si="10"/>
        <v>0</v>
      </c>
      <c r="C288" s="12">
        <f t="shared" si="11"/>
        <v>0</v>
      </c>
      <c r="D288" s="12">
        <f t="shared" si="12"/>
        <v>0</v>
      </c>
      <c r="F288" s="10">
        <f t="shared" si="13"/>
        <v>0</v>
      </c>
    </row>
    <row r="289" spans="1:6" ht="14.25" customHeight="1" x14ac:dyDescent="0.3">
      <c r="A289" s="44">
        <v>277</v>
      </c>
      <c r="B289" s="12">
        <f t="shared" si="10"/>
        <v>0</v>
      </c>
      <c r="C289" s="12">
        <f t="shared" si="11"/>
        <v>0</v>
      </c>
      <c r="D289" s="12">
        <f t="shared" si="12"/>
        <v>0</v>
      </c>
      <c r="F289" s="10">
        <f t="shared" si="13"/>
        <v>0</v>
      </c>
    </row>
    <row r="290" spans="1:6" ht="14.25" customHeight="1" x14ac:dyDescent="0.3">
      <c r="A290" s="44">
        <v>278</v>
      </c>
      <c r="B290" s="12">
        <f t="shared" si="10"/>
        <v>0</v>
      </c>
      <c r="C290" s="12">
        <f t="shared" si="11"/>
        <v>0</v>
      </c>
      <c r="D290" s="12">
        <f t="shared" si="12"/>
        <v>0</v>
      </c>
      <c r="F290" s="10">
        <f t="shared" si="13"/>
        <v>0</v>
      </c>
    </row>
    <row r="291" spans="1:6" ht="14.25" customHeight="1" x14ac:dyDescent="0.3">
      <c r="A291" s="44">
        <v>279</v>
      </c>
      <c r="B291" s="12">
        <f t="shared" si="10"/>
        <v>0</v>
      </c>
      <c r="C291" s="12">
        <f t="shared" si="11"/>
        <v>0</v>
      </c>
      <c r="D291" s="12">
        <f t="shared" si="12"/>
        <v>0</v>
      </c>
      <c r="F291" s="10">
        <f t="shared" si="13"/>
        <v>0</v>
      </c>
    </row>
    <row r="292" spans="1:6" ht="14.25" customHeight="1" x14ac:dyDescent="0.3">
      <c r="A292" s="44">
        <v>280</v>
      </c>
      <c r="B292" s="12">
        <f t="shared" si="10"/>
        <v>0</v>
      </c>
      <c r="C292" s="12">
        <f t="shared" si="11"/>
        <v>0</v>
      </c>
      <c r="D292" s="12">
        <f t="shared" si="12"/>
        <v>0</v>
      </c>
      <c r="F292" s="10">
        <f t="shared" si="13"/>
        <v>0</v>
      </c>
    </row>
    <row r="293" spans="1:6" ht="14.25" customHeight="1" x14ac:dyDescent="0.3">
      <c r="A293" s="44">
        <v>281</v>
      </c>
      <c r="B293" s="12">
        <f t="shared" si="10"/>
        <v>0</v>
      </c>
      <c r="C293" s="12">
        <f t="shared" si="11"/>
        <v>0</v>
      </c>
      <c r="D293" s="12">
        <f t="shared" si="12"/>
        <v>0</v>
      </c>
      <c r="F293" s="10">
        <f t="shared" si="13"/>
        <v>0</v>
      </c>
    </row>
    <row r="294" spans="1:6" ht="14.25" customHeight="1" x14ac:dyDescent="0.3">
      <c r="A294" s="44">
        <v>282</v>
      </c>
      <c r="B294" s="12">
        <f t="shared" si="10"/>
        <v>0</v>
      </c>
      <c r="C294" s="12">
        <f t="shared" si="11"/>
        <v>0</v>
      </c>
      <c r="D294" s="12">
        <f t="shared" si="12"/>
        <v>0</v>
      </c>
      <c r="F294" s="10">
        <f t="shared" si="13"/>
        <v>0</v>
      </c>
    </row>
    <row r="295" spans="1:6" ht="14.25" customHeight="1" x14ac:dyDescent="0.3">
      <c r="A295" s="44">
        <v>283</v>
      </c>
      <c r="B295" s="12">
        <f t="shared" si="10"/>
        <v>0</v>
      </c>
      <c r="C295" s="12">
        <f t="shared" si="11"/>
        <v>0</v>
      </c>
      <c r="D295" s="12">
        <f t="shared" si="12"/>
        <v>0</v>
      </c>
      <c r="F295" s="10">
        <f t="shared" si="13"/>
        <v>0</v>
      </c>
    </row>
    <row r="296" spans="1:6" ht="14.25" customHeight="1" x14ac:dyDescent="0.3">
      <c r="A296" s="44">
        <v>284</v>
      </c>
      <c r="B296" s="12">
        <f t="shared" si="10"/>
        <v>0</v>
      </c>
      <c r="C296" s="12">
        <f t="shared" si="11"/>
        <v>0</v>
      </c>
      <c r="D296" s="12">
        <f t="shared" si="12"/>
        <v>0</v>
      </c>
      <c r="F296" s="10">
        <f t="shared" si="13"/>
        <v>0</v>
      </c>
    </row>
    <row r="297" spans="1:6" ht="14.25" customHeight="1" x14ac:dyDescent="0.3">
      <c r="A297" s="44">
        <v>285</v>
      </c>
      <c r="B297" s="12">
        <f t="shared" si="10"/>
        <v>0</v>
      </c>
      <c r="C297" s="12">
        <f t="shared" si="11"/>
        <v>0</v>
      </c>
      <c r="D297" s="12">
        <f t="shared" si="12"/>
        <v>0</v>
      </c>
      <c r="F297" s="10">
        <f t="shared" si="13"/>
        <v>0</v>
      </c>
    </row>
    <row r="298" spans="1:6" ht="14.25" customHeight="1" x14ac:dyDescent="0.3">
      <c r="A298" s="44">
        <v>286</v>
      </c>
      <c r="B298" s="12">
        <f t="shared" si="10"/>
        <v>0</v>
      </c>
      <c r="C298" s="12">
        <f t="shared" si="11"/>
        <v>0</v>
      </c>
      <c r="D298" s="12">
        <f t="shared" si="12"/>
        <v>0</v>
      </c>
      <c r="F298" s="10">
        <f t="shared" si="13"/>
        <v>0</v>
      </c>
    </row>
    <row r="299" spans="1:6" ht="14.25" customHeight="1" x14ac:dyDescent="0.3">
      <c r="A299" s="44">
        <v>287</v>
      </c>
      <c r="B299" s="12">
        <f t="shared" si="10"/>
        <v>0</v>
      </c>
      <c r="C299" s="12">
        <f t="shared" si="11"/>
        <v>0</v>
      </c>
      <c r="D299" s="12">
        <f t="shared" si="12"/>
        <v>0</v>
      </c>
      <c r="F299" s="10">
        <f t="shared" si="13"/>
        <v>0</v>
      </c>
    </row>
    <row r="300" spans="1:6" ht="14.25" customHeight="1" x14ac:dyDescent="0.3">
      <c r="A300" s="44">
        <v>288</v>
      </c>
      <c r="B300" s="12">
        <f t="shared" si="10"/>
        <v>0</v>
      </c>
      <c r="C300" s="12">
        <f t="shared" si="11"/>
        <v>0</v>
      </c>
      <c r="D300" s="12">
        <f t="shared" si="12"/>
        <v>0</v>
      </c>
      <c r="F300" s="10">
        <f t="shared" si="13"/>
        <v>0</v>
      </c>
    </row>
    <row r="301" spans="1:6" ht="14.25" customHeight="1" x14ac:dyDescent="0.3">
      <c r="A301" s="44">
        <v>289</v>
      </c>
      <c r="B301" s="12">
        <f t="shared" si="10"/>
        <v>0</v>
      </c>
      <c r="C301" s="12">
        <f t="shared" si="11"/>
        <v>0</v>
      </c>
      <c r="D301" s="12">
        <f t="shared" si="12"/>
        <v>0</v>
      </c>
      <c r="F301" s="10">
        <f t="shared" si="13"/>
        <v>0</v>
      </c>
    </row>
    <row r="302" spans="1:6" ht="14.25" customHeight="1" x14ac:dyDescent="0.3">
      <c r="A302" s="44">
        <v>290</v>
      </c>
      <c r="B302" s="12">
        <f t="shared" si="10"/>
        <v>0</v>
      </c>
      <c r="C302" s="12">
        <f t="shared" si="11"/>
        <v>0</v>
      </c>
      <c r="D302" s="12">
        <f t="shared" si="12"/>
        <v>0</v>
      </c>
      <c r="F302" s="10">
        <f t="shared" si="13"/>
        <v>0</v>
      </c>
    </row>
    <row r="303" spans="1:6" ht="14.25" customHeight="1" x14ac:dyDescent="0.3">
      <c r="A303" s="44">
        <v>291</v>
      </c>
      <c r="B303" s="12">
        <f t="shared" si="10"/>
        <v>0</v>
      </c>
      <c r="C303" s="12">
        <f t="shared" si="11"/>
        <v>0</v>
      </c>
      <c r="D303" s="12">
        <f t="shared" si="12"/>
        <v>0</v>
      </c>
      <c r="F303" s="10">
        <f t="shared" si="13"/>
        <v>0</v>
      </c>
    </row>
    <row r="304" spans="1:6" ht="14.25" customHeight="1" x14ac:dyDescent="0.3">
      <c r="A304" s="44">
        <v>292</v>
      </c>
      <c r="B304" s="12">
        <f t="shared" si="10"/>
        <v>0</v>
      </c>
      <c r="C304" s="12">
        <f t="shared" si="11"/>
        <v>0</v>
      </c>
      <c r="D304" s="12">
        <f t="shared" si="12"/>
        <v>0</v>
      </c>
      <c r="F304" s="10">
        <f t="shared" si="13"/>
        <v>0</v>
      </c>
    </row>
    <row r="305" spans="1:6" ht="14.25" customHeight="1" x14ac:dyDescent="0.3">
      <c r="A305" s="44">
        <v>293</v>
      </c>
      <c r="B305" s="12">
        <f t="shared" si="10"/>
        <v>0</v>
      </c>
      <c r="C305" s="12">
        <f t="shared" si="11"/>
        <v>0</v>
      </c>
      <c r="D305" s="12">
        <f t="shared" si="12"/>
        <v>0</v>
      </c>
      <c r="F305" s="10">
        <f t="shared" si="13"/>
        <v>0</v>
      </c>
    </row>
    <row r="306" spans="1:6" ht="14.25" customHeight="1" x14ac:dyDescent="0.3">
      <c r="A306" s="44">
        <v>294</v>
      </c>
      <c r="B306" s="12">
        <f t="shared" si="10"/>
        <v>0</v>
      </c>
      <c r="C306" s="12">
        <f t="shared" si="11"/>
        <v>0</v>
      </c>
      <c r="D306" s="12">
        <f t="shared" si="12"/>
        <v>0</v>
      </c>
      <c r="F306" s="10">
        <f t="shared" si="13"/>
        <v>0</v>
      </c>
    </row>
    <row r="307" spans="1:6" ht="14.25" customHeight="1" x14ac:dyDescent="0.3">
      <c r="A307" s="44">
        <v>295</v>
      </c>
      <c r="B307" s="12">
        <f t="shared" si="10"/>
        <v>0</v>
      </c>
      <c r="C307" s="12">
        <f t="shared" si="11"/>
        <v>0</v>
      </c>
      <c r="D307" s="12">
        <f t="shared" si="12"/>
        <v>0</v>
      </c>
      <c r="F307" s="10">
        <f t="shared" si="13"/>
        <v>0</v>
      </c>
    </row>
    <row r="308" spans="1:6" ht="14.25" customHeight="1" x14ac:dyDescent="0.3">
      <c r="A308" s="44">
        <v>296</v>
      </c>
      <c r="B308" s="12">
        <f t="shared" si="10"/>
        <v>0</v>
      </c>
      <c r="C308" s="12">
        <f t="shared" si="11"/>
        <v>0</v>
      </c>
      <c r="D308" s="12">
        <f t="shared" si="12"/>
        <v>0</v>
      </c>
      <c r="F308" s="10">
        <f t="shared" si="13"/>
        <v>0</v>
      </c>
    </row>
    <row r="309" spans="1:6" ht="14.25" customHeight="1" x14ac:dyDescent="0.3">
      <c r="A309" s="44">
        <v>297</v>
      </c>
      <c r="B309" s="12">
        <f t="shared" si="10"/>
        <v>0</v>
      </c>
      <c r="C309" s="12">
        <f t="shared" si="11"/>
        <v>0</v>
      </c>
      <c r="D309" s="12">
        <f t="shared" si="12"/>
        <v>0</v>
      </c>
      <c r="F309" s="10">
        <f t="shared" si="13"/>
        <v>0</v>
      </c>
    </row>
    <row r="310" spans="1:6" ht="14.25" customHeight="1" x14ac:dyDescent="0.3">
      <c r="A310" s="44">
        <v>298</v>
      </c>
      <c r="B310" s="12">
        <f t="shared" si="10"/>
        <v>0</v>
      </c>
      <c r="C310" s="12">
        <f t="shared" si="11"/>
        <v>0</v>
      </c>
      <c r="D310" s="12">
        <f t="shared" si="12"/>
        <v>0</v>
      </c>
      <c r="F310" s="10">
        <f t="shared" si="13"/>
        <v>0</v>
      </c>
    </row>
    <row r="311" spans="1:6" ht="14.25" customHeight="1" x14ac:dyDescent="0.3">
      <c r="A311" s="44">
        <v>299</v>
      </c>
      <c r="B311" s="12">
        <f t="shared" si="10"/>
        <v>0</v>
      </c>
      <c r="C311" s="12">
        <f t="shared" si="11"/>
        <v>0</v>
      </c>
      <c r="D311" s="12">
        <f t="shared" si="12"/>
        <v>0</v>
      </c>
      <c r="F311" s="10">
        <f t="shared" si="13"/>
        <v>0</v>
      </c>
    </row>
    <row r="312" spans="1:6" ht="14.25" customHeight="1" x14ac:dyDescent="0.3">
      <c r="A312" s="44">
        <v>300</v>
      </c>
      <c r="B312" s="12">
        <f t="shared" si="10"/>
        <v>0</v>
      </c>
      <c r="C312" s="12">
        <f t="shared" si="11"/>
        <v>0</v>
      </c>
      <c r="D312" s="12">
        <f t="shared" si="12"/>
        <v>0</v>
      </c>
      <c r="F312" s="10">
        <f t="shared" si="13"/>
        <v>0</v>
      </c>
    </row>
    <row r="313" spans="1:6" ht="14.25" customHeight="1" x14ac:dyDescent="0.3">
      <c r="A313" s="44">
        <v>301</v>
      </c>
      <c r="B313" s="12">
        <f t="shared" si="10"/>
        <v>0</v>
      </c>
      <c r="C313" s="12">
        <f t="shared" si="11"/>
        <v>0</v>
      </c>
      <c r="D313" s="12">
        <f t="shared" si="12"/>
        <v>0</v>
      </c>
      <c r="F313" s="10">
        <f t="shared" si="13"/>
        <v>0</v>
      </c>
    </row>
    <row r="314" spans="1:6" ht="14.25" customHeight="1" x14ac:dyDescent="0.3">
      <c r="A314" s="44">
        <v>302</v>
      </c>
      <c r="B314" s="12">
        <f t="shared" si="10"/>
        <v>0</v>
      </c>
      <c r="C314" s="12">
        <f t="shared" si="11"/>
        <v>0</v>
      </c>
      <c r="D314" s="12">
        <f t="shared" si="12"/>
        <v>0</v>
      </c>
      <c r="F314" s="10">
        <f t="shared" si="13"/>
        <v>0</v>
      </c>
    </row>
    <row r="315" spans="1:6" ht="14.25" customHeight="1" x14ac:dyDescent="0.3">
      <c r="A315" s="44">
        <v>303</v>
      </c>
      <c r="B315" s="12">
        <f t="shared" si="10"/>
        <v>0</v>
      </c>
      <c r="C315" s="12">
        <f t="shared" si="11"/>
        <v>0</v>
      </c>
      <c r="D315" s="12">
        <f t="shared" si="12"/>
        <v>0</v>
      </c>
      <c r="F315" s="10">
        <f t="shared" si="13"/>
        <v>0</v>
      </c>
    </row>
    <row r="316" spans="1:6" ht="14.25" customHeight="1" x14ac:dyDescent="0.3">
      <c r="A316" s="44">
        <v>304</v>
      </c>
      <c r="B316" s="12">
        <f t="shared" si="10"/>
        <v>0</v>
      </c>
      <c r="C316" s="12">
        <f t="shared" si="11"/>
        <v>0</v>
      </c>
      <c r="D316" s="12">
        <f t="shared" si="12"/>
        <v>0</v>
      </c>
      <c r="F316" s="10">
        <f t="shared" si="13"/>
        <v>0</v>
      </c>
    </row>
    <row r="317" spans="1:6" ht="14.25" customHeight="1" x14ac:dyDescent="0.3">
      <c r="A317" s="44">
        <v>305</v>
      </c>
      <c r="B317" s="12">
        <f t="shared" si="10"/>
        <v>0</v>
      </c>
      <c r="C317" s="12">
        <f t="shared" si="11"/>
        <v>0</v>
      </c>
      <c r="D317" s="12">
        <f t="shared" si="12"/>
        <v>0</v>
      </c>
      <c r="F317" s="10">
        <f t="shared" si="13"/>
        <v>0</v>
      </c>
    </row>
    <row r="318" spans="1:6" ht="14.25" customHeight="1" x14ac:dyDescent="0.3">
      <c r="A318" s="44">
        <v>306</v>
      </c>
      <c r="B318" s="12">
        <f t="shared" si="10"/>
        <v>0</v>
      </c>
      <c r="C318" s="12">
        <f t="shared" si="11"/>
        <v>0</v>
      </c>
      <c r="D318" s="12">
        <f t="shared" si="12"/>
        <v>0</v>
      </c>
      <c r="F318" s="10">
        <f t="shared" si="13"/>
        <v>0</v>
      </c>
    </row>
    <row r="319" spans="1:6" ht="14.25" customHeight="1" x14ac:dyDescent="0.3">
      <c r="A319" s="44">
        <v>307</v>
      </c>
      <c r="B319" s="12">
        <f t="shared" si="10"/>
        <v>0</v>
      </c>
      <c r="C319" s="12">
        <f t="shared" si="11"/>
        <v>0</v>
      </c>
      <c r="D319" s="12">
        <f t="shared" si="12"/>
        <v>0</v>
      </c>
      <c r="F319" s="10">
        <f t="shared" si="13"/>
        <v>0</v>
      </c>
    </row>
    <row r="320" spans="1:6" ht="14.25" customHeight="1" x14ac:dyDescent="0.3">
      <c r="A320" s="44">
        <v>308</v>
      </c>
      <c r="B320" s="12">
        <f t="shared" si="10"/>
        <v>0</v>
      </c>
      <c r="C320" s="12">
        <f t="shared" si="11"/>
        <v>0</v>
      </c>
      <c r="D320" s="12">
        <f t="shared" si="12"/>
        <v>0</v>
      </c>
      <c r="F320" s="10">
        <f t="shared" si="13"/>
        <v>0</v>
      </c>
    </row>
    <row r="321" spans="1:6" ht="14.25" customHeight="1" x14ac:dyDescent="0.3">
      <c r="A321" s="44">
        <v>309</v>
      </c>
      <c r="B321" s="12">
        <f t="shared" si="10"/>
        <v>0</v>
      </c>
      <c r="C321" s="12">
        <f t="shared" si="11"/>
        <v>0</v>
      </c>
      <c r="D321" s="12">
        <f t="shared" si="12"/>
        <v>0</v>
      </c>
      <c r="F321" s="10">
        <f t="shared" si="13"/>
        <v>0</v>
      </c>
    </row>
    <row r="322" spans="1:6" ht="14.25" customHeight="1" x14ac:dyDescent="0.3">
      <c r="A322" s="44">
        <v>310</v>
      </c>
      <c r="B322" s="12">
        <f t="shared" si="10"/>
        <v>0</v>
      </c>
      <c r="C322" s="12">
        <f t="shared" si="11"/>
        <v>0</v>
      </c>
      <c r="D322" s="12">
        <f t="shared" si="12"/>
        <v>0</v>
      </c>
      <c r="F322" s="10">
        <f t="shared" si="13"/>
        <v>0</v>
      </c>
    </row>
    <row r="323" spans="1:6" ht="14.25" customHeight="1" x14ac:dyDescent="0.3">
      <c r="A323" s="44">
        <v>311</v>
      </c>
      <c r="B323" s="12">
        <f t="shared" si="10"/>
        <v>0</v>
      </c>
      <c r="C323" s="12">
        <f t="shared" si="11"/>
        <v>0</v>
      </c>
      <c r="D323" s="12">
        <f t="shared" si="12"/>
        <v>0</v>
      </c>
      <c r="F323" s="10">
        <f t="shared" si="13"/>
        <v>0</v>
      </c>
    </row>
    <row r="324" spans="1:6" ht="14.25" customHeight="1" x14ac:dyDescent="0.3">
      <c r="A324" s="44">
        <v>312</v>
      </c>
      <c r="B324" s="12">
        <f t="shared" si="10"/>
        <v>0</v>
      </c>
      <c r="C324" s="12">
        <f t="shared" si="11"/>
        <v>0</v>
      </c>
      <c r="D324" s="12">
        <f t="shared" si="12"/>
        <v>0</v>
      </c>
      <c r="F324" s="10">
        <f t="shared" si="13"/>
        <v>0</v>
      </c>
    </row>
    <row r="325" spans="1:6" ht="14.25" customHeight="1" x14ac:dyDescent="0.3">
      <c r="A325" s="44">
        <v>313</v>
      </c>
      <c r="B325" s="12">
        <f t="shared" si="10"/>
        <v>0</v>
      </c>
      <c r="C325" s="12">
        <f t="shared" si="11"/>
        <v>0</v>
      </c>
      <c r="D325" s="12">
        <f t="shared" si="12"/>
        <v>0</v>
      </c>
      <c r="F325" s="10">
        <f t="shared" si="13"/>
        <v>0</v>
      </c>
    </row>
    <row r="326" spans="1:6" ht="14.25" customHeight="1" x14ac:dyDescent="0.3">
      <c r="A326" s="44">
        <v>314</v>
      </c>
      <c r="B326" s="12">
        <f t="shared" si="10"/>
        <v>0</v>
      </c>
      <c r="C326" s="12">
        <f t="shared" si="11"/>
        <v>0</v>
      </c>
      <c r="D326" s="12">
        <f t="shared" si="12"/>
        <v>0</v>
      </c>
      <c r="F326" s="10">
        <f t="shared" si="13"/>
        <v>0</v>
      </c>
    </row>
    <row r="327" spans="1:6" ht="14.25" customHeight="1" x14ac:dyDescent="0.3">
      <c r="A327" s="44">
        <v>315</v>
      </c>
      <c r="B327" s="12">
        <f t="shared" si="10"/>
        <v>0</v>
      </c>
      <c r="C327" s="12">
        <f t="shared" si="11"/>
        <v>0</v>
      </c>
      <c r="D327" s="12">
        <f t="shared" si="12"/>
        <v>0</v>
      </c>
      <c r="F327" s="10">
        <f t="shared" si="13"/>
        <v>0</v>
      </c>
    </row>
    <row r="328" spans="1:6" ht="14.25" customHeight="1" x14ac:dyDescent="0.3">
      <c r="A328" s="44">
        <v>316</v>
      </c>
      <c r="B328" s="12">
        <f t="shared" si="10"/>
        <v>0</v>
      </c>
      <c r="C328" s="12">
        <f t="shared" si="11"/>
        <v>0</v>
      </c>
      <c r="D328" s="12">
        <f t="shared" si="12"/>
        <v>0</v>
      </c>
      <c r="F328" s="10">
        <f t="shared" si="13"/>
        <v>0</v>
      </c>
    </row>
    <row r="329" spans="1:6" ht="14.25" customHeight="1" x14ac:dyDescent="0.3">
      <c r="A329" s="44">
        <v>317</v>
      </c>
      <c r="B329" s="12">
        <f t="shared" si="10"/>
        <v>0</v>
      </c>
      <c r="C329" s="12">
        <f t="shared" si="11"/>
        <v>0</v>
      </c>
      <c r="D329" s="12">
        <f t="shared" si="12"/>
        <v>0</v>
      </c>
      <c r="F329" s="10">
        <f t="shared" si="13"/>
        <v>0</v>
      </c>
    </row>
    <row r="330" spans="1:6" ht="14.25" customHeight="1" x14ac:dyDescent="0.3">
      <c r="A330" s="44">
        <v>318</v>
      </c>
      <c r="B330" s="12">
        <f t="shared" si="10"/>
        <v>0</v>
      </c>
      <c r="C330" s="12">
        <f t="shared" si="11"/>
        <v>0</v>
      </c>
      <c r="D330" s="12">
        <f t="shared" si="12"/>
        <v>0</v>
      </c>
      <c r="F330" s="10">
        <f t="shared" si="13"/>
        <v>0</v>
      </c>
    </row>
    <row r="331" spans="1:6" ht="14.25" customHeight="1" x14ac:dyDescent="0.3">
      <c r="A331" s="44">
        <v>319</v>
      </c>
      <c r="B331" s="12">
        <f t="shared" si="10"/>
        <v>0</v>
      </c>
      <c r="C331" s="12">
        <f t="shared" si="11"/>
        <v>0</v>
      </c>
      <c r="D331" s="12">
        <f t="shared" si="12"/>
        <v>0</v>
      </c>
      <c r="F331" s="10">
        <f t="shared" si="13"/>
        <v>0</v>
      </c>
    </row>
    <row r="332" spans="1:6" ht="14.25" customHeight="1" x14ac:dyDescent="0.3">
      <c r="A332" s="44">
        <v>320</v>
      </c>
      <c r="B332" s="12">
        <f t="shared" si="10"/>
        <v>0</v>
      </c>
      <c r="C332" s="12">
        <f t="shared" si="11"/>
        <v>0</v>
      </c>
      <c r="D332" s="12">
        <f t="shared" si="12"/>
        <v>0</v>
      </c>
      <c r="F332" s="10">
        <f t="shared" si="13"/>
        <v>0</v>
      </c>
    </row>
    <row r="333" spans="1:6" ht="14.25" customHeight="1" x14ac:dyDescent="0.3">
      <c r="A333" s="44">
        <v>321</v>
      </c>
      <c r="B333" s="12">
        <f t="shared" si="10"/>
        <v>0</v>
      </c>
      <c r="C333" s="12">
        <f t="shared" si="11"/>
        <v>0</v>
      </c>
      <c r="D333" s="12">
        <f t="shared" si="12"/>
        <v>0</v>
      </c>
      <c r="F333" s="10">
        <f t="shared" si="13"/>
        <v>0</v>
      </c>
    </row>
    <row r="334" spans="1:6" ht="14.25" customHeight="1" x14ac:dyDescent="0.3">
      <c r="A334" s="44">
        <v>322</v>
      </c>
      <c r="B334" s="12">
        <f t="shared" si="10"/>
        <v>0</v>
      </c>
      <c r="C334" s="12">
        <f t="shared" si="11"/>
        <v>0</v>
      </c>
      <c r="D334" s="12">
        <f t="shared" si="12"/>
        <v>0</v>
      </c>
      <c r="F334" s="10">
        <f t="shared" si="13"/>
        <v>0</v>
      </c>
    </row>
    <row r="335" spans="1:6" ht="14.25" customHeight="1" x14ac:dyDescent="0.3">
      <c r="A335" s="44">
        <v>323</v>
      </c>
      <c r="B335" s="12">
        <f t="shared" si="10"/>
        <v>0</v>
      </c>
      <c r="C335" s="12">
        <f t="shared" si="11"/>
        <v>0</v>
      </c>
      <c r="D335" s="12">
        <f t="shared" si="12"/>
        <v>0</v>
      </c>
      <c r="F335" s="10">
        <f t="shared" si="13"/>
        <v>0</v>
      </c>
    </row>
    <row r="336" spans="1:6" ht="14.25" customHeight="1" x14ac:dyDescent="0.3">
      <c r="A336" s="44">
        <v>324</v>
      </c>
      <c r="B336" s="12">
        <f t="shared" si="10"/>
        <v>0</v>
      </c>
      <c r="C336" s="12">
        <f t="shared" si="11"/>
        <v>0</v>
      </c>
      <c r="D336" s="12">
        <f t="shared" si="12"/>
        <v>0</v>
      </c>
      <c r="F336" s="10">
        <f t="shared" si="13"/>
        <v>0</v>
      </c>
    </row>
    <row r="337" spans="1:6" ht="14.25" customHeight="1" x14ac:dyDescent="0.3">
      <c r="A337" s="44">
        <v>325</v>
      </c>
      <c r="B337" s="12">
        <f t="shared" si="10"/>
        <v>0</v>
      </c>
      <c r="C337" s="12">
        <f t="shared" si="11"/>
        <v>0</v>
      </c>
      <c r="D337" s="12">
        <f t="shared" si="12"/>
        <v>0</v>
      </c>
      <c r="F337" s="10">
        <f t="shared" si="13"/>
        <v>0</v>
      </c>
    </row>
    <row r="338" spans="1:6" ht="14.25" customHeight="1" x14ac:dyDescent="0.3">
      <c r="A338" s="44">
        <v>326</v>
      </c>
      <c r="B338" s="12">
        <f t="shared" si="10"/>
        <v>0</v>
      </c>
      <c r="C338" s="12">
        <f t="shared" si="11"/>
        <v>0</v>
      </c>
      <c r="D338" s="12">
        <f t="shared" si="12"/>
        <v>0</v>
      </c>
      <c r="F338" s="10">
        <f t="shared" si="13"/>
        <v>0</v>
      </c>
    </row>
    <row r="339" spans="1:6" ht="14.25" customHeight="1" x14ac:dyDescent="0.3">
      <c r="A339" s="44">
        <v>327</v>
      </c>
      <c r="B339" s="12">
        <f t="shared" si="10"/>
        <v>0</v>
      </c>
      <c r="C339" s="12">
        <f t="shared" si="11"/>
        <v>0</v>
      </c>
      <c r="D339" s="12">
        <f t="shared" si="12"/>
        <v>0</v>
      </c>
      <c r="F339" s="10">
        <f t="shared" si="13"/>
        <v>0</v>
      </c>
    </row>
    <row r="340" spans="1:6" ht="14.25" customHeight="1" x14ac:dyDescent="0.3">
      <c r="A340" s="44">
        <v>328</v>
      </c>
      <c r="B340" s="12">
        <f t="shared" si="10"/>
        <v>0</v>
      </c>
      <c r="C340" s="12">
        <f t="shared" si="11"/>
        <v>0</v>
      </c>
      <c r="D340" s="12">
        <f t="shared" si="12"/>
        <v>0</v>
      </c>
      <c r="F340" s="10">
        <f t="shared" si="13"/>
        <v>0</v>
      </c>
    </row>
    <row r="341" spans="1:6" ht="14.25" customHeight="1" x14ac:dyDescent="0.3">
      <c r="A341" s="44">
        <v>329</v>
      </c>
      <c r="B341" s="12">
        <f t="shared" si="10"/>
        <v>0</v>
      </c>
      <c r="C341" s="12">
        <f t="shared" si="11"/>
        <v>0</v>
      </c>
      <c r="D341" s="12">
        <f t="shared" si="12"/>
        <v>0</v>
      </c>
      <c r="F341" s="10">
        <f t="shared" si="13"/>
        <v>0</v>
      </c>
    </row>
    <row r="342" spans="1:6" ht="14.25" customHeight="1" x14ac:dyDescent="0.3">
      <c r="A342" s="44">
        <v>330</v>
      </c>
      <c r="B342" s="12">
        <f t="shared" si="10"/>
        <v>0</v>
      </c>
      <c r="C342" s="12">
        <f t="shared" si="11"/>
        <v>0</v>
      </c>
      <c r="D342" s="12">
        <f t="shared" si="12"/>
        <v>0</v>
      </c>
      <c r="F342" s="10">
        <f t="shared" si="13"/>
        <v>0</v>
      </c>
    </row>
    <row r="343" spans="1:6" ht="14.25" customHeight="1" x14ac:dyDescent="0.3">
      <c r="A343" s="44">
        <v>331</v>
      </c>
      <c r="B343" s="12">
        <f t="shared" si="10"/>
        <v>0</v>
      </c>
      <c r="C343" s="12">
        <f t="shared" si="11"/>
        <v>0</v>
      </c>
      <c r="D343" s="12">
        <f t="shared" si="12"/>
        <v>0</v>
      </c>
      <c r="F343" s="10">
        <f t="shared" si="13"/>
        <v>0</v>
      </c>
    </row>
    <row r="344" spans="1:6" ht="14.25" customHeight="1" x14ac:dyDescent="0.3">
      <c r="A344" s="44">
        <v>332</v>
      </c>
      <c r="B344" s="12">
        <f t="shared" si="10"/>
        <v>0</v>
      </c>
      <c r="C344" s="12">
        <f t="shared" si="11"/>
        <v>0</v>
      </c>
      <c r="D344" s="12">
        <f t="shared" si="12"/>
        <v>0</v>
      </c>
      <c r="F344" s="10">
        <f t="shared" si="13"/>
        <v>0</v>
      </c>
    </row>
    <row r="345" spans="1:6" ht="14.25" customHeight="1" x14ac:dyDescent="0.3">
      <c r="A345" s="44">
        <v>333</v>
      </c>
      <c r="B345" s="12">
        <f t="shared" si="10"/>
        <v>0</v>
      </c>
      <c r="C345" s="12">
        <f t="shared" si="11"/>
        <v>0</v>
      </c>
      <c r="D345" s="12">
        <f t="shared" si="12"/>
        <v>0</v>
      </c>
      <c r="F345" s="10">
        <f t="shared" si="13"/>
        <v>0</v>
      </c>
    </row>
    <row r="346" spans="1:6" ht="14.25" customHeight="1" x14ac:dyDescent="0.3">
      <c r="A346" s="44">
        <v>334</v>
      </c>
      <c r="B346" s="12">
        <f t="shared" si="10"/>
        <v>0</v>
      </c>
      <c r="C346" s="12">
        <f t="shared" si="11"/>
        <v>0</v>
      </c>
      <c r="D346" s="12">
        <f t="shared" si="12"/>
        <v>0</v>
      </c>
      <c r="F346" s="10">
        <f t="shared" si="13"/>
        <v>0</v>
      </c>
    </row>
    <row r="347" spans="1:6" ht="14.25" customHeight="1" x14ac:dyDescent="0.3">
      <c r="A347" s="44">
        <v>335</v>
      </c>
      <c r="B347" s="12">
        <f t="shared" si="10"/>
        <v>0</v>
      </c>
      <c r="C347" s="12">
        <f t="shared" si="11"/>
        <v>0</v>
      </c>
      <c r="D347" s="12">
        <f t="shared" si="12"/>
        <v>0</v>
      </c>
      <c r="F347" s="10">
        <f t="shared" si="13"/>
        <v>0</v>
      </c>
    </row>
    <row r="348" spans="1:6" ht="14.25" customHeight="1" x14ac:dyDescent="0.3">
      <c r="A348" s="44">
        <v>336</v>
      </c>
      <c r="B348" s="12">
        <f t="shared" si="10"/>
        <v>0</v>
      </c>
      <c r="C348" s="12">
        <f t="shared" si="11"/>
        <v>0</v>
      </c>
      <c r="D348" s="12">
        <f t="shared" si="12"/>
        <v>0</v>
      </c>
      <c r="F348" s="10">
        <f t="shared" si="13"/>
        <v>0</v>
      </c>
    </row>
    <row r="349" spans="1:6" ht="14.25" customHeight="1" x14ac:dyDescent="0.3">
      <c r="A349" s="44">
        <v>337</v>
      </c>
      <c r="B349" s="12">
        <f t="shared" si="10"/>
        <v>0</v>
      </c>
      <c r="C349" s="12">
        <f t="shared" si="11"/>
        <v>0</v>
      </c>
      <c r="D349" s="12">
        <f t="shared" si="12"/>
        <v>0</v>
      </c>
      <c r="F349" s="10">
        <f t="shared" si="13"/>
        <v>0</v>
      </c>
    </row>
    <row r="350" spans="1:6" ht="14.25" customHeight="1" x14ac:dyDescent="0.3">
      <c r="A350" s="44">
        <v>338</v>
      </c>
      <c r="B350" s="12">
        <f t="shared" si="10"/>
        <v>0</v>
      </c>
      <c r="C350" s="12">
        <f t="shared" si="11"/>
        <v>0</v>
      </c>
      <c r="D350" s="12">
        <f t="shared" si="12"/>
        <v>0</v>
      </c>
      <c r="F350" s="10">
        <f t="shared" si="13"/>
        <v>0</v>
      </c>
    </row>
    <row r="351" spans="1:6" ht="14.25" customHeight="1" x14ac:dyDescent="0.3">
      <c r="A351" s="44">
        <v>339</v>
      </c>
      <c r="B351" s="12">
        <f t="shared" si="10"/>
        <v>0</v>
      </c>
      <c r="C351" s="12">
        <f t="shared" si="11"/>
        <v>0</v>
      </c>
      <c r="D351" s="12">
        <f t="shared" si="12"/>
        <v>0</v>
      </c>
      <c r="F351" s="10">
        <f t="shared" si="13"/>
        <v>0</v>
      </c>
    </row>
    <row r="352" spans="1:6" ht="14.25" customHeight="1" x14ac:dyDescent="0.3">
      <c r="A352" s="44">
        <v>340</v>
      </c>
      <c r="B352" s="12">
        <f t="shared" si="10"/>
        <v>0</v>
      </c>
      <c r="C352" s="12">
        <f t="shared" si="11"/>
        <v>0</v>
      </c>
      <c r="D352" s="12">
        <f t="shared" si="12"/>
        <v>0</v>
      </c>
      <c r="F352" s="10">
        <f t="shared" si="13"/>
        <v>0</v>
      </c>
    </row>
    <row r="353" spans="1:6" ht="14.25" customHeight="1" x14ac:dyDescent="0.3">
      <c r="A353" s="44">
        <v>341</v>
      </c>
      <c r="B353" s="12">
        <f t="shared" si="10"/>
        <v>0</v>
      </c>
      <c r="C353" s="12">
        <f t="shared" si="11"/>
        <v>0</v>
      </c>
      <c r="D353" s="12">
        <f t="shared" si="12"/>
        <v>0</v>
      </c>
      <c r="F353" s="10">
        <f t="shared" si="13"/>
        <v>0</v>
      </c>
    </row>
    <row r="354" spans="1:6" ht="14.25" customHeight="1" x14ac:dyDescent="0.3">
      <c r="A354" s="44">
        <v>342</v>
      </c>
      <c r="B354" s="12">
        <f t="shared" si="10"/>
        <v>0</v>
      </c>
      <c r="C354" s="12">
        <f t="shared" si="11"/>
        <v>0</v>
      </c>
      <c r="D354" s="12">
        <f t="shared" si="12"/>
        <v>0</v>
      </c>
      <c r="F354" s="10">
        <f t="shared" si="13"/>
        <v>0</v>
      </c>
    </row>
    <row r="355" spans="1:6" ht="14.25" customHeight="1" x14ac:dyDescent="0.3">
      <c r="A355" s="44">
        <v>343</v>
      </c>
      <c r="B355" s="12">
        <f t="shared" si="10"/>
        <v>0</v>
      </c>
      <c r="C355" s="12">
        <f t="shared" si="11"/>
        <v>0</v>
      </c>
      <c r="D355" s="12">
        <f t="shared" si="12"/>
        <v>0</v>
      </c>
      <c r="F355" s="10">
        <f t="shared" si="13"/>
        <v>0</v>
      </c>
    </row>
    <row r="356" spans="1:6" ht="14.25" customHeight="1" x14ac:dyDescent="0.3">
      <c r="A356" s="44">
        <v>344</v>
      </c>
      <c r="B356" s="12">
        <f t="shared" si="10"/>
        <v>0</v>
      </c>
      <c r="C356" s="12">
        <f t="shared" si="11"/>
        <v>0</v>
      </c>
      <c r="D356" s="12">
        <f t="shared" si="12"/>
        <v>0</v>
      </c>
      <c r="F356" s="10">
        <f t="shared" si="13"/>
        <v>0</v>
      </c>
    </row>
    <row r="357" spans="1:6" ht="14.25" customHeight="1" x14ac:dyDescent="0.3">
      <c r="A357" s="44">
        <v>345</v>
      </c>
      <c r="B357" s="12">
        <f t="shared" si="10"/>
        <v>0</v>
      </c>
      <c r="C357" s="12">
        <f t="shared" si="11"/>
        <v>0</v>
      </c>
      <c r="D357" s="12">
        <f t="shared" si="12"/>
        <v>0</v>
      </c>
      <c r="F357" s="10">
        <f t="shared" si="13"/>
        <v>0</v>
      </c>
    </row>
    <row r="358" spans="1:6" ht="14.25" customHeight="1" x14ac:dyDescent="0.3">
      <c r="A358" s="44">
        <v>346</v>
      </c>
      <c r="B358" s="12">
        <f t="shared" si="10"/>
        <v>0</v>
      </c>
      <c r="C358" s="12">
        <f t="shared" si="11"/>
        <v>0</v>
      </c>
      <c r="D358" s="12">
        <f t="shared" si="12"/>
        <v>0</v>
      </c>
      <c r="F358" s="10">
        <f t="shared" si="13"/>
        <v>0</v>
      </c>
    </row>
    <row r="359" spans="1:6" ht="14.25" customHeight="1" x14ac:dyDescent="0.3">
      <c r="A359" s="44">
        <v>347</v>
      </c>
      <c r="B359" s="12">
        <f t="shared" si="10"/>
        <v>0</v>
      </c>
      <c r="C359" s="12">
        <f t="shared" si="11"/>
        <v>0</v>
      </c>
      <c r="D359" s="12">
        <f t="shared" si="12"/>
        <v>0</v>
      </c>
      <c r="F359" s="10">
        <f t="shared" si="13"/>
        <v>0</v>
      </c>
    </row>
    <row r="360" spans="1:6" ht="14.25" customHeight="1" x14ac:dyDescent="0.3">
      <c r="A360" s="44">
        <v>348</v>
      </c>
      <c r="B360" s="12">
        <f t="shared" si="10"/>
        <v>0</v>
      </c>
      <c r="C360" s="12">
        <f t="shared" si="11"/>
        <v>0</v>
      </c>
      <c r="D360" s="12">
        <f t="shared" si="12"/>
        <v>0</v>
      </c>
      <c r="F360" s="10">
        <f t="shared" si="13"/>
        <v>0</v>
      </c>
    </row>
    <row r="361" spans="1:6" ht="14.25" customHeight="1" x14ac:dyDescent="0.3">
      <c r="A361" s="44">
        <v>349</v>
      </c>
      <c r="B361" s="12">
        <f t="shared" si="10"/>
        <v>0</v>
      </c>
      <c r="C361" s="12">
        <f t="shared" si="11"/>
        <v>0</v>
      </c>
      <c r="D361" s="12">
        <f t="shared" si="12"/>
        <v>0</v>
      </c>
      <c r="F361" s="10">
        <f t="shared" si="13"/>
        <v>0</v>
      </c>
    </row>
    <row r="362" spans="1:6" ht="14.25" customHeight="1" x14ac:dyDescent="0.3">
      <c r="A362" s="44">
        <v>350</v>
      </c>
      <c r="B362" s="12">
        <f t="shared" si="10"/>
        <v>0</v>
      </c>
      <c r="C362" s="12">
        <f t="shared" si="11"/>
        <v>0</v>
      </c>
      <c r="D362" s="12">
        <f t="shared" si="12"/>
        <v>0</v>
      </c>
      <c r="F362" s="10">
        <f t="shared" si="13"/>
        <v>0</v>
      </c>
    </row>
    <row r="363" spans="1:6" ht="14.25" customHeight="1" x14ac:dyDescent="0.3">
      <c r="A363" s="44">
        <v>351</v>
      </c>
      <c r="B363" s="12">
        <f t="shared" si="10"/>
        <v>0</v>
      </c>
      <c r="C363" s="12">
        <f t="shared" si="11"/>
        <v>0</v>
      </c>
      <c r="D363" s="12">
        <f t="shared" si="12"/>
        <v>0</v>
      </c>
      <c r="F363" s="10">
        <f t="shared" si="13"/>
        <v>0</v>
      </c>
    </row>
    <row r="364" spans="1:6" ht="14.25" customHeight="1" x14ac:dyDescent="0.3">
      <c r="A364" s="44">
        <v>352</v>
      </c>
      <c r="B364" s="12">
        <f t="shared" si="10"/>
        <v>0</v>
      </c>
      <c r="C364" s="12">
        <f t="shared" si="11"/>
        <v>0</v>
      </c>
      <c r="D364" s="12">
        <f t="shared" si="12"/>
        <v>0</v>
      </c>
      <c r="F364" s="10">
        <f t="shared" si="13"/>
        <v>0</v>
      </c>
    </row>
    <row r="365" spans="1:6" ht="14.25" customHeight="1" x14ac:dyDescent="0.3">
      <c r="A365" s="44">
        <v>353</v>
      </c>
      <c r="B365" s="12">
        <f t="shared" si="10"/>
        <v>0</v>
      </c>
      <c r="C365" s="12">
        <f t="shared" si="11"/>
        <v>0</v>
      </c>
      <c r="D365" s="12">
        <f t="shared" si="12"/>
        <v>0</v>
      </c>
      <c r="F365" s="10">
        <f t="shared" si="13"/>
        <v>0</v>
      </c>
    </row>
    <row r="366" spans="1:6" ht="14.25" customHeight="1" x14ac:dyDescent="0.3">
      <c r="A366" s="44">
        <v>354</v>
      </c>
      <c r="B366" s="12">
        <f t="shared" si="10"/>
        <v>0</v>
      </c>
      <c r="C366" s="12">
        <f t="shared" si="11"/>
        <v>0</v>
      </c>
      <c r="D366" s="12">
        <f t="shared" si="12"/>
        <v>0</v>
      </c>
      <c r="F366" s="10">
        <f t="shared" si="13"/>
        <v>0</v>
      </c>
    </row>
    <row r="367" spans="1:6" ht="14.25" customHeight="1" x14ac:dyDescent="0.3">
      <c r="A367" s="44">
        <v>355</v>
      </c>
      <c r="B367" s="12">
        <f t="shared" si="10"/>
        <v>0</v>
      </c>
      <c r="C367" s="12">
        <f t="shared" si="11"/>
        <v>0</v>
      </c>
      <c r="D367" s="12">
        <f t="shared" si="12"/>
        <v>0</v>
      </c>
      <c r="F367" s="10">
        <f t="shared" si="13"/>
        <v>0</v>
      </c>
    </row>
    <row r="368" spans="1:6" ht="14.25" customHeight="1" x14ac:dyDescent="0.3">
      <c r="A368" s="44">
        <v>356</v>
      </c>
      <c r="B368" s="12">
        <f t="shared" si="10"/>
        <v>0</v>
      </c>
      <c r="C368" s="12">
        <f t="shared" si="11"/>
        <v>0</v>
      </c>
      <c r="D368" s="12">
        <f t="shared" si="12"/>
        <v>0</v>
      </c>
      <c r="F368" s="10">
        <f t="shared" si="13"/>
        <v>0</v>
      </c>
    </row>
    <row r="369" spans="1:6" ht="14.25" customHeight="1" x14ac:dyDescent="0.3">
      <c r="A369" s="44">
        <v>357</v>
      </c>
      <c r="B369" s="12">
        <f t="shared" si="10"/>
        <v>0</v>
      </c>
      <c r="C369" s="12">
        <f t="shared" si="11"/>
        <v>0</v>
      </c>
      <c r="D369" s="12">
        <f t="shared" si="12"/>
        <v>0</v>
      </c>
      <c r="F369" s="10">
        <f t="shared" si="13"/>
        <v>0</v>
      </c>
    </row>
    <row r="370" spans="1:6" ht="14.25" customHeight="1" x14ac:dyDescent="0.3">
      <c r="A370" s="44">
        <v>358</v>
      </c>
      <c r="B370" s="12">
        <f t="shared" si="10"/>
        <v>0</v>
      </c>
      <c r="C370" s="12">
        <f t="shared" si="11"/>
        <v>0</v>
      </c>
      <c r="D370" s="12">
        <f t="shared" si="12"/>
        <v>0</v>
      </c>
      <c r="F370" s="10">
        <f t="shared" si="13"/>
        <v>0</v>
      </c>
    </row>
    <row r="371" spans="1:6" ht="14.25" customHeight="1" x14ac:dyDescent="0.3">
      <c r="A371" s="44">
        <v>359</v>
      </c>
      <c r="B371" s="12">
        <f t="shared" si="10"/>
        <v>0</v>
      </c>
      <c r="C371" s="12">
        <f t="shared" si="11"/>
        <v>0</v>
      </c>
      <c r="D371" s="12">
        <f t="shared" si="12"/>
        <v>0</v>
      </c>
      <c r="F371" s="10">
        <f t="shared" si="13"/>
        <v>0</v>
      </c>
    </row>
    <row r="372" spans="1:6" ht="14.25" customHeight="1" x14ac:dyDescent="0.3">
      <c r="A372" s="44">
        <v>360</v>
      </c>
      <c r="B372" s="12">
        <f t="shared" si="10"/>
        <v>0</v>
      </c>
      <c r="C372" s="12">
        <f t="shared" si="11"/>
        <v>0</v>
      </c>
      <c r="D372" s="12">
        <f t="shared" si="12"/>
        <v>0</v>
      </c>
      <c r="F372" s="10">
        <f t="shared" si="13"/>
        <v>0</v>
      </c>
    </row>
    <row r="373" spans="1:6" ht="14.25" customHeight="1" x14ac:dyDescent="0.3"/>
    <row r="374" spans="1:6" ht="14.25" customHeight="1" x14ac:dyDescent="0.3"/>
    <row r="375" spans="1:6" ht="14.25" customHeight="1" x14ac:dyDescent="0.3"/>
    <row r="376" spans="1:6" ht="14.25" customHeight="1" x14ac:dyDescent="0.3"/>
    <row r="377" spans="1:6" ht="14.25" customHeight="1" x14ac:dyDescent="0.3"/>
    <row r="378" spans="1:6" ht="14.25" customHeight="1" x14ac:dyDescent="0.3"/>
    <row r="379" spans="1:6" ht="14.25" customHeight="1" x14ac:dyDescent="0.3"/>
    <row r="380" spans="1:6" ht="14.25" customHeight="1" x14ac:dyDescent="0.3"/>
    <row r="381" spans="1:6" ht="14.25" customHeight="1" x14ac:dyDescent="0.3"/>
    <row r="382" spans="1:6" ht="14.25" customHeight="1" x14ac:dyDescent="0.3"/>
    <row r="383" spans="1:6" ht="14.25" customHeight="1" x14ac:dyDescent="0.3"/>
    <row r="384" spans="1:6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conditionalFormatting sqref="A13:D372 F13:F372">
    <cfRule type="expression" dxfId="32" priority="4" stopIfTrue="1">
      <formula>ROUND($F12,5)=0</formula>
    </cfRule>
    <cfRule type="expression" dxfId="31" priority="5" stopIfTrue="1">
      <formula>$A13&gt;($B$6*$B$8)</formula>
    </cfRule>
    <cfRule type="expression" dxfId="30" priority="6" stopIfTrue="1">
      <formula>ROUND($F13,5)=0</formula>
    </cfRule>
  </conditionalFormatting>
  <conditionalFormatting sqref="E60">
    <cfRule type="expression" dxfId="29" priority="1" stopIfTrue="1">
      <formula>ROUND($F59,5)=0</formula>
    </cfRule>
    <cfRule type="expression" dxfId="28" priority="2" stopIfTrue="1">
      <formula>$A60&gt;($B$6*$B$8)</formula>
    </cfRule>
    <cfRule type="expression" dxfId="27" priority="3" stopIfTrue="1">
      <formula>ROUND($F60,5)=0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2719-9795-4932-938C-E6D50C0BB173}">
  <dimension ref="A1:W1000"/>
  <sheetViews>
    <sheetView zoomScaleNormal="100" workbookViewId="0">
      <selection activeCell="B2" sqref="B2"/>
    </sheetView>
  </sheetViews>
  <sheetFormatPr defaultColWidth="14.44140625" defaultRowHeight="15" customHeight="1" x14ac:dyDescent="0.3"/>
  <cols>
    <col min="1" max="1" width="21.109375" customWidth="1"/>
    <col min="2" max="3" width="13.109375" bestFit="1" customWidth="1"/>
    <col min="4" max="4" width="22.5546875" customWidth="1"/>
    <col min="5" max="5" width="17" customWidth="1"/>
    <col min="6" max="6" width="12.6640625" customWidth="1"/>
    <col min="7" max="7" width="16" customWidth="1"/>
    <col min="8" max="8" width="17.5546875" customWidth="1"/>
    <col min="9" max="9" width="28.33203125" customWidth="1"/>
    <col min="10" max="13" width="11.6640625" customWidth="1"/>
    <col min="14" max="14" width="16" customWidth="1"/>
    <col min="15" max="15" width="15" customWidth="1"/>
    <col min="16" max="16" width="12.6640625" customWidth="1"/>
    <col min="17" max="17" width="8.6640625" customWidth="1"/>
    <col min="18" max="19" width="16" customWidth="1"/>
    <col min="20" max="20" width="15.109375" customWidth="1"/>
    <col min="21" max="21" width="22.33203125" customWidth="1"/>
    <col min="22" max="26" width="8.6640625" customWidth="1"/>
  </cols>
  <sheetData>
    <row r="1" spans="1:23" ht="14.25" customHeight="1" thickBot="1" x14ac:dyDescent="0.35">
      <c r="A1" s="65" t="s">
        <v>0</v>
      </c>
      <c r="B1" s="66"/>
      <c r="F1" s="1"/>
    </row>
    <row r="2" spans="1:23" ht="14.25" customHeight="1" x14ac:dyDescent="0.3">
      <c r="A2" s="2" t="s">
        <v>1</v>
      </c>
      <c r="B2" s="3">
        <f>+Credit!B2</f>
        <v>20000</v>
      </c>
      <c r="D2" s="4"/>
      <c r="E2" s="5"/>
      <c r="F2" s="1"/>
      <c r="G2" s="1"/>
      <c r="H2" s="6" t="s">
        <v>2</v>
      </c>
      <c r="I2" s="7"/>
      <c r="J2" s="7"/>
    </row>
    <row r="3" spans="1:23" ht="14.25" customHeight="1" x14ac:dyDescent="0.3">
      <c r="A3" s="1" t="s">
        <v>3</v>
      </c>
      <c r="B3" s="8">
        <v>0</v>
      </c>
      <c r="D3" s="4" t="s">
        <v>4</v>
      </c>
      <c r="E3" s="9">
        <f>+SUM(C13:C60)</f>
        <v>394.45549092030632</v>
      </c>
      <c r="F3" s="10"/>
      <c r="G3" s="1"/>
      <c r="H3" s="11"/>
      <c r="I3" s="7"/>
      <c r="J3" s="11"/>
      <c r="K3" s="12"/>
      <c r="L3" s="12"/>
      <c r="M3" s="12"/>
      <c r="S3" s="13"/>
      <c r="T3" s="14"/>
      <c r="U3" s="15" t="s">
        <v>5</v>
      </c>
      <c r="V3" s="16"/>
    </row>
    <row r="4" spans="1:23" ht="14.25" customHeight="1" x14ac:dyDescent="0.3">
      <c r="A4" s="1" t="s">
        <v>6</v>
      </c>
      <c r="B4" s="10">
        <f>+B2-B3</f>
        <v>20000</v>
      </c>
      <c r="D4" s="4" t="s">
        <v>7</v>
      </c>
      <c r="E4" s="9">
        <f>+SUM(D13:D60)</f>
        <v>20000.000000000004</v>
      </c>
      <c r="F4" s="9"/>
      <c r="G4" s="17"/>
      <c r="H4" s="18" t="s">
        <v>8</v>
      </c>
      <c r="I4" s="19">
        <f>+B2</f>
        <v>20000</v>
      </c>
      <c r="J4" s="20"/>
      <c r="K4" s="21"/>
      <c r="L4" s="21"/>
      <c r="M4" s="21"/>
      <c r="R4" s="1" t="s">
        <v>8</v>
      </c>
      <c r="S4" s="22">
        <v>20000</v>
      </c>
      <c r="T4" s="7"/>
      <c r="U4" s="23">
        <v>374.35</v>
      </c>
      <c r="V4" s="16"/>
    </row>
    <row r="5" spans="1:23" ht="14.25" customHeight="1" x14ac:dyDescent="0.3">
      <c r="A5" s="1" t="s">
        <v>9</v>
      </c>
      <c r="B5" s="24">
        <f>+C5*B2</f>
        <v>0</v>
      </c>
      <c r="C5" s="25">
        <v>0</v>
      </c>
      <c r="D5" s="4"/>
      <c r="E5" s="9"/>
      <c r="H5" s="6" t="s">
        <v>10</v>
      </c>
      <c r="I5" s="19">
        <f>B5/(1+(B7)/12)^48</f>
        <v>0</v>
      </c>
      <c r="J5" s="7"/>
      <c r="R5" s="1" t="s">
        <v>10</v>
      </c>
      <c r="S5" s="22">
        <f>2000/(1+(U7)/12)^48</f>
        <v>1488.9275748937866</v>
      </c>
      <c r="T5" s="20"/>
      <c r="U5" s="26">
        <v>12</v>
      </c>
    </row>
    <row r="6" spans="1:23" ht="14.25" customHeight="1" x14ac:dyDescent="0.3">
      <c r="A6" s="1" t="s">
        <v>11</v>
      </c>
      <c r="B6" s="27">
        <v>4</v>
      </c>
      <c r="C6" s="10"/>
      <c r="D6" s="4" t="s">
        <v>12</v>
      </c>
      <c r="E6" s="9">
        <f>SUM(E4:E5)</f>
        <v>20000.000000000004</v>
      </c>
      <c r="H6" s="6" t="s">
        <v>13</v>
      </c>
      <c r="I6" s="19">
        <f>+I4-I5</f>
        <v>20000</v>
      </c>
      <c r="J6" s="7"/>
      <c r="R6" s="1" t="s">
        <v>13</v>
      </c>
      <c r="S6" s="28">
        <f>+S4-S5</f>
        <v>18511.072425106213</v>
      </c>
      <c r="T6" s="29"/>
      <c r="U6" s="26">
        <v>4</v>
      </c>
    </row>
    <row r="7" spans="1:23" ht="14.25" customHeight="1" x14ac:dyDescent="0.3">
      <c r="A7" s="1" t="s">
        <v>14</v>
      </c>
      <c r="B7" s="30">
        <v>9.5999999999999992E-3</v>
      </c>
      <c r="D7" s="4" t="s">
        <v>15</v>
      </c>
      <c r="E7" s="9">
        <f>SUM(E3:E5)</f>
        <v>20394.455490920311</v>
      </c>
      <c r="H7" s="31"/>
      <c r="I7" s="31"/>
      <c r="S7" s="32"/>
      <c r="T7" s="33"/>
      <c r="U7" s="34">
        <v>7.3999999999999996E-2</v>
      </c>
    </row>
    <row r="8" spans="1:23" ht="14.25" customHeight="1" x14ac:dyDescent="0.3">
      <c r="A8" s="1" t="s">
        <v>16</v>
      </c>
      <c r="B8" s="35">
        <v>12</v>
      </c>
      <c r="D8" s="36" t="s">
        <v>17</v>
      </c>
      <c r="E8" s="37">
        <f>+SUM(E13:E60)</f>
        <v>25289.124808741173</v>
      </c>
      <c r="F8" s="10"/>
      <c r="H8" s="1" t="s">
        <v>18</v>
      </c>
      <c r="U8" s="16"/>
    </row>
    <row r="9" spans="1:23" ht="14.25" customHeight="1" x14ac:dyDescent="0.3">
      <c r="A9" s="1" t="s">
        <v>19</v>
      </c>
      <c r="B9" s="62">
        <f>-PMT(B7/B8,(B6*B8),B4,-B5)</f>
        <v>424.8844893941731</v>
      </c>
      <c r="D9" s="4" t="s">
        <v>20</v>
      </c>
      <c r="E9" s="10">
        <f>+E8-E7</f>
        <v>4894.6693178208625</v>
      </c>
      <c r="H9" s="1" t="s">
        <v>21</v>
      </c>
      <c r="S9" s="21" t="s">
        <v>8</v>
      </c>
      <c r="T9" s="38">
        <f t="shared" ref="T9:T10" si="0">+S4</f>
        <v>20000</v>
      </c>
      <c r="U9" s="39"/>
      <c r="V9" s="39"/>
    </row>
    <row r="10" spans="1:23" ht="14.25" customHeight="1" thickBot="1" x14ac:dyDescent="0.35">
      <c r="B10" s="16">
        <f>PMT(B7/B8,(B6*B8),-B4,+B5)</f>
        <v>424.8844893941731</v>
      </c>
      <c r="C10" s="16">
        <f>PMT(B7/B8,(B6*B8),-B4+B5/(1+(B7)/12)^48)</f>
        <v>424.8844893941731</v>
      </c>
      <c r="H10" s="1" t="s">
        <v>22</v>
      </c>
      <c r="S10" s="1" t="s">
        <v>10</v>
      </c>
      <c r="T10" s="38">
        <f t="shared" si="0"/>
        <v>1488.9275748937866</v>
      </c>
      <c r="U10" s="40"/>
      <c r="V10" s="40"/>
    </row>
    <row r="11" spans="1:23" ht="14.25" customHeight="1" thickBot="1" x14ac:dyDescent="0.35">
      <c r="A11" s="41" t="s">
        <v>23</v>
      </c>
      <c r="B11" s="41" t="s">
        <v>19</v>
      </c>
      <c r="C11" s="41" t="s">
        <v>24</v>
      </c>
      <c r="D11" s="41" t="s">
        <v>25</v>
      </c>
      <c r="E11" s="41" t="s">
        <v>26</v>
      </c>
      <c r="F11" s="41" t="s">
        <v>27</v>
      </c>
      <c r="P11" s="16"/>
      <c r="S11" s="1" t="s">
        <v>13</v>
      </c>
      <c r="T11" s="42">
        <f>+T9-T10</f>
        <v>18511.072425106213</v>
      </c>
      <c r="U11" s="43"/>
    </row>
    <row r="12" spans="1:23" ht="14.25" customHeight="1" x14ac:dyDescent="0.3">
      <c r="A12" s="44">
        <v>0</v>
      </c>
      <c r="B12" s="10"/>
      <c r="C12" s="10"/>
      <c r="D12" s="10"/>
      <c r="F12" s="10">
        <f>B4</f>
        <v>20000</v>
      </c>
      <c r="H12" s="6" t="s">
        <v>13</v>
      </c>
      <c r="I12" s="45">
        <f>+I6</f>
        <v>20000</v>
      </c>
      <c r="K12" s="46"/>
      <c r="L12" s="1"/>
      <c r="O12" s="16"/>
      <c r="T12" s="43"/>
      <c r="U12" s="43"/>
    </row>
    <row r="13" spans="1:23" ht="14.25" customHeight="1" x14ac:dyDescent="0.3">
      <c r="A13" s="44">
        <v>1</v>
      </c>
      <c r="B13" s="10">
        <f t="shared" ref="B13:B267" si="1">IF($B$9&lt;=F12,$B$9,F12+F12*$B$7/$B$8)</f>
        <v>424.8844893941731</v>
      </c>
      <c r="C13" s="10">
        <f t="shared" ref="C13:C267" si="2">IF(B13&gt;0,$B$7/$B$8*F12,0)</f>
        <v>15.999999999999998</v>
      </c>
      <c r="D13" s="10">
        <f t="shared" ref="D13:D267" si="3">IF(B13&gt;0,MIN(B13-C13,F12),0)</f>
        <v>408.8844893941731</v>
      </c>
      <c r="E13" s="17">
        <f>+B13*1.24</f>
        <v>526.85676684877467</v>
      </c>
      <c r="F13" s="10">
        <f t="shared" ref="F13:F76" si="4">IF(ROUND(F12,5)&gt;0,F12-D13,0)</f>
        <v>19591.115510605829</v>
      </c>
      <c r="G13" s="10"/>
      <c r="H13" s="20" t="s">
        <v>28</v>
      </c>
      <c r="I13" s="45">
        <f>1+1/0.01*(1-1/1.01^47)</f>
        <v>38.353699088415063</v>
      </c>
      <c r="K13" s="46"/>
      <c r="L13" s="1"/>
      <c r="T13" s="1" t="str">
        <f t="shared" ref="T13:U13" si="5">+S11</f>
        <v>ΠΑ Μισθωμάτων</v>
      </c>
      <c r="U13" s="47">
        <f t="shared" si="5"/>
        <v>18511.072425106213</v>
      </c>
    </row>
    <row r="14" spans="1:23" ht="14.25" customHeight="1" x14ac:dyDescent="0.3">
      <c r="A14" s="44">
        <v>2</v>
      </c>
      <c r="B14" s="10">
        <f t="shared" si="1"/>
        <v>424.8844893941731</v>
      </c>
      <c r="C14" s="10">
        <f t="shared" si="2"/>
        <v>15.672892408484662</v>
      </c>
      <c r="D14" s="10">
        <f t="shared" si="3"/>
        <v>409.21159698568846</v>
      </c>
      <c r="E14" s="17">
        <f t="shared" ref="E14:E60" si="6">+B14*1.24</f>
        <v>526.85676684877467</v>
      </c>
      <c r="F14" s="10">
        <f t="shared" si="4"/>
        <v>19181.903913620139</v>
      </c>
      <c r="G14" s="10"/>
      <c r="H14" s="48" t="s">
        <v>29</v>
      </c>
      <c r="I14" s="45">
        <f>+I12/I13</f>
        <v>521.46208776094579</v>
      </c>
      <c r="K14" s="46"/>
      <c r="L14" s="1"/>
      <c r="T14" s="21"/>
      <c r="U14" s="47">
        <f>1+1/0.006167*(1-1/1.006167^47)</f>
        <v>41.693532625878035</v>
      </c>
      <c r="V14" s="49"/>
      <c r="W14" s="1">
        <f>+U7/12</f>
        <v>6.1666666666666667E-3</v>
      </c>
    </row>
    <row r="15" spans="1:23" ht="14.25" customHeight="1" x14ac:dyDescent="0.3">
      <c r="A15" s="44">
        <v>3</v>
      </c>
      <c r="B15" s="10">
        <f t="shared" si="1"/>
        <v>424.8844893941731</v>
      </c>
      <c r="C15" s="10">
        <f t="shared" si="2"/>
        <v>15.34552313089611</v>
      </c>
      <c r="D15" s="10">
        <f t="shared" si="3"/>
        <v>409.53896626327702</v>
      </c>
      <c r="E15" s="17">
        <f t="shared" si="6"/>
        <v>526.85676684877467</v>
      </c>
      <c r="F15" s="10">
        <f t="shared" si="4"/>
        <v>18772.364947356862</v>
      </c>
      <c r="G15" s="10"/>
      <c r="H15" s="7" t="s">
        <v>30</v>
      </c>
      <c r="I15" s="45">
        <f>+I14*48</f>
        <v>25030.180212525396</v>
      </c>
      <c r="T15" s="50" t="s">
        <v>29</v>
      </c>
      <c r="U15" s="47">
        <f>+U13/U14</f>
        <v>443.9794677800196</v>
      </c>
    </row>
    <row r="16" spans="1:23" ht="14.25" customHeight="1" x14ac:dyDescent="0.3">
      <c r="A16" s="44">
        <v>4</v>
      </c>
      <c r="B16" s="10">
        <f t="shared" si="1"/>
        <v>424.8844893941731</v>
      </c>
      <c r="C16" s="10">
        <f t="shared" si="2"/>
        <v>15.017891957885489</v>
      </c>
      <c r="D16" s="10">
        <f t="shared" si="3"/>
        <v>409.86659743628763</v>
      </c>
      <c r="E16" s="17">
        <f t="shared" si="6"/>
        <v>526.85676684877467</v>
      </c>
      <c r="F16" s="10">
        <f t="shared" si="4"/>
        <v>18362.498349920574</v>
      </c>
      <c r="G16" s="10"/>
      <c r="H16" s="7" t="s">
        <v>31</v>
      </c>
      <c r="I16" s="45">
        <f>+I15+B5</f>
        <v>25030.180212525396</v>
      </c>
      <c r="U16" s="47">
        <f>+U15*48</f>
        <v>21311.014453440941</v>
      </c>
    </row>
    <row r="17" spans="1:21" ht="14.25" customHeight="1" x14ac:dyDescent="0.3">
      <c r="A17" s="44">
        <v>5</v>
      </c>
      <c r="B17" s="10">
        <f t="shared" si="1"/>
        <v>424.8844893941731</v>
      </c>
      <c r="C17" s="10">
        <f t="shared" si="2"/>
        <v>14.689998679936458</v>
      </c>
      <c r="D17" s="10">
        <f t="shared" si="3"/>
        <v>410.19449071423662</v>
      </c>
      <c r="E17" s="17">
        <f t="shared" si="6"/>
        <v>526.85676684877467</v>
      </c>
      <c r="F17" s="10">
        <f t="shared" si="4"/>
        <v>17952.303859206339</v>
      </c>
      <c r="G17" s="10"/>
      <c r="H17" s="6" t="s">
        <v>32</v>
      </c>
      <c r="I17" s="19"/>
      <c r="U17" s="47">
        <f>+U16+2000</f>
        <v>23311.014453440941</v>
      </c>
    </row>
    <row r="18" spans="1:21" ht="14.25" customHeight="1" x14ac:dyDescent="0.3">
      <c r="A18" s="44">
        <v>6</v>
      </c>
      <c r="B18" s="10">
        <f t="shared" si="1"/>
        <v>424.8844893941731</v>
      </c>
      <c r="C18" s="10">
        <f t="shared" si="2"/>
        <v>14.36184308736507</v>
      </c>
      <c r="D18" s="10">
        <f t="shared" si="3"/>
        <v>410.52264630680804</v>
      </c>
      <c r="E18" s="17">
        <f t="shared" si="6"/>
        <v>526.85676684877467</v>
      </c>
      <c r="F18" s="10">
        <f t="shared" si="4"/>
        <v>17541.781212899532</v>
      </c>
      <c r="G18" s="10"/>
      <c r="H18" s="51" t="s">
        <v>8</v>
      </c>
      <c r="I18" s="52">
        <f>-I4</f>
        <v>-20000</v>
      </c>
    </row>
    <row r="19" spans="1:21" ht="14.25" customHeight="1" x14ac:dyDescent="0.3">
      <c r="A19" s="44">
        <v>7</v>
      </c>
      <c r="B19" s="10">
        <f t="shared" si="1"/>
        <v>424.8844893941731</v>
      </c>
      <c r="C19" s="10">
        <f t="shared" si="2"/>
        <v>14.033424970319624</v>
      </c>
      <c r="D19" s="10">
        <f t="shared" si="3"/>
        <v>410.85106442385347</v>
      </c>
      <c r="E19" s="17">
        <f t="shared" si="6"/>
        <v>526.85676684877467</v>
      </c>
      <c r="F19" s="10">
        <f t="shared" si="4"/>
        <v>17130.93014847568</v>
      </c>
      <c r="G19" s="10"/>
      <c r="H19" s="53" t="str">
        <f t="shared" ref="H19:I20" si="7">+H5</f>
        <v>ΠΑ(ΥΑ)</v>
      </c>
      <c r="I19" s="52">
        <f t="shared" si="7"/>
        <v>0</v>
      </c>
      <c r="T19" s="1" t="s">
        <v>33</v>
      </c>
      <c r="U19" s="54" t="s">
        <v>34</v>
      </c>
    </row>
    <row r="20" spans="1:21" ht="14.25" customHeight="1" x14ac:dyDescent="0.3">
      <c r="A20" s="44">
        <v>8</v>
      </c>
      <c r="B20" s="10">
        <f t="shared" si="1"/>
        <v>424.8844893941731</v>
      </c>
      <c r="C20" s="10">
        <f t="shared" si="2"/>
        <v>13.704744118780543</v>
      </c>
      <c r="D20" s="10">
        <f t="shared" si="3"/>
        <v>411.17974527539258</v>
      </c>
      <c r="E20" s="17">
        <f t="shared" si="6"/>
        <v>526.85676684877467</v>
      </c>
      <c r="F20" s="10">
        <f t="shared" si="4"/>
        <v>16719.750403200287</v>
      </c>
      <c r="G20" s="10"/>
      <c r="H20" s="7" t="str">
        <f t="shared" si="7"/>
        <v>ΠΑ Μισθωμάτων</v>
      </c>
      <c r="I20" s="52">
        <f t="shared" si="7"/>
        <v>20000</v>
      </c>
    </row>
    <row r="21" spans="1:21" ht="14.25" customHeight="1" x14ac:dyDescent="0.3">
      <c r="A21" s="44">
        <v>9</v>
      </c>
      <c r="B21" s="10">
        <f t="shared" si="1"/>
        <v>424.8844893941731</v>
      </c>
      <c r="C21" s="10">
        <f t="shared" si="2"/>
        <v>13.375800322560229</v>
      </c>
      <c r="D21" s="10">
        <f t="shared" si="3"/>
        <v>411.50868907161288</v>
      </c>
      <c r="E21" s="17">
        <f t="shared" si="6"/>
        <v>526.85676684877467</v>
      </c>
      <c r="F21" s="10">
        <f t="shared" si="4"/>
        <v>16308.241714128675</v>
      </c>
      <c r="G21" s="10"/>
      <c r="H21" s="7" t="s">
        <v>35</v>
      </c>
      <c r="I21" s="55">
        <f>+I20+I19+I18</f>
        <v>0</v>
      </c>
      <c r="U21" s="17">
        <f>-T9</f>
        <v>-20000</v>
      </c>
    </row>
    <row r="22" spans="1:21" ht="14.25" customHeight="1" x14ac:dyDescent="0.3">
      <c r="A22" s="44">
        <v>10</v>
      </c>
      <c r="B22" s="10">
        <f t="shared" si="1"/>
        <v>424.8844893941731</v>
      </c>
      <c r="C22" s="10">
        <f t="shared" si="2"/>
        <v>13.046593371302938</v>
      </c>
      <c r="D22" s="10">
        <f t="shared" si="3"/>
        <v>411.83789602287015</v>
      </c>
      <c r="E22" s="17">
        <f t="shared" si="6"/>
        <v>526.85676684877467</v>
      </c>
      <c r="F22" s="10">
        <f t="shared" si="4"/>
        <v>15896.403818105806</v>
      </c>
      <c r="G22" s="10"/>
      <c r="U22" s="17">
        <f t="shared" ref="U22:U23" si="8">+T10</f>
        <v>1488.9275748937866</v>
      </c>
    </row>
    <row r="23" spans="1:21" ht="14.25" customHeight="1" x14ac:dyDescent="0.3">
      <c r="A23" s="44">
        <v>11</v>
      </c>
      <c r="B23" s="10">
        <f t="shared" si="1"/>
        <v>424.8844893941731</v>
      </c>
      <c r="C23" s="10">
        <f t="shared" si="2"/>
        <v>12.717123054484643</v>
      </c>
      <c r="D23" s="10">
        <f t="shared" si="3"/>
        <v>412.16736633968844</v>
      </c>
      <c r="E23" s="17">
        <f t="shared" si="6"/>
        <v>526.85676684877467</v>
      </c>
      <c r="F23" s="10">
        <f t="shared" si="4"/>
        <v>15484.236451766117</v>
      </c>
      <c r="G23" s="10"/>
      <c r="H23" t="s">
        <v>42</v>
      </c>
      <c r="U23" s="17">
        <f t="shared" si="8"/>
        <v>18511.072425106213</v>
      </c>
    </row>
    <row r="24" spans="1:21" ht="14.25" customHeight="1" x14ac:dyDescent="0.3">
      <c r="A24" s="44">
        <v>12</v>
      </c>
      <c r="B24" s="10">
        <f t="shared" si="1"/>
        <v>424.8844893941731</v>
      </c>
      <c r="C24" s="10">
        <f t="shared" si="2"/>
        <v>12.387389161412893</v>
      </c>
      <c r="D24" s="10">
        <f t="shared" si="3"/>
        <v>412.4971002327602</v>
      </c>
      <c r="E24" s="17">
        <f t="shared" si="6"/>
        <v>526.85676684877467</v>
      </c>
      <c r="F24" s="10">
        <f t="shared" si="4"/>
        <v>15071.739351533357</v>
      </c>
      <c r="G24" s="10"/>
      <c r="H24" t="s">
        <v>40</v>
      </c>
      <c r="I24" s="1"/>
      <c r="U24" s="17">
        <f>+U23+U22+U21</f>
        <v>0</v>
      </c>
    </row>
    <row r="25" spans="1:21" ht="14.25" customHeight="1" x14ac:dyDescent="0.3">
      <c r="A25" s="44">
        <v>13</v>
      </c>
      <c r="B25" s="10">
        <f t="shared" si="1"/>
        <v>424.8844893941731</v>
      </c>
      <c r="C25" s="10">
        <f t="shared" si="2"/>
        <v>12.057391481226684</v>
      </c>
      <c r="D25" s="10">
        <f t="shared" si="3"/>
        <v>412.82709791294644</v>
      </c>
      <c r="E25" s="17">
        <f t="shared" si="6"/>
        <v>526.85676684877467</v>
      </c>
      <c r="F25" s="10">
        <f t="shared" si="4"/>
        <v>14658.91225362041</v>
      </c>
      <c r="G25" s="10"/>
      <c r="H25" t="s">
        <v>39</v>
      </c>
      <c r="I25" s="46"/>
    </row>
    <row r="26" spans="1:21" ht="14.25" customHeight="1" x14ac:dyDescent="0.3">
      <c r="A26" s="44">
        <v>14</v>
      </c>
      <c r="B26" s="10">
        <f t="shared" si="1"/>
        <v>424.8844893941731</v>
      </c>
      <c r="C26" s="10">
        <f t="shared" si="2"/>
        <v>11.727129802896327</v>
      </c>
      <c r="D26" s="10">
        <f t="shared" si="3"/>
        <v>413.15735959127676</v>
      </c>
      <c r="E26" s="17">
        <f t="shared" si="6"/>
        <v>526.85676684877467</v>
      </c>
      <c r="F26" s="10">
        <f t="shared" si="4"/>
        <v>14245.754894029134</v>
      </c>
      <c r="G26" s="10"/>
      <c r="H26" s="10" t="s">
        <v>41</v>
      </c>
    </row>
    <row r="27" spans="1:21" ht="14.25" customHeight="1" x14ac:dyDescent="0.3">
      <c r="A27" s="44">
        <v>15</v>
      </c>
      <c r="B27" s="10">
        <f t="shared" si="1"/>
        <v>424.8844893941731</v>
      </c>
      <c r="C27" s="10">
        <f t="shared" si="2"/>
        <v>11.396603915223306</v>
      </c>
      <c r="D27" s="10">
        <f t="shared" si="3"/>
        <v>413.48788547894981</v>
      </c>
      <c r="E27" s="17">
        <f t="shared" si="6"/>
        <v>526.85676684877467</v>
      </c>
      <c r="F27" s="10">
        <f t="shared" si="4"/>
        <v>13832.267008550185</v>
      </c>
      <c r="G27" s="10"/>
      <c r="H27" s="10"/>
    </row>
    <row r="28" spans="1:21" ht="14.25" customHeight="1" x14ac:dyDescent="0.3">
      <c r="A28" s="44">
        <v>16</v>
      </c>
      <c r="B28" s="10">
        <f t="shared" si="1"/>
        <v>424.8844893941731</v>
      </c>
      <c r="C28" s="10">
        <f t="shared" si="2"/>
        <v>11.065813606840146</v>
      </c>
      <c r="D28" s="10">
        <f t="shared" si="3"/>
        <v>413.81867578733295</v>
      </c>
      <c r="E28" s="17">
        <f t="shared" si="6"/>
        <v>526.85676684877467</v>
      </c>
      <c r="F28" s="10">
        <f t="shared" si="4"/>
        <v>13418.448332762851</v>
      </c>
      <c r="G28" s="10"/>
    </row>
    <row r="29" spans="1:21" ht="14.25" customHeight="1" x14ac:dyDescent="0.3">
      <c r="A29" s="44">
        <v>17</v>
      </c>
      <c r="B29" s="10">
        <f t="shared" si="1"/>
        <v>424.8844893941731</v>
      </c>
      <c r="C29" s="10">
        <f t="shared" si="2"/>
        <v>10.734758666210281</v>
      </c>
      <c r="D29" s="10">
        <f t="shared" si="3"/>
        <v>414.14973072796283</v>
      </c>
      <c r="E29" s="17">
        <f t="shared" si="6"/>
        <v>526.85676684877467</v>
      </c>
      <c r="F29" s="10">
        <f t="shared" si="4"/>
        <v>13004.298602034889</v>
      </c>
      <c r="G29" s="10"/>
      <c r="H29" s="21"/>
    </row>
    <row r="30" spans="1:21" ht="14.25" customHeight="1" x14ac:dyDescent="0.3">
      <c r="A30" s="44">
        <v>18</v>
      </c>
      <c r="B30" s="10">
        <f t="shared" si="1"/>
        <v>424.8844893941731</v>
      </c>
      <c r="C30" s="10">
        <f t="shared" si="2"/>
        <v>10.40343888162791</v>
      </c>
      <c r="D30" s="10">
        <f t="shared" si="3"/>
        <v>414.48105051254521</v>
      </c>
      <c r="E30" s="17">
        <f t="shared" si="6"/>
        <v>526.85676684877467</v>
      </c>
      <c r="F30" s="10">
        <f t="shared" si="4"/>
        <v>12589.817551522343</v>
      </c>
      <c r="G30" s="10"/>
      <c r="H30" s="17"/>
    </row>
    <row r="31" spans="1:21" ht="14.25" customHeight="1" x14ac:dyDescent="0.3">
      <c r="A31" s="44">
        <v>19</v>
      </c>
      <c r="B31" s="10">
        <f t="shared" si="1"/>
        <v>424.8844893941731</v>
      </c>
      <c r="C31" s="10">
        <f t="shared" si="2"/>
        <v>10.071854041217874</v>
      </c>
      <c r="D31" s="10">
        <f t="shared" si="3"/>
        <v>414.81263535295523</v>
      </c>
      <c r="E31" s="17">
        <f t="shared" si="6"/>
        <v>526.85676684877467</v>
      </c>
      <c r="F31" s="10">
        <f t="shared" si="4"/>
        <v>12175.004916169388</v>
      </c>
      <c r="G31" s="10"/>
      <c r="H31" s="56"/>
    </row>
    <row r="32" spans="1:21" ht="14.25" customHeight="1" x14ac:dyDescent="0.3">
      <c r="A32" s="44">
        <v>20</v>
      </c>
      <c r="B32" s="10">
        <f t="shared" si="1"/>
        <v>424.8844893941731</v>
      </c>
      <c r="C32" s="10">
        <f t="shared" si="2"/>
        <v>9.7400039329355099</v>
      </c>
      <c r="D32" s="10">
        <f t="shared" si="3"/>
        <v>415.14448546123759</v>
      </c>
      <c r="E32" s="17">
        <f t="shared" si="6"/>
        <v>526.85676684877467</v>
      </c>
      <c r="F32" s="10">
        <f t="shared" si="4"/>
        <v>11759.86043070815</v>
      </c>
      <c r="G32" s="10"/>
      <c r="H32" s="57"/>
    </row>
    <row r="33" spans="1:13" ht="14.25" customHeight="1" x14ac:dyDescent="0.3">
      <c r="A33" s="44">
        <v>21</v>
      </c>
      <c r="B33" s="10">
        <f t="shared" si="1"/>
        <v>424.8844893941731</v>
      </c>
      <c r="C33" s="10">
        <f t="shared" si="2"/>
        <v>9.4078883445665191</v>
      </c>
      <c r="D33" s="10">
        <f t="shared" si="3"/>
        <v>415.47660104960659</v>
      </c>
      <c r="E33" s="17">
        <f t="shared" si="6"/>
        <v>526.85676684877467</v>
      </c>
      <c r="F33" s="10">
        <f t="shared" si="4"/>
        <v>11344.383829658544</v>
      </c>
      <c r="G33" s="10"/>
      <c r="H33" s="10"/>
    </row>
    <row r="34" spans="1:13" ht="14.25" customHeight="1" x14ac:dyDescent="0.3">
      <c r="A34" s="44">
        <v>22</v>
      </c>
      <c r="B34" s="10">
        <f t="shared" si="1"/>
        <v>424.8844893941731</v>
      </c>
      <c r="C34" s="10">
        <f t="shared" si="2"/>
        <v>9.0755070637268336</v>
      </c>
      <c r="D34" s="10">
        <f t="shared" si="3"/>
        <v>415.80898233044627</v>
      </c>
      <c r="E34" s="17">
        <f t="shared" si="6"/>
        <v>526.85676684877467</v>
      </c>
      <c r="F34" s="10">
        <f t="shared" si="4"/>
        <v>10928.574847328098</v>
      </c>
      <c r="G34" s="10"/>
      <c r="H34" s="10"/>
    </row>
    <row r="35" spans="1:13" ht="14.25" customHeight="1" x14ac:dyDescent="0.3">
      <c r="A35" s="44">
        <v>23</v>
      </c>
      <c r="B35" s="10">
        <f t="shared" si="1"/>
        <v>424.8844893941731</v>
      </c>
      <c r="C35" s="10">
        <f t="shared" si="2"/>
        <v>8.7428598778624771</v>
      </c>
      <c r="D35" s="10">
        <f t="shared" si="3"/>
        <v>416.14162951631062</v>
      </c>
      <c r="E35" s="17">
        <f t="shared" si="6"/>
        <v>526.85676684877467</v>
      </c>
      <c r="F35" s="10">
        <f t="shared" si="4"/>
        <v>10512.433217811787</v>
      </c>
      <c r="G35" s="10"/>
      <c r="H35" s="10"/>
    </row>
    <row r="36" spans="1:13" ht="14.25" customHeight="1" x14ac:dyDescent="0.3">
      <c r="A36" s="44">
        <v>24</v>
      </c>
      <c r="B36" s="10">
        <f t="shared" si="1"/>
        <v>424.8844893941731</v>
      </c>
      <c r="C36" s="10">
        <f t="shared" si="2"/>
        <v>8.4099465742494299</v>
      </c>
      <c r="D36" s="10">
        <f t="shared" si="3"/>
        <v>416.47454281992367</v>
      </c>
      <c r="E36" s="17">
        <f t="shared" si="6"/>
        <v>526.85676684877467</v>
      </c>
      <c r="F36" s="10">
        <f t="shared" si="4"/>
        <v>10095.958674991864</v>
      </c>
      <c r="G36" s="10"/>
      <c r="H36" s="10"/>
    </row>
    <row r="37" spans="1:13" ht="14.25" customHeight="1" x14ac:dyDescent="0.3">
      <c r="A37" s="44">
        <v>25</v>
      </c>
      <c r="B37" s="10">
        <f t="shared" si="1"/>
        <v>424.8844893941731</v>
      </c>
      <c r="C37" s="10">
        <f t="shared" si="2"/>
        <v>8.0767669399934903</v>
      </c>
      <c r="D37" s="10">
        <f t="shared" si="3"/>
        <v>416.80772245417961</v>
      </c>
      <c r="E37" s="17">
        <f t="shared" si="6"/>
        <v>526.85676684877467</v>
      </c>
      <c r="F37" s="10">
        <f t="shared" si="4"/>
        <v>9679.1509525376841</v>
      </c>
      <c r="G37" s="10"/>
      <c r="H37" s="10"/>
      <c r="J37" s="10"/>
      <c r="K37" s="10"/>
      <c r="L37" s="10"/>
      <c r="M37" s="10"/>
    </row>
    <row r="38" spans="1:13" ht="14.25" customHeight="1" x14ac:dyDescent="0.3">
      <c r="A38" s="44">
        <v>26</v>
      </c>
      <c r="B38" s="10">
        <f t="shared" si="1"/>
        <v>424.8844893941731</v>
      </c>
      <c r="C38" s="10">
        <f t="shared" si="2"/>
        <v>7.7433207620301463</v>
      </c>
      <c r="D38" s="10">
        <f t="shared" si="3"/>
        <v>417.14116863214298</v>
      </c>
      <c r="E38" s="17">
        <f t="shared" si="6"/>
        <v>526.85676684877467</v>
      </c>
      <c r="F38" s="10">
        <f t="shared" si="4"/>
        <v>9262.0097839055416</v>
      </c>
      <c r="G38" s="10"/>
      <c r="H38" s="10"/>
      <c r="J38" s="21"/>
      <c r="K38" s="21"/>
      <c r="L38" s="21"/>
      <c r="M38" s="21"/>
    </row>
    <row r="39" spans="1:13" ht="14.25" customHeight="1" x14ac:dyDescent="0.3">
      <c r="A39" s="44">
        <v>27</v>
      </c>
      <c r="B39" s="10">
        <f t="shared" si="1"/>
        <v>424.8844893941731</v>
      </c>
      <c r="C39" s="10">
        <f t="shared" si="2"/>
        <v>7.4096078271244323</v>
      </c>
      <c r="D39" s="10">
        <f t="shared" si="3"/>
        <v>417.47488156704867</v>
      </c>
      <c r="E39" s="17">
        <f t="shared" si="6"/>
        <v>526.85676684877467</v>
      </c>
      <c r="F39" s="10">
        <f t="shared" si="4"/>
        <v>8844.5349023384933</v>
      </c>
      <c r="G39" s="10"/>
      <c r="H39" s="10"/>
    </row>
    <row r="40" spans="1:13" ht="14.25" customHeight="1" x14ac:dyDescent="0.3">
      <c r="A40" s="44">
        <v>28</v>
      </c>
      <c r="B40" s="10">
        <f t="shared" si="1"/>
        <v>424.8844893941731</v>
      </c>
      <c r="C40" s="10">
        <f t="shared" si="2"/>
        <v>7.0756279218707938</v>
      </c>
      <c r="D40" s="10">
        <f t="shared" si="3"/>
        <v>417.80886147230228</v>
      </c>
      <c r="E40" s="17">
        <f t="shared" si="6"/>
        <v>526.85676684877467</v>
      </c>
      <c r="F40" s="10">
        <f t="shared" si="4"/>
        <v>8426.7260408661914</v>
      </c>
      <c r="G40" s="10"/>
      <c r="H40" s="10"/>
    </row>
    <row r="41" spans="1:13" ht="14.25" customHeight="1" x14ac:dyDescent="0.3">
      <c r="A41" s="44">
        <v>29</v>
      </c>
      <c r="B41" s="10">
        <f t="shared" si="1"/>
        <v>424.8844893941731</v>
      </c>
      <c r="C41" s="10">
        <f t="shared" si="2"/>
        <v>6.7413808326929523</v>
      </c>
      <c r="D41" s="10">
        <f t="shared" si="3"/>
        <v>418.14310856148018</v>
      </c>
      <c r="E41" s="17">
        <f t="shared" si="6"/>
        <v>526.85676684877467</v>
      </c>
      <c r="F41" s="10">
        <f t="shared" si="4"/>
        <v>8008.582932304711</v>
      </c>
      <c r="G41" s="10"/>
      <c r="H41" s="10"/>
    </row>
    <row r="42" spans="1:13" ht="14.25" customHeight="1" x14ac:dyDescent="0.3">
      <c r="A42" s="44">
        <v>30</v>
      </c>
      <c r="B42" s="10">
        <f t="shared" si="1"/>
        <v>424.8844893941731</v>
      </c>
      <c r="C42" s="10">
        <f t="shared" si="2"/>
        <v>6.4068663458437678</v>
      </c>
      <c r="D42" s="10">
        <f t="shared" si="3"/>
        <v>418.47762304832935</v>
      </c>
      <c r="E42" s="17">
        <f t="shared" si="6"/>
        <v>526.85676684877467</v>
      </c>
      <c r="F42" s="10">
        <f t="shared" si="4"/>
        <v>7590.1053092563816</v>
      </c>
      <c r="G42" s="10"/>
      <c r="H42" s="10"/>
    </row>
    <row r="43" spans="1:13" ht="14.25" customHeight="1" x14ac:dyDescent="0.3">
      <c r="A43" s="44">
        <v>31</v>
      </c>
      <c r="B43" s="10">
        <f t="shared" si="1"/>
        <v>424.8844893941731</v>
      </c>
      <c r="C43" s="10">
        <f t="shared" si="2"/>
        <v>6.0720842474051047</v>
      </c>
      <c r="D43" s="10">
        <f t="shared" si="3"/>
        <v>418.81240514676801</v>
      </c>
      <c r="E43" s="17">
        <f t="shared" si="6"/>
        <v>526.85676684877467</v>
      </c>
      <c r="F43" s="10">
        <f t="shared" si="4"/>
        <v>7171.292904109614</v>
      </c>
      <c r="G43" s="10"/>
      <c r="H43" s="10"/>
    </row>
    <row r="44" spans="1:13" ht="14.25" customHeight="1" x14ac:dyDescent="0.3">
      <c r="A44" s="44">
        <v>32</v>
      </c>
      <c r="B44" s="10">
        <f t="shared" si="1"/>
        <v>424.8844893941731</v>
      </c>
      <c r="C44" s="10">
        <f t="shared" si="2"/>
        <v>5.7370343232876904</v>
      </c>
      <c r="D44" s="10">
        <f t="shared" si="3"/>
        <v>419.14745507088543</v>
      </c>
      <c r="E44" s="17">
        <f t="shared" si="6"/>
        <v>526.85676684877467</v>
      </c>
      <c r="F44" s="10">
        <f t="shared" si="4"/>
        <v>6752.1454490387287</v>
      </c>
      <c r="G44" s="10"/>
      <c r="H44" s="10"/>
    </row>
    <row r="45" spans="1:13" ht="14.25" customHeight="1" x14ac:dyDescent="0.3">
      <c r="A45" s="44">
        <v>33</v>
      </c>
      <c r="B45" s="10">
        <f t="shared" si="1"/>
        <v>424.8844893941731</v>
      </c>
      <c r="C45" s="10">
        <f t="shared" si="2"/>
        <v>5.4017163592309823</v>
      </c>
      <c r="D45" s="10">
        <f t="shared" si="3"/>
        <v>419.48277303494211</v>
      </c>
      <c r="E45" s="17">
        <f t="shared" si="6"/>
        <v>526.85676684877467</v>
      </c>
      <c r="F45" s="10">
        <f t="shared" si="4"/>
        <v>6332.6626760037861</v>
      </c>
      <c r="G45" s="10"/>
      <c r="H45" s="10"/>
    </row>
    <row r="46" spans="1:13" ht="14.25" customHeight="1" x14ac:dyDescent="0.3">
      <c r="A46" s="44">
        <v>34</v>
      </c>
      <c r="B46" s="10">
        <f t="shared" si="1"/>
        <v>424.8844893941731</v>
      </c>
      <c r="C46" s="10">
        <f t="shared" si="2"/>
        <v>5.0661301408030281</v>
      </c>
      <c r="D46" s="10">
        <f t="shared" si="3"/>
        <v>419.81835925337009</v>
      </c>
      <c r="E46" s="17">
        <f t="shared" si="6"/>
        <v>526.85676684877467</v>
      </c>
      <c r="F46" s="10">
        <f t="shared" si="4"/>
        <v>5912.8443167504156</v>
      </c>
      <c r="G46" s="10"/>
      <c r="H46" s="10"/>
    </row>
    <row r="47" spans="1:13" ht="14.25" customHeight="1" x14ac:dyDescent="0.3">
      <c r="A47" s="44">
        <v>35</v>
      </c>
      <c r="B47" s="10">
        <f t="shared" si="1"/>
        <v>424.8844893941731</v>
      </c>
      <c r="C47" s="10">
        <f t="shared" si="2"/>
        <v>4.7302754534003322</v>
      </c>
      <c r="D47" s="10">
        <f t="shared" si="3"/>
        <v>420.15421394077276</v>
      </c>
      <c r="E47" s="17">
        <f t="shared" si="6"/>
        <v>526.85676684877467</v>
      </c>
      <c r="F47" s="10">
        <f t="shared" si="4"/>
        <v>5492.6901028096427</v>
      </c>
      <c r="G47" s="10"/>
      <c r="H47" s="10"/>
    </row>
    <row r="48" spans="1:13" ht="14.25" customHeight="1" x14ac:dyDescent="0.3">
      <c r="A48" s="44">
        <v>36</v>
      </c>
      <c r="B48" s="10">
        <f t="shared" si="1"/>
        <v>424.8844893941731</v>
      </c>
      <c r="C48" s="10">
        <f t="shared" si="2"/>
        <v>4.3941520822477136</v>
      </c>
      <c r="D48" s="10">
        <f t="shared" si="3"/>
        <v>420.49033731192537</v>
      </c>
      <c r="E48" s="17">
        <f t="shared" si="6"/>
        <v>526.85676684877467</v>
      </c>
      <c r="F48" s="10">
        <f t="shared" si="4"/>
        <v>5072.1997654977176</v>
      </c>
      <c r="G48" s="10"/>
      <c r="H48" s="10"/>
    </row>
    <row r="49" spans="1:8" ht="14.25" customHeight="1" x14ac:dyDescent="0.3">
      <c r="A49" s="44">
        <v>37</v>
      </c>
      <c r="B49" s="10">
        <f t="shared" si="1"/>
        <v>424.8844893941731</v>
      </c>
      <c r="C49" s="10">
        <f t="shared" si="2"/>
        <v>4.0577598123981735</v>
      </c>
      <c r="D49" s="10">
        <f t="shared" si="3"/>
        <v>420.82672958177494</v>
      </c>
      <c r="E49" s="17">
        <f t="shared" si="6"/>
        <v>526.85676684877467</v>
      </c>
      <c r="F49" s="10">
        <f t="shared" si="4"/>
        <v>4651.3730359159426</v>
      </c>
      <c r="G49" s="10"/>
      <c r="H49" s="10"/>
    </row>
    <row r="50" spans="1:8" ht="14.25" customHeight="1" x14ac:dyDescent="0.3">
      <c r="A50" s="44">
        <v>38</v>
      </c>
      <c r="B50" s="10">
        <f t="shared" si="1"/>
        <v>424.8844893941731</v>
      </c>
      <c r="C50" s="10">
        <f t="shared" si="2"/>
        <v>3.7210984287327538</v>
      </c>
      <c r="D50" s="10">
        <f t="shared" si="3"/>
        <v>421.16339096544033</v>
      </c>
      <c r="E50" s="17">
        <f t="shared" si="6"/>
        <v>526.85676684877467</v>
      </c>
      <c r="F50" s="10">
        <f t="shared" si="4"/>
        <v>4230.2096449505025</v>
      </c>
      <c r="G50" s="10"/>
      <c r="H50" s="10"/>
    </row>
    <row r="51" spans="1:8" ht="14.25" customHeight="1" x14ac:dyDescent="0.3">
      <c r="A51" s="44">
        <v>39</v>
      </c>
      <c r="B51" s="10">
        <f t="shared" si="1"/>
        <v>424.8844893941731</v>
      </c>
      <c r="C51" s="10">
        <f t="shared" si="2"/>
        <v>3.3841677159604018</v>
      </c>
      <c r="D51" s="10">
        <f t="shared" si="3"/>
        <v>421.50032167821269</v>
      </c>
      <c r="E51" s="17">
        <f t="shared" si="6"/>
        <v>526.85676684877467</v>
      </c>
      <c r="F51" s="10">
        <f t="shared" si="4"/>
        <v>3808.70932327229</v>
      </c>
      <c r="G51" s="10"/>
      <c r="H51" s="10"/>
    </row>
    <row r="52" spans="1:8" ht="14.25" customHeight="1" x14ac:dyDescent="0.3">
      <c r="A52" s="44">
        <v>40</v>
      </c>
      <c r="B52" s="10">
        <f t="shared" si="1"/>
        <v>424.8844893941731</v>
      </c>
      <c r="C52" s="10">
        <f t="shared" si="2"/>
        <v>3.0469674586178317</v>
      </c>
      <c r="D52" s="10">
        <f t="shared" si="3"/>
        <v>421.83752193555529</v>
      </c>
      <c r="E52" s="17">
        <f t="shared" si="6"/>
        <v>526.85676684877467</v>
      </c>
      <c r="F52" s="10">
        <f t="shared" si="4"/>
        <v>3386.8718013367347</v>
      </c>
      <c r="G52" s="10"/>
      <c r="H52" s="10"/>
    </row>
    <row r="53" spans="1:8" ht="14.25" customHeight="1" x14ac:dyDescent="0.3">
      <c r="A53" s="44">
        <v>41</v>
      </c>
      <c r="B53" s="10">
        <f t="shared" si="1"/>
        <v>424.8844893941731</v>
      </c>
      <c r="C53" s="10">
        <f t="shared" si="2"/>
        <v>2.7094974410693875</v>
      </c>
      <c r="D53" s="10">
        <f t="shared" si="3"/>
        <v>422.1749919531037</v>
      </c>
      <c r="E53" s="17">
        <f t="shared" si="6"/>
        <v>526.85676684877467</v>
      </c>
      <c r="F53" s="10">
        <f t="shared" si="4"/>
        <v>2964.6968093836313</v>
      </c>
      <c r="G53" s="10"/>
      <c r="H53" s="10"/>
    </row>
    <row r="54" spans="1:8" ht="14.25" customHeight="1" x14ac:dyDescent="0.3">
      <c r="A54" s="44">
        <v>42</v>
      </c>
      <c r="B54" s="10">
        <f t="shared" si="1"/>
        <v>424.8844893941731</v>
      </c>
      <c r="C54" s="10">
        <f t="shared" si="2"/>
        <v>2.371757447506905</v>
      </c>
      <c r="D54" s="10">
        <f t="shared" si="3"/>
        <v>422.51273194666618</v>
      </c>
      <c r="E54" s="17">
        <f t="shared" si="6"/>
        <v>526.85676684877467</v>
      </c>
      <c r="F54" s="10">
        <f t="shared" si="4"/>
        <v>2542.1840774369653</v>
      </c>
      <c r="G54" s="10"/>
      <c r="H54" s="10"/>
    </row>
    <row r="55" spans="1:8" ht="14.25" customHeight="1" x14ac:dyDescent="0.3">
      <c r="A55" s="44">
        <v>43</v>
      </c>
      <c r="B55" s="10">
        <f t="shared" si="1"/>
        <v>424.8844893941731</v>
      </c>
      <c r="C55" s="10">
        <f t="shared" si="2"/>
        <v>2.0337472619495722</v>
      </c>
      <c r="D55" s="10">
        <f t="shared" si="3"/>
        <v>422.8507421322235</v>
      </c>
      <c r="E55" s="17">
        <f t="shared" si="6"/>
        <v>526.85676684877467</v>
      </c>
      <c r="F55" s="10">
        <f t="shared" si="4"/>
        <v>2119.3333353047419</v>
      </c>
      <c r="G55" s="10"/>
      <c r="H55" s="10"/>
    </row>
    <row r="56" spans="1:8" ht="14.25" customHeight="1" x14ac:dyDescent="0.3">
      <c r="A56" s="44">
        <v>44</v>
      </c>
      <c r="B56" s="10">
        <f t="shared" si="1"/>
        <v>424.8844893941731</v>
      </c>
      <c r="C56" s="10">
        <f t="shared" si="2"/>
        <v>1.6954666682437933</v>
      </c>
      <c r="D56" s="10">
        <f t="shared" si="3"/>
        <v>423.18902272592931</v>
      </c>
      <c r="E56" s="17">
        <f t="shared" si="6"/>
        <v>526.85676684877467</v>
      </c>
      <c r="F56" s="10">
        <f t="shared" si="4"/>
        <v>1696.1443125788126</v>
      </c>
      <c r="G56" s="10"/>
      <c r="H56" s="10"/>
    </row>
    <row r="57" spans="1:8" ht="14.25" customHeight="1" x14ac:dyDescent="0.3">
      <c r="A57" s="44">
        <v>45</v>
      </c>
      <c r="B57" s="10">
        <f t="shared" si="1"/>
        <v>424.8844893941731</v>
      </c>
      <c r="C57" s="10">
        <f t="shared" si="2"/>
        <v>1.35691545006305</v>
      </c>
      <c r="D57" s="10">
        <f t="shared" si="3"/>
        <v>423.52757394411003</v>
      </c>
      <c r="E57" s="17">
        <f t="shared" si="6"/>
        <v>526.85676684877467</v>
      </c>
      <c r="F57" s="10">
        <f t="shared" si="4"/>
        <v>1272.6167386347024</v>
      </c>
      <c r="G57" s="10"/>
      <c r="H57" s="10"/>
    </row>
    <row r="58" spans="1:8" ht="14.25" customHeight="1" x14ac:dyDescent="0.3">
      <c r="A58" s="44">
        <v>46</v>
      </c>
      <c r="B58" s="10">
        <f t="shared" si="1"/>
        <v>424.8844893941731</v>
      </c>
      <c r="C58" s="10">
        <f t="shared" si="2"/>
        <v>1.0180933909077619</v>
      </c>
      <c r="D58" s="10">
        <f t="shared" si="3"/>
        <v>423.86639600326532</v>
      </c>
      <c r="E58" s="17">
        <f t="shared" si="6"/>
        <v>526.85676684877467</v>
      </c>
      <c r="F58" s="10">
        <f t="shared" si="4"/>
        <v>848.75034263143709</v>
      </c>
      <c r="G58" s="10"/>
      <c r="H58" s="10"/>
    </row>
    <row r="59" spans="1:8" ht="14.25" customHeight="1" x14ac:dyDescent="0.3">
      <c r="A59" s="44">
        <v>47</v>
      </c>
      <c r="B59" s="10">
        <f t="shared" si="1"/>
        <v>424.8844893941731</v>
      </c>
      <c r="C59" s="10">
        <f t="shared" si="2"/>
        <v>0.67900027410514963</v>
      </c>
      <c r="D59" s="10">
        <f t="shared" si="3"/>
        <v>424.20548912006797</v>
      </c>
      <c r="E59" s="17">
        <f t="shared" si="6"/>
        <v>526.85676684877467</v>
      </c>
      <c r="F59" s="10">
        <f t="shared" si="4"/>
        <v>424.54485351136913</v>
      </c>
      <c r="G59" s="10"/>
      <c r="H59" s="10"/>
    </row>
    <row r="60" spans="1:8" ht="14.25" customHeight="1" x14ac:dyDescent="0.3">
      <c r="A60" s="44">
        <v>48</v>
      </c>
      <c r="B60" s="10">
        <f t="shared" si="1"/>
        <v>424.88448939417822</v>
      </c>
      <c r="C60" s="10">
        <f t="shared" si="2"/>
        <v>0.33963588280909529</v>
      </c>
      <c r="D60" s="10">
        <f t="shared" si="3"/>
        <v>424.54485351136913</v>
      </c>
      <c r="E60" s="10">
        <f t="shared" si="6"/>
        <v>526.85676684878104</v>
      </c>
      <c r="F60" s="10">
        <f t="shared" si="4"/>
        <v>0</v>
      </c>
      <c r="G60" s="10"/>
      <c r="H60" s="10"/>
    </row>
    <row r="61" spans="1:8" ht="14.25" customHeight="1" x14ac:dyDescent="0.3">
      <c r="A61" s="44">
        <v>49</v>
      </c>
      <c r="B61" s="10">
        <f t="shared" si="1"/>
        <v>0</v>
      </c>
      <c r="C61" s="10">
        <f t="shared" si="2"/>
        <v>0</v>
      </c>
      <c r="D61" s="10">
        <f t="shared" si="3"/>
        <v>0</v>
      </c>
      <c r="E61" s="17"/>
      <c r="F61" s="10">
        <f t="shared" si="4"/>
        <v>0</v>
      </c>
    </row>
    <row r="62" spans="1:8" ht="14.25" customHeight="1" x14ac:dyDescent="0.3">
      <c r="A62" s="44">
        <v>50</v>
      </c>
      <c r="B62" s="10">
        <f t="shared" si="1"/>
        <v>0</v>
      </c>
      <c r="C62" s="10">
        <f t="shared" si="2"/>
        <v>0</v>
      </c>
      <c r="D62" s="10">
        <f t="shared" si="3"/>
        <v>0</v>
      </c>
      <c r="E62" s="17"/>
      <c r="F62" s="10">
        <f t="shared" si="4"/>
        <v>0</v>
      </c>
    </row>
    <row r="63" spans="1:8" ht="14.25" customHeight="1" x14ac:dyDescent="0.3">
      <c r="A63" s="44">
        <v>51</v>
      </c>
      <c r="B63" s="10">
        <f t="shared" si="1"/>
        <v>0</v>
      </c>
      <c r="C63" s="10">
        <f t="shared" si="2"/>
        <v>0</v>
      </c>
      <c r="D63" s="10">
        <f t="shared" si="3"/>
        <v>0</v>
      </c>
      <c r="E63" s="17"/>
      <c r="F63" s="10">
        <f t="shared" si="4"/>
        <v>0</v>
      </c>
    </row>
    <row r="64" spans="1:8" ht="14.25" customHeight="1" x14ac:dyDescent="0.3">
      <c r="A64" s="44">
        <v>52</v>
      </c>
      <c r="B64" s="10">
        <f t="shared" si="1"/>
        <v>0</v>
      </c>
      <c r="C64" s="10">
        <f t="shared" si="2"/>
        <v>0</v>
      </c>
      <c r="D64" s="10">
        <f t="shared" si="3"/>
        <v>0</v>
      </c>
      <c r="E64" s="17"/>
      <c r="F64" s="10">
        <f t="shared" si="4"/>
        <v>0</v>
      </c>
    </row>
    <row r="65" spans="1:6" ht="14.25" customHeight="1" x14ac:dyDescent="0.3">
      <c r="A65" s="44">
        <v>53</v>
      </c>
      <c r="B65" s="10">
        <f t="shared" si="1"/>
        <v>0</v>
      </c>
      <c r="C65" s="10">
        <f t="shared" si="2"/>
        <v>0</v>
      </c>
      <c r="D65" s="10">
        <f t="shared" si="3"/>
        <v>0</v>
      </c>
      <c r="E65" s="17"/>
      <c r="F65" s="10">
        <f t="shared" si="4"/>
        <v>0</v>
      </c>
    </row>
    <row r="66" spans="1:6" ht="14.25" customHeight="1" x14ac:dyDescent="0.3">
      <c r="A66" s="44">
        <v>54</v>
      </c>
      <c r="B66" s="10">
        <f t="shared" si="1"/>
        <v>0</v>
      </c>
      <c r="C66" s="10">
        <f t="shared" si="2"/>
        <v>0</v>
      </c>
      <c r="D66" s="10">
        <f t="shared" si="3"/>
        <v>0</v>
      </c>
      <c r="E66" s="17"/>
      <c r="F66" s="10">
        <f t="shared" si="4"/>
        <v>0</v>
      </c>
    </row>
    <row r="67" spans="1:6" ht="14.25" customHeight="1" x14ac:dyDescent="0.3">
      <c r="A67" s="44">
        <v>55</v>
      </c>
      <c r="B67" s="10">
        <f t="shared" si="1"/>
        <v>0</v>
      </c>
      <c r="C67" s="10">
        <f t="shared" si="2"/>
        <v>0</v>
      </c>
      <c r="D67" s="10">
        <f t="shared" si="3"/>
        <v>0</v>
      </c>
      <c r="E67" s="17"/>
      <c r="F67" s="10">
        <f t="shared" si="4"/>
        <v>0</v>
      </c>
    </row>
    <row r="68" spans="1:6" ht="14.25" customHeight="1" x14ac:dyDescent="0.3">
      <c r="A68" s="44">
        <v>56</v>
      </c>
      <c r="B68" s="10">
        <f t="shared" si="1"/>
        <v>0</v>
      </c>
      <c r="C68" s="10">
        <f t="shared" si="2"/>
        <v>0</v>
      </c>
      <c r="D68" s="10">
        <f t="shared" si="3"/>
        <v>0</v>
      </c>
      <c r="E68" s="17"/>
      <c r="F68" s="10">
        <f t="shared" si="4"/>
        <v>0</v>
      </c>
    </row>
    <row r="69" spans="1:6" ht="14.25" customHeight="1" x14ac:dyDescent="0.3">
      <c r="A69" s="44">
        <v>57</v>
      </c>
      <c r="B69" s="10">
        <f t="shared" si="1"/>
        <v>0</v>
      </c>
      <c r="C69" s="10">
        <f t="shared" si="2"/>
        <v>0</v>
      </c>
      <c r="D69" s="10">
        <f t="shared" si="3"/>
        <v>0</v>
      </c>
      <c r="E69" s="17"/>
      <c r="F69" s="10">
        <f t="shared" si="4"/>
        <v>0</v>
      </c>
    </row>
    <row r="70" spans="1:6" ht="14.25" customHeight="1" x14ac:dyDescent="0.3">
      <c r="A70" s="44">
        <v>58</v>
      </c>
      <c r="B70" s="10">
        <f t="shared" si="1"/>
        <v>0</v>
      </c>
      <c r="C70" s="10">
        <f t="shared" si="2"/>
        <v>0</v>
      </c>
      <c r="D70" s="10">
        <f t="shared" si="3"/>
        <v>0</v>
      </c>
      <c r="E70" s="17"/>
      <c r="F70" s="10">
        <f t="shared" si="4"/>
        <v>0</v>
      </c>
    </row>
    <row r="71" spans="1:6" ht="14.25" customHeight="1" x14ac:dyDescent="0.3">
      <c r="A71" s="44">
        <v>59</v>
      </c>
      <c r="B71" s="10">
        <f t="shared" si="1"/>
        <v>0</v>
      </c>
      <c r="C71" s="10">
        <f t="shared" si="2"/>
        <v>0</v>
      </c>
      <c r="D71" s="10">
        <f t="shared" si="3"/>
        <v>0</v>
      </c>
      <c r="E71" s="17"/>
      <c r="F71" s="10">
        <f t="shared" si="4"/>
        <v>0</v>
      </c>
    </row>
    <row r="72" spans="1:6" ht="14.25" customHeight="1" x14ac:dyDescent="0.3">
      <c r="A72" s="44">
        <v>60</v>
      </c>
      <c r="B72" s="10">
        <f t="shared" si="1"/>
        <v>0</v>
      </c>
      <c r="C72" s="10">
        <f t="shared" si="2"/>
        <v>0</v>
      </c>
      <c r="D72" s="10">
        <f t="shared" si="3"/>
        <v>0</v>
      </c>
      <c r="E72" s="17"/>
      <c r="F72" s="10">
        <f t="shared" si="4"/>
        <v>0</v>
      </c>
    </row>
    <row r="73" spans="1:6" ht="14.25" customHeight="1" x14ac:dyDescent="0.3">
      <c r="A73" s="44">
        <v>61</v>
      </c>
      <c r="B73" s="10">
        <f t="shared" si="1"/>
        <v>0</v>
      </c>
      <c r="C73" s="10">
        <f t="shared" si="2"/>
        <v>0</v>
      </c>
      <c r="D73" s="10">
        <f t="shared" si="3"/>
        <v>0</v>
      </c>
      <c r="F73" s="10">
        <f t="shared" si="4"/>
        <v>0</v>
      </c>
    </row>
    <row r="74" spans="1:6" ht="14.25" customHeight="1" x14ac:dyDescent="0.3">
      <c r="A74" s="44">
        <v>62</v>
      </c>
      <c r="B74" s="10">
        <f t="shared" si="1"/>
        <v>0</v>
      </c>
      <c r="C74" s="10">
        <f t="shared" si="2"/>
        <v>0</v>
      </c>
      <c r="D74" s="10">
        <f t="shared" si="3"/>
        <v>0</v>
      </c>
      <c r="F74" s="10">
        <f t="shared" si="4"/>
        <v>0</v>
      </c>
    </row>
    <row r="75" spans="1:6" ht="14.25" customHeight="1" x14ac:dyDescent="0.3">
      <c r="A75" s="44">
        <v>63</v>
      </c>
      <c r="B75" s="10">
        <f t="shared" si="1"/>
        <v>0</v>
      </c>
      <c r="C75" s="10">
        <f t="shared" si="2"/>
        <v>0</v>
      </c>
      <c r="D75" s="10">
        <f t="shared" si="3"/>
        <v>0</v>
      </c>
      <c r="F75" s="10">
        <f t="shared" si="4"/>
        <v>0</v>
      </c>
    </row>
    <row r="76" spans="1:6" ht="14.25" customHeight="1" x14ac:dyDescent="0.3">
      <c r="A76" s="44">
        <v>64</v>
      </c>
      <c r="B76" s="10">
        <f t="shared" si="1"/>
        <v>0</v>
      </c>
      <c r="C76" s="10">
        <f t="shared" si="2"/>
        <v>0</v>
      </c>
      <c r="D76" s="10">
        <f t="shared" si="3"/>
        <v>0</v>
      </c>
      <c r="F76" s="10">
        <f t="shared" si="4"/>
        <v>0</v>
      </c>
    </row>
    <row r="77" spans="1:6" ht="14.25" customHeight="1" x14ac:dyDescent="0.3">
      <c r="A77" s="44">
        <v>65</v>
      </c>
      <c r="B77" s="10">
        <f t="shared" si="1"/>
        <v>0</v>
      </c>
      <c r="C77" s="10">
        <f t="shared" si="2"/>
        <v>0</v>
      </c>
      <c r="D77" s="10">
        <f t="shared" si="3"/>
        <v>0</v>
      </c>
      <c r="F77" s="10">
        <f t="shared" ref="F77:F140" si="9">IF(ROUND(F76,5)&gt;0,F76-D77,0)</f>
        <v>0</v>
      </c>
    </row>
    <row r="78" spans="1:6" ht="14.25" customHeight="1" x14ac:dyDescent="0.3">
      <c r="A78" s="44">
        <v>66</v>
      </c>
      <c r="B78" s="10">
        <f t="shared" si="1"/>
        <v>0</v>
      </c>
      <c r="C78" s="10">
        <f t="shared" si="2"/>
        <v>0</v>
      </c>
      <c r="D78" s="10">
        <f t="shared" si="3"/>
        <v>0</v>
      </c>
      <c r="F78" s="10">
        <f t="shared" si="9"/>
        <v>0</v>
      </c>
    </row>
    <row r="79" spans="1:6" ht="14.25" customHeight="1" x14ac:dyDescent="0.3">
      <c r="A79" s="44">
        <v>67</v>
      </c>
      <c r="B79" s="10">
        <f t="shared" si="1"/>
        <v>0</v>
      </c>
      <c r="C79" s="10">
        <f t="shared" si="2"/>
        <v>0</v>
      </c>
      <c r="D79" s="10">
        <f t="shared" si="3"/>
        <v>0</v>
      </c>
      <c r="F79" s="10">
        <f t="shared" si="9"/>
        <v>0</v>
      </c>
    </row>
    <row r="80" spans="1:6" ht="14.25" customHeight="1" x14ac:dyDescent="0.3">
      <c r="A80" s="44">
        <v>68</v>
      </c>
      <c r="B80" s="10">
        <f t="shared" si="1"/>
        <v>0</v>
      </c>
      <c r="C80" s="10">
        <f t="shared" si="2"/>
        <v>0</v>
      </c>
      <c r="D80" s="10">
        <f t="shared" si="3"/>
        <v>0</v>
      </c>
      <c r="F80" s="10">
        <f t="shared" si="9"/>
        <v>0</v>
      </c>
    </row>
    <row r="81" spans="1:6" ht="14.25" customHeight="1" x14ac:dyDescent="0.3">
      <c r="A81" s="44">
        <v>69</v>
      </c>
      <c r="B81" s="10">
        <f t="shared" si="1"/>
        <v>0</v>
      </c>
      <c r="C81" s="10">
        <f t="shared" si="2"/>
        <v>0</v>
      </c>
      <c r="D81" s="10">
        <f t="shared" si="3"/>
        <v>0</v>
      </c>
      <c r="F81" s="10">
        <f t="shared" si="9"/>
        <v>0</v>
      </c>
    </row>
    <row r="82" spans="1:6" ht="14.25" customHeight="1" x14ac:dyDescent="0.3">
      <c r="A82" s="44">
        <v>70</v>
      </c>
      <c r="B82" s="10">
        <f t="shared" si="1"/>
        <v>0</v>
      </c>
      <c r="C82" s="10">
        <f t="shared" si="2"/>
        <v>0</v>
      </c>
      <c r="D82" s="10">
        <f t="shared" si="3"/>
        <v>0</v>
      </c>
      <c r="F82" s="10">
        <f t="shared" si="9"/>
        <v>0</v>
      </c>
    </row>
    <row r="83" spans="1:6" ht="14.25" customHeight="1" x14ac:dyDescent="0.3">
      <c r="A83" s="44">
        <v>71</v>
      </c>
      <c r="B83" s="10">
        <f t="shared" si="1"/>
        <v>0</v>
      </c>
      <c r="C83" s="10">
        <f t="shared" si="2"/>
        <v>0</v>
      </c>
      <c r="D83" s="10">
        <f t="shared" si="3"/>
        <v>0</v>
      </c>
      <c r="F83" s="10">
        <f t="shared" si="9"/>
        <v>0</v>
      </c>
    </row>
    <row r="84" spans="1:6" ht="14.25" customHeight="1" x14ac:dyDescent="0.3">
      <c r="A84" s="44">
        <v>72</v>
      </c>
      <c r="B84" s="10">
        <f t="shared" si="1"/>
        <v>0</v>
      </c>
      <c r="C84" s="10">
        <f t="shared" si="2"/>
        <v>0</v>
      </c>
      <c r="D84" s="10">
        <f t="shared" si="3"/>
        <v>0</v>
      </c>
      <c r="F84" s="10">
        <f t="shared" si="9"/>
        <v>0</v>
      </c>
    </row>
    <row r="85" spans="1:6" ht="14.25" customHeight="1" x14ac:dyDescent="0.3">
      <c r="A85" s="44">
        <v>73</v>
      </c>
      <c r="B85" s="10">
        <f t="shared" si="1"/>
        <v>0</v>
      </c>
      <c r="C85" s="10">
        <f t="shared" si="2"/>
        <v>0</v>
      </c>
      <c r="D85" s="10">
        <f t="shared" si="3"/>
        <v>0</v>
      </c>
      <c r="F85" s="10">
        <f t="shared" si="9"/>
        <v>0</v>
      </c>
    </row>
    <row r="86" spans="1:6" ht="14.25" customHeight="1" x14ac:dyDescent="0.3">
      <c r="A86" s="44">
        <v>74</v>
      </c>
      <c r="B86" s="10">
        <f t="shared" si="1"/>
        <v>0</v>
      </c>
      <c r="C86" s="10">
        <f t="shared" si="2"/>
        <v>0</v>
      </c>
      <c r="D86" s="10">
        <f t="shared" si="3"/>
        <v>0</v>
      </c>
      <c r="F86" s="10">
        <f t="shared" si="9"/>
        <v>0</v>
      </c>
    </row>
    <row r="87" spans="1:6" ht="14.25" customHeight="1" x14ac:dyDescent="0.3">
      <c r="A87" s="44">
        <v>75</v>
      </c>
      <c r="B87" s="10">
        <f t="shared" si="1"/>
        <v>0</v>
      </c>
      <c r="C87" s="10">
        <f t="shared" si="2"/>
        <v>0</v>
      </c>
      <c r="D87" s="10">
        <f t="shared" si="3"/>
        <v>0</v>
      </c>
      <c r="F87" s="10">
        <f t="shared" si="9"/>
        <v>0</v>
      </c>
    </row>
    <row r="88" spans="1:6" ht="14.25" customHeight="1" x14ac:dyDescent="0.3">
      <c r="A88" s="44">
        <v>76</v>
      </c>
      <c r="B88" s="10">
        <f t="shared" si="1"/>
        <v>0</v>
      </c>
      <c r="C88" s="10">
        <f t="shared" si="2"/>
        <v>0</v>
      </c>
      <c r="D88" s="10">
        <f t="shared" si="3"/>
        <v>0</v>
      </c>
      <c r="F88" s="10">
        <f t="shared" si="9"/>
        <v>0</v>
      </c>
    </row>
    <row r="89" spans="1:6" ht="14.25" customHeight="1" x14ac:dyDescent="0.3">
      <c r="A89" s="44">
        <v>77</v>
      </c>
      <c r="B89" s="10">
        <f t="shared" si="1"/>
        <v>0</v>
      </c>
      <c r="C89" s="10">
        <f t="shared" si="2"/>
        <v>0</v>
      </c>
      <c r="D89" s="10">
        <f t="shared" si="3"/>
        <v>0</v>
      </c>
      <c r="F89" s="10">
        <f t="shared" si="9"/>
        <v>0</v>
      </c>
    </row>
    <row r="90" spans="1:6" ht="14.25" customHeight="1" x14ac:dyDescent="0.3">
      <c r="A90" s="44">
        <v>78</v>
      </c>
      <c r="B90" s="10">
        <f t="shared" si="1"/>
        <v>0</v>
      </c>
      <c r="C90" s="10">
        <f t="shared" si="2"/>
        <v>0</v>
      </c>
      <c r="D90" s="10">
        <f t="shared" si="3"/>
        <v>0</v>
      </c>
      <c r="F90" s="10">
        <f t="shared" si="9"/>
        <v>0</v>
      </c>
    </row>
    <row r="91" spans="1:6" ht="14.25" customHeight="1" x14ac:dyDescent="0.3">
      <c r="A91" s="44">
        <v>79</v>
      </c>
      <c r="B91" s="10">
        <f t="shared" si="1"/>
        <v>0</v>
      </c>
      <c r="C91" s="10">
        <f t="shared" si="2"/>
        <v>0</v>
      </c>
      <c r="D91" s="10">
        <f t="shared" si="3"/>
        <v>0</v>
      </c>
      <c r="F91" s="10">
        <f t="shared" si="9"/>
        <v>0</v>
      </c>
    </row>
    <row r="92" spans="1:6" ht="14.25" customHeight="1" x14ac:dyDescent="0.3">
      <c r="A92" s="44">
        <v>80</v>
      </c>
      <c r="B92" s="10">
        <f t="shared" si="1"/>
        <v>0</v>
      </c>
      <c r="C92" s="10">
        <f t="shared" si="2"/>
        <v>0</v>
      </c>
      <c r="D92" s="10">
        <f t="shared" si="3"/>
        <v>0</v>
      </c>
      <c r="F92" s="10">
        <f t="shared" si="9"/>
        <v>0</v>
      </c>
    </row>
    <row r="93" spans="1:6" ht="14.25" customHeight="1" x14ac:dyDescent="0.3">
      <c r="A93" s="44">
        <v>81</v>
      </c>
      <c r="B93" s="10">
        <f t="shared" si="1"/>
        <v>0</v>
      </c>
      <c r="C93" s="10">
        <f t="shared" si="2"/>
        <v>0</v>
      </c>
      <c r="D93" s="10">
        <f t="shared" si="3"/>
        <v>0</v>
      </c>
      <c r="F93" s="10">
        <f t="shared" si="9"/>
        <v>0</v>
      </c>
    </row>
    <row r="94" spans="1:6" ht="14.25" customHeight="1" x14ac:dyDescent="0.3">
      <c r="A94" s="44">
        <v>82</v>
      </c>
      <c r="B94" s="10">
        <f t="shared" si="1"/>
        <v>0</v>
      </c>
      <c r="C94" s="10">
        <f t="shared" si="2"/>
        <v>0</v>
      </c>
      <c r="D94" s="10">
        <f t="shared" si="3"/>
        <v>0</v>
      </c>
      <c r="F94" s="10">
        <f t="shared" si="9"/>
        <v>0</v>
      </c>
    </row>
    <row r="95" spans="1:6" ht="14.25" customHeight="1" x14ac:dyDescent="0.3">
      <c r="A95" s="44">
        <v>83</v>
      </c>
      <c r="B95" s="10">
        <f t="shared" si="1"/>
        <v>0</v>
      </c>
      <c r="C95" s="10">
        <f t="shared" si="2"/>
        <v>0</v>
      </c>
      <c r="D95" s="10">
        <f t="shared" si="3"/>
        <v>0</v>
      </c>
      <c r="F95" s="10">
        <f t="shared" si="9"/>
        <v>0</v>
      </c>
    </row>
    <row r="96" spans="1:6" ht="14.25" customHeight="1" x14ac:dyDescent="0.3">
      <c r="A96" s="44">
        <v>84</v>
      </c>
      <c r="B96" s="10">
        <f t="shared" si="1"/>
        <v>0</v>
      </c>
      <c r="C96" s="10">
        <f t="shared" si="2"/>
        <v>0</v>
      </c>
      <c r="D96" s="10">
        <f t="shared" si="3"/>
        <v>0</v>
      </c>
      <c r="F96" s="10">
        <f t="shared" si="9"/>
        <v>0</v>
      </c>
    </row>
    <row r="97" spans="1:6" ht="14.25" customHeight="1" x14ac:dyDescent="0.3">
      <c r="A97" s="44">
        <v>85</v>
      </c>
      <c r="B97" s="10">
        <f t="shared" si="1"/>
        <v>0</v>
      </c>
      <c r="C97" s="10">
        <f t="shared" si="2"/>
        <v>0</v>
      </c>
      <c r="D97" s="10">
        <f t="shared" si="3"/>
        <v>0</v>
      </c>
      <c r="F97" s="10">
        <f t="shared" si="9"/>
        <v>0</v>
      </c>
    </row>
    <row r="98" spans="1:6" ht="14.25" customHeight="1" x14ac:dyDescent="0.3">
      <c r="A98" s="44">
        <v>86</v>
      </c>
      <c r="B98" s="10">
        <f t="shared" si="1"/>
        <v>0</v>
      </c>
      <c r="C98" s="10">
        <f t="shared" si="2"/>
        <v>0</v>
      </c>
      <c r="D98" s="10">
        <f t="shared" si="3"/>
        <v>0</v>
      </c>
      <c r="F98" s="10">
        <f t="shared" si="9"/>
        <v>0</v>
      </c>
    </row>
    <row r="99" spans="1:6" ht="14.25" customHeight="1" x14ac:dyDescent="0.3">
      <c r="A99" s="44">
        <v>87</v>
      </c>
      <c r="B99" s="10">
        <f t="shared" si="1"/>
        <v>0</v>
      </c>
      <c r="C99" s="10">
        <f t="shared" si="2"/>
        <v>0</v>
      </c>
      <c r="D99" s="10">
        <f t="shared" si="3"/>
        <v>0</v>
      </c>
      <c r="F99" s="10">
        <f t="shared" si="9"/>
        <v>0</v>
      </c>
    </row>
    <row r="100" spans="1:6" ht="14.25" customHeight="1" x14ac:dyDescent="0.3">
      <c r="A100" s="44">
        <v>88</v>
      </c>
      <c r="B100" s="10">
        <f t="shared" si="1"/>
        <v>0</v>
      </c>
      <c r="C100" s="10">
        <f t="shared" si="2"/>
        <v>0</v>
      </c>
      <c r="D100" s="10">
        <f t="shared" si="3"/>
        <v>0</v>
      </c>
      <c r="F100" s="10">
        <f t="shared" si="9"/>
        <v>0</v>
      </c>
    </row>
    <row r="101" spans="1:6" ht="14.25" customHeight="1" x14ac:dyDescent="0.3">
      <c r="A101" s="44">
        <v>89</v>
      </c>
      <c r="B101" s="10">
        <f t="shared" si="1"/>
        <v>0</v>
      </c>
      <c r="C101" s="10">
        <f t="shared" si="2"/>
        <v>0</v>
      </c>
      <c r="D101" s="10">
        <f t="shared" si="3"/>
        <v>0</v>
      </c>
      <c r="F101" s="10">
        <f t="shared" si="9"/>
        <v>0</v>
      </c>
    </row>
    <row r="102" spans="1:6" ht="14.25" customHeight="1" x14ac:dyDescent="0.3">
      <c r="A102" s="44">
        <v>90</v>
      </c>
      <c r="B102" s="10">
        <f t="shared" si="1"/>
        <v>0</v>
      </c>
      <c r="C102" s="10">
        <f t="shared" si="2"/>
        <v>0</v>
      </c>
      <c r="D102" s="10">
        <f t="shared" si="3"/>
        <v>0</v>
      </c>
      <c r="F102" s="10">
        <f t="shared" si="9"/>
        <v>0</v>
      </c>
    </row>
    <row r="103" spans="1:6" ht="14.25" customHeight="1" x14ac:dyDescent="0.3">
      <c r="A103" s="44">
        <v>91</v>
      </c>
      <c r="B103" s="10">
        <f t="shared" si="1"/>
        <v>0</v>
      </c>
      <c r="C103" s="10">
        <f t="shared" si="2"/>
        <v>0</v>
      </c>
      <c r="D103" s="10">
        <f t="shared" si="3"/>
        <v>0</v>
      </c>
      <c r="F103" s="10">
        <f t="shared" si="9"/>
        <v>0</v>
      </c>
    </row>
    <row r="104" spans="1:6" ht="14.25" customHeight="1" x14ac:dyDescent="0.3">
      <c r="A104" s="44">
        <v>92</v>
      </c>
      <c r="B104" s="10">
        <f t="shared" si="1"/>
        <v>0</v>
      </c>
      <c r="C104" s="10">
        <f t="shared" si="2"/>
        <v>0</v>
      </c>
      <c r="D104" s="10">
        <f t="shared" si="3"/>
        <v>0</v>
      </c>
      <c r="F104" s="10">
        <f t="shared" si="9"/>
        <v>0</v>
      </c>
    </row>
    <row r="105" spans="1:6" ht="14.25" customHeight="1" x14ac:dyDescent="0.3">
      <c r="A105" s="44">
        <v>93</v>
      </c>
      <c r="B105" s="10">
        <f t="shared" si="1"/>
        <v>0</v>
      </c>
      <c r="C105" s="10">
        <f t="shared" si="2"/>
        <v>0</v>
      </c>
      <c r="D105" s="10">
        <f t="shared" si="3"/>
        <v>0</v>
      </c>
      <c r="F105" s="10">
        <f t="shared" si="9"/>
        <v>0</v>
      </c>
    </row>
    <row r="106" spans="1:6" ht="14.25" customHeight="1" x14ac:dyDescent="0.3">
      <c r="A106" s="44">
        <v>94</v>
      </c>
      <c r="B106" s="10">
        <f t="shared" si="1"/>
        <v>0</v>
      </c>
      <c r="C106" s="10">
        <f t="shared" si="2"/>
        <v>0</v>
      </c>
      <c r="D106" s="10">
        <f t="shared" si="3"/>
        <v>0</v>
      </c>
      <c r="F106" s="10">
        <f t="shared" si="9"/>
        <v>0</v>
      </c>
    </row>
    <row r="107" spans="1:6" ht="14.25" customHeight="1" x14ac:dyDescent="0.3">
      <c r="A107" s="44">
        <v>95</v>
      </c>
      <c r="B107" s="10">
        <f t="shared" si="1"/>
        <v>0</v>
      </c>
      <c r="C107" s="10">
        <f t="shared" si="2"/>
        <v>0</v>
      </c>
      <c r="D107" s="10">
        <f t="shared" si="3"/>
        <v>0</v>
      </c>
      <c r="F107" s="10">
        <f t="shared" si="9"/>
        <v>0</v>
      </c>
    </row>
    <row r="108" spans="1:6" ht="14.25" customHeight="1" x14ac:dyDescent="0.3">
      <c r="A108" s="44">
        <v>96</v>
      </c>
      <c r="B108" s="10">
        <f t="shared" si="1"/>
        <v>0</v>
      </c>
      <c r="C108" s="10">
        <f t="shared" si="2"/>
        <v>0</v>
      </c>
      <c r="D108" s="10">
        <f t="shared" si="3"/>
        <v>0</v>
      </c>
      <c r="F108" s="10">
        <f t="shared" si="9"/>
        <v>0</v>
      </c>
    </row>
    <row r="109" spans="1:6" ht="14.25" customHeight="1" x14ac:dyDescent="0.3">
      <c r="A109" s="44">
        <v>97</v>
      </c>
      <c r="B109" s="10">
        <f t="shared" si="1"/>
        <v>0</v>
      </c>
      <c r="C109" s="10">
        <f t="shared" si="2"/>
        <v>0</v>
      </c>
      <c r="D109" s="10">
        <f t="shared" si="3"/>
        <v>0</v>
      </c>
      <c r="F109" s="10">
        <f t="shared" si="9"/>
        <v>0</v>
      </c>
    </row>
    <row r="110" spans="1:6" ht="14.25" customHeight="1" x14ac:dyDescent="0.3">
      <c r="A110" s="44">
        <v>98</v>
      </c>
      <c r="B110" s="10">
        <f t="shared" si="1"/>
        <v>0</v>
      </c>
      <c r="C110" s="10">
        <f t="shared" si="2"/>
        <v>0</v>
      </c>
      <c r="D110" s="10">
        <f t="shared" si="3"/>
        <v>0</v>
      </c>
      <c r="F110" s="10">
        <f t="shared" si="9"/>
        <v>0</v>
      </c>
    </row>
    <row r="111" spans="1:6" ht="14.25" customHeight="1" x14ac:dyDescent="0.3">
      <c r="A111" s="44">
        <v>99</v>
      </c>
      <c r="B111" s="10">
        <f t="shared" si="1"/>
        <v>0</v>
      </c>
      <c r="C111" s="10">
        <f t="shared" si="2"/>
        <v>0</v>
      </c>
      <c r="D111" s="10">
        <f t="shared" si="3"/>
        <v>0</v>
      </c>
      <c r="F111" s="10">
        <f t="shared" si="9"/>
        <v>0</v>
      </c>
    </row>
    <row r="112" spans="1:6" ht="14.25" customHeight="1" x14ac:dyDescent="0.3">
      <c r="A112" s="44">
        <v>100</v>
      </c>
      <c r="B112" s="10">
        <f t="shared" si="1"/>
        <v>0</v>
      </c>
      <c r="C112" s="10">
        <f t="shared" si="2"/>
        <v>0</v>
      </c>
      <c r="D112" s="10">
        <f t="shared" si="3"/>
        <v>0</v>
      </c>
      <c r="F112" s="10">
        <f t="shared" si="9"/>
        <v>0</v>
      </c>
    </row>
    <row r="113" spans="1:6" ht="14.25" customHeight="1" x14ac:dyDescent="0.3">
      <c r="A113" s="44">
        <v>101</v>
      </c>
      <c r="B113" s="10">
        <f t="shared" si="1"/>
        <v>0</v>
      </c>
      <c r="C113" s="10">
        <f t="shared" si="2"/>
        <v>0</v>
      </c>
      <c r="D113" s="10">
        <f t="shared" si="3"/>
        <v>0</v>
      </c>
      <c r="F113" s="10">
        <f t="shared" si="9"/>
        <v>0</v>
      </c>
    </row>
    <row r="114" spans="1:6" ht="14.25" customHeight="1" x14ac:dyDescent="0.3">
      <c r="A114" s="44">
        <v>102</v>
      </c>
      <c r="B114" s="10">
        <f t="shared" si="1"/>
        <v>0</v>
      </c>
      <c r="C114" s="10">
        <f t="shared" si="2"/>
        <v>0</v>
      </c>
      <c r="D114" s="10">
        <f t="shared" si="3"/>
        <v>0</v>
      </c>
      <c r="F114" s="10">
        <f t="shared" si="9"/>
        <v>0</v>
      </c>
    </row>
    <row r="115" spans="1:6" ht="14.25" customHeight="1" x14ac:dyDescent="0.3">
      <c r="A115" s="44">
        <v>103</v>
      </c>
      <c r="B115" s="10">
        <f t="shared" si="1"/>
        <v>0</v>
      </c>
      <c r="C115" s="10">
        <f t="shared" si="2"/>
        <v>0</v>
      </c>
      <c r="D115" s="10">
        <f t="shared" si="3"/>
        <v>0</v>
      </c>
      <c r="F115" s="10">
        <f t="shared" si="9"/>
        <v>0</v>
      </c>
    </row>
    <row r="116" spans="1:6" ht="14.25" customHeight="1" x14ac:dyDescent="0.3">
      <c r="A116" s="44">
        <v>104</v>
      </c>
      <c r="B116" s="10">
        <f t="shared" si="1"/>
        <v>0</v>
      </c>
      <c r="C116" s="10">
        <f t="shared" si="2"/>
        <v>0</v>
      </c>
      <c r="D116" s="10">
        <f t="shared" si="3"/>
        <v>0</v>
      </c>
      <c r="F116" s="10">
        <f t="shared" si="9"/>
        <v>0</v>
      </c>
    </row>
    <row r="117" spans="1:6" ht="14.25" customHeight="1" x14ac:dyDescent="0.3">
      <c r="A117" s="44">
        <v>105</v>
      </c>
      <c r="B117" s="10">
        <f t="shared" si="1"/>
        <v>0</v>
      </c>
      <c r="C117" s="10">
        <f t="shared" si="2"/>
        <v>0</v>
      </c>
      <c r="D117" s="10">
        <f t="shared" si="3"/>
        <v>0</v>
      </c>
      <c r="F117" s="10">
        <f t="shared" si="9"/>
        <v>0</v>
      </c>
    </row>
    <row r="118" spans="1:6" ht="14.25" customHeight="1" x14ac:dyDescent="0.3">
      <c r="A118" s="44">
        <v>106</v>
      </c>
      <c r="B118" s="10">
        <f t="shared" si="1"/>
        <v>0</v>
      </c>
      <c r="C118" s="10">
        <f t="shared" si="2"/>
        <v>0</v>
      </c>
      <c r="D118" s="10">
        <f t="shared" si="3"/>
        <v>0</v>
      </c>
      <c r="F118" s="10">
        <f t="shared" si="9"/>
        <v>0</v>
      </c>
    </row>
    <row r="119" spans="1:6" ht="14.25" customHeight="1" x14ac:dyDescent="0.3">
      <c r="A119" s="44">
        <v>107</v>
      </c>
      <c r="B119" s="10">
        <f t="shared" si="1"/>
        <v>0</v>
      </c>
      <c r="C119" s="10">
        <f t="shared" si="2"/>
        <v>0</v>
      </c>
      <c r="D119" s="10">
        <f t="shared" si="3"/>
        <v>0</v>
      </c>
      <c r="F119" s="10">
        <f t="shared" si="9"/>
        <v>0</v>
      </c>
    </row>
    <row r="120" spans="1:6" ht="14.25" customHeight="1" x14ac:dyDescent="0.3">
      <c r="A120" s="44">
        <v>108</v>
      </c>
      <c r="B120" s="10">
        <f t="shared" si="1"/>
        <v>0</v>
      </c>
      <c r="C120" s="10">
        <f t="shared" si="2"/>
        <v>0</v>
      </c>
      <c r="D120" s="10">
        <f t="shared" si="3"/>
        <v>0</v>
      </c>
      <c r="F120" s="10">
        <f t="shared" si="9"/>
        <v>0</v>
      </c>
    </row>
    <row r="121" spans="1:6" ht="14.25" customHeight="1" x14ac:dyDescent="0.3">
      <c r="A121" s="44">
        <v>109</v>
      </c>
      <c r="B121" s="10">
        <f t="shared" si="1"/>
        <v>0</v>
      </c>
      <c r="C121" s="10">
        <f t="shared" si="2"/>
        <v>0</v>
      </c>
      <c r="D121" s="10">
        <f t="shared" si="3"/>
        <v>0</v>
      </c>
      <c r="F121" s="10">
        <f t="shared" si="9"/>
        <v>0</v>
      </c>
    </row>
    <row r="122" spans="1:6" ht="14.25" customHeight="1" x14ac:dyDescent="0.3">
      <c r="A122" s="44">
        <v>110</v>
      </c>
      <c r="B122" s="10">
        <f t="shared" si="1"/>
        <v>0</v>
      </c>
      <c r="C122" s="10">
        <f t="shared" si="2"/>
        <v>0</v>
      </c>
      <c r="D122" s="10">
        <f t="shared" si="3"/>
        <v>0</v>
      </c>
      <c r="F122" s="10">
        <f t="shared" si="9"/>
        <v>0</v>
      </c>
    </row>
    <row r="123" spans="1:6" ht="14.25" customHeight="1" x14ac:dyDescent="0.3">
      <c r="A123" s="44">
        <v>111</v>
      </c>
      <c r="B123" s="10">
        <f t="shared" si="1"/>
        <v>0</v>
      </c>
      <c r="C123" s="10">
        <f t="shared" si="2"/>
        <v>0</v>
      </c>
      <c r="D123" s="10">
        <f t="shared" si="3"/>
        <v>0</v>
      </c>
      <c r="F123" s="10">
        <f t="shared" si="9"/>
        <v>0</v>
      </c>
    </row>
    <row r="124" spans="1:6" ht="14.25" customHeight="1" x14ac:dyDescent="0.3">
      <c r="A124" s="44">
        <v>112</v>
      </c>
      <c r="B124" s="10">
        <f t="shared" si="1"/>
        <v>0</v>
      </c>
      <c r="C124" s="10">
        <f t="shared" si="2"/>
        <v>0</v>
      </c>
      <c r="D124" s="10">
        <f t="shared" si="3"/>
        <v>0</v>
      </c>
      <c r="F124" s="10">
        <f t="shared" si="9"/>
        <v>0</v>
      </c>
    </row>
    <row r="125" spans="1:6" ht="14.25" customHeight="1" x14ac:dyDescent="0.3">
      <c r="A125" s="44">
        <v>113</v>
      </c>
      <c r="B125" s="10">
        <f t="shared" si="1"/>
        <v>0</v>
      </c>
      <c r="C125" s="10">
        <f t="shared" si="2"/>
        <v>0</v>
      </c>
      <c r="D125" s="10">
        <f t="shared" si="3"/>
        <v>0</v>
      </c>
      <c r="F125" s="10">
        <f t="shared" si="9"/>
        <v>0</v>
      </c>
    </row>
    <row r="126" spans="1:6" ht="14.25" customHeight="1" x14ac:dyDescent="0.3">
      <c r="A126" s="44">
        <v>114</v>
      </c>
      <c r="B126" s="10">
        <f t="shared" si="1"/>
        <v>0</v>
      </c>
      <c r="C126" s="10">
        <f t="shared" si="2"/>
        <v>0</v>
      </c>
      <c r="D126" s="10">
        <f t="shared" si="3"/>
        <v>0</v>
      </c>
      <c r="F126" s="10">
        <f t="shared" si="9"/>
        <v>0</v>
      </c>
    </row>
    <row r="127" spans="1:6" ht="14.25" customHeight="1" x14ac:dyDescent="0.3">
      <c r="A127" s="44">
        <v>115</v>
      </c>
      <c r="B127" s="10">
        <f t="shared" si="1"/>
        <v>0</v>
      </c>
      <c r="C127" s="10">
        <f t="shared" si="2"/>
        <v>0</v>
      </c>
      <c r="D127" s="10">
        <f t="shared" si="3"/>
        <v>0</v>
      </c>
      <c r="F127" s="10">
        <f t="shared" si="9"/>
        <v>0</v>
      </c>
    </row>
    <row r="128" spans="1:6" ht="14.25" customHeight="1" x14ac:dyDescent="0.3">
      <c r="A128" s="44">
        <v>116</v>
      </c>
      <c r="B128" s="10">
        <f t="shared" si="1"/>
        <v>0</v>
      </c>
      <c r="C128" s="10">
        <f t="shared" si="2"/>
        <v>0</v>
      </c>
      <c r="D128" s="10">
        <f t="shared" si="3"/>
        <v>0</v>
      </c>
      <c r="F128" s="10">
        <f t="shared" si="9"/>
        <v>0</v>
      </c>
    </row>
    <row r="129" spans="1:6" ht="14.25" customHeight="1" x14ac:dyDescent="0.3">
      <c r="A129" s="44">
        <v>117</v>
      </c>
      <c r="B129" s="10">
        <f t="shared" si="1"/>
        <v>0</v>
      </c>
      <c r="C129" s="10">
        <f t="shared" si="2"/>
        <v>0</v>
      </c>
      <c r="D129" s="10">
        <f t="shared" si="3"/>
        <v>0</v>
      </c>
      <c r="F129" s="10">
        <f t="shared" si="9"/>
        <v>0</v>
      </c>
    </row>
    <row r="130" spans="1:6" ht="14.25" customHeight="1" x14ac:dyDescent="0.3">
      <c r="A130" s="44">
        <v>118</v>
      </c>
      <c r="B130" s="10">
        <f t="shared" si="1"/>
        <v>0</v>
      </c>
      <c r="C130" s="10">
        <f t="shared" si="2"/>
        <v>0</v>
      </c>
      <c r="D130" s="10">
        <f t="shared" si="3"/>
        <v>0</v>
      </c>
      <c r="F130" s="10">
        <f t="shared" si="9"/>
        <v>0</v>
      </c>
    </row>
    <row r="131" spans="1:6" ht="14.25" customHeight="1" x14ac:dyDescent="0.3">
      <c r="A131" s="44">
        <v>119</v>
      </c>
      <c r="B131" s="10">
        <f t="shared" si="1"/>
        <v>0</v>
      </c>
      <c r="C131" s="10">
        <f t="shared" si="2"/>
        <v>0</v>
      </c>
      <c r="D131" s="10">
        <f t="shared" si="3"/>
        <v>0</v>
      </c>
      <c r="F131" s="10">
        <f t="shared" si="9"/>
        <v>0</v>
      </c>
    </row>
    <row r="132" spans="1:6" ht="14.25" customHeight="1" x14ac:dyDescent="0.3">
      <c r="A132" s="44">
        <v>120</v>
      </c>
      <c r="B132" s="10">
        <f t="shared" si="1"/>
        <v>0</v>
      </c>
      <c r="C132" s="10">
        <f t="shared" si="2"/>
        <v>0</v>
      </c>
      <c r="D132" s="10">
        <f t="shared" si="3"/>
        <v>0</v>
      </c>
      <c r="F132" s="10">
        <f t="shared" si="9"/>
        <v>0</v>
      </c>
    </row>
    <row r="133" spans="1:6" ht="14.25" customHeight="1" x14ac:dyDescent="0.3">
      <c r="A133" s="44">
        <v>121</v>
      </c>
      <c r="B133" s="10">
        <f t="shared" si="1"/>
        <v>0</v>
      </c>
      <c r="C133" s="10">
        <f t="shared" si="2"/>
        <v>0</v>
      </c>
      <c r="D133" s="10">
        <f t="shared" si="3"/>
        <v>0</v>
      </c>
      <c r="F133" s="10">
        <f t="shared" si="9"/>
        <v>0</v>
      </c>
    </row>
    <row r="134" spans="1:6" ht="14.25" customHeight="1" x14ac:dyDescent="0.3">
      <c r="A134" s="44">
        <v>122</v>
      </c>
      <c r="B134" s="10">
        <f t="shared" si="1"/>
        <v>0</v>
      </c>
      <c r="C134" s="10">
        <f t="shared" si="2"/>
        <v>0</v>
      </c>
      <c r="D134" s="10">
        <f t="shared" si="3"/>
        <v>0</v>
      </c>
      <c r="F134" s="10">
        <f t="shared" si="9"/>
        <v>0</v>
      </c>
    </row>
    <row r="135" spans="1:6" ht="14.25" customHeight="1" x14ac:dyDescent="0.3">
      <c r="A135" s="44">
        <v>123</v>
      </c>
      <c r="B135" s="10">
        <f t="shared" si="1"/>
        <v>0</v>
      </c>
      <c r="C135" s="10">
        <f t="shared" si="2"/>
        <v>0</v>
      </c>
      <c r="D135" s="10">
        <f t="shared" si="3"/>
        <v>0</v>
      </c>
      <c r="F135" s="10">
        <f t="shared" si="9"/>
        <v>0</v>
      </c>
    </row>
    <row r="136" spans="1:6" ht="14.25" customHeight="1" x14ac:dyDescent="0.3">
      <c r="A136" s="44">
        <v>124</v>
      </c>
      <c r="B136" s="10">
        <f t="shared" si="1"/>
        <v>0</v>
      </c>
      <c r="C136" s="10">
        <f t="shared" si="2"/>
        <v>0</v>
      </c>
      <c r="D136" s="10">
        <f t="shared" si="3"/>
        <v>0</v>
      </c>
      <c r="F136" s="10">
        <f t="shared" si="9"/>
        <v>0</v>
      </c>
    </row>
    <row r="137" spans="1:6" ht="14.25" customHeight="1" x14ac:dyDescent="0.3">
      <c r="A137" s="44">
        <v>125</v>
      </c>
      <c r="B137" s="10">
        <f t="shared" si="1"/>
        <v>0</v>
      </c>
      <c r="C137" s="10">
        <f t="shared" si="2"/>
        <v>0</v>
      </c>
      <c r="D137" s="10">
        <f t="shared" si="3"/>
        <v>0</v>
      </c>
      <c r="F137" s="10">
        <f t="shared" si="9"/>
        <v>0</v>
      </c>
    </row>
    <row r="138" spans="1:6" ht="14.25" customHeight="1" x14ac:dyDescent="0.3">
      <c r="A138" s="44">
        <v>126</v>
      </c>
      <c r="B138" s="10">
        <f t="shared" si="1"/>
        <v>0</v>
      </c>
      <c r="C138" s="10">
        <f t="shared" si="2"/>
        <v>0</v>
      </c>
      <c r="D138" s="10">
        <f t="shared" si="3"/>
        <v>0</v>
      </c>
      <c r="F138" s="10">
        <f t="shared" si="9"/>
        <v>0</v>
      </c>
    </row>
    <row r="139" spans="1:6" ht="14.25" customHeight="1" x14ac:dyDescent="0.3">
      <c r="A139" s="44">
        <v>127</v>
      </c>
      <c r="B139" s="10">
        <f t="shared" si="1"/>
        <v>0</v>
      </c>
      <c r="C139" s="10">
        <f t="shared" si="2"/>
        <v>0</v>
      </c>
      <c r="D139" s="10">
        <f t="shared" si="3"/>
        <v>0</v>
      </c>
      <c r="F139" s="10">
        <f t="shared" si="9"/>
        <v>0</v>
      </c>
    </row>
    <row r="140" spans="1:6" ht="14.25" customHeight="1" x14ac:dyDescent="0.3">
      <c r="A140" s="44">
        <v>128</v>
      </c>
      <c r="B140" s="10">
        <f t="shared" si="1"/>
        <v>0</v>
      </c>
      <c r="C140" s="10">
        <f t="shared" si="2"/>
        <v>0</v>
      </c>
      <c r="D140" s="10">
        <f t="shared" si="3"/>
        <v>0</v>
      </c>
      <c r="F140" s="10">
        <f t="shared" si="9"/>
        <v>0</v>
      </c>
    </row>
    <row r="141" spans="1:6" ht="14.25" customHeight="1" x14ac:dyDescent="0.3">
      <c r="A141" s="44">
        <v>129</v>
      </c>
      <c r="B141" s="10">
        <f t="shared" si="1"/>
        <v>0</v>
      </c>
      <c r="C141" s="10">
        <f t="shared" si="2"/>
        <v>0</v>
      </c>
      <c r="D141" s="10">
        <f t="shared" si="3"/>
        <v>0</v>
      </c>
      <c r="F141" s="10">
        <f t="shared" ref="F141:F204" si="10">IF(ROUND(F140,5)&gt;0,F140-D141,0)</f>
        <v>0</v>
      </c>
    </row>
    <row r="142" spans="1:6" ht="14.25" customHeight="1" x14ac:dyDescent="0.3">
      <c r="A142" s="44">
        <v>130</v>
      </c>
      <c r="B142" s="10">
        <f t="shared" si="1"/>
        <v>0</v>
      </c>
      <c r="C142" s="10">
        <f t="shared" si="2"/>
        <v>0</v>
      </c>
      <c r="D142" s="10">
        <f t="shared" si="3"/>
        <v>0</v>
      </c>
      <c r="F142" s="10">
        <f t="shared" si="10"/>
        <v>0</v>
      </c>
    </row>
    <row r="143" spans="1:6" ht="14.25" customHeight="1" x14ac:dyDescent="0.3">
      <c r="A143" s="44">
        <v>131</v>
      </c>
      <c r="B143" s="10">
        <f t="shared" si="1"/>
        <v>0</v>
      </c>
      <c r="C143" s="10">
        <f t="shared" si="2"/>
        <v>0</v>
      </c>
      <c r="D143" s="10">
        <f t="shared" si="3"/>
        <v>0</v>
      </c>
      <c r="F143" s="10">
        <f t="shared" si="10"/>
        <v>0</v>
      </c>
    </row>
    <row r="144" spans="1:6" ht="14.25" customHeight="1" x14ac:dyDescent="0.3">
      <c r="A144" s="44">
        <v>132</v>
      </c>
      <c r="B144" s="10">
        <f t="shared" si="1"/>
        <v>0</v>
      </c>
      <c r="C144" s="10">
        <f t="shared" si="2"/>
        <v>0</v>
      </c>
      <c r="D144" s="10">
        <f t="shared" si="3"/>
        <v>0</v>
      </c>
      <c r="F144" s="10">
        <f t="shared" si="10"/>
        <v>0</v>
      </c>
    </row>
    <row r="145" spans="1:6" ht="14.25" customHeight="1" x14ac:dyDescent="0.3">
      <c r="A145" s="44">
        <v>133</v>
      </c>
      <c r="B145" s="10">
        <f t="shared" si="1"/>
        <v>0</v>
      </c>
      <c r="C145" s="10">
        <f t="shared" si="2"/>
        <v>0</v>
      </c>
      <c r="D145" s="10">
        <f t="shared" si="3"/>
        <v>0</v>
      </c>
      <c r="F145" s="10">
        <f t="shared" si="10"/>
        <v>0</v>
      </c>
    </row>
    <row r="146" spans="1:6" ht="14.25" customHeight="1" x14ac:dyDescent="0.3">
      <c r="A146" s="44">
        <v>134</v>
      </c>
      <c r="B146" s="10">
        <f t="shared" si="1"/>
        <v>0</v>
      </c>
      <c r="C146" s="10">
        <f t="shared" si="2"/>
        <v>0</v>
      </c>
      <c r="D146" s="10">
        <f t="shared" si="3"/>
        <v>0</v>
      </c>
      <c r="F146" s="10">
        <f t="shared" si="10"/>
        <v>0</v>
      </c>
    </row>
    <row r="147" spans="1:6" ht="14.25" customHeight="1" x14ac:dyDescent="0.3">
      <c r="A147" s="44">
        <v>135</v>
      </c>
      <c r="B147" s="10">
        <f t="shared" si="1"/>
        <v>0</v>
      </c>
      <c r="C147" s="10">
        <f t="shared" si="2"/>
        <v>0</v>
      </c>
      <c r="D147" s="10">
        <f t="shared" si="3"/>
        <v>0</v>
      </c>
      <c r="F147" s="10">
        <f t="shared" si="10"/>
        <v>0</v>
      </c>
    </row>
    <row r="148" spans="1:6" ht="14.25" customHeight="1" x14ac:dyDescent="0.3">
      <c r="A148" s="44">
        <v>136</v>
      </c>
      <c r="B148" s="10">
        <f t="shared" si="1"/>
        <v>0</v>
      </c>
      <c r="C148" s="10">
        <f t="shared" si="2"/>
        <v>0</v>
      </c>
      <c r="D148" s="10">
        <f t="shared" si="3"/>
        <v>0</v>
      </c>
      <c r="F148" s="10">
        <f t="shared" si="10"/>
        <v>0</v>
      </c>
    </row>
    <row r="149" spans="1:6" ht="14.25" customHeight="1" x14ac:dyDescent="0.3">
      <c r="A149" s="44">
        <v>137</v>
      </c>
      <c r="B149" s="10">
        <f t="shared" si="1"/>
        <v>0</v>
      </c>
      <c r="C149" s="10">
        <f t="shared" si="2"/>
        <v>0</v>
      </c>
      <c r="D149" s="10">
        <f t="shared" si="3"/>
        <v>0</v>
      </c>
      <c r="F149" s="10">
        <f t="shared" si="10"/>
        <v>0</v>
      </c>
    </row>
    <row r="150" spans="1:6" ht="14.25" customHeight="1" x14ac:dyDescent="0.3">
      <c r="A150" s="44">
        <v>138</v>
      </c>
      <c r="B150" s="10">
        <f t="shared" si="1"/>
        <v>0</v>
      </c>
      <c r="C150" s="10">
        <f t="shared" si="2"/>
        <v>0</v>
      </c>
      <c r="D150" s="10">
        <f t="shared" si="3"/>
        <v>0</v>
      </c>
      <c r="F150" s="10">
        <f t="shared" si="10"/>
        <v>0</v>
      </c>
    </row>
    <row r="151" spans="1:6" ht="14.25" customHeight="1" x14ac:dyDescent="0.3">
      <c r="A151" s="44">
        <v>139</v>
      </c>
      <c r="B151" s="10">
        <f t="shared" si="1"/>
        <v>0</v>
      </c>
      <c r="C151" s="10">
        <f t="shared" si="2"/>
        <v>0</v>
      </c>
      <c r="D151" s="10">
        <f t="shared" si="3"/>
        <v>0</v>
      </c>
      <c r="F151" s="10">
        <f t="shared" si="10"/>
        <v>0</v>
      </c>
    </row>
    <row r="152" spans="1:6" ht="14.25" customHeight="1" x14ac:dyDescent="0.3">
      <c r="A152" s="44">
        <v>140</v>
      </c>
      <c r="B152" s="10">
        <f t="shared" si="1"/>
        <v>0</v>
      </c>
      <c r="C152" s="10">
        <f t="shared" si="2"/>
        <v>0</v>
      </c>
      <c r="D152" s="10">
        <f t="shared" si="3"/>
        <v>0</v>
      </c>
      <c r="F152" s="10">
        <f t="shared" si="10"/>
        <v>0</v>
      </c>
    </row>
    <row r="153" spans="1:6" ht="14.25" customHeight="1" x14ac:dyDescent="0.3">
      <c r="A153" s="44">
        <v>141</v>
      </c>
      <c r="B153" s="10">
        <f t="shared" si="1"/>
        <v>0</v>
      </c>
      <c r="C153" s="10">
        <f t="shared" si="2"/>
        <v>0</v>
      </c>
      <c r="D153" s="10">
        <f t="shared" si="3"/>
        <v>0</v>
      </c>
      <c r="F153" s="10">
        <f t="shared" si="10"/>
        <v>0</v>
      </c>
    </row>
    <row r="154" spans="1:6" ht="14.25" customHeight="1" x14ac:dyDescent="0.3">
      <c r="A154" s="44">
        <v>142</v>
      </c>
      <c r="B154" s="10">
        <f t="shared" si="1"/>
        <v>0</v>
      </c>
      <c r="C154" s="10">
        <f t="shared" si="2"/>
        <v>0</v>
      </c>
      <c r="D154" s="10">
        <f t="shared" si="3"/>
        <v>0</v>
      </c>
      <c r="F154" s="10">
        <f t="shared" si="10"/>
        <v>0</v>
      </c>
    </row>
    <row r="155" spans="1:6" ht="14.25" customHeight="1" x14ac:dyDescent="0.3">
      <c r="A155" s="44">
        <v>143</v>
      </c>
      <c r="B155" s="10">
        <f t="shared" si="1"/>
        <v>0</v>
      </c>
      <c r="C155" s="10">
        <f t="shared" si="2"/>
        <v>0</v>
      </c>
      <c r="D155" s="10">
        <f t="shared" si="3"/>
        <v>0</v>
      </c>
      <c r="F155" s="10">
        <f t="shared" si="10"/>
        <v>0</v>
      </c>
    </row>
    <row r="156" spans="1:6" ht="14.25" customHeight="1" x14ac:dyDescent="0.3">
      <c r="A156" s="44">
        <v>144</v>
      </c>
      <c r="B156" s="10">
        <f t="shared" si="1"/>
        <v>0</v>
      </c>
      <c r="C156" s="10">
        <f t="shared" si="2"/>
        <v>0</v>
      </c>
      <c r="D156" s="10">
        <f t="shared" si="3"/>
        <v>0</v>
      </c>
      <c r="F156" s="10">
        <f t="shared" si="10"/>
        <v>0</v>
      </c>
    </row>
    <row r="157" spans="1:6" ht="14.25" customHeight="1" x14ac:dyDescent="0.3">
      <c r="A157" s="44">
        <v>145</v>
      </c>
      <c r="B157" s="10">
        <f t="shared" si="1"/>
        <v>0</v>
      </c>
      <c r="C157" s="10">
        <f t="shared" si="2"/>
        <v>0</v>
      </c>
      <c r="D157" s="10">
        <f t="shared" si="3"/>
        <v>0</v>
      </c>
      <c r="F157" s="10">
        <f t="shared" si="10"/>
        <v>0</v>
      </c>
    </row>
    <row r="158" spans="1:6" ht="14.25" customHeight="1" x14ac:dyDescent="0.3">
      <c r="A158" s="44">
        <v>146</v>
      </c>
      <c r="B158" s="10">
        <f t="shared" si="1"/>
        <v>0</v>
      </c>
      <c r="C158" s="10">
        <f t="shared" si="2"/>
        <v>0</v>
      </c>
      <c r="D158" s="10">
        <f t="shared" si="3"/>
        <v>0</v>
      </c>
      <c r="F158" s="10">
        <f t="shared" si="10"/>
        <v>0</v>
      </c>
    </row>
    <row r="159" spans="1:6" ht="14.25" customHeight="1" x14ac:dyDescent="0.3">
      <c r="A159" s="44">
        <v>147</v>
      </c>
      <c r="B159" s="10">
        <f t="shared" si="1"/>
        <v>0</v>
      </c>
      <c r="C159" s="10">
        <f t="shared" si="2"/>
        <v>0</v>
      </c>
      <c r="D159" s="10">
        <f t="shared" si="3"/>
        <v>0</v>
      </c>
      <c r="F159" s="10">
        <f t="shared" si="10"/>
        <v>0</v>
      </c>
    </row>
    <row r="160" spans="1:6" ht="14.25" customHeight="1" x14ac:dyDescent="0.3">
      <c r="A160" s="44">
        <v>148</v>
      </c>
      <c r="B160" s="10">
        <f t="shared" si="1"/>
        <v>0</v>
      </c>
      <c r="C160" s="10">
        <f t="shared" si="2"/>
        <v>0</v>
      </c>
      <c r="D160" s="10">
        <f t="shared" si="3"/>
        <v>0</v>
      </c>
      <c r="F160" s="10">
        <f t="shared" si="10"/>
        <v>0</v>
      </c>
    </row>
    <row r="161" spans="1:6" ht="14.25" customHeight="1" x14ac:dyDescent="0.3">
      <c r="A161" s="44">
        <v>149</v>
      </c>
      <c r="B161" s="10">
        <f t="shared" si="1"/>
        <v>0</v>
      </c>
      <c r="C161" s="10">
        <f t="shared" si="2"/>
        <v>0</v>
      </c>
      <c r="D161" s="10">
        <f t="shared" si="3"/>
        <v>0</v>
      </c>
      <c r="F161" s="10">
        <f t="shared" si="10"/>
        <v>0</v>
      </c>
    </row>
    <row r="162" spans="1:6" ht="14.25" customHeight="1" x14ac:dyDescent="0.3">
      <c r="A162" s="44">
        <v>150</v>
      </c>
      <c r="B162" s="10">
        <f t="shared" si="1"/>
        <v>0</v>
      </c>
      <c r="C162" s="10">
        <f t="shared" si="2"/>
        <v>0</v>
      </c>
      <c r="D162" s="10">
        <f t="shared" si="3"/>
        <v>0</v>
      </c>
      <c r="F162" s="10">
        <f t="shared" si="10"/>
        <v>0</v>
      </c>
    </row>
    <row r="163" spans="1:6" ht="14.25" customHeight="1" x14ac:dyDescent="0.3">
      <c r="A163" s="44">
        <v>151</v>
      </c>
      <c r="B163" s="10">
        <f t="shared" si="1"/>
        <v>0</v>
      </c>
      <c r="C163" s="10">
        <f t="shared" si="2"/>
        <v>0</v>
      </c>
      <c r="D163" s="10">
        <f t="shared" si="3"/>
        <v>0</v>
      </c>
      <c r="F163" s="10">
        <f t="shared" si="10"/>
        <v>0</v>
      </c>
    </row>
    <row r="164" spans="1:6" ht="14.25" customHeight="1" x14ac:dyDescent="0.3">
      <c r="A164" s="44">
        <v>152</v>
      </c>
      <c r="B164" s="10">
        <f t="shared" si="1"/>
        <v>0</v>
      </c>
      <c r="C164" s="10">
        <f t="shared" si="2"/>
        <v>0</v>
      </c>
      <c r="D164" s="10">
        <f t="shared" si="3"/>
        <v>0</v>
      </c>
      <c r="F164" s="10">
        <f t="shared" si="10"/>
        <v>0</v>
      </c>
    </row>
    <row r="165" spans="1:6" ht="14.25" customHeight="1" x14ac:dyDescent="0.3">
      <c r="A165" s="44">
        <v>153</v>
      </c>
      <c r="B165" s="10">
        <f t="shared" si="1"/>
        <v>0</v>
      </c>
      <c r="C165" s="10">
        <f t="shared" si="2"/>
        <v>0</v>
      </c>
      <c r="D165" s="10">
        <f t="shared" si="3"/>
        <v>0</v>
      </c>
      <c r="F165" s="10">
        <f t="shared" si="10"/>
        <v>0</v>
      </c>
    </row>
    <row r="166" spans="1:6" ht="14.25" customHeight="1" x14ac:dyDescent="0.3">
      <c r="A166" s="44">
        <v>154</v>
      </c>
      <c r="B166" s="10">
        <f t="shared" si="1"/>
        <v>0</v>
      </c>
      <c r="C166" s="10">
        <f t="shared" si="2"/>
        <v>0</v>
      </c>
      <c r="D166" s="10">
        <f t="shared" si="3"/>
        <v>0</v>
      </c>
      <c r="F166" s="10">
        <f t="shared" si="10"/>
        <v>0</v>
      </c>
    </row>
    <row r="167" spans="1:6" ht="14.25" customHeight="1" x14ac:dyDescent="0.3">
      <c r="A167" s="44">
        <v>155</v>
      </c>
      <c r="B167" s="10">
        <f t="shared" si="1"/>
        <v>0</v>
      </c>
      <c r="C167" s="10">
        <f t="shared" si="2"/>
        <v>0</v>
      </c>
      <c r="D167" s="10">
        <f t="shared" si="3"/>
        <v>0</v>
      </c>
      <c r="F167" s="10">
        <f t="shared" si="10"/>
        <v>0</v>
      </c>
    </row>
    <row r="168" spans="1:6" ht="14.25" customHeight="1" x14ac:dyDescent="0.3">
      <c r="A168" s="44">
        <v>156</v>
      </c>
      <c r="B168" s="10">
        <f t="shared" si="1"/>
        <v>0</v>
      </c>
      <c r="C168" s="10">
        <f t="shared" si="2"/>
        <v>0</v>
      </c>
      <c r="D168" s="10">
        <f t="shared" si="3"/>
        <v>0</v>
      </c>
      <c r="F168" s="10">
        <f t="shared" si="10"/>
        <v>0</v>
      </c>
    </row>
    <row r="169" spans="1:6" ht="14.25" customHeight="1" x14ac:dyDescent="0.3">
      <c r="A169" s="44">
        <v>157</v>
      </c>
      <c r="B169" s="10">
        <f t="shared" si="1"/>
        <v>0</v>
      </c>
      <c r="C169" s="10">
        <f t="shared" si="2"/>
        <v>0</v>
      </c>
      <c r="D169" s="10">
        <f t="shared" si="3"/>
        <v>0</v>
      </c>
      <c r="F169" s="10">
        <f t="shared" si="10"/>
        <v>0</v>
      </c>
    </row>
    <row r="170" spans="1:6" ht="14.25" customHeight="1" x14ac:dyDescent="0.3">
      <c r="A170" s="44">
        <v>158</v>
      </c>
      <c r="B170" s="12">
        <f t="shared" si="1"/>
        <v>0</v>
      </c>
      <c r="C170" s="12">
        <f t="shared" si="2"/>
        <v>0</v>
      </c>
      <c r="D170" s="12">
        <f t="shared" si="3"/>
        <v>0</v>
      </c>
      <c r="F170" s="10">
        <f t="shared" si="10"/>
        <v>0</v>
      </c>
    </row>
    <row r="171" spans="1:6" ht="14.25" customHeight="1" x14ac:dyDescent="0.3">
      <c r="A171" s="44">
        <v>159</v>
      </c>
      <c r="B171" s="12">
        <f t="shared" si="1"/>
        <v>0</v>
      </c>
      <c r="C171" s="12">
        <f t="shared" si="2"/>
        <v>0</v>
      </c>
      <c r="D171" s="12">
        <f t="shared" si="3"/>
        <v>0</v>
      </c>
      <c r="F171" s="10">
        <f t="shared" si="10"/>
        <v>0</v>
      </c>
    </row>
    <row r="172" spans="1:6" ht="14.25" customHeight="1" x14ac:dyDescent="0.3">
      <c r="A172" s="44">
        <v>160</v>
      </c>
      <c r="B172" s="12">
        <f t="shared" si="1"/>
        <v>0</v>
      </c>
      <c r="C172" s="12">
        <f t="shared" si="2"/>
        <v>0</v>
      </c>
      <c r="D172" s="12">
        <f t="shared" si="3"/>
        <v>0</v>
      </c>
      <c r="F172" s="10">
        <f t="shared" si="10"/>
        <v>0</v>
      </c>
    </row>
    <row r="173" spans="1:6" ht="14.25" customHeight="1" x14ac:dyDescent="0.3">
      <c r="A173" s="44">
        <v>161</v>
      </c>
      <c r="B173" s="12">
        <f t="shared" si="1"/>
        <v>0</v>
      </c>
      <c r="C173" s="12">
        <f t="shared" si="2"/>
        <v>0</v>
      </c>
      <c r="D173" s="12">
        <f t="shared" si="3"/>
        <v>0</v>
      </c>
      <c r="F173" s="10">
        <f t="shared" si="10"/>
        <v>0</v>
      </c>
    </row>
    <row r="174" spans="1:6" ht="14.25" customHeight="1" x14ac:dyDescent="0.3">
      <c r="A174" s="44">
        <v>162</v>
      </c>
      <c r="B174" s="12">
        <f t="shared" si="1"/>
        <v>0</v>
      </c>
      <c r="C174" s="12">
        <f t="shared" si="2"/>
        <v>0</v>
      </c>
      <c r="D174" s="12">
        <f t="shared" si="3"/>
        <v>0</v>
      </c>
      <c r="F174" s="10">
        <f t="shared" si="10"/>
        <v>0</v>
      </c>
    </row>
    <row r="175" spans="1:6" ht="14.25" customHeight="1" x14ac:dyDescent="0.3">
      <c r="A175" s="44">
        <v>163</v>
      </c>
      <c r="B175" s="12">
        <f t="shared" si="1"/>
        <v>0</v>
      </c>
      <c r="C175" s="12">
        <f t="shared" si="2"/>
        <v>0</v>
      </c>
      <c r="D175" s="12">
        <f t="shared" si="3"/>
        <v>0</v>
      </c>
      <c r="F175" s="10">
        <f t="shared" si="10"/>
        <v>0</v>
      </c>
    </row>
    <row r="176" spans="1:6" ht="14.25" customHeight="1" x14ac:dyDescent="0.3">
      <c r="A176" s="44">
        <v>164</v>
      </c>
      <c r="B176" s="12">
        <f t="shared" si="1"/>
        <v>0</v>
      </c>
      <c r="C176" s="12">
        <f t="shared" si="2"/>
        <v>0</v>
      </c>
      <c r="D176" s="12">
        <f t="shared" si="3"/>
        <v>0</v>
      </c>
      <c r="F176" s="10">
        <f t="shared" si="10"/>
        <v>0</v>
      </c>
    </row>
    <row r="177" spans="1:6" ht="14.25" customHeight="1" x14ac:dyDescent="0.3">
      <c r="A177" s="44">
        <v>165</v>
      </c>
      <c r="B177" s="12">
        <f t="shared" si="1"/>
        <v>0</v>
      </c>
      <c r="C177" s="12">
        <f t="shared" si="2"/>
        <v>0</v>
      </c>
      <c r="D177" s="12">
        <f t="shared" si="3"/>
        <v>0</v>
      </c>
      <c r="F177" s="10">
        <f t="shared" si="10"/>
        <v>0</v>
      </c>
    </row>
    <row r="178" spans="1:6" ht="14.25" customHeight="1" x14ac:dyDescent="0.3">
      <c r="A178" s="44">
        <v>166</v>
      </c>
      <c r="B178" s="12">
        <f t="shared" si="1"/>
        <v>0</v>
      </c>
      <c r="C178" s="12">
        <f t="shared" si="2"/>
        <v>0</v>
      </c>
      <c r="D178" s="12">
        <f t="shared" si="3"/>
        <v>0</v>
      </c>
      <c r="F178" s="10">
        <f t="shared" si="10"/>
        <v>0</v>
      </c>
    </row>
    <row r="179" spans="1:6" ht="14.25" customHeight="1" x14ac:dyDescent="0.3">
      <c r="A179" s="44">
        <v>167</v>
      </c>
      <c r="B179" s="12">
        <f t="shared" si="1"/>
        <v>0</v>
      </c>
      <c r="C179" s="12">
        <f t="shared" si="2"/>
        <v>0</v>
      </c>
      <c r="D179" s="12">
        <f t="shared" si="3"/>
        <v>0</v>
      </c>
      <c r="F179" s="10">
        <f t="shared" si="10"/>
        <v>0</v>
      </c>
    </row>
    <row r="180" spans="1:6" ht="14.25" customHeight="1" x14ac:dyDescent="0.3">
      <c r="A180" s="44">
        <v>168</v>
      </c>
      <c r="B180" s="12">
        <f t="shared" si="1"/>
        <v>0</v>
      </c>
      <c r="C180" s="12">
        <f t="shared" si="2"/>
        <v>0</v>
      </c>
      <c r="D180" s="12">
        <f t="shared" si="3"/>
        <v>0</v>
      </c>
      <c r="F180" s="10">
        <f t="shared" si="10"/>
        <v>0</v>
      </c>
    </row>
    <row r="181" spans="1:6" ht="14.25" customHeight="1" x14ac:dyDescent="0.3">
      <c r="A181" s="44">
        <v>169</v>
      </c>
      <c r="B181" s="12">
        <f t="shared" si="1"/>
        <v>0</v>
      </c>
      <c r="C181" s="12">
        <f t="shared" si="2"/>
        <v>0</v>
      </c>
      <c r="D181" s="12">
        <f t="shared" si="3"/>
        <v>0</v>
      </c>
      <c r="F181" s="10">
        <f t="shared" si="10"/>
        <v>0</v>
      </c>
    </row>
    <row r="182" spans="1:6" ht="14.25" customHeight="1" x14ac:dyDescent="0.3">
      <c r="A182" s="44">
        <v>170</v>
      </c>
      <c r="B182" s="12">
        <f t="shared" si="1"/>
        <v>0</v>
      </c>
      <c r="C182" s="12">
        <f t="shared" si="2"/>
        <v>0</v>
      </c>
      <c r="D182" s="12">
        <f t="shared" si="3"/>
        <v>0</v>
      </c>
      <c r="F182" s="10">
        <f t="shared" si="10"/>
        <v>0</v>
      </c>
    </row>
    <row r="183" spans="1:6" ht="14.25" customHeight="1" x14ac:dyDescent="0.3">
      <c r="A183" s="44">
        <v>171</v>
      </c>
      <c r="B183" s="12">
        <f t="shared" si="1"/>
        <v>0</v>
      </c>
      <c r="C183" s="12">
        <f t="shared" si="2"/>
        <v>0</v>
      </c>
      <c r="D183" s="12">
        <f t="shared" si="3"/>
        <v>0</v>
      </c>
      <c r="F183" s="10">
        <f t="shared" si="10"/>
        <v>0</v>
      </c>
    </row>
    <row r="184" spans="1:6" ht="14.25" customHeight="1" x14ac:dyDescent="0.3">
      <c r="A184" s="44">
        <v>172</v>
      </c>
      <c r="B184" s="12">
        <f t="shared" si="1"/>
        <v>0</v>
      </c>
      <c r="C184" s="12">
        <f t="shared" si="2"/>
        <v>0</v>
      </c>
      <c r="D184" s="12">
        <f t="shared" si="3"/>
        <v>0</v>
      </c>
      <c r="F184" s="10">
        <f t="shared" si="10"/>
        <v>0</v>
      </c>
    </row>
    <row r="185" spans="1:6" ht="14.25" customHeight="1" x14ac:dyDescent="0.3">
      <c r="A185" s="44">
        <v>173</v>
      </c>
      <c r="B185" s="12">
        <f t="shared" si="1"/>
        <v>0</v>
      </c>
      <c r="C185" s="12">
        <f t="shared" si="2"/>
        <v>0</v>
      </c>
      <c r="D185" s="12">
        <f t="shared" si="3"/>
        <v>0</v>
      </c>
      <c r="F185" s="10">
        <f t="shared" si="10"/>
        <v>0</v>
      </c>
    </row>
    <row r="186" spans="1:6" ht="14.25" customHeight="1" x14ac:dyDescent="0.3">
      <c r="A186" s="44">
        <v>174</v>
      </c>
      <c r="B186" s="12">
        <f t="shared" si="1"/>
        <v>0</v>
      </c>
      <c r="C186" s="12">
        <f t="shared" si="2"/>
        <v>0</v>
      </c>
      <c r="D186" s="12">
        <f t="shared" si="3"/>
        <v>0</v>
      </c>
      <c r="F186" s="10">
        <f t="shared" si="10"/>
        <v>0</v>
      </c>
    </row>
    <row r="187" spans="1:6" ht="14.25" customHeight="1" x14ac:dyDescent="0.3">
      <c r="A187" s="44">
        <v>175</v>
      </c>
      <c r="B187" s="12">
        <f t="shared" si="1"/>
        <v>0</v>
      </c>
      <c r="C187" s="12">
        <f t="shared" si="2"/>
        <v>0</v>
      </c>
      <c r="D187" s="12">
        <f t="shared" si="3"/>
        <v>0</v>
      </c>
      <c r="F187" s="10">
        <f t="shared" si="10"/>
        <v>0</v>
      </c>
    </row>
    <row r="188" spans="1:6" ht="14.25" customHeight="1" x14ac:dyDescent="0.3">
      <c r="A188" s="44">
        <v>176</v>
      </c>
      <c r="B188" s="12">
        <f t="shared" si="1"/>
        <v>0</v>
      </c>
      <c r="C188" s="12">
        <f t="shared" si="2"/>
        <v>0</v>
      </c>
      <c r="D188" s="12">
        <f t="shared" si="3"/>
        <v>0</v>
      </c>
      <c r="F188" s="10">
        <f t="shared" si="10"/>
        <v>0</v>
      </c>
    </row>
    <row r="189" spans="1:6" ht="14.25" customHeight="1" x14ac:dyDescent="0.3">
      <c r="A189" s="44">
        <v>177</v>
      </c>
      <c r="B189" s="12">
        <f t="shared" si="1"/>
        <v>0</v>
      </c>
      <c r="C189" s="12">
        <f t="shared" si="2"/>
        <v>0</v>
      </c>
      <c r="D189" s="12">
        <f t="shared" si="3"/>
        <v>0</v>
      </c>
      <c r="F189" s="10">
        <f t="shared" si="10"/>
        <v>0</v>
      </c>
    </row>
    <row r="190" spans="1:6" ht="14.25" customHeight="1" x14ac:dyDescent="0.3">
      <c r="A190" s="44">
        <v>178</v>
      </c>
      <c r="B190" s="12">
        <f t="shared" si="1"/>
        <v>0</v>
      </c>
      <c r="C190" s="12">
        <f t="shared" si="2"/>
        <v>0</v>
      </c>
      <c r="D190" s="12">
        <f t="shared" si="3"/>
        <v>0</v>
      </c>
      <c r="F190" s="10">
        <f t="shared" si="10"/>
        <v>0</v>
      </c>
    </row>
    <row r="191" spans="1:6" ht="14.25" customHeight="1" x14ac:dyDescent="0.3">
      <c r="A191" s="44">
        <v>179</v>
      </c>
      <c r="B191" s="12">
        <f t="shared" si="1"/>
        <v>0</v>
      </c>
      <c r="C191" s="12">
        <f t="shared" si="2"/>
        <v>0</v>
      </c>
      <c r="D191" s="12">
        <f t="shared" si="3"/>
        <v>0</v>
      </c>
      <c r="F191" s="10">
        <f t="shared" si="10"/>
        <v>0</v>
      </c>
    </row>
    <row r="192" spans="1:6" ht="14.25" customHeight="1" x14ac:dyDescent="0.3">
      <c r="A192" s="44">
        <v>180</v>
      </c>
      <c r="B192" s="12">
        <f t="shared" si="1"/>
        <v>0</v>
      </c>
      <c r="C192" s="12">
        <f t="shared" si="2"/>
        <v>0</v>
      </c>
      <c r="D192" s="12">
        <f t="shared" si="3"/>
        <v>0</v>
      </c>
      <c r="F192" s="10">
        <f t="shared" si="10"/>
        <v>0</v>
      </c>
    </row>
    <row r="193" spans="1:6" ht="14.25" customHeight="1" x14ac:dyDescent="0.3">
      <c r="A193" s="44">
        <v>181</v>
      </c>
      <c r="B193" s="12">
        <f t="shared" si="1"/>
        <v>0</v>
      </c>
      <c r="C193" s="12">
        <f t="shared" si="2"/>
        <v>0</v>
      </c>
      <c r="D193" s="12">
        <f t="shared" si="3"/>
        <v>0</v>
      </c>
      <c r="F193" s="10">
        <f t="shared" si="10"/>
        <v>0</v>
      </c>
    </row>
    <row r="194" spans="1:6" ht="14.25" customHeight="1" x14ac:dyDescent="0.3">
      <c r="A194" s="44">
        <v>182</v>
      </c>
      <c r="B194" s="12">
        <f t="shared" si="1"/>
        <v>0</v>
      </c>
      <c r="C194" s="12">
        <f t="shared" si="2"/>
        <v>0</v>
      </c>
      <c r="D194" s="12">
        <f t="shared" si="3"/>
        <v>0</v>
      </c>
      <c r="F194" s="10">
        <f t="shared" si="10"/>
        <v>0</v>
      </c>
    </row>
    <row r="195" spans="1:6" ht="14.25" customHeight="1" x14ac:dyDescent="0.3">
      <c r="A195" s="44">
        <v>183</v>
      </c>
      <c r="B195" s="12">
        <f t="shared" si="1"/>
        <v>0</v>
      </c>
      <c r="C195" s="12">
        <f t="shared" si="2"/>
        <v>0</v>
      </c>
      <c r="D195" s="12">
        <f t="shared" si="3"/>
        <v>0</v>
      </c>
      <c r="F195" s="10">
        <f t="shared" si="10"/>
        <v>0</v>
      </c>
    </row>
    <row r="196" spans="1:6" ht="14.25" customHeight="1" x14ac:dyDescent="0.3">
      <c r="A196" s="44">
        <v>184</v>
      </c>
      <c r="B196" s="12">
        <f t="shared" si="1"/>
        <v>0</v>
      </c>
      <c r="C196" s="12">
        <f t="shared" si="2"/>
        <v>0</v>
      </c>
      <c r="D196" s="12">
        <f t="shared" si="3"/>
        <v>0</v>
      </c>
      <c r="F196" s="10">
        <f t="shared" si="10"/>
        <v>0</v>
      </c>
    </row>
    <row r="197" spans="1:6" ht="14.25" customHeight="1" x14ac:dyDescent="0.3">
      <c r="A197" s="44">
        <v>185</v>
      </c>
      <c r="B197" s="12">
        <f t="shared" si="1"/>
        <v>0</v>
      </c>
      <c r="C197" s="12">
        <f t="shared" si="2"/>
        <v>0</v>
      </c>
      <c r="D197" s="12">
        <f t="shared" si="3"/>
        <v>0</v>
      </c>
      <c r="F197" s="10">
        <f t="shared" si="10"/>
        <v>0</v>
      </c>
    </row>
    <row r="198" spans="1:6" ht="14.25" customHeight="1" x14ac:dyDescent="0.3">
      <c r="A198" s="44">
        <v>186</v>
      </c>
      <c r="B198" s="12">
        <f t="shared" si="1"/>
        <v>0</v>
      </c>
      <c r="C198" s="12">
        <f t="shared" si="2"/>
        <v>0</v>
      </c>
      <c r="D198" s="12">
        <f t="shared" si="3"/>
        <v>0</v>
      </c>
      <c r="F198" s="10">
        <f t="shared" si="10"/>
        <v>0</v>
      </c>
    </row>
    <row r="199" spans="1:6" ht="14.25" customHeight="1" x14ac:dyDescent="0.3">
      <c r="A199" s="44">
        <v>187</v>
      </c>
      <c r="B199" s="12">
        <f t="shared" si="1"/>
        <v>0</v>
      </c>
      <c r="C199" s="12">
        <f t="shared" si="2"/>
        <v>0</v>
      </c>
      <c r="D199" s="12">
        <f t="shared" si="3"/>
        <v>0</v>
      </c>
      <c r="F199" s="10">
        <f t="shared" si="10"/>
        <v>0</v>
      </c>
    </row>
    <row r="200" spans="1:6" ht="14.25" customHeight="1" x14ac:dyDescent="0.3">
      <c r="A200" s="44">
        <v>188</v>
      </c>
      <c r="B200" s="12">
        <f t="shared" si="1"/>
        <v>0</v>
      </c>
      <c r="C200" s="12">
        <f t="shared" si="2"/>
        <v>0</v>
      </c>
      <c r="D200" s="12">
        <f t="shared" si="3"/>
        <v>0</v>
      </c>
      <c r="F200" s="10">
        <f t="shared" si="10"/>
        <v>0</v>
      </c>
    </row>
    <row r="201" spans="1:6" ht="14.25" customHeight="1" x14ac:dyDescent="0.3">
      <c r="A201" s="44">
        <v>189</v>
      </c>
      <c r="B201" s="12">
        <f t="shared" si="1"/>
        <v>0</v>
      </c>
      <c r="C201" s="12">
        <f t="shared" si="2"/>
        <v>0</v>
      </c>
      <c r="D201" s="12">
        <f t="shared" si="3"/>
        <v>0</v>
      </c>
      <c r="F201" s="10">
        <f t="shared" si="10"/>
        <v>0</v>
      </c>
    </row>
    <row r="202" spans="1:6" ht="14.25" customHeight="1" x14ac:dyDescent="0.3">
      <c r="A202" s="44">
        <v>190</v>
      </c>
      <c r="B202" s="12">
        <f t="shared" si="1"/>
        <v>0</v>
      </c>
      <c r="C202" s="12">
        <f t="shared" si="2"/>
        <v>0</v>
      </c>
      <c r="D202" s="12">
        <f t="shared" si="3"/>
        <v>0</v>
      </c>
      <c r="F202" s="10">
        <f t="shared" si="10"/>
        <v>0</v>
      </c>
    </row>
    <row r="203" spans="1:6" ht="14.25" customHeight="1" x14ac:dyDescent="0.3">
      <c r="A203" s="44">
        <v>191</v>
      </c>
      <c r="B203" s="12">
        <f t="shared" si="1"/>
        <v>0</v>
      </c>
      <c r="C203" s="12">
        <f t="shared" si="2"/>
        <v>0</v>
      </c>
      <c r="D203" s="12">
        <f t="shared" si="3"/>
        <v>0</v>
      </c>
      <c r="F203" s="10">
        <f t="shared" si="10"/>
        <v>0</v>
      </c>
    </row>
    <row r="204" spans="1:6" ht="14.25" customHeight="1" x14ac:dyDescent="0.3">
      <c r="A204" s="44">
        <v>192</v>
      </c>
      <c r="B204" s="12">
        <f t="shared" si="1"/>
        <v>0</v>
      </c>
      <c r="C204" s="12">
        <f t="shared" si="2"/>
        <v>0</v>
      </c>
      <c r="D204" s="12">
        <f t="shared" si="3"/>
        <v>0</v>
      </c>
      <c r="F204" s="10">
        <f t="shared" si="10"/>
        <v>0</v>
      </c>
    </row>
    <row r="205" spans="1:6" ht="14.25" customHeight="1" x14ac:dyDescent="0.3">
      <c r="A205" s="44">
        <v>193</v>
      </c>
      <c r="B205" s="12">
        <f t="shared" si="1"/>
        <v>0</v>
      </c>
      <c r="C205" s="12">
        <f t="shared" si="2"/>
        <v>0</v>
      </c>
      <c r="D205" s="12">
        <f t="shared" si="3"/>
        <v>0</v>
      </c>
      <c r="F205" s="10">
        <f t="shared" ref="F205:F268" si="11">IF(ROUND(F204,5)&gt;0,F204-D205,0)</f>
        <v>0</v>
      </c>
    </row>
    <row r="206" spans="1:6" ht="14.25" customHeight="1" x14ac:dyDescent="0.3">
      <c r="A206" s="44">
        <v>194</v>
      </c>
      <c r="B206" s="12">
        <f t="shared" si="1"/>
        <v>0</v>
      </c>
      <c r="C206" s="12">
        <f t="shared" si="2"/>
        <v>0</v>
      </c>
      <c r="D206" s="12">
        <f t="shared" si="3"/>
        <v>0</v>
      </c>
      <c r="F206" s="10">
        <f t="shared" si="11"/>
        <v>0</v>
      </c>
    </row>
    <row r="207" spans="1:6" ht="14.25" customHeight="1" x14ac:dyDescent="0.3">
      <c r="A207" s="44">
        <v>195</v>
      </c>
      <c r="B207" s="12">
        <f t="shared" si="1"/>
        <v>0</v>
      </c>
      <c r="C207" s="12">
        <f t="shared" si="2"/>
        <v>0</v>
      </c>
      <c r="D207" s="12">
        <f t="shared" si="3"/>
        <v>0</v>
      </c>
      <c r="F207" s="10">
        <f t="shared" si="11"/>
        <v>0</v>
      </c>
    </row>
    <row r="208" spans="1:6" ht="14.25" customHeight="1" x14ac:dyDescent="0.3">
      <c r="A208" s="44">
        <v>196</v>
      </c>
      <c r="B208" s="12">
        <f t="shared" si="1"/>
        <v>0</v>
      </c>
      <c r="C208" s="12">
        <f t="shared" si="2"/>
        <v>0</v>
      </c>
      <c r="D208" s="12">
        <f t="shared" si="3"/>
        <v>0</v>
      </c>
      <c r="F208" s="10">
        <f t="shared" si="11"/>
        <v>0</v>
      </c>
    </row>
    <row r="209" spans="1:6" ht="14.25" customHeight="1" x14ac:dyDescent="0.3">
      <c r="A209" s="44">
        <v>197</v>
      </c>
      <c r="B209" s="12">
        <f t="shared" si="1"/>
        <v>0</v>
      </c>
      <c r="C209" s="12">
        <f t="shared" si="2"/>
        <v>0</v>
      </c>
      <c r="D209" s="12">
        <f t="shared" si="3"/>
        <v>0</v>
      </c>
      <c r="F209" s="10">
        <f t="shared" si="11"/>
        <v>0</v>
      </c>
    </row>
    <row r="210" spans="1:6" ht="14.25" customHeight="1" x14ac:dyDescent="0.3">
      <c r="A210" s="44">
        <v>198</v>
      </c>
      <c r="B210" s="12">
        <f t="shared" si="1"/>
        <v>0</v>
      </c>
      <c r="C210" s="12">
        <f t="shared" si="2"/>
        <v>0</v>
      </c>
      <c r="D210" s="12">
        <f t="shared" si="3"/>
        <v>0</v>
      </c>
      <c r="F210" s="10">
        <f t="shared" si="11"/>
        <v>0</v>
      </c>
    </row>
    <row r="211" spans="1:6" ht="14.25" customHeight="1" x14ac:dyDescent="0.3">
      <c r="A211" s="44">
        <v>199</v>
      </c>
      <c r="B211" s="12">
        <f t="shared" si="1"/>
        <v>0</v>
      </c>
      <c r="C211" s="12">
        <f t="shared" si="2"/>
        <v>0</v>
      </c>
      <c r="D211" s="12">
        <f t="shared" si="3"/>
        <v>0</v>
      </c>
      <c r="F211" s="10">
        <f t="shared" si="11"/>
        <v>0</v>
      </c>
    </row>
    <row r="212" spans="1:6" ht="14.25" customHeight="1" x14ac:dyDescent="0.3">
      <c r="A212" s="44">
        <v>200</v>
      </c>
      <c r="B212" s="12">
        <f t="shared" si="1"/>
        <v>0</v>
      </c>
      <c r="C212" s="12">
        <f t="shared" si="2"/>
        <v>0</v>
      </c>
      <c r="D212" s="12">
        <f t="shared" si="3"/>
        <v>0</v>
      </c>
      <c r="F212" s="10">
        <f t="shared" si="11"/>
        <v>0</v>
      </c>
    </row>
    <row r="213" spans="1:6" ht="14.25" customHeight="1" x14ac:dyDescent="0.3">
      <c r="A213" s="44">
        <v>201</v>
      </c>
      <c r="B213" s="12">
        <f t="shared" si="1"/>
        <v>0</v>
      </c>
      <c r="C213" s="12">
        <f t="shared" si="2"/>
        <v>0</v>
      </c>
      <c r="D213" s="12">
        <f t="shared" si="3"/>
        <v>0</v>
      </c>
      <c r="F213" s="10">
        <f t="shared" si="11"/>
        <v>0</v>
      </c>
    </row>
    <row r="214" spans="1:6" ht="14.25" customHeight="1" x14ac:dyDescent="0.3">
      <c r="A214" s="44">
        <v>202</v>
      </c>
      <c r="B214" s="12">
        <f t="shared" si="1"/>
        <v>0</v>
      </c>
      <c r="C214" s="12">
        <f t="shared" si="2"/>
        <v>0</v>
      </c>
      <c r="D214" s="12">
        <f t="shared" si="3"/>
        <v>0</v>
      </c>
      <c r="F214" s="10">
        <f t="shared" si="11"/>
        <v>0</v>
      </c>
    </row>
    <row r="215" spans="1:6" ht="14.25" customHeight="1" x14ac:dyDescent="0.3">
      <c r="A215" s="44">
        <v>203</v>
      </c>
      <c r="B215" s="12">
        <f t="shared" si="1"/>
        <v>0</v>
      </c>
      <c r="C215" s="12">
        <f t="shared" si="2"/>
        <v>0</v>
      </c>
      <c r="D215" s="12">
        <f t="shared" si="3"/>
        <v>0</v>
      </c>
      <c r="F215" s="10">
        <f t="shared" si="11"/>
        <v>0</v>
      </c>
    </row>
    <row r="216" spans="1:6" ht="14.25" customHeight="1" x14ac:dyDescent="0.3">
      <c r="A216" s="44">
        <v>204</v>
      </c>
      <c r="B216" s="12">
        <f t="shared" si="1"/>
        <v>0</v>
      </c>
      <c r="C216" s="12">
        <f t="shared" si="2"/>
        <v>0</v>
      </c>
      <c r="D216" s="12">
        <f t="shared" si="3"/>
        <v>0</v>
      </c>
      <c r="F216" s="10">
        <f t="shared" si="11"/>
        <v>0</v>
      </c>
    </row>
    <row r="217" spans="1:6" ht="14.25" customHeight="1" x14ac:dyDescent="0.3">
      <c r="A217" s="44">
        <v>205</v>
      </c>
      <c r="B217" s="12">
        <f t="shared" si="1"/>
        <v>0</v>
      </c>
      <c r="C217" s="12">
        <f t="shared" si="2"/>
        <v>0</v>
      </c>
      <c r="D217" s="12">
        <f t="shared" si="3"/>
        <v>0</v>
      </c>
      <c r="F217" s="10">
        <f t="shared" si="11"/>
        <v>0</v>
      </c>
    </row>
    <row r="218" spans="1:6" ht="14.25" customHeight="1" x14ac:dyDescent="0.3">
      <c r="A218" s="44">
        <v>206</v>
      </c>
      <c r="B218" s="12">
        <f t="shared" si="1"/>
        <v>0</v>
      </c>
      <c r="C218" s="12">
        <f t="shared" si="2"/>
        <v>0</v>
      </c>
      <c r="D218" s="12">
        <f t="shared" si="3"/>
        <v>0</v>
      </c>
      <c r="F218" s="10">
        <f t="shared" si="11"/>
        <v>0</v>
      </c>
    </row>
    <row r="219" spans="1:6" ht="14.25" customHeight="1" x14ac:dyDescent="0.3">
      <c r="A219" s="44">
        <v>207</v>
      </c>
      <c r="B219" s="12">
        <f t="shared" si="1"/>
        <v>0</v>
      </c>
      <c r="C219" s="12">
        <f t="shared" si="2"/>
        <v>0</v>
      </c>
      <c r="D219" s="12">
        <f t="shared" si="3"/>
        <v>0</v>
      </c>
      <c r="F219" s="10">
        <f t="shared" si="11"/>
        <v>0</v>
      </c>
    </row>
    <row r="220" spans="1:6" ht="14.25" customHeight="1" x14ac:dyDescent="0.3">
      <c r="A220" s="44">
        <v>208</v>
      </c>
      <c r="B220" s="12">
        <f t="shared" si="1"/>
        <v>0</v>
      </c>
      <c r="C220" s="12">
        <f t="shared" si="2"/>
        <v>0</v>
      </c>
      <c r="D220" s="12">
        <f t="shared" si="3"/>
        <v>0</v>
      </c>
      <c r="F220" s="10">
        <f t="shared" si="11"/>
        <v>0</v>
      </c>
    </row>
    <row r="221" spans="1:6" ht="14.25" customHeight="1" x14ac:dyDescent="0.3">
      <c r="A221" s="44">
        <v>209</v>
      </c>
      <c r="B221" s="12">
        <f t="shared" si="1"/>
        <v>0</v>
      </c>
      <c r="C221" s="12">
        <f t="shared" si="2"/>
        <v>0</v>
      </c>
      <c r="D221" s="12">
        <f t="shared" si="3"/>
        <v>0</v>
      </c>
      <c r="F221" s="10">
        <f t="shared" si="11"/>
        <v>0</v>
      </c>
    </row>
    <row r="222" spans="1:6" ht="14.25" customHeight="1" x14ac:dyDescent="0.3">
      <c r="A222" s="44">
        <v>210</v>
      </c>
      <c r="B222" s="12">
        <f t="shared" si="1"/>
        <v>0</v>
      </c>
      <c r="C222" s="12">
        <f t="shared" si="2"/>
        <v>0</v>
      </c>
      <c r="D222" s="12">
        <f t="shared" si="3"/>
        <v>0</v>
      </c>
      <c r="F222" s="10">
        <f t="shared" si="11"/>
        <v>0</v>
      </c>
    </row>
    <row r="223" spans="1:6" ht="14.25" customHeight="1" x14ac:dyDescent="0.3">
      <c r="A223" s="44">
        <v>211</v>
      </c>
      <c r="B223" s="12">
        <f t="shared" si="1"/>
        <v>0</v>
      </c>
      <c r="C223" s="12">
        <f t="shared" si="2"/>
        <v>0</v>
      </c>
      <c r="D223" s="12">
        <f t="shared" si="3"/>
        <v>0</v>
      </c>
      <c r="F223" s="10">
        <f t="shared" si="11"/>
        <v>0</v>
      </c>
    </row>
    <row r="224" spans="1:6" ht="14.25" customHeight="1" x14ac:dyDescent="0.3">
      <c r="A224" s="44">
        <v>212</v>
      </c>
      <c r="B224" s="12">
        <f t="shared" si="1"/>
        <v>0</v>
      </c>
      <c r="C224" s="12">
        <f t="shared" si="2"/>
        <v>0</v>
      </c>
      <c r="D224" s="12">
        <f t="shared" si="3"/>
        <v>0</v>
      </c>
      <c r="F224" s="10">
        <f t="shared" si="11"/>
        <v>0</v>
      </c>
    </row>
    <row r="225" spans="1:6" ht="14.25" customHeight="1" x14ac:dyDescent="0.3">
      <c r="A225" s="44">
        <v>213</v>
      </c>
      <c r="B225" s="12">
        <f t="shared" si="1"/>
        <v>0</v>
      </c>
      <c r="C225" s="12">
        <f t="shared" si="2"/>
        <v>0</v>
      </c>
      <c r="D225" s="12">
        <f t="shared" si="3"/>
        <v>0</v>
      </c>
      <c r="F225" s="10">
        <f t="shared" si="11"/>
        <v>0</v>
      </c>
    </row>
    <row r="226" spans="1:6" ht="14.25" customHeight="1" x14ac:dyDescent="0.3">
      <c r="A226" s="44">
        <v>214</v>
      </c>
      <c r="B226" s="12">
        <f t="shared" si="1"/>
        <v>0</v>
      </c>
      <c r="C226" s="12">
        <f t="shared" si="2"/>
        <v>0</v>
      </c>
      <c r="D226" s="12">
        <f t="shared" si="3"/>
        <v>0</v>
      </c>
      <c r="F226" s="10">
        <f t="shared" si="11"/>
        <v>0</v>
      </c>
    </row>
    <row r="227" spans="1:6" ht="14.25" customHeight="1" x14ac:dyDescent="0.3">
      <c r="A227" s="44">
        <v>215</v>
      </c>
      <c r="B227" s="12">
        <f t="shared" si="1"/>
        <v>0</v>
      </c>
      <c r="C227" s="12">
        <f t="shared" si="2"/>
        <v>0</v>
      </c>
      <c r="D227" s="12">
        <f t="shared" si="3"/>
        <v>0</v>
      </c>
      <c r="F227" s="10">
        <f t="shared" si="11"/>
        <v>0</v>
      </c>
    </row>
    <row r="228" spans="1:6" ht="14.25" customHeight="1" x14ac:dyDescent="0.3">
      <c r="A228" s="44">
        <v>216</v>
      </c>
      <c r="B228" s="12">
        <f t="shared" si="1"/>
        <v>0</v>
      </c>
      <c r="C228" s="12">
        <f t="shared" si="2"/>
        <v>0</v>
      </c>
      <c r="D228" s="12">
        <f t="shared" si="3"/>
        <v>0</v>
      </c>
      <c r="F228" s="10">
        <f t="shared" si="11"/>
        <v>0</v>
      </c>
    </row>
    <row r="229" spans="1:6" ht="14.25" customHeight="1" x14ac:dyDescent="0.3">
      <c r="A229" s="44">
        <v>217</v>
      </c>
      <c r="B229" s="12">
        <f t="shared" si="1"/>
        <v>0</v>
      </c>
      <c r="C229" s="12">
        <f t="shared" si="2"/>
        <v>0</v>
      </c>
      <c r="D229" s="12">
        <f t="shared" si="3"/>
        <v>0</v>
      </c>
      <c r="F229" s="10">
        <f t="shared" si="11"/>
        <v>0</v>
      </c>
    </row>
    <row r="230" spans="1:6" ht="14.25" customHeight="1" x14ac:dyDescent="0.3">
      <c r="A230" s="44">
        <v>218</v>
      </c>
      <c r="B230" s="12">
        <f t="shared" si="1"/>
        <v>0</v>
      </c>
      <c r="C230" s="12">
        <f t="shared" si="2"/>
        <v>0</v>
      </c>
      <c r="D230" s="12">
        <f t="shared" si="3"/>
        <v>0</v>
      </c>
      <c r="F230" s="10">
        <f t="shared" si="11"/>
        <v>0</v>
      </c>
    </row>
    <row r="231" spans="1:6" ht="14.25" customHeight="1" x14ac:dyDescent="0.3">
      <c r="A231" s="44">
        <v>219</v>
      </c>
      <c r="B231" s="12">
        <f t="shared" si="1"/>
        <v>0</v>
      </c>
      <c r="C231" s="12">
        <f t="shared" si="2"/>
        <v>0</v>
      </c>
      <c r="D231" s="12">
        <f t="shared" si="3"/>
        <v>0</v>
      </c>
      <c r="F231" s="10">
        <f t="shared" si="11"/>
        <v>0</v>
      </c>
    </row>
    <row r="232" spans="1:6" ht="14.25" customHeight="1" x14ac:dyDescent="0.3">
      <c r="A232" s="44">
        <v>220</v>
      </c>
      <c r="B232" s="12">
        <f t="shared" si="1"/>
        <v>0</v>
      </c>
      <c r="C232" s="12">
        <f t="shared" si="2"/>
        <v>0</v>
      </c>
      <c r="D232" s="12">
        <f t="shared" si="3"/>
        <v>0</v>
      </c>
      <c r="F232" s="10">
        <f t="shared" si="11"/>
        <v>0</v>
      </c>
    </row>
    <row r="233" spans="1:6" ht="14.25" customHeight="1" x14ac:dyDescent="0.3">
      <c r="A233" s="44">
        <v>221</v>
      </c>
      <c r="B233" s="12">
        <f t="shared" si="1"/>
        <v>0</v>
      </c>
      <c r="C233" s="12">
        <f t="shared" si="2"/>
        <v>0</v>
      </c>
      <c r="D233" s="12">
        <f t="shared" si="3"/>
        <v>0</v>
      </c>
      <c r="F233" s="10">
        <f t="shared" si="11"/>
        <v>0</v>
      </c>
    </row>
    <row r="234" spans="1:6" ht="14.25" customHeight="1" x14ac:dyDescent="0.3">
      <c r="A234" s="44">
        <v>222</v>
      </c>
      <c r="B234" s="12">
        <f t="shared" si="1"/>
        <v>0</v>
      </c>
      <c r="C234" s="12">
        <f t="shared" si="2"/>
        <v>0</v>
      </c>
      <c r="D234" s="12">
        <f t="shared" si="3"/>
        <v>0</v>
      </c>
      <c r="F234" s="10">
        <f t="shared" si="11"/>
        <v>0</v>
      </c>
    </row>
    <row r="235" spans="1:6" ht="14.25" customHeight="1" x14ac:dyDescent="0.3">
      <c r="A235" s="44">
        <v>223</v>
      </c>
      <c r="B235" s="12">
        <f t="shared" si="1"/>
        <v>0</v>
      </c>
      <c r="C235" s="12">
        <f t="shared" si="2"/>
        <v>0</v>
      </c>
      <c r="D235" s="12">
        <f t="shared" si="3"/>
        <v>0</v>
      </c>
      <c r="F235" s="10">
        <f t="shared" si="11"/>
        <v>0</v>
      </c>
    </row>
    <row r="236" spans="1:6" ht="14.25" customHeight="1" x14ac:dyDescent="0.3">
      <c r="A236" s="44">
        <v>224</v>
      </c>
      <c r="B236" s="12">
        <f t="shared" si="1"/>
        <v>0</v>
      </c>
      <c r="C236" s="12">
        <f t="shared" si="2"/>
        <v>0</v>
      </c>
      <c r="D236" s="12">
        <f t="shared" si="3"/>
        <v>0</v>
      </c>
      <c r="F236" s="10">
        <f t="shared" si="11"/>
        <v>0</v>
      </c>
    </row>
    <row r="237" spans="1:6" ht="14.25" customHeight="1" x14ac:dyDescent="0.3">
      <c r="A237" s="44">
        <v>225</v>
      </c>
      <c r="B237" s="12">
        <f t="shared" si="1"/>
        <v>0</v>
      </c>
      <c r="C237" s="12">
        <f t="shared" si="2"/>
        <v>0</v>
      </c>
      <c r="D237" s="12">
        <f t="shared" si="3"/>
        <v>0</v>
      </c>
      <c r="F237" s="10">
        <f t="shared" si="11"/>
        <v>0</v>
      </c>
    </row>
    <row r="238" spans="1:6" ht="14.25" customHeight="1" x14ac:dyDescent="0.3">
      <c r="A238" s="44">
        <v>226</v>
      </c>
      <c r="B238" s="12">
        <f t="shared" si="1"/>
        <v>0</v>
      </c>
      <c r="C238" s="12">
        <f t="shared" si="2"/>
        <v>0</v>
      </c>
      <c r="D238" s="12">
        <f t="shared" si="3"/>
        <v>0</v>
      </c>
      <c r="F238" s="10">
        <f t="shared" si="11"/>
        <v>0</v>
      </c>
    </row>
    <row r="239" spans="1:6" ht="14.25" customHeight="1" x14ac:dyDescent="0.3">
      <c r="A239" s="44">
        <v>227</v>
      </c>
      <c r="B239" s="12">
        <f t="shared" si="1"/>
        <v>0</v>
      </c>
      <c r="C239" s="12">
        <f t="shared" si="2"/>
        <v>0</v>
      </c>
      <c r="D239" s="12">
        <f t="shared" si="3"/>
        <v>0</v>
      </c>
      <c r="F239" s="10">
        <f t="shared" si="11"/>
        <v>0</v>
      </c>
    </row>
    <row r="240" spans="1:6" ht="14.25" customHeight="1" x14ac:dyDescent="0.3">
      <c r="A240" s="44">
        <v>228</v>
      </c>
      <c r="B240" s="12">
        <f t="shared" si="1"/>
        <v>0</v>
      </c>
      <c r="C240" s="12">
        <f t="shared" si="2"/>
        <v>0</v>
      </c>
      <c r="D240" s="12">
        <f t="shared" si="3"/>
        <v>0</v>
      </c>
      <c r="F240" s="10">
        <f t="shared" si="11"/>
        <v>0</v>
      </c>
    </row>
    <row r="241" spans="1:6" ht="14.25" customHeight="1" x14ac:dyDescent="0.3">
      <c r="A241" s="44">
        <v>229</v>
      </c>
      <c r="B241" s="12">
        <f t="shared" si="1"/>
        <v>0</v>
      </c>
      <c r="C241" s="12">
        <f t="shared" si="2"/>
        <v>0</v>
      </c>
      <c r="D241" s="12">
        <f t="shared" si="3"/>
        <v>0</v>
      </c>
      <c r="F241" s="10">
        <f t="shared" si="11"/>
        <v>0</v>
      </c>
    </row>
    <row r="242" spans="1:6" ht="14.25" customHeight="1" x14ac:dyDescent="0.3">
      <c r="A242" s="44">
        <v>230</v>
      </c>
      <c r="B242" s="12">
        <f t="shared" si="1"/>
        <v>0</v>
      </c>
      <c r="C242" s="12">
        <f t="shared" si="2"/>
        <v>0</v>
      </c>
      <c r="D242" s="12">
        <f t="shared" si="3"/>
        <v>0</v>
      </c>
      <c r="F242" s="10">
        <f t="shared" si="11"/>
        <v>0</v>
      </c>
    </row>
    <row r="243" spans="1:6" ht="14.25" customHeight="1" x14ac:dyDescent="0.3">
      <c r="A243" s="44">
        <v>231</v>
      </c>
      <c r="B243" s="12">
        <f t="shared" si="1"/>
        <v>0</v>
      </c>
      <c r="C243" s="12">
        <f t="shared" si="2"/>
        <v>0</v>
      </c>
      <c r="D243" s="12">
        <f t="shared" si="3"/>
        <v>0</v>
      </c>
      <c r="F243" s="10">
        <f t="shared" si="11"/>
        <v>0</v>
      </c>
    </row>
    <row r="244" spans="1:6" ht="14.25" customHeight="1" x14ac:dyDescent="0.3">
      <c r="A244" s="44">
        <v>232</v>
      </c>
      <c r="B244" s="12">
        <f t="shared" si="1"/>
        <v>0</v>
      </c>
      <c r="C244" s="12">
        <f t="shared" si="2"/>
        <v>0</v>
      </c>
      <c r="D244" s="12">
        <f t="shared" si="3"/>
        <v>0</v>
      </c>
      <c r="F244" s="10">
        <f t="shared" si="11"/>
        <v>0</v>
      </c>
    </row>
    <row r="245" spans="1:6" ht="14.25" customHeight="1" x14ac:dyDescent="0.3">
      <c r="A245" s="44">
        <v>233</v>
      </c>
      <c r="B245" s="12">
        <f t="shared" si="1"/>
        <v>0</v>
      </c>
      <c r="C245" s="12">
        <f t="shared" si="2"/>
        <v>0</v>
      </c>
      <c r="D245" s="12">
        <f t="shared" si="3"/>
        <v>0</v>
      </c>
      <c r="F245" s="10">
        <f t="shared" si="11"/>
        <v>0</v>
      </c>
    </row>
    <row r="246" spans="1:6" ht="14.25" customHeight="1" x14ac:dyDescent="0.3">
      <c r="A246" s="44">
        <v>234</v>
      </c>
      <c r="B246" s="12">
        <f t="shared" si="1"/>
        <v>0</v>
      </c>
      <c r="C246" s="12">
        <f t="shared" si="2"/>
        <v>0</v>
      </c>
      <c r="D246" s="12">
        <f t="shared" si="3"/>
        <v>0</v>
      </c>
      <c r="F246" s="10">
        <f t="shared" si="11"/>
        <v>0</v>
      </c>
    </row>
    <row r="247" spans="1:6" ht="14.25" customHeight="1" x14ac:dyDescent="0.3">
      <c r="A247" s="44">
        <v>235</v>
      </c>
      <c r="B247" s="12">
        <f t="shared" si="1"/>
        <v>0</v>
      </c>
      <c r="C247" s="12">
        <f t="shared" si="2"/>
        <v>0</v>
      </c>
      <c r="D247" s="12">
        <f t="shared" si="3"/>
        <v>0</v>
      </c>
      <c r="F247" s="10">
        <f t="shared" si="11"/>
        <v>0</v>
      </c>
    </row>
    <row r="248" spans="1:6" ht="14.25" customHeight="1" x14ac:dyDescent="0.3">
      <c r="A248" s="44">
        <v>236</v>
      </c>
      <c r="B248" s="12">
        <f t="shared" si="1"/>
        <v>0</v>
      </c>
      <c r="C248" s="12">
        <f t="shared" si="2"/>
        <v>0</v>
      </c>
      <c r="D248" s="12">
        <f t="shared" si="3"/>
        <v>0</v>
      </c>
      <c r="F248" s="10">
        <f t="shared" si="11"/>
        <v>0</v>
      </c>
    </row>
    <row r="249" spans="1:6" ht="14.25" customHeight="1" x14ac:dyDescent="0.3">
      <c r="A249" s="44">
        <v>237</v>
      </c>
      <c r="B249" s="12">
        <f t="shared" si="1"/>
        <v>0</v>
      </c>
      <c r="C249" s="12">
        <f t="shared" si="2"/>
        <v>0</v>
      </c>
      <c r="D249" s="12">
        <f t="shared" si="3"/>
        <v>0</v>
      </c>
      <c r="F249" s="10">
        <f t="shared" si="11"/>
        <v>0</v>
      </c>
    </row>
    <row r="250" spans="1:6" ht="14.25" customHeight="1" x14ac:dyDescent="0.3">
      <c r="A250" s="44">
        <v>238</v>
      </c>
      <c r="B250" s="12">
        <f t="shared" si="1"/>
        <v>0</v>
      </c>
      <c r="C250" s="12">
        <f t="shared" si="2"/>
        <v>0</v>
      </c>
      <c r="D250" s="12">
        <f t="shared" si="3"/>
        <v>0</v>
      </c>
      <c r="F250" s="10">
        <f t="shared" si="11"/>
        <v>0</v>
      </c>
    </row>
    <row r="251" spans="1:6" ht="14.25" customHeight="1" x14ac:dyDescent="0.3">
      <c r="A251" s="44">
        <v>239</v>
      </c>
      <c r="B251" s="12">
        <f t="shared" si="1"/>
        <v>0</v>
      </c>
      <c r="C251" s="12">
        <f t="shared" si="2"/>
        <v>0</v>
      </c>
      <c r="D251" s="12">
        <f t="shared" si="3"/>
        <v>0</v>
      </c>
      <c r="F251" s="10">
        <f t="shared" si="11"/>
        <v>0</v>
      </c>
    </row>
    <row r="252" spans="1:6" ht="14.25" customHeight="1" x14ac:dyDescent="0.3">
      <c r="A252" s="44">
        <v>240</v>
      </c>
      <c r="B252" s="12">
        <f t="shared" si="1"/>
        <v>0</v>
      </c>
      <c r="C252" s="12">
        <f t="shared" si="2"/>
        <v>0</v>
      </c>
      <c r="D252" s="12">
        <f t="shared" si="3"/>
        <v>0</v>
      </c>
      <c r="F252" s="10">
        <f t="shared" si="11"/>
        <v>0</v>
      </c>
    </row>
    <row r="253" spans="1:6" ht="14.25" customHeight="1" x14ac:dyDescent="0.3">
      <c r="A253" s="44">
        <v>241</v>
      </c>
      <c r="B253" s="12">
        <f t="shared" si="1"/>
        <v>0</v>
      </c>
      <c r="C253" s="12">
        <f t="shared" si="2"/>
        <v>0</v>
      </c>
      <c r="D253" s="12">
        <f t="shared" si="3"/>
        <v>0</v>
      </c>
      <c r="F253" s="10">
        <f t="shared" si="11"/>
        <v>0</v>
      </c>
    </row>
    <row r="254" spans="1:6" ht="14.25" customHeight="1" x14ac:dyDescent="0.3">
      <c r="A254" s="44">
        <v>242</v>
      </c>
      <c r="B254" s="12">
        <f t="shared" si="1"/>
        <v>0</v>
      </c>
      <c r="C254" s="12">
        <f t="shared" si="2"/>
        <v>0</v>
      </c>
      <c r="D254" s="12">
        <f t="shared" si="3"/>
        <v>0</v>
      </c>
      <c r="F254" s="10">
        <f t="shared" si="11"/>
        <v>0</v>
      </c>
    </row>
    <row r="255" spans="1:6" ht="14.25" customHeight="1" x14ac:dyDescent="0.3">
      <c r="A255" s="44">
        <v>243</v>
      </c>
      <c r="B255" s="12">
        <f t="shared" si="1"/>
        <v>0</v>
      </c>
      <c r="C255" s="12">
        <f t="shared" si="2"/>
        <v>0</v>
      </c>
      <c r="D255" s="12">
        <f t="shared" si="3"/>
        <v>0</v>
      </c>
      <c r="F255" s="10">
        <f t="shared" si="11"/>
        <v>0</v>
      </c>
    </row>
    <row r="256" spans="1:6" ht="14.25" customHeight="1" x14ac:dyDescent="0.3">
      <c r="A256" s="44">
        <v>244</v>
      </c>
      <c r="B256" s="12">
        <f t="shared" si="1"/>
        <v>0</v>
      </c>
      <c r="C256" s="12">
        <f t="shared" si="2"/>
        <v>0</v>
      </c>
      <c r="D256" s="12">
        <f t="shared" si="3"/>
        <v>0</v>
      </c>
      <c r="F256" s="10">
        <f t="shared" si="11"/>
        <v>0</v>
      </c>
    </row>
    <row r="257" spans="1:6" ht="14.25" customHeight="1" x14ac:dyDescent="0.3">
      <c r="A257" s="44">
        <v>245</v>
      </c>
      <c r="B257" s="12">
        <f t="shared" si="1"/>
        <v>0</v>
      </c>
      <c r="C257" s="12">
        <f t="shared" si="2"/>
        <v>0</v>
      </c>
      <c r="D257" s="12">
        <f t="shared" si="3"/>
        <v>0</v>
      </c>
      <c r="F257" s="10">
        <f t="shared" si="11"/>
        <v>0</v>
      </c>
    </row>
    <row r="258" spans="1:6" ht="14.25" customHeight="1" x14ac:dyDescent="0.3">
      <c r="A258" s="44">
        <v>246</v>
      </c>
      <c r="B258" s="12">
        <f t="shared" si="1"/>
        <v>0</v>
      </c>
      <c r="C258" s="12">
        <f t="shared" si="2"/>
        <v>0</v>
      </c>
      <c r="D258" s="12">
        <f t="shared" si="3"/>
        <v>0</v>
      </c>
      <c r="F258" s="10">
        <f t="shared" si="11"/>
        <v>0</v>
      </c>
    </row>
    <row r="259" spans="1:6" ht="14.25" customHeight="1" x14ac:dyDescent="0.3">
      <c r="A259" s="44">
        <v>247</v>
      </c>
      <c r="B259" s="12">
        <f t="shared" si="1"/>
        <v>0</v>
      </c>
      <c r="C259" s="12">
        <f t="shared" si="2"/>
        <v>0</v>
      </c>
      <c r="D259" s="12">
        <f t="shared" si="3"/>
        <v>0</v>
      </c>
      <c r="F259" s="10">
        <f t="shared" si="11"/>
        <v>0</v>
      </c>
    </row>
    <row r="260" spans="1:6" ht="14.25" customHeight="1" x14ac:dyDescent="0.3">
      <c r="A260" s="44">
        <v>248</v>
      </c>
      <c r="B260" s="12">
        <f t="shared" si="1"/>
        <v>0</v>
      </c>
      <c r="C260" s="12">
        <f t="shared" si="2"/>
        <v>0</v>
      </c>
      <c r="D260" s="12">
        <f t="shared" si="3"/>
        <v>0</v>
      </c>
      <c r="F260" s="10">
        <f t="shared" si="11"/>
        <v>0</v>
      </c>
    </row>
    <row r="261" spans="1:6" ht="14.25" customHeight="1" x14ac:dyDescent="0.3">
      <c r="A261" s="44">
        <v>249</v>
      </c>
      <c r="B261" s="12">
        <f t="shared" si="1"/>
        <v>0</v>
      </c>
      <c r="C261" s="12">
        <f t="shared" si="2"/>
        <v>0</v>
      </c>
      <c r="D261" s="12">
        <f t="shared" si="3"/>
        <v>0</v>
      </c>
      <c r="F261" s="10">
        <f t="shared" si="11"/>
        <v>0</v>
      </c>
    </row>
    <row r="262" spans="1:6" ht="14.25" customHeight="1" x14ac:dyDescent="0.3">
      <c r="A262" s="44">
        <v>250</v>
      </c>
      <c r="B262" s="12">
        <f t="shared" si="1"/>
        <v>0</v>
      </c>
      <c r="C262" s="12">
        <f t="shared" si="2"/>
        <v>0</v>
      </c>
      <c r="D262" s="12">
        <f t="shared" si="3"/>
        <v>0</v>
      </c>
      <c r="F262" s="10">
        <f t="shared" si="11"/>
        <v>0</v>
      </c>
    </row>
    <row r="263" spans="1:6" ht="14.25" customHeight="1" x14ac:dyDescent="0.3">
      <c r="A263" s="44">
        <v>251</v>
      </c>
      <c r="B263" s="12">
        <f t="shared" si="1"/>
        <v>0</v>
      </c>
      <c r="C263" s="12">
        <f t="shared" si="2"/>
        <v>0</v>
      </c>
      <c r="D263" s="12">
        <f t="shared" si="3"/>
        <v>0</v>
      </c>
      <c r="F263" s="10">
        <f t="shared" si="11"/>
        <v>0</v>
      </c>
    </row>
    <row r="264" spans="1:6" ht="14.25" customHeight="1" x14ac:dyDescent="0.3">
      <c r="A264" s="44">
        <v>252</v>
      </c>
      <c r="B264" s="12">
        <f t="shared" si="1"/>
        <v>0</v>
      </c>
      <c r="C264" s="12">
        <f t="shared" si="2"/>
        <v>0</v>
      </c>
      <c r="D264" s="12">
        <f t="shared" si="3"/>
        <v>0</v>
      </c>
      <c r="F264" s="10">
        <f t="shared" si="11"/>
        <v>0</v>
      </c>
    </row>
    <row r="265" spans="1:6" ht="14.25" customHeight="1" x14ac:dyDescent="0.3">
      <c r="A265" s="44">
        <v>253</v>
      </c>
      <c r="B265" s="12">
        <f t="shared" si="1"/>
        <v>0</v>
      </c>
      <c r="C265" s="12">
        <f t="shared" si="2"/>
        <v>0</v>
      </c>
      <c r="D265" s="12">
        <f t="shared" si="3"/>
        <v>0</v>
      </c>
      <c r="F265" s="10">
        <f t="shared" si="11"/>
        <v>0</v>
      </c>
    </row>
    <row r="266" spans="1:6" ht="14.25" customHeight="1" x14ac:dyDescent="0.3">
      <c r="A266" s="44">
        <v>254</v>
      </c>
      <c r="B266" s="12">
        <f t="shared" si="1"/>
        <v>0</v>
      </c>
      <c r="C266" s="12">
        <f t="shared" si="2"/>
        <v>0</v>
      </c>
      <c r="D266" s="12">
        <f t="shared" si="3"/>
        <v>0</v>
      </c>
      <c r="F266" s="10">
        <f t="shared" si="11"/>
        <v>0</v>
      </c>
    </row>
    <row r="267" spans="1:6" ht="14.25" customHeight="1" x14ac:dyDescent="0.3">
      <c r="A267" s="44">
        <v>255</v>
      </c>
      <c r="B267" s="12">
        <f t="shared" si="1"/>
        <v>0</v>
      </c>
      <c r="C267" s="12">
        <f t="shared" si="2"/>
        <v>0</v>
      </c>
      <c r="D267" s="12">
        <f t="shared" si="3"/>
        <v>0</v>
      </c>
      <c r="F267" s="10">
        <f t="shared" si="11"/>
        <v>0</v>
      </c>
    </row>
    <row r="268" spans="1:6" ht="14.25" customHeight="1" x14ac:dyDescent="0.3">
      <c r="A268" s="44">
        <v>256</v>
      </c>
      <c r="B268" s="12">
        <f t="shared" ref="B268:B372" si="12">IF($B$9&lt;=F267,$B$9,F267+F267*$B$7/$B$8)</f>
        <v>0</v>
      </c>
      <c r="C268" s="12">
        <f t="shared" ref="C268:C372" si="13">IF(B268&gt;0,$B$7/$B$8*F267,0)</f>
        <v>0</v>
      </c>
      <c r="D268" s="12">
        <f t="shared" ref="D268:D372" si="14">IF(B268&gt;0,MIN(B268-C268,F267),0)</f>
        <v>0</v>
      </c>
      <c r="F268" s="10">
        <f t="shared" si="11"/>
        <v>0</v>
      </c>
    </row>
    <row r="269" spans="1:6" ht="14.25" customHeight="1" x14ac:dyDescent="0.3">
      <c r="A269" s="44">
        <v>257</v>
      </c>
      <c r="B269" s="12">
        <f t="shared" si="12"/>
        <v>0</v>
      </c>
      <c r="C269" s="12">
        <f t="shared" si="13"/>
        <v>0</v>
      </c>
      <c r="D269" s="12">
        <f t="shared" si="14"/>
        <v>0</v>
      </c>
      <c r="F269" s="10">
        <f t="shared" ref="F269:F332" si="15">IF(ROUND(F268,5)&gt;0,F268-D269,0)</f>
        <v>0</v>
      </c>
    </row>
    <row r="270" spans="1:6" ht="14.25" customHeight="1" x14ac:dyDescent="0.3">
      <c r="A270" s="44">
        <v>258</v>
      </c>
      <c r="B270" s="12">
        <f t="shared" si="12"/>
        <v>0</v>
      </c>
      <c r="C270" s="12">
        <f t="shared" si="13"/>
        <v>0</v>
      </c>
      <c r="D270" s="12">
        <f t="shared" si="14"/>
        <v>0</v>
      </c>
      <c r="F270" s="10">
        <f t="shared" si="15"/>
        <v>0</v>
      </c>
    </row>
    <row r="271" spans="1:6" ht="14.25" customHeight="1" x14ac:dyDescent="0.3">
      <c r="A271" s="44">
        <v>259</v>
      </c>
      <c r="B271" s="12">
        <f t="shared" si="12"/>
        <v>0</v>
      </c>
      <c r="C271" s="12">
        <f t="shared" si="13"/>
        <v>0</v>
      </c>
      <c r="D271" s="12">
        <f t="shared" si="14"/>
        <v>0</v>
      </c>
      <c r="F271" s="10">
        <f t="shared" si="15"/>
        <v>0</v>
      </c>
    </row>
    <row r="272" spans="1:6" ht="14.25" customHeight="1" x14ac:dyDescent="0.3">
      <c r="A272" s="44">
        <v>260</v>
      </c>
      <c r="B272" s="12">
        <f t="shared" si="12"/>
        <v>0</v>
      </c>
      <c r="C272" s="12">
        <f t="shared" si="13"/>
        <v>0</v>
      </c>
      <c r="D272" s="12">
        <f t="shared" si="14"/>
        <v>0</v>
      </c>
      <c r="F272" s="10">
        <f t="shared" si="15"/>
        <v>0</v>
      </c>
    </row>
    <row r="273" spans="1:6" ht="14.25" customHeight="1" x14ac:dyDescent="0.3">
      <c r="A273" s="44">
        <v>261</v>
      </c>
      <c r="B273" s="12">
        <f t="shared" si="12"/>
        <v>0</v>
      </c>
      <c r="C273" s="12">
        <f t="shared" si="13"/>
        <v>0</v>
      </c>
      <c r="D273" s="12">
        <f t="shared" si="14"/>
        <v>0</v>
      </c>
      <c r="F273" s="10">
        <f t="shared" si="15"/>
        <v>0</v>
      </c>
    </row>
    <row r="274" spans="1:6" ht="14.25" customHeight="1" x14ac:dyDescent="0.3">
      <c r="A274" s="44">
        <v>262</v>
      </c>
      <c r="B274" s="12">
        <f t="shared" si="12"/>
        <v>0</v>
      </c>
      <c r="C274" s="12">
        <f t="shared" si="13"/>
        <v>0</v>
      </c>
      <c r="D274" s="12">
        <f t="shared" si="14"/>
        <v>0</v>
      </c>
      <c r="F274" s="10">
        <f t="shared" si="15"/>
        <v>0</v>
      </c>
    </row>
    <row r="275" spans="1:6" ht="14.25" customHeight="1" x14ac:dyDescent="0.3">
      <c r="A275" s="44">
        <v>263</v>
      </c>
      <c r="B275" s="12">
        <f t="shared" si="12"/>
        <v>0</v>
      </c>
      <c r="C275" s="12">
        <f t="shared" si="13"/>
        <v>0</v>
      </c>
      <c r="D275" s="12">
        <f t="shared" si="14"/>
        <v>0</v>
      </c>
      <c r="F275" s="10">
        <f t="shared" si="15"/>
        <v>0</v>
      </c>
    </row>
    <row r="276" spans="1:6" ht="14.25" customHeight="1" x14ac:dyDescent="0.3">
      <c r="A276" s="44">
        <v>264</v>
      </c>
      <c r="B276" s="12">
        <f t="shared" si="12"/>
        <v>0</v>
      </c>
      <c r="C276" s="12">
        <f t="shared" si="13"/>
        <v>0</v>
      </c>
      <c r="D276" s="12">
        <f t="shared" si="14"/>
        <v>0</v>
      </c>
      <c r="F276" s="10">
        <f t="shared" si="15"/>
        <v>0</v>
      </c>
    </row>
    <row r="277" spans="1:6" ht="14.25" customHeight="1" x14ac:dyDescent="0.3">
      <c r="A277" s="44">
        <v>265</v>
      </c>
      <c r="B277" s="12">
        <f t="shared" si="12"/>
        <v>0</v>
      </c>
      <c r="C277" s="12">
        <f t="shared" si="13"/>
        <v>0</v>
      </c>
      <c r="D277" s="12">
        <f t="shared" si="14"/>
        <v>0</v>
      </c>
      <c r="F277" s="10">
        <f t="shared" si="15"/>
        <v>0</v>
      </c>
    </row>
    <row r="278" spans="1:6" ht="14.25" customHeight="1" x14ac:dyDescent="0.3">
      <c r="A278" s="44">
        <v>266</v>
      </c>
      <c r="B278" s="12">
        <f t="shared" si="12"/>
        <v>0</v>
      </c>
      <c r="C278" s="12">
        <f t="shared" si="13"/>
        <v>0</v>
      </c>
      <c r="D278" s="12">
        <f t="shared" si="14"/>
        <v>0</v>
      </c>
      <c r="F278" s="10">
        <f t="shared" si="15"/>
        <v>0</v>
      </c>
    </row>
    <row r="279" spans="1:6" ht="14.25" customHeight="1" x14ac:dyDescent="0.3">
      <c r="A279" s="44">
        <v>267</v>
      </c>
      <c r="B279" s="12">
        <f t="shared" si="12"/>
        <v>0</v>
      </c>
      <c r="C279" s="12">
        <f t="shared" si="13"/>
        <v>0</v>
      </c>
      <c r="D279" s="12">
        <f t="shared" si="14"/>
        <v>0</v>
      </c>
      <c r="F279" s="10">
        <f t="shared" si="15"/>
        <v>0</v>
      </c>
    </row>
    <row r="280" spans="1:6" ht="14.25" customHeight="1" x14ac:dyDescent="0.3">
      <c r="A280" s="44">
        <v>268</v>
      </c>
      <c r="B280" s="12">
        <f t="shared" si="12"/>
        <v>0</v>
      </c>
      <c r="C280" s="12">
        <f t="shared" si="13"/>
        <v>0</v>
      </c>
      <c r="D280" s="12">
        <f t="shared" si="14"/>
        <v>0</v>
      </c>
      <c r="F280" s="10">
        <f t="shared" si="15"/>
        <v>0</v>
      </c>
    </row>
    <row r="281" spans="1:6" ht="14.25" customHeight="1" x14ac:dyDescent="0.3">
      <c r="A281" s="44">
        <v>269</v>
      </c>
      <c r="B281" s="12">
        <f t="shared" si="12"/>
        <v>0</v>
      </c>
      <c r="C281" s="12">
        <f t="shared" si="13"/>
        <v>0</v>
      </c>
      <c r="D281" s="12">
        <f t="shared" si="14"/>
        <v>0</v>
      </c>
      <c r="F281" s="10">
        <f t="shared" si="15"/>
        <v>0</v>
      </c>
    </row>
    <row r="282" spans="1:6" ht="14.25" customHeight="1" x14ac:dyDescent="0.3">
      <c r="A282" s="44">
        <v>270</v>
      </c>
      <c r="B282" s="12">
        <f t="shared" si="12"/>
        <v>0</v>
      </c>
      <c r="C282" s="12">
        <f t="shared" si="13"/>
        <v>0</v>
      </c>
      <c r="D282" s="12">
        <f t="shared" si="14"/>
        <v>0</v>
      </c>
      <c r="F282" s="10">
        <f t="shared" si="15"/>
        <v>0</v>
      </c>
    </row>
    <row r="283" spans="1:6" ht="14.25" customHeight="1" x14ac:dyDescent="0.3">
      <c r="A283" s="44">
        <v>271</v>
      </c>
      <c r="B283" s="12">
        <f t="shared" si="12"/>
        <v>0</v>
      </c>
      <c r="C283" s="12">
        <f t="shared" si="13"/>
        <v>0</v>
      </c>
      <c r="D283" s="12">
        <f t="shared" si="14"/>
        <v>0</v>
      </c>
      <c r="F283" s="10">
        <f t="shared" si="15"/>
        <v>0</v>
      </c>
    </row>
    <row r="284" spans="1:6" ht="14.25" customHeight="1" x14ac:dyDescent="0.3">
      <c r="A284" s="44">
        <v>272</v>
      </c>
      <c r="B284" s="12">
        <f t="shared" si="12"/>
        <v>0</v>
      </c>
      <c r="C284" s="12">
        <f t="shared" si="13"/>
        <v>0</v>
      </c>
      <c r="D284" s="12">
        <f t="shared" si="14"/>
        <v>0</v>
      </c>
      <c r="F284" s="10">
        <f t="shared" si="15"/>
        <v>0</v>
      </c>
    </row>
    <row r="285" spans="1:6" ht="14.25" customHeight="1" x14ac:dyDescent="0.3">
      <c r="A285" s="44">
        <v>273</v>
      </c>
      <c r="B285" s="12">
        <f t="shared" si="12"/>
        <v>0</v>
      </c>
      <c r="C285" s="12">
        <f t="shared" si="13"/>
        <v>0</v>
      </c>
      <c r="D285" s="12">
        <f t="shared" si="14"/>
        <v>0</v>
      </c>
      <c r="F285" s="10">
        <f t="shared" si="15"/>
        <v>0</v>
      </c>
    </row>
    <row r="286" spans="1:6" ht="14.25" customHeight="1" x14ac:dyDescent="0.3">
      <c r="A286" s="44">
        <v>274</v>
      </c>
      <c r="B286" s="12">
        <f t="shared" si="12"/>
        <v>0</v>
      </c>
      <c r="C286" s="12">
        <f t="shared" si="13"/>
        <v>0</v>
      </c>
      <c r="D286" s="12">
        <f t="shared" si="14"/>
        <v>0</v>
      </c>
      <c r="F286" s="10">
        <f t="shared" si="15"/>
        <v>0</v>
      </c>
    </row>
    <row r="287" spans="1:6" ht="14.25" customHeight="1" x14ac:dyDescent="0.3">
      <c r="A287" s="44">
        <v>275</v>
      </c>
      <c r="B287" s="12">
        <f t="shared" si="12"/>
        <v>0</v>
      </c>
      <c r="C287" s="12">
        <f t="shared" si="13"/>
        <v>0</v>
      </c>
      <c r="D287" s="12">
        <f t="shared" si="14"/>
        <v>0</v>
      </c>
      <c r="F287" s="10">
        <f t="shared" si="15"/>
        <v>0</v>
      </c>
    </row>
    <row r="288" spans="1:6" ht="14.25" customHeight="1" x14ac:dyDescent="0.3">
      <c r="A288" s="44">
        <v>276</v>
      </c>
      <c r="B288" s="12">
        <f t="shared" si="12"/>
        <v>0</v>
      </c>
      <c r="C288" s="12">
        <f t="shared" si="13"/>
        <v>0</v>
      </c>
      <c r="D288" s="12">
        <f t="shared" si="14"/>
        <v>0</v>
      </c>
      <c r="F288" s="10">
        <f t="shared" si="15"/>
        <v>0</v>
      </c>
    </row>
    <row r="289" spans="1:6" ht="14.25" customHeight="1" x14ac:dyDescent="0.3">
      <c r="A289" s="44">
        <v>277</v>
      </c>
      <c r="B289" s="12">
        <f t="shared" si="12"/>
        <v>0</v>
      </c>
      <c r="C289" s="12">
        <f t="shared" si="13"/>
        <v>0</v>
      </c>
      <c r="D289" s="12">
        <f t="shared" si="14"/>
        <v>0</v>
      </c>
      <c r="F289" s="10">
        <f t="shared" si="15"/>
        <v>0</v>
      </c>
    </row>
    <row r="290" spans="1:6" ht="14.25" customHeight="1" x14ac:dyDescent="0.3">
      <c r="A290" s="44">
        <v>278</v>
      </c>
      <c r="B290" s="12">
        <f t="shared" si="12"/>
        <v>0</v>
      </c>
      <c r="C290" s="12">
        <f t="shared" si="13"/>
        <v>0</v>
      </c>
      <c r="D290" s="12">
        <f t="shared" si="14"/>
        <v>0</v>
      </c>
      <c r="F290" s="10">
        <f t="shared" si="15"/>
        <v>0</v>
      </c>
    </row>
    <row r="291" spans="1:6" ht="14.25" customHeight="1" x14ac:dyDescent="0.3">
      <c r="A291" s="44">
        <v>279</v>
      </c>
      <c r="B291" s="12">
        <f t="shared" si="12"/>
        <v>0</v>
      </c>
      <c r="C291" s="12">
        <f t="shared" si="13"/>
        <v>0</v>
      </c>
      <c r="D291" s="12">
        <f t="shared" si="14"/>
        <v>0</v>
      </c>
      <c r="F291" s="10">
        <f t="shared" si="15"/>
        <v>0</v>
      </c>
    </row>
    <row r="292" spans="1:6" ht="14.25" customHeight="1" x14ac:dyDescent="0.3">
      <c r="A292" s="44">
        <v>280</v>
      </c>
      <c r="B292" s="12">
        <f t="shared" si="12"/>
        <v>0</v>
      </c>
      <c r="C292" s="12">
        <f t="shared" si="13"/>
        <v>0</v>
      </c>
      <c r="D292" s="12">
        <f t="shared" si="14"/>
        <v>0</v>
      </c>
      <c r="F292" s="10">
        <f t="shared" si="15"/>
        <v>0</v>
      </c>
    </row>
    <row r="293" spans="1:6" ht="14.25" customHeight="1" x14ac:dyDescent="0.3">
      <c r="A293" s="44">
        <v>281</v>
      </c>
      <c r="B293" s="12">
        <f t="shared" si="12"/>
        <v>0</v>
      </c>
      <c r="C293" s="12">
        <f t="shared" si="13"/>
        <v>0</v>
      </c>
      <c r="D293" s="12">
        <f t="shared" si="14"/>
        <v>0</v>
      </c>
      <c r="F293" s="10">
        <f t="shared" si="15"/>
        <v>0</v>
      </c>
    </row>
    <row r="294" spans="1:6" ht="14.25" customHeight="1" x14ac:dyDescent="0.3">
      <c r="A294" s="44">
        <v>282</v>
      </c>
      <c r="B294" s="12">
        <f t="shared" si="12"/>
        <v>0</v>
      </c>
      <c r="C294" s="12">
        <f t="shared" si="13"/>
        <v>0</v>
      </c>
      <c r="D294" s="12">
        <f t="shared" si="14"/>
        <v>0</v>
      </c>
      <c r="F294" s="10">
        <f t="shared" si="15"/>
        <v>0</v>
      </c>
    </row>
    <row r="295" spans="1:6" ht="14.25" customHeight="1" x14ac:dyDescent="0.3">
      <c r="A295" s="44">
        <v>283</v>
      </c>
      <c r="B295" s="12">
        <f t="shared" si="12"/>
        <v>0</v>
      </c>
      <c r="C295" s="12">
        <f t="shared" si="13"/>
        <v>0</v>
      </c>
      <c r="D295" s="12">
        <f t="shared" si="14"/>
        <v>0</v>
      </c>
      <c r="F295" s="10">
        <f t="shared" si="15"/>
        <v>0</v>
      </c>
    </row>
    <row r="296" spans="1:6" ht="14.25" customHeight="1" x14ac:dyDescent="0.3">
      <c r="A296" s="44">
        <v>284</v>
      </c>
      <c r="B296" s="12">
        <f t="shared" si="12"/>
        <v>0</v>
      </c>
      <c r="C296" s="12">
        <f t="shared" si="13"/>
        <v>0</v>
      </c>
      <c r="D296" s="12">
        <f t="shared" si="14"/>
        <v>0</v>
      </c>
      <c r="F296" s="10">
        <f t="shared" si="15"/>
        <v>0</v>
      </c>
    </row>
    <row r="297" spans="1:6" ht="14.25" customHeight="1" x14ac:dyDescent="0.3">
      <c r="A297" s="44">
        <v>285</v>
      </c>
      <c r="B297" s="12">
        <f t="shared" si="12"/>
        <v>0</v>
      </c>
      <c r="C297" s="12">
        <f t="shared" si="13"/>
        <v>0</v>
      </c>
      <c r="D297" s="12">
        <f t="shared" si="14"/>
        <v>0</v>
      </c>
      <c r="F297" s="10">
        <f t="shared" si="15"/>
        <v>0</v>
      </c>
    </row>
    <row r="298" spans="1:6" ht="14.25" customHeight="1" x14ac:dyDescent="0.3">
      <c r="A298" s="44">
        <v>286</v>
      </c>
      <c r="B298" s="12">
        <f t="shared" si="12"/>
        <v>0</v>
      </c>
      <c r="C298" s="12">
        <f t="shared" si="13"/>
        <v>0</v>
      </c>
      <c r="D298" s="12">
        <f t="shared" si="14"/>
        <v>0</v>
      </c>
      <c r="F298" s="10">
        <f t="shared" si="15"/>
        <v>0</v>
      </c>
    </row>
    <row r="299" spans="1:6" ht="14.25" customHeight="1" x14ac:dyDescent="0.3">
      <c r="A299" s="44">
        <v>287</v>
      </c>
      <c r="B299" s="12">
        <f t="shared" si="12"/>
        <v>0</v>
      </c>
      <c r="C299" s="12">
        <f t="shared" si="13"/>
        <v>0</v>
      </c>
      <c r="D299" s="12">
        <f t="shared" si="14"/>
        <v>0</v>
      </c>
      <c r="F299" s="10">
        <f t="shared" si="15"/>
        <v>0</v>
      </c>
    </row>
    <row r="300" spans="1:6" ht="14.25" customHeight="1" x14ac:dyDescent="0.3">
      <c r="A300" s="44">
        <v>288</v>
      </c>
      <c r="B300" s="12">
        <f t="shared" si="12"/>
        <v>0</v>
      </c>
      <c r="C300" s="12">
        <f t="shared" si="13"/>
        <v>0</v>
      </c>
      <c r="D300" s="12">
        <f t="shared" si="14"/>
        <v>0</v>
      </c>
      <c r="F300" s="10">
        <f t="shared" si="15"/>
        <v>0</v>
      </c>
    </row>
    <row r="301" spans="1:6" ht="14.25" customHeight="1" x14ac:dyDescent="0.3">
      <c r="A301" s="44">
        <v>289</v>
      </c>
      <c r="B301" s="12">
        <f t="shared" si="12"/>
        <v>0</v>
      </c>
      <c r="C301" s="12">
        <f t="shared" si="13"/>
        <v>0</v>
      </c>
      <c r="D301" s="12">
        <f t="shared" si="14"/>
        <v>0</v>
      </c>
      <c r="F301" s="10">
        <f t="shared" si="15"/>
        <v>0</v>
      </c>
    </row>
    <row r="302" spans="1:6" ht="14.25" customHeight="1" x14ac:dyDescent="0.3">
      <c r="A302" s="44">
        <v>290</v>
      </c>
      <c r="B302" s="12">
        <f t="shared" si="12"/>
        <v>0</v>
      </c>
      <c r="C302" s="12">
        <f t="shared" si="13"/>
        <v>0</v>
      </c>
      <c r="D302" s="12">
        <f t="shared" si="14"/>
        <v>0</v>
      </c>
      <c r="F302" s="10">
        <f t="shared" si="15"/>
        <v>0</v>
      </c>
    </row>
    <row r="303" spans="1:6" ht="14.25" customHeight="1" x14ac:dyDescent="0.3">
      <c r="A303" s="44">
        <v>291</v>
      </c>
      <c r="B303" s="12">
        <f t="shared" si="12"/>
        <v>0</v>
      </c>
      <c r="C303" s="12">
        <f t="shared" si="13"/>
        <v>0</v>
      </c>
      <c r="D303" s="12">
        <f t="shared" si="14"/>
        <v>0</v>
      </c>
      <c r="F303" s="10">
        <f t="shared" si="15"/>
        <v>0</v>
      </c>
    </row>
    <row r="304" spans="1:6" ht="14.25" customHeight="1" x14ac:dyDescent="0.3">
      <c r="A304" s="44">
        <v>292</v>
      </c>
      <c r="B304" s="12">
        <f t="shared" si="12"/>
        <v>0</v>
      </c>
      <c r="C304" s="12">
        <f t="shared" si="13"/>
        <v>0</v>
      </c>
      <c r="D304" s="12">
        <f t="shared" si="14"/>
        <v>0</v>
      </c>
      <c r="F304" s="10">
        <f t="shared" si="15"/>
        <v>0</v>
      </c>
    </row>
    <row r="305" spans="1:6" ht="14.25" customHeight="1" x14ac:dyDescent="0.3">
      <c r="A305" s="44">
        <v>293</v>
      </c>
      <c r="B305" s="12">
        <f t="shared" si="12"/>
        <v>0</v>
      </c>
      <c r="C305" s="12">
        <f t="shared" si="13"/>
        <v>0</v>
      </c>
      <c r="D305" s="12">
        <f t="shared" si="14"/>
        <v>0</v>
      </c>
      <c r="F305" s="10">
        <f t="shared" si="15"/>
        <v>0</v>
      </c>
    </row>
    <row r="306" spans="1:6" ht="14.25" customHeight="1" x14ac:dyDescent="0.3">
      <c r="A306" s="44">
        <v>294</v>
      </c>
      <c r="B306" s="12">
        <f t="shared" si="12"/>
        <v>0</v>
      </c>
      <c r="C306" s="12">
        <f t="shared" si="13"/>
        <v>0</v>
      </c>
      <c r="D306" s="12">
        <f t="shared" si="14"/>
        <v>0</v>
      </c>
      <c r="F306" s="10">
        <f t="shared" si="15"/>
        <v>0</v>
      </c>
    </row>
    <row r="307" spans="1:6" ht="14.25" customHeight="1" x14ac:dyDescent="0.3">
      <c r="A307" s="44">
        <v>295</v>
      </c>
      <c r="B307" s="12">
        <f t="shared" si="12"/>
        <v>0</v>
      </c>
      <c r="C307" s="12">
        <f t="shared" si="13"/>
        <v>0</v>
      </c>
      <c r="D307" s="12">
        <f t="shared" si="14"/>
        <v>0</v>
      </c>
      <c r="F307" s="10">
        <f t="shared" si="15"/>
        <v>0</v>
      </c>
    </row>
    <row r="308" spans="1:6" ht="14.25" customHeight="1" x14ac:dyDescent="0.3">
      <c r="A308" s="44">
        <v>296</v>
      </c>
      <c r="B308" s="12">
        <f t="shared" si="12"/>
        <v>0</v>
      </c>
      <c r="C308" s="12">
        <f t="shared" si="13"/>
        <v>0</v>
      </c>
      <c r="D308" s="12">
        <f t="shared" si="14"/>
        <v>0</v>
      </c>
      <c r="F308" s="10">
        <f t="shared" si="15"/>
        <v>0</v>
      </c>
    </row>
    <row r="309" spans="1:6" ht="14.25" customHeight="1" x14ac:dyDescent="0.3">
      <c r="A309" s="44">
        <v>297</v>
      </c>
      <c r="B309" s="12">
        <f t="shared" si="12"/>
        <v>0</v>
      </c>
      <c r="C309" s="12">
        <f t="shared" si="13"/>
        <v>0</v>
      </c>
      <c r="D309" s="12">
        <f t="shared" si="14"/>
        <v>0</v>
      </c>
      <c r="F309" s="10">
        <f t="shared" si="15"/>
        <v>0</v>
      </c>
    </row>
    <row r="310" spans="1:6" ht="14.25" customHeight="1" x14ac:dyDescent="0.3">
      <c r="A310" s="44">
        <v>298</v>
      </c>
      <c r="B310" s="12">
        <f t="shared" si="12"/>
        <v>0</v>
      </c>
      <c r="C310" s="12">
        <f t="shared" si="13"/>
        <v>0</v>
      </c>
      <c r="D310" s="12">
        <f t="shared" si="14"/>
        <v>0</v>
      </c>
      <c r="F310" s="10">
        <f t="shared" si="15"/>
        <v>0</v>
      </c>
    </row>
    <row r="311" spans="1:6" ht="14.25" customHeight="1" x14ac:dyDescent="0.3">
      <c r="A311" s="44">
        <v>299</v>
      </c>
      <c r="B311" s="12">
        <f t="shared" si="12"/>
        <v>0</v>
      </c>
      <c r="C311" s="12">
        <f t="shared" si="13"/>
        <v>0</v>
      </c>
      <c r="D311" s="12">
        <f t="shared" si="14"/>
        <v>0</v>
      </c>
      <c r="F311" s="10">
        <f t="shared" si="15"/>
        <v>0</v>
      </c>
    </row>
    <row r="312" spans="1:6" ht="14.25" customHeight="1" x14ac:dyDescent="0.3">
      <c r="A312" s="44">
        <v>300</v>
      </c>
      <c r="B312" s="12">
        <f t="shared" si="12"/>
        <v>0</v>
      </c>
      <c r="C312" s="12">
        <f t="shared" si="13"/>
        <v>0</v>
      </c>
      <c r="D312" s="12">
        <f t="shared" si="14"/>
        <v>0</v>
      </c>
      <c r="F312" s="10">
        <f t="shared" si="15"/>
        <v>0</v>
      </c>
    </row>
    <row r="313" spans="1:6" ht="14.25" customHeight="1" x14ac:dyDescent="0.3">
      <c r="A313" s="44">
        <v>301</v>
      </c>
      <c r="B313" s="12">
        <f t="shared" si="12"/>
        <v>0</v>
      </c>
      <c r="C313" s="12">
        <f t="shared" si="13"/>
        <v>0</v>
      </c>
      <c r="D313" s="12">
        <f t="shared" si="14"/>
        <v>0</v>
      </c>
      <c r="F313" s="10">
        <f t="shared" si="15"/>
        <v>0</v>
      </c>
    </row>
    <row r="314" spans="1:6" ht="14.25" customHeight="1" x14ac:dyDescent="0.3">
      <c r="A314" s="44">
        <v>302</v>
      </c>
      <c r="B314" s="12">
        <f t="shared" si="12"/>
        <v>0</v>
      </c>
      <c r="C314" s="12">
        <f t="shared" si="13"/>
        <v>0</v>
      </c>
      <c r="D314" s="12">
        <f t="shared" si="14"/>
        <v>0</v>
      </c>
      <c r="F314" s="10">
        <f t="shared" si="15"/>
        <v>0</v>
      </c>
    </row>
    <row r="315" spans="1:6" ht="14.25" customHeight="1" x14ac:dyDescent="0.3">
      <c r="A315" s="44">
        <v>303</v>
      </c>
      <c r="B315" s="12">
        <f t="shared" si="12"/>
        <v>0</v>
      </c>
      <c r="C315" s="12">
        <f t="shared" si="13"/>
        <v>0</v>
      </c>
      <c r="D315" s="12">
        <f t="shared" si="14"/>
        <v>0</v>
      </c>
      <c r="F315" s="10">
        <f t="shared" si="15"/>
        <v>0</v>
      </c>
    </row>
    <row r="316" spans="1:6" ht="14.25" customHeight="1" x14ac:dyDescent="0.3">
      <c r="A316" s="44">
        <v>304</v>
      </c>
      <c r="B316" s="12">
        <f t="shared" si="12"/>
        <v>0</v>
      </c>
      <c r="C316" s="12">
        <f t="shared" si="13"/>
        <v>0</v>
      </c>
      <c r="D316" s="12">
        <f t="shared" si="14"/>
        <v>0</v>
      </c>
      <c r="F316" s="10">
        <f t="shared" si="15"/>
        <v>0</v>
      </c>
    </row>
    <row r="317" spans="1:6" ht="14.25" customHeight="1" x14ac:dyDescent="0.3">
      <c r="A317" s="44">
        <v>305</v>
      </c>
      <c r="B317" s="12">
        <f t="shared" si="12"/>
        <v>0</v>
      </c>
      <c r="C317" s="12">
        <f t="shared" si="13"/>
        <v>0</v>
      </c>
      <c r="D317" s="12">
        <f t="shared" si="14"/>
        <v>0</v>
      </c>
      <c r="F317" s="10">
        <f t="shared" si="15"/>
        <v>0</v>
      </c>
    </row>
    <row r="318" spans="1:6" ht="14.25" customHeight="1" x14ac:dyDescent="0.3">
      <c r="A318" s="44">
        <v>306</v>
      </c>
      <c r="B318" s="12">
        <f t="shared" si="12"/>
        <v>0</v>
      </c>
      <c r="C318" s="12">
        <f t="shared" si="13"/>
        <v>0</v>
      </c>
      <c r="D318" s="12">
        <f t="shared" si="14"/>
        <v>0</v>
      </c>
      <c r="F318" s="10">
        <f t="shared" si="15"/>
        <v>0</v>
      </c>
    </row>
    <row r="319" spans="1:6" ht="14.25" customHeight="1" x14ac:dyDescent="0.3">
      <c r="A319" s="44">
        <v>307</v>
      </c>
      <c r="B319" s="12">
        <f t="shared" si="12"/>
        <v>0</v>
      </c>
      <c r="C319" s="12">
        <f t="shared" si="13"/>
        <v>0</v>
      </c>
      <c r="D319" s="12">
        <f t="shared" si="14"/>
        <v>0</v>
      </c>
      <c r="F319" s="10">
        <f t="shared" si="15"/>
        <v>0</v>
      </c>
    </row>
    <row r="320" spans="1:6" ht="14.25" customHeight="1" x14ac:dyDescent="0.3">
      <c r="A320" s="44">
        <v>308</v>
      </c>
      <c r="B320" s="12">
        <f t="shared" si="12"/>
        <v>0</v>
      </c>
      <c r="C320" s="12">
        <f t="shared" si="13"/>
        <v>0</v>
      </c>
      <c r="D320" s="12">
        <f t="shared" si="14"/>
        <v>0</v>
      </c>
      <c r="F320" s="10">
        <f t="shared" si="15"/>
        <v>0</v>
      </c>
    </row>
    <row r="321" spans="1:6" ht="14.25" customHeight="1" x14ac:dyDescent="0.3">
      <c r="A321" s="44">
        <v>309</v>
      </c>
      <c r="B321" s="12">
        <f t="shared" si="12"/>
        <v>0</v>
      </c>
      <c r="C321" s="12">
        <f t="shared" si="13"/>
        <v>0</v>
      </c>
      <c r="D321" s="12">
        <f t="shared" si="14"/>
        <v>0</v>
      </c>
      <c r="F321" s="10">
        <f t="shared" si="15"/>
        <v>0</v>
      </c>
    </row>
    <row r="322" spans="1:6" ht="14.25" customHeight="1" x14ac:dyDescent="0.3">
      <c r="A322" s="44">
        <v>310</v>
      </c>
      <c r="B322" s="12">
        <f t="shared" si="12"/>
        <v>0</v>
      </c>
      <c r="C322" s="12">
        <f t="shared" si="13"/>
        <v>0</v>
      </c>
      <c r="D322" s="12">
        <f t="shared" si="14"/>
        <v>0</v>
      </c>
      <c r="F322" s="10">
        <f t="shared" si="15"/>
        <v>0</v>
      </c>
    </row>
    <row r="323" spans="1:6" ht="14.25" customHeight="1" x14ac:dyDescent="0.3">
      <c r="A323" s="44">
        <v>311</v>
      </c>
      <c r="B323" s="12">
        <f t="shared" si="12"/>
        <v>0</v>
      </c>
      <c r="C323" s="12">
        <f t="shared" si="13"/>
        <v>0</v>
      </c>
      <c r="D323" s="12">
        <f t="shared" si="14"/>
        <v>0</v>
      </c>
      <c r="F323" s="10">
        <f t="shared" si="15"/>
        <v>0</v>
      </c>
    </row>
    <row r="324" spans="1:6" ht="14.25" customHeight="1" x14ac:dyDescent="0.3">
      <c r="A324" s="44">
        <v>312</v>
      </c>
      <c r="B324" s="12">
        <f t="shared" si="12"/>
        <v>0</v>
      </c>
      <c r="C324" s="12">
        <f t="shared" si="13"/>
        <v>0</v>
      </c>
      <c r="D324" s="12">
        <f t="shared" si="14"/>
        <v>0</v>
      </c>
      <c r="F324" s="10">
        <f t="shared" si="15"/>
        <v>0</v>
      </c>
    </row>
    <row r="325" spans="1:6" ht="14.25" customHeight="1" x14ac:dyDescent="0.3">
      <c r="A325" s="44">
        <v>313</v>
      </c>
      <c r="B325" s="12">
        <f t="shared" si="12"/>
        <v>0</v>
      </c>
      <c r="C325" s="12">
        <f t="shared" si="13"/>
        <v>0</v>
      </c>
      <c r="D325" s="12">
        <f t="shared" si="14"/>
        <v>0</v>
      </c>
      <c r="F325" s="10">
        <f t="shared" si="15"/>
        <v>0</v>
      </c>
    </row>
    <row r="326" spans="1:6" ht="14.25" customHeight="1" x14ac:dyDescent="0.3">
      <c r="A326" s="44">
        <v>314</v>
      </c>
      <c r="B326" s="12">
        <f t="shared" si="12"/>
        <v>0</v>
      </c>
      <c r="C326" s="12">
        <f t="shared" si="13"/>
        <v>0</v>
      </c>
      <c r="D326" s="12">
        <f t="shared" si="14"/>
        <v>0</v>
      </c>
      <c r="F326" s="10">
        <f t="shared" si="15"/>
        <v>0</v>
      </c>
    </row>
    <row r="327" spans="1:6" ht="14.25" customHeight="1" x14ac:dyDescent="0.3">
      <c r="A327" s="44">
        <v>315</v>
      </c>
      <c r="B327" s="12">
        <f t="shared" si="12"/>
        <v>0</v>
      </c>
      <c r="C327" s="12">
        <f t="shared" si="13"/>
        <v>0</v>
      </c>
      <c r="D327" s="12">
        <f t="shared" si="14"/>
        <v>0</v>
      </c>
      <c r="F327" s="10">
        <f t="shared" si="15"/>
        <v>0</v>
      </c>
    </row>
    <row r="328" spans="1:6" ht="14.25" customHeight="1" x14ac:dyDescent="0.3">
      <c r="A328" s="44">
        <v>316</v>
      </c>
      <c r="B328" s="12">
        <f t="shared" si="12"/>
        <v>0</v>
      </c>
      <c r="C328" s="12">
        <f t="shared" si="13"/>
        <v>0</v>
      </c>
      <c r="D328" s="12">
        <f t="shared" si="14"/>
        <v>0</v>
      </c>
      <c r="F328" s="10">
        <f t="shared" si="15"/>
        <v>0</v>
      </c>
    </row>
    <row r="329" spans="1:6" ht="14.25" customHeight="1" x14ac:dyDescent="0.3">
      <c r="A329" s="44">
        <v>317</v>
      </c>
      <c r="B329" s="12">
        <f t="shared" si="12"/>
        <v>0</v>
      </c>
      <c r="C329" s="12">
        <f t="shared" si="13"/>
        <v>0</v>
      </c>
      <c r="D329" s="12">
        <f t="shared" si="14"/>
        <v>0</v>
      </c>
      <c r="F329" s="10">
        <f t="shared" si="15"/>
        <v>0</v>
      </c>
    </row>
    <row r="330" spans="1:6" ht="14.25" customHeight="1" x14ac:dyDescent="0.3">
      <c r="A330" s="44">
        <v>318</v>
      </c>
      <c r="B330" s="12">
        <f t="shared" si="12"/>
        <v>0</v>
      </c>
      <c r="C330" s="12">
        <f t="shared" si="13"/>
        <v>0</v>
      </c>
      <c r="D330" s="12">
        <f t="shared" si="14"/>
        <v>0</v>
      </c>
      <c r="F330" s="10">
        <f t="shared" si="15"/>
        <v>0</v>
      </c>
    </row>
    <row r="331" spans="1:6" ht="14.25" customHeight="1" x14ac:dyDescent="0.3">
      <c r="A331" s="44">
        <v>319</v>
      </c>
      <c r="B331" s="12">
        <f t="shared" si="12"/>
        <v>0</v>
      </c>
      <c r="C331" s="12">
        <f t="shared" si="13"/>
        <v>0</v>
      </c>
      <c r="D331" s="12">
        <f t="shared" si="14"/>
        <v>0</v>
      </c>
      <c r="F331" s="10">
        <f t="shared" si="15"/>
        <v>0</v>
      </c>
    </row>
    <row r="332" spans="1:6" ht="14.25" customHeight="1" x14ac:dyDescent="0.3">
      <c r="A332" s="44">
        <v>320</v>
      </c>
      <c r="B332" s="12">
        <f t="shared" si="12"/>
        <v>0</v>
      </c>
      <c r="C332" s="12">
        <f t="shared" si="13"/>
        <v>0</v>
      </c>
      <c r="D332" s="12">
        <f t="shared" si="14"/>
        <v>0</v>
      </c>
      <c r="F332" s="10">
        <f t="shared" si="15"/>
        <v>0</v>
      </c>
    </row>
    <row r="333" spans="1:6" ht="14.25" customHeight="1" x14ac:dyDescent="0.3">
      <c r="A333" s="44">
        <v>321</v>
      </c>
      <c r="B333" s="12">
        <f t="shared" si="12"/>
        <v>0</v>
      </c>
      <c r="C333" s="12">
        <f t="shared" si="13"/>
        <v>0</v>
      </c>
      <c r="D333" s="12">
        <f t="shared" si="14"/>
        <v>0</v>
      </c>
      <c r="F333" s="10">
        <f t="shared" ref="F333:F372" si="16">IF(ROUND(F332,5)&gt;0,F332-D333,0)</f>
        <v>0</v>
      </c>
    </row>
    <row r="334" spans="1:6" ht="14.25" customHeight="1" x14ac:dyDescent="0.3">
      <c r="A334" s="44">
        <v>322</v>
      </c>
      <c r="B334" s="12">
        <f t="shared" si="12"/>
        <v>0</v>
      </c>
      <c r="C334" s="12">
        <f t="shared" si="13"/>
        <v>0</v>
      </c>
      <c r="D334" s="12">
        <f t="shared" si="14"/>
        <v>0</v>
      </c>
      <c r="F334" s="10">
        <f t="shared" si="16"/>
        <v>0</v>
      </c>
    </row>
    <row r="335" spans="1:6" ht="14.25" customHeight="1" x14ac:dyDescent="0.3">
      <c r="A335" s="44">
        <v>323</v>
      </c>
      <c r="B335" s="12">
        <f t="shared" si="12"/>
        <v>0</v>
      </c>
      <c r="C335" s="12">
        <f t="shared" si="13"/>
        <v>0</v>
      </c>
      <c r="D335" s="12">
        <f t="shared" si="14"/>
        <v>0</v>
      </c>
      <c r="F335" s="10">
        <f t="shared" si="16"/>
        <v>0</v>
      </c>
    </row>
    <row r="336" spans="1:6" ht="14.25" customHeight="1" x14ac:dyDescent="0.3">
      <c r="A336" s="44">
        <v>324</v>
      </c>
      <c r="B336" s="12">
        <f t="shared" si="12"/>
        <v>0</v>
      </c>
      <c r="C336" s="12">
        <f t="shared" si="13"/>
        <v>0</v>
      </c>
      <c r="D336" s="12">
        <f t="shared" si="14"/>
        <v>0</v>
      </c>
      <c r="F336" s="10">
        <f t="shared" si="16"/>
        <v>0</v>
      </c>
    </row>
    <row r="337" spans="1:6" ht="14.25" customHeight="1" x14ac:dyDescent="0.3">
      <c r="A337" s="44">
        <v>325</v>
      </c>
      <c r="B337" s="12">
        <f t="shared" si="12"/>
        <v>0</v>
      </c>
      <c r="C337" s="12">
        <f t="shared" si="13"/>
        <v>0</v>
      </c>
      <c r="D337" s="12">
        <f t="shared" si="14"/>
        <v>0</v>
      </c>
      <c r="F337" s="10">
        <f t="shared" si="16"/>
        <v>0</v>
      </c>
    </row>
    <row r="338" spans="1:6" ht="14.25" customHeight="1" x14ac:dyDescent="0.3">
      <c r="A338" s="44">
        <v>326</v>
      </c>
      <c r="B338" s="12">
        <f t="shared" si="12"/>
        <v>0</v>
      </c>
      <c r="C338" s="12">
        <f t="shared" si="13"/>
        <v>0</v>
      </c>
      <c r="D338" s="12">
        <f t="shared" si="14"/>
        <v>0</v>
      </c>
      <c r="F338" s="10">
        <f t="shared" si="16"/>
        <v>0</v>
      </c>
    </row>
    <row r="339" spans="1:6" ht="14.25" customHeight="1" x14ac:dyDescent="0.3">
      <c r="A339" s="44">
        <v>327</v>
      </c>
      <c r="B339" s="12">
        <f t="shared" si="12"/>
        <v>0</v>
      </c>
      <c r="C339" s="12">
        <f t="shared" si="13"/>
        <v>0</v>
      </c>
      <c r="D339" s="12">
        <f t="shared" si="14"/>
        <v>0</v>
      </c>
      <c r="F339" s="10">
        <f t="shared" si="16"/>
        <v>0</v>
      </c>
    </row>
    <row r="340" spans="1:6" ht="14.25" customHeight="1" x14ac:dyDescent="0.3">
      <c r="A340" s="44">
        <v>328</v>
      </c>
      <c r="B340" s="12">
        <f t="shared" si="12"/>
        <v>0</v>
      </c>
      <c r="C340" s="12">
        <f t="shared" si="13"/>
        <v>0</v>
      </c>
      <c r="D340" s="12">
        <f t="shared" si="14"/>
        <v>0</v>
      </c>
      <c r="F340" s="10">
        <f t="shared" si="16"/>
        <v>0</v>
      </c>
    </row>
    <row r="341" spans="1:6" ht="14.25" customHeight="1" x14ac:dyDescent="0.3">
      <c r="A341" s="44">
        <v>329</v>
      </c>
      <c r="B341" s="12">
        <f t="shared" si="12"/>
        <v>0</v>
      </c>
      <c r="C341" s="12">
        <f t="shared" si="13"/>
        <v>0</v>
      </c>
      <c r="D341" s="12">
        <f t="shared" si="14"/>
        <v>0</v>
      </c>
      <c r="F341" s="10">
        <f t="shared" si="16"/>
        <v>0</v>
      </c>
    </row>
    <row r="342" spans="1:6" ht="14.25" customHeight="1" x14ac:dyDescent="0.3">
      <c r="A342" s="44">
        <v>330</v>
      </c>
      <c r="B342" s="12">
        <f t="shared" si="12"/>
        <v>0</v>
      </c>
      <c r="C342" s="12">
        <f t="shared" si="13"/>
        <v>0</v>
      </c>
      <c r="D342" s="12">
        <f t="shared" si="14"/>
        <v>0</v>
      </c>
      <c r="F342" s="10">
        <f t="shared" si="16"/>
        <v>0</v>
      </c>
    </row>
    <row r="343" spans="1:6" ht="14.25" customHeight="1" x14ac:dyDescent="0.3">
      <c r="A343" s="44">
        <v>331</v>
      </c>
      <c r="B343" s="12">
        <f t="shared" si="12"/>
        <v>0</v>
      </c>
      <c r="C343" s="12">
        <f t="shared" si="13"/>
        <v>0</v>
      </c>
      <c r="D343" s="12">
        <f t="shared" si="14"/>
        <v>0</v>
      </c>
      <c r="F343" s="10">
        <f t="shared" si="16"/>
        <v>0</v>
      </c>
    </row>
    <row r="344" spans="1:6" ht="14.25" customHeight="1" x14ac:dyDescent="0.3">
      <c r="A344" s="44">
        <v>332</v>
      </c>
      <c r="B344" s="12">
        <f t="shared" si="12"/>
        <v>0</v>
      </c>
      <c r="C344" s="12">
        <f t="shared" si="13"/>
        <v>0</v>
      </c>
      <c r="D344" s="12">
        <f t="shared" si="14"/>
        <v>0</v>
      </c>
      <c r="F344" s="10">
        <f t="shared" si="16"/>
        <v>0</v>
      </c>
    </row>
    <row r="345" spans="1:6" ht="14.25" customHeight="1" x14ac:dyDescent="0.3">
      <c r="A345" s="44">
        <v>333</v>
      </c>
      <c r="B345" s="12">
        <f t="shared" si="12"/>
        <v>0</v>
      </c>
      <c r="C345" s="12">
        <f t="shared" si="13"/>
        <v>0</v>
      </c>
      <c r="D345" s="12">
        <f t="shared" si="14"/>
        <v>0</v>
      </c>
      <c r="F345" s="10">
        <f t="shared" si="16"/>
        <v>0</v>
      </c>
    </row>
    <row r="346" spans="1:6" ht="14.25" customHeight="1" x14ac:dyDescent="0.3">
      <c r="A346" s="44">
        <v>334</v>
      </c>
      <c r="B346" s="12">
        <f t="shared" si="12"/>
        <v>0</v>
      </c>
      <c r="C346" s="12">
        <f t="shared" si="13"/>
        <v>0</v>
      </c>
      <c r="D346" s="12">
        <f t="shared" si="14"/>
        <v>0</v>
      </c>
      <c r="F346" s="10">
        <f t="shared" si="16"/>
        <v>0</v>
      </c>
    </row>
    <row r="347" spans="1:6" ht="14.25" customHeight="1" x14ac:dyDescent="0.3">
      <c r="A347" s="44">
        <v>335</v>
      </c>
      <c r="B347" s="12">
        <f t="shared" si="12"/>
        <v>0</v>
      </c>
      <c r="C347" s="12">
        <f t="shared" si="13"/>
        <v>0</v>
      </c>
      <c r="D347" s="12">
        <f t="shared" si="14"/>
        <v>0</v>
      </c>
      <c r="F347" s="10">
        <f t="shared" si="16"/>
        <v>0</v>
      </c>
    </row>
    <row r="348" spans="1:6" ht="14.25" customHeight="1" x14ac:dyDescent="0.3">
      <c r="A348" s="44">
        <v>336</v>
      </c>
      <c r="B348" s="12">
        <f t="shared" si="12"/>
        <v>0</v>
      </c>
      <c r="C348" s="12">
        <f t="shared" si="13"/>
        <v>0</v>
      </c>
      <c r="D348" s="12">
        <f t="shared" si="14"/>
        <v>0</v>
      </c>
      <c r="F348" s="10">
        <f t="shared" si="16"/>
        <v>0</v>
      </c>
    </row>
    <row r="349" spans="1:6" ht="14.25" customHeight="1" x14ac:dyDescent="0.3">
      <c r="A349" s="44">
        <v>337</v>
      </c>
      <c r="B349" s="12">
        <f t="shared" si="12"/>
        <v>0</v>
      </c>
      <c r="C349" s="12">
        <f t="shared" si="13"/>
        <v>0</v>
      </c>
      <c r="D349" s="12">
        <f t="shared" si="14"/>
        <v>0</v>
      </c>
      <c r="F349" s="10">
        <f t="shared" si="16"/>
        <v>0</v>
      </c>
    </row>
    <row r="350" spans="1:6" ht="14.25" customHeight="1" x14ac:dyDescent="0.3">
      <c r="A350" s="44">
        <v>338</v>
      </c>
      <c r="B350" s="12">
        <f t="shared" si="12"/>
        <v>0</v>
      </c>
      <c r="C350" s="12">
        <f t="shared" si="13"/>
        <v>0</v>
      </c>
      <c r="D350" s="12">
        <f t="shared" si="14"/>
        <v>0</v>
      </c>
      <c r="F350" s="10">
        <f t="shared" si="16"/>
        <v>0</v>
      </c>
    </row>
    <row r="351" spans="1:6" ht="14.25" customHeight="1" x14ac:dyDescent="0.3">
      <c r="A351" s="44">
        <v>339</v>
      </c>
      <c r="B351" s="12">
        <f t="shared" si="12"/>
        <v>0</v>
      </c>
      <c r="C351" s="12">
        <f t="shared" si="13"/>
        <v>0</v>
      </c>
      <c r="D351" s="12">
        <f t="shared" si="14"/>
        <v>0</v>
      </c>
      <c r="F351" s="10">
        <f t="shared" si="16"/>
        <v>0</v>
      </c>
    </row>
    <row r="352" spans="1:6" ht="14.25" customHeight="1" x14ac:dyDescent="0.3">
      <c r="A352" s="44">
        <v>340</v>
      </c>
      <c r="B352" s="12">
        <f t="shared" si="12"/>
        <v>0</v>
      </c>
      <c r="C352" s="12">
        <f t="shared" si="13"/>
        <v>0</v>
      </c>
      <c r="D352" s="12">
        <f t="shared" si="14"/>
        <v>0</v>
      </c>
      <c r="F352" s="10">
        <f t="shared" si="16"/>
        <v>0</v>
      </c>
    </row>
    <row r="353" spans="1:6" ht="14.25" customHeight="1" x14ac:dyDescent="0.3">
      <c r="A353" s="44">
        <v>341</v>
      </c>
      <c r="B353" s="12">
        <f t="shared" si="12"/>
        <v>0</v>
      </c>
      <c r="C353" s="12">
        <f t="shared" si="13"/>
        <v>0</v>
      </c>
      <c r="D353" s="12">
        <f t="shared" si="14"/>
        <v>0</v>
      </c>
      <c r="F353" s="10">
        <f t="shared" si="16"/>
        <v>0</v>
      </c>
    </row>
    <row r="354" spans="1:6" ht="14.25" customHeight="1" x14ac:dyDescent="0.3">
      <c r="A354" s="44">
        <v>342</v>
      </c>
      <c r="B354" s="12">
        <f t="shared" si="12"/>
        <v>0</v>
      </c>
      <c r="C354" s="12">
        <f t="shared" si="13"/>
        <v>0</v>
      </c>
      <c r="D354" s="12">
        <f t="shared" si="14"/>
        <v>0</v>
      </c>
      <c r="F354" s="10">
        <f t="shared" si="16"/>
        <v>0</v>
      </c>
    </row>
    <row r="355" spans="1:6" ht="14.25" customHeight="1" x14ac:dyDescent="0.3">
      <c r="A355" s="44">
        <v>343</v>
      </c>
      <c r="B355" s="12">
        <f t="shared" si="12"/>
        <v>0</v>
      </c>
      <c r="C355" s="12">
        <f t="shared" si="13"/>
        <v>0</v>
      </c>
      <c r="D355" s="12">
        <f t="shared" si="14"/>
        <v>0</v>
      </c>
      <c r="F355" s="10">
        <f t="shared" si="16"/>
        <v>0</v>
      </c>
    </row>
    <row r="356" spans="1:6" ht="14.25" customHeight="1" x14ac:dyDescent="0.3">
      <c r="A356" s="44">
        <v>344</v>
      </c>
      <c r="B356" s="12">
        <f t="shared" si="12"/>
        <v>0</v>
      </c>
      <c r="C356" s="12">
        <f t="shared" si="13"/>
        <v>0</v>
      </c>
      <c r="D356" s="12">
        <f t="shared" si="14"/>
        <v>0</v>
      </c>
      <c r="F356" s="10">
        <f t="shared" si="16"/>
        <v>0</v>
      </c>
    </row>
    <row r="357" spans="1:6" ht="14.25" customHeight="1" x14ac:dyDescent="0.3">
      <c r="A357" s="44">
        <v>345</v>
      </c>
      <c r="B357" s="12">
        <f t="shared" si="12"/>
        <v>0</v>
      </c>
      <c r="C357" s="12">
        <f t="shared" si="13"/>
        <v>0</v>
      </c>
      <c r="D357" s="12">
        <f t="shared" si="14"/>
        <v>0</v>
      </c>
      <c r="F357" s="10">
        <f t="shared" si="16"/>
        <v>0</v>
      </c>
    </row>
    <row r="358" spans="1:6" ht="14.25" customHeight="1" x14ac:dyDescent="0.3">
      <c r="A358" s="44">
        <v>346</v>
      </c>
      <c r="B358" s="12">
        <f t="shared" si="12"/>
        <v>0</v>
      </c>
      <c r="C358" s="12">
        <f t="shared" si="13"/>
        <v>0</v>
      </c>
      <c r="D358" s="12">
        <f t="shared" si="14"/>
        <v>0</v>
      </c>
      <c r="F358" s="10">
        <f t="shared" si="16"/>
        <v>0</v>
      </c>
    </row>
    <row r="359" spans="1:6" ht="14.25" customHeight="1" x14ac:dyDescent="0.3">
      <c r="A359" s="44">
        <v>347</v>
      </c>
      <c r="B359" s="12">
        <f t="shared" si="12"/>
        <v>0</v>
      </c>
      <c r="C359" s="12">
        <f t="shared" si="13"/>
        <v>0</v>
      </c>
      <c r="D359" s="12">
        <f t="shared" si="14"/>
        <v>0</v>
      </c>
      <c r="F359" s="10">
        <f t="shared" si="16"/>
        <v>0</v>
      </c>
    </row>
    <row r="360" spans="1:6" ht="14.25" customHeight="1" x14ac:dyDescent="0.3">
      <c r="A360" s="44">
        <v>348</v>
      </c>
      <c r="B360" s="12">
        <f t="shared" si="12"/>
        <v>0</v>
      </c>
      <c r="C360" s="12">
        <f t="shared" si="13"/>
        <v>0</v>
      </c>
      <c r="D360" s="12">
        <f t="shared" si="14"/>
        <v>0</v>
      </c>
      <c r="F360" s="10">
        <f t="shared" si="16"/>
        <v>0</v>
      </c>
    </row>
    <row r="361" spans="1:6" ht="14.25" customHeight="1" x14ac:dyDescent="0.3">
      <c r="A361" s="44">
        <v>349</v>
      </c>
      <c r="B361" s="12">
        <f t="shared" si="12"/>
        <v>0</v>
      </c>
      <c r="C361" s="12">
        <f t="shared" si="13"/>
        <v>0</v>
      </c>
      <c r="D361" s="12">
        <f t="shared" si="14"/>
        <v>0</v>
      </c>
      <c r="F361" s="10">
        <f t="shared" si="16"/>
        <v>0</v>
      </c>
    </row>
    <row r="362" spans="1:6" ht="14.25" customHeight="1" x14ac:dyDescent="0.3">
      <c r="A362" s="44">
        <v>350</v>
      </c>
      <c r="B362" s="12">
        <f t="shared" si="12"/>
        <v>0</v>
      </c>
      <c r="C362" s="12">
        <f t="shared" si="13"/>
        <v>0</v>
      </c>
      <c r="D362" s="12">
        <f t="shared" si="14"/>
        <v>0</v>
      </c>
      <c r="F362" s="10">
        <f t="shared" si="16"/>
        <v>0</v>
      </c>
    </row>
    <row r="363" spans="1:6" ht="14.25" customHeight="1" x14ac:dyDescent="0.3">
      <c r="A363" s="44">
        <v>351</v>
      </c>
      <c r="B363" s="12">
        <f t="shared" si="12"/>
        <v>0</v>
      </c>
      <c r="C363" s="12">
        <f t="shared" si="13"/>
        <v>0</v>
      </c>
      <c r="D363" s="12">
        <f t="shared" si="14"/>
        <v>0</v>
      </c>
      <c r="F363" s="10">
        <f t="shared" si="16"/>
        <v>0</v>
      </c>
    </row>
    <row r="364" spans="1:6" ht="14.25" customHeight="1" x14ac:dyDescent="0.3">
      <c r="A364" s="44">
        <v>352</v>
      </c>
      <c r="B364" s="12">
        <f t="shared" si="12"/>
        <v>0</v>
      </c>
      <c r="C364" s="12">
        <f t="shared" si="13"/>
        <v>0</v>
      </c>
      <c r="D364" s="12">
        <f t="shared" si="14"/>
        <v>0</v>
      </c>
      <c r="F364" s="10">
        <f t="shared" si="16"/>
        <v>0</v>
      </c>
    </row>
    <row r="365" spans="1:6" ht="14.25" customHeight="1" x14ac:dyDescent="0.3">
      <c r="A365" s="44">
        <v>353</v>
      </c>
      <c r="B365" s="12">
        <f t="shared" si="12"/>
        <v>0</v>
      </c>
      <c r="C365" s="12">
        <f t="shared" si="13"/>
        <v>0</v>
      </c>
      <c r="D365" s="12">
        <f t="shared" si="14"/>
        <v>0</v>
      </c>
      <c r="F365" s="10">
        <f t="shared" si="16"/>
        <v>0</v>
      </c>
    </row>
    <row r="366" spans="1:6" ht="14.25" customHeight="1" x14ac:dyDescent="0.3">
      <c r="A366" s="44">
        <v>354</v>
      </c>
      <c r="B366" s="12">
        <f t="shared" si="12"/>
        <v>0</v>
      </c>
      <c r="C366" s="12">
        <f t="shared" si="13"/>
        <v>0</v>
      </c>
      <c r="D366" s="12">
        <f t="shared" si="14"/>
        <v>0</v>
      </c>
      <c r="F366" s="10">
        <f t="shared" si="16"/>
        <v>0</v>
      </c>
    </row>
    <row r="367" spans="1:6" ht="14.25" customHeight="1" x14ac:dyDescent="0.3">
      <c r="A367" s="44">
        <v>355</v>
      </c>
      <c r="B367" s="12">
        <f t="shared" si="12"/>
        <v>0</v>
      </c>
      <c r="C367" s="12">
        <f t="shared" si="13"/>
        <v>0</v>
      </c>
      <c r="D367" s="12">
        <f t="shared" si="14"/>
        <v>0</v>
      </c>
      <c r="F367" s="10">
        <f t="shared" si="16"/>
        <v>0</v>
      </c>
    </row>
    <row r="368" spans="1:6" ht="14.25" customHeight="1" x14ac:dyDescent="0.3">
      <c r="A368" s="44">
        <v>356</v>
      </c>
      <c r="B368" s="12">
        <f t="shared" si="12"/>
        <v>0</v>
      </c>
      <c r="C368" s="12">
        <f t="shared" si="13"/>
        <v>0</v>
      </c>
      <c r="D368" s="12">
        <f t="shared" si="14"/>
        <v>0</v>
      </c>
      <c r="F368" s="10">
        <f t="shared" si="16"/>
        <v>0</v>
      </c>
    </row>
    <row r="369" spans="1:6" ht="14.25" customHeight="1" x14ac:dyDescent="0.3">
      <c r="A369" s="44">
        <v>357</v>
      </c>
      <c r="B369" s="12">
        <f t="shared" si="12"/>
        <v>0</v>
      </c>
      <c r="C369" s="12">
        <f t="shared" si="13"/>
        <v>0</v>
      </c>
      <c r="D369" s="12">
        <f t="shared" si="14"/>
        <v>0</v>
      </c>
      <c r="F369" s="10">
        <f t="shared" si="16"/>
        <v>0</v>
      </c>
    </row>
    <row r="370" spans="1:6" ht="14.25" customHeight="1" x14ac:dyDescent="0.3">
      <c r="A370" s="44">
        <v>358</v>
      </c>
      <c r="B370" s="12">
        <f t="shared" si="12"/>
        <v>0</v>
      </c>
      <c r="C370" s="12">
        <f t="shared" si="13"/>
        <v>0</v>
      </c>
      <c r="D370" s="12">
        <f t="shared" si="14"/>
        <v>0</v>
      </c>
      <c r="F370" s="10">
        <f t="shared" si="16"/>
        <v>0</v>
      </c>
    </row>
    <row r="371" spans="1:6" ht="14.25" customHeight="1" x14ac:dyDescent="0.3">
      <c r="A371" s="44">
        <v>359</v>
      </c>
      <c r="B371" s="12">
        <f t="shared" si="12"/>
        <v>0</v>
      </c>
      <c r="C371" s="12">
        <f t="shared" si="13"/>
        <v>0</v>
      </c>
      <c r="D371" s="12">
        <f t="shared" si="14"/>
        <v>0</v>
      </c>
      <c r="F371" s="10">
        <f t="shared" si="16"/>
        <v>0</v>
      </c>
    </row>
    <row r="372" spans="1:6" ht="14.25" customHeight="1" x14ac:dyDescent="0.3">
      <c r="A372" s="44">
        <v>360</v>
      </c>
      <c r="B372" s="12">
        <f t="shared" si="12"/>
        <v>0</v>
      </c>
      <c r="C372" s="12">
        <f t="shared" si="13"/>
        <v>0</v>
      </c>
      <c r="D372" s="12">
        <f t="shared" si="14"/>
        <v>0</v>
      </c>
      <c r="F372" s="10">
        <f t="shared" si="16"/>
        <v>0</v>
      </c>
    </row>
    <row r="373" spans="1:6" ht="14.25" customHeight="1" x14ac:dyDescent="0.3"/>
    <row r="374" spans="1:6" ht="14.25" customHeight="1" x14ac:dyDescent="0.3"/>
    <row r="375" spans="1:6" ht="14.25" customHeight="1" x14ac:dyDescent="0.3"/>
    <row r="376" spans="1:6" ht="14.25" customHeight="1" x14ac:dyDescent="0.3"/>
    <row r="377" spans="1:6" ht="14.25" customHeight="1" x14ac:dyDescent="0.3"/>
    <row r="378" spans="1:6" ht="14.25" customHeight="1" x14ac:dyDescent="0.3"/>
    <row r="379" spans="1:6" ht="14.25" customHeight="1" x14ac:dyDescent="0.3"/>
    <row r="380" spans="1:6" ht="14.25" customHeight="1" x14ac:dyDescent="0.3"/>
    <row r="381" spans="1:6" ht="14.25" customHeight="1" x14ac:dyDescent="0.3"/>
    <row r="382" spans="1:6" ht="14.25" customHeight="1" x14ac:dyDescent="0.3"/>
    <row r="383" spans="1:6" ht="14.25" customHeight="1" x14ac:dyDescent="0.3"/>
    <row r="384" spans="1:6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conditionalFormatting sqref="A13:D372 F13:F372">
    <cfRule type="expression" dxfId="26" priority="4" stopIfTrue="1">
      <formula>ROUND($F12,5)=0</formula>
    </cfRule>
    <cfRule type="expression" dxfId="25" priority="5" stopIfTrue="1">
      <formula>$A13&gt;($B$6*$B$8)</formula>
    </cfRule>
    <cfRule type="expression" dxfId="24" priority="6" stopIfTrue="1">
      <formula>ROUND($F13,5)=0</formula>
    </cfRule>
  </conditionalFormatting>
  <conditionalFormatting sqref="E60">
    <cfRule type="expression" dxfId="23" priority="1" stopIfTrue="1">
      <formula>ROUND($F59,5)=0</formula>
    </cfRule>
    <cfRule type="expression" dxfId="22" priority="2" stopIfTrue="1">
      <formula>$A60&gt;($B$6*$B$8)</formula>
    </cfRule>
    <cfRule type="expression" dxfId="21" priority="3" stopIfTrue="1">
      <formula>ROUND($F60,5)=0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82E7-C9C1-4043-A1BC-D87D7139B53B}">
  <dimension ref="A1:W1000"/>
  <sheetViews>
    <sheetView zoomScaleNormal="100" workbookViewId="0">
      <selection activeCell="E8" sqref="E8"/>
    </sheetView>
  </sheetViews>
  <sheetFormatPr defaultColWidth="14.44140625" defaultRowHeight="15" customHeight="1" x14ac:dyDescent="0.3"/>
  <cols>
    <col min="1" max="1" width="21.109375" customWidth="1"/>
    <col min="2" max="3" width="13.109375" bestFit="1" customWidth="1"/>
    <col min="4" max="4" width="22.5546875" customWidth="1"/>
    <col min="5" max="5" width="17" customWidth="1"/>
    <col min="6" max="6" width="12.6640625" customWidth="1"/>
    <col min="7" max="7" width="16" customWidth="1"/>
    <col min="8" max="8" width="17.5546875" customWidth="1"/>
    <col min="9" max="9" width="28.33203125" customWidth="1"/>
    <col min="10" max="13" width="11.6640625" customWidth="1"/>
    <col min="14" max="14" width="16" customWidth="1"/>
    <col min="15" max="15" width="15" customWidth="1"/>
    <col min="16" max="16" width="12.6640625" customWidth="1"/>
    <col min="17" max="17" width="8.6640625" customWidth="1"/>
    <col min="18" max="19" width="16" customWidth="1"/>
    <col min="20" max="20" width="15.109375" customWidth="1"/>
    <col min="21" max="21" width="22.33203125" customWidth="1"/>
    <col min="22" max="26" width="8.6640625" customWidth="1"/>
  </cols>
  <sheetData>
    <row r="1" spans="1:23" ht="14.25" customHeight="1" thickBot="1" x14ac:dyDescent="0.35">
      <c r="A1" s="65" t="s">
        <v>0</v>
      </c>
      <c r="B1" s="66"/>
      <c r="F1" s="1"/>
    </row>
    <row r="2" spans="1:23" ht="14.25" customHeight="1" x14ac:dyDescent="0.3">
      <c r="A2" s="2" t="s">
        <v>1</v>
      </c>
      <c r="B2" s="3">
        <f>+Credit!B2</f>
        <v>20000</v>
      </c>
      <c r="D2" s="4"/>
      <c r="E2" s="5"/>
      <c r="F2" s="1"/>
      <c r="G2" s="1"/>
      <c r="H2" s="6" t="s">
        <v>2</v>
      </c>
      <c r="I2" s="7"/>
      <c r="J2" s="7"/>
    </row>
    <row r="3" spans="1:23" ht="14.25" customHeight="1" x14ac:dyDescent="0.3">
      <c r="A3" s="1" t="s">
        <v>3</v>
      </c>
      <c r="B3" s="8">
        <v>0</v>
      </c>
      <c r="D3" s="4" t="s">
        <v>4</v>
      </c>
      <c r="E3" s="9">
        <f>+SUM(C13:C60)</f>
        <v>387.84100771616511</v>
      </c>
      <c r="F3" s="10"/>
      <c r="G3" s="1"/>
      <c r="H3" s="11"/>
      <c r="I3" s="7"/>
      <c r="J3" s="11"/>
      <c r="K3" s="12"/>
      <c r="L3" s="12"/>
      <c r="M3" s="12"/>
      <c r="S3" s="13"/>
      <c r="T3" s="14"/>
      <c r="U3" s="15" t="s">
        <v>5</v>
      </c>
      <c r="V3" s="16"/>
    </row>
    <row r="4" spans="1:23" ht="14.25" customHeight="1" x14ac:dyDescent="0.3">
      <c r="A4" s="1" t="s">
        <v>6</v>
      </c>
      <c r="B4" s="10">
        <f>+B2-B3</f>
        <v>20000</v>
      </c>
      <c r="D4" s="4" t="s">
        <v>7</v>
      </c>
      <c r="E4" s="9">
        <f>+SUM(D13:D60)</f>
        <v>20000</v>
      </c>
      <c r="F4" s="9"/>
      <c r="G4" s="17"/>
      <c r="H4" s="18" t="s">
        <v>8</v>
      </c>
      <c r="I4" s="19">
        <f>+B2</f>
        <v>20000</v>
      </c>
      <c r="J4" s="20"/>
      <c r="K4" s="21"/>
      <c r="L4" s="21"/>
      <c r="M4" s="21"/>
      <c r="R4" s="1" t="s">
        <v>8</v>
      </c>
      <c r="S4" s="22">
        <v>20000</v>
      </c>
      <c r="T4" s="7"/>
      <c r="U4" s="23">
        <v>374.35</v>
      </c>
      <c r="V4" s="16"/>
    </row>
    <row r="5" spans="1:23" ht="14.25" customHeight="1" x14ac:dyDescent="0.3">
      <c r="A5" s="1" t="s">
        <v>9</v>
      </c>
      <c r="B5" s="24">
        <f>+C5*B2</f>
        <v>0</v>
      </c>
      <c r="C5" s="25">
        <v>0</v>
      </c>
      <c r="D5" s="4"/>
      <c r="E5" s="9"/>
      <c r="H5" s="6" t="s">
        <v>10</v>
      </c>
      <c r="I5" s="19">
        <f>B5/(1+(B7)/12)^48</f>
        <v>0</v>
      </c>
      <c r="J5" s="7"/>
      <c r="R5" s="1" t="s">
        <v>10</v>
      </c>
      <c r="S5" s="22">
        <f>2000/(1+(U7)/12)^48</f>
        <v>1488.9275748937866</v>
      </c>
      <c r="T5" s="20"/>
      <c r="U5" s="26">
        <v>12</v>
      </c>
    </row>
    <row r="6" spans="1:23" ht="14.25" customHeight="1" x14ac:dyDescent="0.3">
      <c r="A6" s="1" t="s">
        <v>11</v>
      </c>
      <c r="B6" s="27">
        <v>4</v>
      </c>
      <c r="C6" s="10"/>
      <c r="D6" s="4" t="s">
        <v>12</v>
      </c>
      <c r="E6" s="9">
        <f>SUM(E4:E5)</f>
        <v>20000</v>
      </c>
      <c r="H6" s="6" t="s">
        <v>13</v>
      </c>
      <c r="I6" s="19">
        <f>+I4-I5</f>
        <v>20000</v>
      </c>
      <c r="J6" s="7"/>
      <c r="R6" s="1" t="s">
        <v>13</v>
      </c>
      <c r="S6" s="28">
        <f>+S4-S5</f>
        <v>18511.072425106213</v>
      </c>
      <c r="T6" s="29"/>
      <c r="U6" s="26">
        <v>4</v>
      </c>
    </row>
    <row r="7" spans="1:23" ht="14.25" customHeight="1" x14ac:dyDescent="0.3">
      <c r="A7" s="1" t="s">
        <v>14</v>
      </c>
      <c r="B7" s="30">
        <v>9.4400000000000005E-3</v>
      </c>
      <c r="D7" s="4" t="s">
        <v>15</v>
      </c>
      <c r="E7" s="9">
        <f>SUM(E3:E5)</f>
        <v>20387.841007716164</v>
      </c>
      <c r="H7" s="31"/>
      <c r="I7" s="31"/>
      <c r="S7" s="32"/>
      <c r="T7" s="33"/>
      <c r="U7" s="34">
        <v>7.3999999999999996E-2</v>
      </c>
    </row>
    <row r="8" spans="1:23" ht="14.25" customHeight="1" x14ac:dyDescent="0.3">
      <c r="A8" s="1" t="s">
        <v>16</v>
      </c>
      <c r="B8" s="35">
        <v>12</v>
      </c>
      <c r="D8" s="36" t="s">
        <v>17</v>
      </c>
      <c r="E8" s="37">
        <f>+SUM(E13:E60)</f>
        <v>25280.922849568025</v>
      </c>
      <c r="F8" s="10"/>
      <c r="H8" s="1" t="s">
        <v>18</v>
      </c>
      <c r="U8" s="16"/>
    </row>
    <row r="9" spans="1:23" ht="14.25" customHeight="1" x14ac:dyDescent="0.3">
      <c r="A9" s="1" t="s">
        <v>19</v>
      </c>
      <c r="B9" s="16">
        <f>-PMT(B7/B8,(B6*B8),B4,-B5)</f>
        <v>424.74668766075342</v>
      </c>
      <c r="D9" s="4" t="s">
        <v>20</v>
      </c>
      <c r="E9" s="10">
        <f>+E8-E7</f>
        <v>4893.0818418518611</v>
      </c>
      <c r="H9" s="1" t="s">
        <v>21</v>
      </c>
      <c r="S9" s="21" t="s">
        <v>8</v>
      </c>
      <c r="T9" s="38">
        <f t="shared" ref="T9:T10" si="0">+S4</f>
        <v>20000</v>
      </c>
      <c r="U9" s="39"/>
      <c r="V9" s="39"/>
    </row>
    <row r="10" spans="1:23" ht="14.25" customHeight="1" thickBot="1" x14ac:dyDescent="0.35">
      <c r="B10" s="16">
        <f>PMT(B7/B8,(B6*B8),-B4,+B5)</f>
        <v>424.74668766075342</v>
      </c>
      <c r="C10" s="16">
        <f>PMT(B7/B8,(B6*B8),-B4+B5/(1+(B7)/12)^48)</f>
        <v>424.74668766075342</v>
      </c>
      <c r="H10" s="1" t="s">
        <v>22</v>
      </c>
      <c r="S10" s="1" t="s">
        <v>10</v>
      </c>
      <c r="T10" s="38">
        <f t="shared" si="0"/>
        <v>1488.9275748937866</v>
      </c>
      <c r="U10" s="40"/>
      <c r="V10" s="40"/>
    </row>
    <row r="11" spans="1:23" ht="14.25" customHeight="1" thickBot="1" x14ac:dyDescent="0.35">
      <c r="A11" s="41" t="s">
        <v>23</v>
      </c>
      <c r="B11" s="41" t="s">
        <v>19</v>
      </c>
      <c r="C11" s="41" t="s">
        <v>24</v>
      </c>
      <c r="D11" s="41" t="s">
        <v>25</v>
      </c>
      <c r="E11" s="41" t="s">
        <v>26</v>
      </c>
      <c r="F11" s="41" t="s">
        <v>27</v>
      </c>
      <c r="P11" s="16"/>
      <c r="S11" s="1" t="s">
        <v>13</v>
      </c>
      <c r="T11" s="42">
        <f>+T9-T10</f>
        <v>18511.072425106213</v>
      </c>
      <c r="U11" s="43"/>
    </row>
    <row r="12" spans="1:23" ht="14.25" customHeight="1" x14ac:dyDescent="0.3">
      <c r="A12" s="44">
        <v>0</v>
      </c>
      <c r="B12" s="10"/>
      <c r="C12" s="10"/>
      <c r="D12" s="10"/>
      <c r="F12" s="10">
        <f>B4</f>
        <v>20000</v>
      </c>
      <c r="H12" s="6" t="s">
        <v>13</v>
      </c>
      <c r="I12" s="45">
        <f>+I6</f>
        <v>20000</v>
      </c>
      <c r="K12" s="46"/>
      <c r="L12" s="1"/>
      <c r="O12" s="16"/>
      <c r="T12" s="43"/>
      <c r="U12" s="43"/>
    </row>
    <row r="13" spans="1:23" ht="14.25" customHeight="1" x14ac:dyDescent="0.3">
      <c r="A13" s="44">
        <v>1</v>
      </c>
      <c r="B13" s="10">
        <f t="shared" ref="B13:B267" si="1">IF($B$9&lt;=F12,$B$9,F12+F12*$B$7/$B$8)</f>
        <v>424.74668766075342</v>
      </c>
      <c r="C13" s="10">
        <f t="shared" ref="C13:C267" si="2">IF(B13&gt;0,$B$7/$B$8*F12,0)</f>
        <v>15.733333333333334</v>
      </c>
      <c r="D13" s="10">
        <f t="shared" ref="D13:D267" si="3">IF(B13&gt;0,MIN(B13-C13,F12),0)</f>
        <v>409.01335432742007</v>
      </c>
      <c r="E13" s="17">
        <f>+B13*1.24</f>
        <v>526.6858926993342</v>
      </c>
      <c r="F13" s="10">
        <f t="shared" ref="F13:F76" si="4">IF(ROUND(F12,5)&gt;0,F12-D13,0)</f>
        <v>19590.986645672579</v>
      </c>
      <c r="G13" s="10"/>
      <c r="H13" s="20" t="s">
        <v>28</v>
      </c>
      <c r="I13" s="45">
        <f>1+1/0.01*(1-1/1.01^47)</f>
        <v>38.353699088415063</v>
      </c>
      <c r="K13" s="46"/>
      <c r="L13" s="1"/>
      <c r="T13" s="1" t="str">
        <f t="shared" ref="T13:U13" si="5">+S11</f>
        <v>ΠΑ Μισθωμάτων</v>
      </c>
      <c r="U13" s="47">
        <f t="shared" si="5"/>
        <v>18511.072425106213</v>
      </c>
    </row>
    <row r="14" spans="1:23" ht="14.25" customHeight="1" x14ac:dyDescent="0.3">
      <c r="A14" s="44">
        <v>2</v>
      </c>
      <c r="B14" s="10">
        <f t="shared" si="1"/>
        <v>424.74668766075342</v>
      </c>
      <c r="C14" s="10">
        <f t="shared" si="2"/>
        <v>15.411576161262431</v>
      </c>
      <c r="D14" s="10">
        <f t="shared" si="3"/>
        <v>409.33511149949101</v>
      </c>
      <c r="E14" s="17">
        <f t="shared" ref="E14:E60" si="6">+B14*1.24</f>
        <v>526.6858926993342</v>
      </c>
      <c r="F14" s="10">
        <f t="shared" si="4"/>
        <v>19181.651534173088</v>
      </c>
      <c r="G14" s="10"/>
      <c r="H14" s="48" t="s">
        <v>29</v>
      </c>
      <c r="I14" s="45">
        <f>+I12/I13</f>
        <v>521.46208776094579</v>
      </c>
      <c r="K14" s="46"/>
      <c r="L14" s="1"/>
      <c r="T14" s="21"/>
      <c r="U14" s="47">
        <f>1+1/0.006167*(1-1/1.006167^47)</f>
        <v>41.693532625878035</v>
      </c>
      <c r="V14" s="49"/>
      <c r="W14" s="1">
        <f>+U7/12</f>
        <v>6.1666666666666667E-3</v>
      </c>
    </row>
    <row r="15" spans="1:23" ht="14.25" customHeight="1" x14ac:dyDescent="0.3">
      <c r="A15" s="44">
        <v>3</v>
      </c>
      <c r="B15" s="10">
        <f t="shared" si="1"/>
        <v>424.74668766075342</v>
      </c>
      <c r="C15" s="10">
        <f t="shared" si="2"/>
        <v>15.089565873549498</v>
      </c>
      <c r="D15" s="10">
        <f t="shared" si="3"/>
        <v>409.65712178720395</v>
      </c>
      <c r="E15" s="17">
        <f t="shared" si="6"/>
        <v>526.6858926993342</v>
      </c>
      <c r="F15" s="10">
        <f t="shared" si="4"/>
        <v>18771.994412385884</v>
      </c>
      <c r="G15" s="10"/>
      <c r="H15" s="7" t="s">
        <v>30</v>
      </c>
      <c r="I15" s="45">
        <f>+I14*48</f>
        <v>25030.180212525396</v>
      </c>
      <c r="T15" s="50" t="s">
        <v>29</v>
      </c>
      <c r="U15" s="47">
        <f>+U13/U14</f>
        <v>443.9794677800196</v>
      </c>
    </row>
    <row r="16" spans="1:23" ht="14.25" customHeight="1" x14ac:dyDescent="0.3">
      <c r="A16" s="44">
        <v>4</v>
      </c>
      <c r="B16" s="10">
        <f t="shared" si="1"/>
        <v>424.74668766075342</v>
      </c>
      <c r="C16" s="10">
        <f t="shared" si="2"/>
        <v>14.767302271076897</v>
      </c>
      <c r="D16" s="10">
        <f t="shared" si="3"/>
        <v>409.97938538967651</v>
      </c>
      <c r="E16" s="17">
        <f t="shared" si="6"/>
        <v>526.6858926993342</v>
      </c>
      <c r="F16" s="10">
        <f t="shared" si="4"/>
        <v>18362.015026996207</v>
      </c>
      <c r="G16" s="10"/>
      <c r="H16" s="7" t="s">
        <v>31</v>
      </c>
      <c r="I16" s="45">
        <f>+I15+B5</f>
        <v>25030.180212525396</v>
      </c>
      <c r="U16" s="47">
        <f>+U15*48</f>
        <v>21311.014453440941</v>
      </c>
    </row>
    <row r="17" spans="1:21" ht="14.25" customHeight="1" x14ac:dyDescent="0.3">
      <c r="A17" s="44">
        <v>5</v>
      </c>
      <c r="B17" s="10">
        <f t="shared" si="1"/>
        <v>424.74668766075342</v>
      </c>
      <c r="C17" s="10">
        <f t="shared" si="2"/>
        <v>14.444785154570351</v>
      </c>
      <c r="D17" s="10">
        <f t="shared" si="3"/>
        <v>410.30190250618307</v>
      </c>
      <c r="E17" s="17">
        <f t="shared" si="6"/>
        <v>526.6858926993342</v>
      </c>
      <c r="F17" s="10">
        <f t="shared" si="4"/>
        <v>17951.713124490023</v>
      </c>
      <c r="G17" s="10"/>
      <c r="H17" s="6" t="s">
        <v>32</v>
      </c>
      <c r="I17" s="19"/>
      <c r="U17" s="47">
        <f>+U16+2000</f>
        <v>23311.014453440941</v>
      </c>
    </row>
    <row r="18" spans="1:21" ht="14.25" customHeight="1" x14ac:dyDescent="0.3">
      <c r="A18" s="44">
        <v>6</v>
      </c>
      <c r="B18" s="10">
        <f t="shared" si="1"/>
        <v>424.74668766075342</v>
      </c>
      <c r="C18" s="10">
        <f t="shared" si="2"/>
        <v>14.122014324598819</v>
      </c>
      <c r="D18" s="10">
        <f t="shared" si="3"/>
        <v>410.62467333615461</v>
      </c>
      <c r="E18" s="17">
        <f t="shared" si="6"/>
        <v>526.6858926993342</v>
      </c>
      <c r="F18" s="10">
        <f t="shared" si="4"/>
        <v>17541.088451153868</v>
      </c>
      <c r="G18" s="10"/>
      <c r="H18" s="51" t="s">
        <v>8</v>
      </c>
      <c r="I18" s="52">
        <f>-I4</f>
        <v>-20000</v>
      </c>
    </row>
    <row r="19" spans="1:21" ht="14.25" customHeight="1" x14ac:dyDescent="0.3">
      <c r="A19" s="44">
        <v>7</v>
      </c>
      <c r="B19" s="10">
        <f t="shared" si="1"/>
        <v>424.74668766075342</v>
      </c>
      <c r="C19" s="10">
        <f t="shared" si="2"/>
        <v>13.798989581574377</v>
      </c>
      <c r="D19" s="10">
        <f t="shared" si="3"/>
        <v>410.94769807917902</v>
      </c>
      <c r="E19" s="17">
        <f t="shared" si="6"/>
        <v>526.6858926993342</v>
      </c>
      <c r="F19" s="10">
        <f t="shared" si="4"/>
        <v>17130.140753074687</v>
      </c>
      <c r="G19" s="10"/>
      <c r="H19" s="53" t="str">
        <f t="shared" ref="H19:I20" si="7">+H5</f>
        <v>ΠΑ(ΥΑ)</v>
      </c>
      <c r="I19" s="52">
        <f t="shared" si="7"/>
        <v>0</v>
      </c>
      <c r="T19" s="1" t="s">
        <v>33</v>
      </c>
      <c r="U19" s="54" t="s">
        <v>34</v>
      </c>
    </row>
    <row r="20" spans="1:21" ht="14.25" customHeight="1" x14ac:dyDescent="0.3">
      <c r="A20" s="44">
        <v>8</v>
      </c>
      <c r="B20" s="10">
        <f t="shared" si="1"/>
        <v>424.74668766075342</v>
      </c>
      <c r="C20" s="10">
        <f t="shared" si="2"/>
        <v>13.475710725752089</v>
      </c>
      <c r="D20" s="10">
        <f t="shared" si="3"/>
        <v>411.27097693500133</v>
      </c>
      <c r="E20" s="17">
        <f t="shared" si="6"/>
        <v>526.6858926993342</v>
      </c>
      <c r="F20" s="10">
        <f t="shared" si="4"/>
        <v>16718.869776139687</v>
      </c>
      <c r="G20" s="10"/>
      <c r="H20" s="7" t="str">
        <f t="shared" si="7"/>
        <v>ΠΑ Μισθωμάτων</v>
      </c>
      <c r="I20" s="52">
        <f t="shared" si="7"/>
        <v>20000</v>
      </c>
    </row>
    <row r="21" spans="1:21" ht="14.25" customHeight="1" x14ac:dyDescent="0.3">
      <c r="A21" s="44">
        <v>9</v>
      </c>
      <c r="B21" s="10">
        <f t="shared" si="1"/>
        <v>424.74668766075342</v>
      </c>
      <c r="C21" s="10">
        <f t="shared" si="2"/>
        <v>13.152177557229889</v>
      </c>
      <c r="D21" s="10">
        <f t="shared" si="3"/>
        <v>411.59451010352353</v>
      </c>
      <c r="E21" s="17">
        <f t="shared" si="6"/>
        <v>526.6858926993342</v>
      </c>
      <c r="F21" s="10">
        <f t="shared" si="4"/>
        <v>16307.275266036164</v>
      </c>
      <c r="G21" s="10"/>
      <c r="H21" s="7" t="s">
        <v>35</v>
      </c>
      <c r="I21" s="55">
        <f>+I20+I19+I18</f>
        <v>0</v>
      </c>
      <c r="U21" s="17">
        <f>-T9</f>
        <v>-20000</v>
      </c>
    </row>
    <row r="22" spans="1:21" ht="14.25" customHeight="1" x14ac:dyDescent="0.3">
      <c r="A22" s="44">
        <v>10</v>
      </c>
      <c r="B22" s="10">
        <f t="shared" si="1"/>
        <v>424.74668766075342</v>
      </c>
      <c r="C22" s="10">
        <f t="shared" si="2"/>
        <v>12.828389875948449</v>
      </c>
      <c r="D22" s="10">
        <f t="shared" si="3"/>
        <v>411.91829778480496</v>
      </c>
      <c r="E22" s="17">
        <f t="shared" si="6"/>
        <v>526.6858926993342</v>
      </c>
      <c r="F22" s="10">
        <f t="shared" si="4"/>
        <v>15895.356968251359</v>
      </c>
      <c r="G22" s="10"/>
      <c r="U22" s="17">
        <f t="shared" ref="U22:U23" si="8">+T10</f>
        <v>1488.9275748937866</v>
      </c>
    </row>
    <row r="23" spans="1:21" ht="14.25" customHeight="1" x14ac:dyDescent="0.3">
      <c r="A23" s="44">
        <v>11</v>
      </c>
      <c r="B23" s="10">
        <f t="shared" si="1"/>
        <v>424.74668766075342</v>
      </c>
      <c r="C23" s="10">
        <f t="shared" si="2"/>
        <v>12.50434748169107</v>
      </c>
      <c r="D23" s="10">
        <f t="shared" si="3"/>
        <v>412.24234017906235</v>
      </c>
      <c r="E23" s="17">
        <f t="shared" si="6"/>
        <v>526.6858926993342</v>
      </c>
      <c r="F23" s="10">
        <f t="shared" si="4"/>
        <v>15483.114628072297</v>
      </c>
      <c r="G23" s="10"/>
      <c r="H23" t="s">
        <v>42</v>
      </c>
      <c r="U23" s="17">
        <f t="shared" si="8"/>
        <v>18511.072425106213</v>
      </c>
    </row>
    <row r="24" spans="1:21" ht="14.25" customHeight="1" x14ac:dyDescent="0.3">
      <c r="A24" s="44">
        <v>12</v>
      </c>
      <c r="B24" s="10">
        <f t="shared" si="1"/>
        <v>424.74668766075342</v>
      </c>
      <c r="C24" s="10">
        <f t="shared" si="2"/>
        <v>12.180050174083542</v>
      </c>
      <c r="D24" s="10">
        <f t="shared" si="3"/>
        <v>412.56663748666989</v>
      </c>
      <c r="E24" s="17">
        <f t="shared" si="6"/>
        <v>526.6858926993342</v>
      </c>
      <c r="F24" s="10">
        <f t="shared" si="4"/>
        <v>15070.547990585626</v>
      </c>
      <c r="G24" s="10"/>
      <c r="H24" t="s">
        <v>40</v>
      </c>
      <c r="I24" s="1"/>
      <c r="U24" s="17">
        <f>+U23+U22+U21</f>
        <v>0</v>
      </c>
    </row>
    <row r="25" spans="1:21" ht="14.25" customHeight="1" x14ac:dyDescent="0.3">
      <c r="A25" s="44">
        <v>13</v>
      </c>
      <c r="B25" s="10">
        <f t="shared" si="1"/>
        <v>424.74668766075342</v>
      </c>
      <c r="C25" s="10">
        <f t="shared" si="2"/>
        <v>11.855497752594028</v>
      </c>
      <c r="D25" s="10">
        <f t="shared" si="3"/>
        <v>412.89118990815939</v>
      </c>
      <c r="E25" s="17">
        <f t="shared" si="6"/>
        <v>526.6858926993342</v>
      </c>
      <c r="F25" s="10">
        <f t="shared" si="4"/>
        <v>14657.656800677467</v>
      </c>
      <c r="G25" s="10"/>
      <c r="H25" t="s">
        <v>39</v>
      </c>
      <c r="I25" s="46"/>
    </row>
    <row r="26" spans="1:21" ht="14.25" customHeight="1" x14ac:dyDescent="0.3">
      <c r="A26" s="44">
        <v>14</v>
      </c>
      <c r="B26" s="10">
        <f t="shared" si="1"/>
        <v>424.74668766075342</v>
      </c>
      <c r="C26" s="10">
        <f t="shared" si="2"/>
        <v>11.530690016532942</v>
      </c>
      <c r="D26" s="10">
        <f t="shared" si="3"/>
        <v>413.21599764422047</v>
      </c>
      <c r="E26" s="17">
        <f t="shared" si="6"/>
        <v>526.6858926993342</v>
      </c>
      <c r="F26" s="10">
        <f t="shared" si="4"/>
        <v>14244.440803033247</v>
      </c>
      <c r="G26" s="10"/>
      <c r="H26" s="10" t="s">
        <v>41</v>
      </c>
    </row>
    <row r="27" spans="1:21" ht="14.25" customHeight="1" x14ac:dyDescent="0.3">
      <c r="A27" s="44">
        <v>15</v>
      </c>
      <c r="B27" s="10">
        <f t="shared" si="1"/>
        <v>424.74668766075342</v>
      </c>
      <c r="C27" s="10">
        <f t="shared" si="2"/>
        <v>11.205626765052822</v>
      </c>
      <c r="D27" s="10">
        <f t="shared" si="3"/>
        <v>413.54106089570058</v>
      </c>
      <c r="E27" s="17">
        <f t="shared" si="6"/>
        <v>526.6858926993342</v>
      </c>
      <c r="F27" s="10">
        <f t="shared" si="4"/>
        <v>13830.899742137546</v>
      </c>
      <c r="G27" s="10"/>
      <c r="H27" s="10"/>
    </row>
    <row r="28" spans="1:21" ht="14.25" customHeight="1" x14ac:dyDescent="0.3">
      <c r="A28" s="44">
        <v>16</v>
      </c>
      <c r="B28" s="10">
        <f t="shared" si="1"/>
        <v>424.74668766075342</v>
      </c>
      <c r="C28" s="10">
        <f t="shared" si="2"/>
        <v>10.880307797148204</v>
      </c>
      <c r="D28" s="10">
        <f t="shared" si="3"/>
        <v>413.86637986360523</v>
      </c>
      <c r="E28" s="17">
        <f t="shared" si="6"/>
        <v>526.6858926993342</v>
      </c>
      <c r="F28" s="10">
        <f t="shared" si="4"/>
        <v>13417.033362273942</v>
      </c>
      <c r="G28" s="10"/>
    </row>
    <row r="29" spans="1:21" ht="14.25" customHeight="1" x14ac:dyDescent="0.3">
      <c r="A29" s="44">
        <v>17</v>
      </c>
      <c r="B29" s="10">
        <f t="shared" si="1"/>
        <v>424.74668766075342</v>
      </c>
      <c r="C29" s="10">
        <f t="shared" si="2"/>
        <v>10.554732911655503</v>
      </c>
      <c r="D29" s="10">
        <f t="shared" si="3"/>
        <v>414.19195474909793</v>
      </c>
      <c r="E29" s="17">
        <f t="shared" si="6"/>
        <v>526.6858926993342</v>
      </c>
      <c r="F29" s="10">
        <f t="shared" si="4"/>
        <v>13002.841407524844</v>
      </c>
      <c r="G29" s="10"/>
      <c r="H29" s="21"/>
    </row>
    <row r="30" spans="1:21" ht="14.25" customHeight="1" x14ac:dyDescent="0.3">
      <c r="A30" s="44">
        <v>18</v>
      </c>
      <c r="B30" s="10">
        <f t="shared" si="1"/>
        <v>424.74668766075342</v>
      </c>
      <c r="C30" s="10">
        <f t="shared" si="2"/>
        <v>10.228901907252878</v>
      </c>
      <c r="D30" s="10">
        <f t="shared" si="3"/>
        <v>414.51778575350056</v>
      </c>
      <c r="E30" s="17">
        <f t="shared" si="6"/>
        <v>526.6858926993342</v>
      </c>
      <c r="F30" s="10">
        <f t="shared" si="4"/>
        <v>12588.323621771344</v>
      </c>
      <c r="G30" s="10"/>
      <c r="H30" s="17"/>
    </row>
    <row r="31" spans="1:21" ht="14.25" customHeight="1" x14ac:dyDescent="0.3">
      <c r="A31" s="44">
        <v>19</v>
      </c>
      <c r="B31" s="10">
        <f t="shared" si="1"/>
        <v>424.74668766075342</v>
      </c>
      <c r="C31" s="10">
        <f t="shared" si="2"/>
        <v>9.9028145824601239</v>
      </c>
      <c r="D31" s="10">
        <f t="shared" si="3"/>
        <v>414.84387307829331</v>
      </c>
      <c r="E31" s="17">
        <f t="shared" si="6"/>
        <v>526.6858926993342</v>
      </c>
      <c r="F31" s="10">
        <f t="shared" si="4"/>
        <v>12173.479748693051</v>
      </c>
      <c r="G31" s="10"/>
      <c r="H31" s="56"/>
    </row>
    <row r="32" spans="1:21" ht="14.25" customHeight="1" x14ac:dyDescent="0.3">
      <c r="A32" s="44">
        <v>20</v>
      </c>
      <c r="B32" s="10">
        <f t="shared" si="1"/>
        <v>424.74668766075342</v>
      </c>
      <c r="C32" s="10">
        <f t="shared" si="2"/>
        <v>9.5764707356385337</v>
      </c>
      <c r="D32" s="10">
        <f t="shared" si="3"/>
        <v>415.17021692511491</v>
      </c>
      <c r="E32" s="17">
        <f t="shared" si="6"/>
        <v>526.6858926993342</v>
      </c>
      <c r="F32" s="10">
        <f t="shared" si="4"/>
        <v>11758.309531767936</v>
      </c>
      <c r="G32" s="10"/>
      <c r="H32" s="57"/>
    </row>
    <row r="33" spans="1:13" ht="14.25" customHeight="1" x14ac:dyDescent="0.3">
      <c r="A33" s="44">
        <v>21</v>
      </c>
      <c r="B33" s="10">
        <f t="shared" si="1"/>
        <v>424.74668766075342</v>
      </c>
      <c r="C33" s="10">
        <f t="shared" si="2"/>
        <v>9.249870164990778</v>
      </c>
      <c r="D33" s="10">
        <f t="shared" si="3"/>
        <v>415.49681749576263</v>
      </c>
      <c r="E33" s="17">
        <f t="shared" si="6"/>
        <v>526.6858926993342</v>
      </c>
      <c r="F33" s="10">
        <f t="shared" si="4"/>
        <v>11342.812714272173</v>
      </c>
      <c r="G33" s="10"/>
      <c r="H33" s="10"/>
    </row>
    <row r="34" spans="1:13" ht="14.25" customHeight="1" x14ac:dyDescent="0.3">
      <c r="A34" s="44">
        <v>22</v>
      </c>
      <c r="B34" s="10">
        <f t="shared" si="1"/>
        <v>424.74668766075342</v>
      </c>
      <c r="C34" s="10">
        <f t="shared" si="2"/>
        <v>8.9230126685607765</v>
      </c>
      <c r="D34" s="10">
        <f t="shared" si="3"/>
        <v>415.82367499219265</v>
      </c>
      <c r="E34" s="17">
        <f t="shared" si="6"/>
        <v>526.6858926993342</v>
      </c>
      <c r="F34" s="10">
        <f t="shared" si="4"/>
        <v>10926.989039279981</v>
      </c>
      <c r="G34" s="10"/>
      <c r="H34" s="10"/>
    </row>
    <row r="35" spans="1:13" ht="14.25" customHeight="1" x14ac:dyDescent="0.3">
      <c r="A35" s="44">
        <v>23</v>
      </c>
      <c r="B35" s="10">
        <f t="shared" si="1"/>
        <v>424.74668766075342</v>
      </c>
      <c r="C35" s="10">
        <f t="shared" si="2"/>
        <v>8.5958980442335857</v>
      </c>
      <c r="D35" s="10">
        <f t="shared" si="3"/>
        <v>416.15078961651983</v>
      </c>
      <c r="E35" s="17">
        <f t="shared" si="6"/>
        <v>526.6858926993342</v>
      </c>
      <c r="F35" s="10">
        <f t="shared" si="4"/>
        <v>10510.83824966346</v>
      </c>
      <c r="G35" s="10"/>
      <c r="H35" s="10"/>
    </row>
    <row r="36" spans="1:13" ht="14.25" customHeight="1" x14ac:dyDescent="0.3">
      <c r="A36" s="44">
        <v>24</v>
      </c>
      <c r="B36" s="10">
        <f t="shared" si="1"/>
        <v>424.74668766075342</v>
      </c>
      <c r="C36" s="10">
        <f t="shared" si="2"/>
        <v>8.268526089735257</v>
      </c>
      <c r="D36" s="10">
        <f t="shared" si="3"/>
        <v>416.47816157101818</v>
      </c>
      <c r="E36" s="17">
        <f t="shared" si="6"/>
        <v>526.6858926993342</v>
      </c>
      <c r="F36" s="10">
        <f t="shared" si="4"/>
        <v>10094.360088092442</v>
      </c>
      <c r="G36" s="10"/>
      <c r="H36" s="10"/>
    </row>
    <row r="37" spans="1:13" ht="14.25" customHeight="1" x14ac:dyDescent="0.3">
      <c r="A37" s="44">
        <v>25</v>
      </c>
      <c r="B37" s="10">
        <f t="shared" si="1"/>
        <v>424.74668766075342</v>
      </c>
      <c r="C37" s="10">
        <f t="shared" si="2"/>
        <v>7.9408966026327219</v>
      </c>
      <c r="D37" s="10">
        <f t="shared" si="3"/>
        <v>416.80579105812069</v>
      </c>
      <c r="E37" s="17">
        <f t="shared" si="6"/>
        <v>526.6858926993342</v>
      </c>
      <c r="F37" s="10">
        <f t="shared" si="4"/>
        <v>9677.5542970343213</v>
      </c>
      <c r="G37" s="10"/>
      <c r="H37" s="10"/>
      <c r="J37" s="10"/>
      <c r="K37" s="10"/>
      <c r="L37" s="10"/>
      <c r="M37" s="10"/>
    </row>
    <row r="38" spans="1:13" ht="14.25" customHeight="1" x14ac:dyDescent="0.3">
      <c r="A38" s="44">
        <v>26</v>
      </c>
      <c r="B38" s="10">
        <f t="shared" si="1"/>
        <v>424.74668766075342</v>
      </c>
      <c r="C38" s="10">
        <f t="shared" si="2"/>
        <v>7.6130093803336667</v>
      </c>
      <c r="D38" s="10">
        <f t="shared" si="3"/>
        <v>417.13367828041976</v>
      </c>
      <c r="E38" s="17">
        <f t="shared" si="6"/>
        <v>526.6858926993342</v>
      </c>
      <c r="F38" s="10">
        <f t="shared" si="4"/>
        <v>9260.4206187539021</v>
      </c>
      <c r="G38" s="10"/>
      <c r="H38" s="10"/>
      <c r="J38" s="21"/>
      <c r="K38" s="21"/>
      <c r="L38" s="21"/>
      <c r="M38" s="21"/>
    </row>
    <row r="39" spans="1:13" ht="14.25" customHeight="1" x14ac:dyDescent="0.3">
      <c r="A39" s="44">
        <v>27</v>
      </c>
      <c r="B39" s="10">
        <f t="shared" si="1"/>
        <v>424.74668766075342</v>
      </c>
      <c r="C39" s="10">
        <f t="shared" si="2"/>
        <v>7.284864220086404</v>
      </c>
      <c r="D39" s="10">
        <f t="shared" si="3"/>
        <v>417.46182344066705</v>
      </c>
      <c r="E39" s="17">
        <f t="shared" si="6"/>
        <v>526.6858926993342</v>
      </c>
      <c r="F39" s="10">
        <f t="shared" si="4"/>
        <v>8842.9587953132359</v>
      </c>
      <c r="G39" s="10"/>
      <c r="H39" s="10"/>
    </row>
    <row r="40" spans="1:13" ht="14.25" customHeight="1" x14ac:dyDescent="0.3">
      <c r="A40" s="44">
        <v>28</v>
      </c>
      <c r="B40" s="10">
        <f t="shared" si="1"/>
        <v>424.74668766075342</v>
      </c>
      <c r="C40" s="10">
        <f t="shared" si="2"/>
        <v>6.9564609189797464</v>
      </c>
      <c r="D40" s="10">
        <f t="shared" si="3"/>
        <v>417.79022674177367</v>
      </c>
      <c r="E40" s="17">
        <f t="shared" si="6"/>
        <v>526.6858926993342</v>
      </c>
      <c r="F40" s="10">
        <f t="shared" si="4"/>
        <v>8425.1685685714619</v>
      </c>
      <c r="G40" s="10"/>
      <c r="H40" s="10"/>
    </row>
    <row r="41" spans="1:13" ht="14.25" customHeight="1" x14ac:dyDescent="0.3">
      <c r="A41" s="44">
        <v>29</v>
      </c>
      <c r="B41" s="10">
        <f t="shared" si="1"/>
        <v>424.74668766075342</v>
      </c>
      <c r="C41" s="10">
        <f t="shared" si="2"/>
        <v>6.6277992739428839</v>
      </c>
      <c r="D41" s="10">
        <f t="shared" si="3"/>
        <v>418.11888838681057</v>
      </c>
      <c r="E41" s="17">
        <f t="shared" si="6"/>
        <v>526.6858926993342</v>
      </c>
      <c r="F41" s="10">
        <f t="shared" si="4"/>
        <v>8007.0496801846512</v>
      </c>
      <c r="G41" s="10"/>
      <c r="H41" s="10"/>
    </row>
    <row r="42" spans="1:13" ht="14.25" customHeight="1" x14ac:dyDescent="0.3">
      <c r="A42" s="44">
        <v>30</v>
      </c>
      <c r="B42" s="10">
        <f t="shared" si="1"/>
        <v>424.74668766075342</v>
      </c>
      <c r="C42" s="10">
        <f t="shared" si="2"/>
        <v>6.2988790817452598</v>
      </c>
      <c r="D42" s="10">
        <f t="shared" si="3"/>
        <v>418.44780857900815</v>
      </c>
      <c r="E42" s="17">
        <f t="shared" si="6"/>
        <v>526.6858926993342</v>
      </c>
      <c r="F42" s="10">
        <f t="shared" si="4"/>
        <v>7588.6018716056433</v>
      </c>
      <c r="G42" s="10"/>
      <c r="H42" s="10"/>
    </row>
    <row r="43" spans="1:13" ht="14.25" customHeight="1" x14ac:dyDescent="0.3">
      <c r="A43" s="44">
        <v>31</v>
      </c>
      <c r="B43" s="10">
        <f t="shared" si="1"/>
        <v>424.74668766075342</v>
      </c>
      <c r="C43" s="10">
        <f t="shared" si="2"/>
        <v>5.9697001389964397</v>
      </c>
      <c r="D43" s="10">
        <f t="shared" si="3"/>
        <v>418.77698752175701</v>
      </c>
      <c r="E43" s="17">
        <f t="shared" si="6"/>
        <v>526.6858926993342</v>
      </c>
      <c r="F43" s="10">
        <f t="shared" si="4"/>
        <v>7169.824884083886</v>
      </c>
      <c r="G43" s="10"/>
      <c r="H43" s="10"/>
    </row>
    <row r="44" spans="1:13" ht="14.25" customHeight="1" x14ac:dyDescent="0.3">
      <c r="A44" s="44">
        <v>32</v>
      </c>
      <c r="B44" s="10">
        <f t="shared" si="1"/>
        <v>424.74668766075342</v>
      </c>
      <c r="C44" s="10">
        <f t="shared" si="2"/>
        <v>5.6402622421459911</v>
      </c>
      <c r="D44" s="10">
        <f t="shared" si="3"/>
        <v>419.10642541860744</v>
      </c>
      <c r="E44" s="17">
        <f t="shared" si="6"/>
        <v>526.6858926993342</v>
      </c>
      <c r="F44" s="10">
        <f t="shared" si="4"/>
        <v>6750.7184586652784</v>
      </c>
      <c r="G44" s="10"/>
      <c r="H44" s="10"/>
    </row>
    <row r="45" spans="1:13" ht="14.25" customHeight="1" x14ac:dyDescent="0.3">
      <c r="A45" s="44">
        <v>33</v>
      </c>
      <c r="B45" s="10">
        <f t="shared" si="1"/>
        <v>424.74668766075342</v>
      </c>
      <c r="C45" s="10">
        <f t="shared" si="2"/>
        <v>5.3105651874833528</v>
      </c>
      <c r="D45" s="10">
        <f t="shared" si="3"/>
        <v>419.43612247327007</v>
      </c>
      <c r="E45" s="17">
        <f t="shared" si="6"/>
        <v>526.6858926993342</v>
      </c>
      <c r="F45" s="10">
        <f t="shared" si="4"/>
        <v>6331.2823361920082</v>
      </c>
      <c r="G45" s="10"/>
      <c r="H45" s="10"/>
    </row>
    <row r="46" spans="1:13" ht="14.25" customHeight="1" x14ac:dyDescent="0.3">
      <c r="A46" s="44">
        <v>34</v>
      </c>
      <c r="B46" s="10">
        <f t="shared" si="1"/>
        <v>424.74668766075342</v>
      </c>
      <c r="C46" s="10">
        <f t="shared" si="2"/>
        <v>4.9806087711377138</v>
      </c>
      <c r="D46" s="10">
        <f t="shared" si="3"/>
        <v>419.7660788896157</v>
      </c>
      <c r="E46" s="17">
        <f t="shared" si="6"/>
        <v>526.6858926993342</v>
      </c>
      <c r="F46" s="10">
        <f t="shared" si="4"/>
        <v>5911.5162573023927</v>
      </c>
      <c r="G46" s="10"/>
      <c r="H46" s="10"/>
    </row>
    <row r="47" spans="1:13" ht="14.25" customHeight="1" x14ac:dyDescent="0.3">
      <c r="A47" s="44">
        <v>35</v>
      </c>
      <c r="B47" s="10">
        <f t="shared" si="1"/>
        <v>424.74668766075342</v>
      </c>
      <c r="C47" s="10">
        <f t="shared" si="2"/>
        <v>4.6503927890778831</v>
      </c>
      <c r="D47" s="10">
        <f t="shared" si="3"/>
        <v>420.09629487167552</v>
      </c>
      <c r="E47" s="17">
        <f t="shared" si="6"/>
        <v>526.6858926993342</v>
      </c>
      <c r="F47" s="10">
        <f t="shared" si="4"/>
        <v>5491.4199624307175</v>
      </c>
      <c r="G47" s="10"/>
      <c r="H47" s="10"/>
    </row>
    <row r="48" spans="1:13" ht="14.25" customHeight="1" x14ac:dyDescent="0.3">
      <c r="A48" s="44">
        <v>36</v>
      </c>
      <c r="B48" s="10">
        <f t="shared" si="1"/>
        <v>424.74668766075342</v>
      </c>
      <c r="C48" s="10">
        <f t="shared" si="2"/>
        <v>4.3199170371121651</v>
      </c>
      <c r="D48" s="10">
        <f t="shared" si="3"/>
        <v>420.42677062364123</v>
      </c>
      <c r="E48" s="17">
        <f t="shared" si="6"/>
        <v>526.6858926993342</v>
      </c>
      <c r="F48" s="10">
        <f t="shared" si="4"/>
        <v>5070.9931918070761</v>
      </c>
      <c r="G48" s="10"/>
      <c r="H48" s="10"/>
    </row>
    <row r="49" spans="1:8" ht="14.25" customHeight="1" x14ac:dyDescent="0.3">
      <c r="A49" s="44">
        <v>37</v>
      </c>
      <c r="B49" s="10">
        <f t="shared" si="1"/>
        <v>424.74668766075342</v>
      </c>
      <c r="C49" s="10">
        <f t="shared" si="2"/>
        <v>3.9891813108882337</v>
      </c>
      <c r="D49" s="10">
        <f t="shared" si="3"/>
        <v>420.7575063498652</v>
      </c>
      <c r="E49" s="17">
        <f t="shared" si="6"/>
        <v>526.6858926993342</v>
      </c>
      <c r="F49" s="10">
        <f t="shared" si="4"/>
        <v>4650.2356854572108</v>
      </c>
      <c r="G49" s="10"/>
      <c r="H49" s="10"/>
    </row>
    <row r="50" spans="1:8" ht="14.25" customHeight="1" x14ac:dyDescent="0.3">
      <c r="A50" s="44">
        <v>38</v>
      </c>
      <c r="B50" s="10">
        <f t="shared" si="1"/>
        <v>424.74668766075342</v>
      </c>
      <c r="C50" s="10">
        <f t="shared" si="2"/>
        <v>3.6581854058930063</v>
      </c>
      <c r="D50" s="10">
        <f t="shared" si="3"/>
        <v>421.08850225486043</v>
      </c>
      <c r="E50" s="17">
        <f t="shared" si="6"/>
        <v>526.6858926993342</v>
      </c>
      <c r="F50" s="10">
        <f t="shared" si="4"/>
        <v>4229.1471832023508</v>
      </c>
      <c r="G50" s="10"/>
      <c r="H50" s="10"/>
    </row>
    <row r="51" spans="1:8" ht="14.25" customHeight="1" x14ac:dyDescent="0.3">
      <c r="A51" s="44">
        <v>39</v>
      </c>
      <c r="B51" s="10">
        <f t="shared" si="1"/>
        <v>424.74668766075342</v>
      </c>
      <c r="C51" s="10">
        <f t="shared" si="2"/>
        <v>3.3269291174525164</v>
      </c>
      <c r="D51" s="10">
        <f t="shared" si="3"/>
        <v>421.41975854330093</v>
      </c>
      <c r="E51" s="17">
        <f t="shared" si="6"/>
        <v>526.6858926993342</v>
      </c>
      <c r="F51" s="10">
        <f t="shared" si="4"/>
        <v>3807.72742465905</v>
      </c>
      <c r="G51" s="10"/>
      <c r="H51" s="10"/>
    </row>
    <row r="52" spans="1:8" ht="14.25" customHeight="1" x14ac:dyDescent="0.3">
      <c r="A52" s="44">
        <v>40</v>
      </c>
      <c r="B52" s="10">
        <f t="shared" si="1"/>
        <v>424.74668766075342</v>
      </c>
      <c r="C52" s="10">
        <f t="shared" si="2"/>
        <v>2.9954122407317865</v>
      </c>
      <c r="D52" s="10">
        <f t="shared" si="3"/>
        <v>421.75127542002161</v>
      </c>
      <c r="E52" s="17">
        <f t="shared" si="6"/>
        <v>526.6858926993342</v>
      </c>
      <c r="F52" s="10">
        <f t="shared" si="4"/>
        <v>3385.9761492390285</v>
      </c>
      <c r="G52" s="10"/>
      <c r="H52" s="10"/>
    </row>
    <row r="53" spans="1:8" ht="14.25" customHeight="1" x14ac:dyDescent="0.3">
      <c r="A53" s="44">
        <v>41</v>
      </c>
      <c r="B53" s="10">
        <f t="shared" si="1"/>
        <v>424.74668766075342</v>
      </c>
      <c r="C53" s="10">
        <f t="shared" si="2"/>
        <v>2.6636345707347027</v>
      </c>
      <c r="D53" s="10">
        <f t="shared" si="3"/>
        <v>422.08305309001872</v>
      </c>
      <c r="E53" s="17">
        <f t="shared" si="6"/>
        <v>526.6858926993342</v>
      </c>
      <c r="F53" s="10">
        <f t="shared" si="4"/>
        <v>2963.8930961490096</v>
      </c>
      <c r="G53" s="10"/>
      <c r="H53" s="10"/>
    </row>
    <row r="54" spans="1:8" ht="14.25" customHeight="1" x14ac:dyDescent="0.3">
      <c r="A54" s="44">
        <v>42</v>
      </c>
      <c r="B54" s="10">
        <f t="shared" si="1"/>
        <v>424.74668766075342</v>
      </c>
      <c r="C54" s="10">
        <f t="shared" si="2"/>
        <v>2.3315959023038877</v>
      </c>
      <c r="D54" s="10">
        <f t="shared" si="3"/>
        <v>422.41509175844953</v>
      </c>
      <c r="E54" s="17">
        <f t="shared" si="6"/>
        <v>526.6858926993342</v>
      </c>
      <c r="F54" s="10">
        <f t="shared" si="4"/>
        <v>2541.4780043905603</v>
      </c>
      <c r="G54" s="10"/>
      <c r="H54" s="10"/>
    </row>
    <row r="55" spans="1:8" ht="14.25" customHeight="1" x14ac:dyDescent="0.3">
      <c r="A55" s="44">
        <v>43</v>
      </c>
      <c r="B55" s="10">
        <f t="shared" si="1"/>
        <v>424.74668766075342</v>
      </c>
      <c r="C55" s="10">
        <f t="shared" si="2"/>
        <v>1.9992960301205742</v>
      </c>
      <c r="D55" s="10">
        <f t="shared" si="3"/>
        <v>422.74739163063288</v>
      </c>
      <c r="E55" s="17">
        <f t="shared" si="6"/>
        <v>526.6858926993342</v>
      </c>
      <c r="F55" s="10">
        <f t="shared" si="4"/>
        <v>2118.7306127599272</v>
      </c>
      <c r="G55" s="10"/>
      <c r="H55" s="10"/>
    </row>
    <row r="56" spans="1:8" ht="14.25" customHeight="1" x14ac:dyDescent="0.3">
      <c r="A56" s="44">
        <v>44</v>
      </c>
      <c r="B56" s="10">
        <f t="shared" si="1"/>
        <v>424.74668766075342</v>
      </c>
      <c r="C56" s="10">
        <f t="shared" si="2"/>
        <v>1.6667347487044764</v>
      </c>
      <c r="D56" s="10">
        <f t="shared" si="3"/>
        <v>423.07995291204895</v>
      </c>
      <c r="E56" s="17">
        <f t="shared" si="6"/>
        <v>526.6858926993342</v>
      </c>
      <c r="F56" s="10">
        <f t="shared" si="4"/>
        <v>1695.6506598478782</v>
      </c>
      <c r="G56" s="10"/>
      <c r="H56" s="10"/>
    </row>
    <row r="57" spans="1:8" ht="14.25" customHeight="1" x14ac:dyDescent="0.3">
      <c r="A57" s="44">
        <v>45</v>
      </c>
      <c r="B57" s="10">
        <f t="shared" si="1"/>
        <v>424.74668766075342</v>
      </c>
      <c r="C57" s="10">
        <f t="shared" si="2"/>
        <v>1.3339118524136644</v>
      </c>
      <c r="D57" s="10">
        <f t="shared" si="3"/>
        <v>423.41277580833975</v>
      </c>
      <c r="E57" s="17">
        <f t="shared" si="6"/>
        <v>526.6858926993342</v>
      </c>
      <c r="F57" s="10">
        <f t="shared" si="4"/>
        <v>1272.2378840395384</v>
      </c>
      <c r="G57" s="10"/>
      <c r="H57" s="10"/>
    </row>
    <row r="58" spans="1:8" ht="14.25" customHeight="1" x14ac:dyDescent="0.3">
      <c r="A58" s="44">
        <v>46</v>
      </c>
      <c r="B58" s="10">
        <f t="shared" si="1"/>
        <v>424.74668766075342</v>
      </c>
      <c r="C58" s="10">
        <f t="shared" si="2"/>
        <v>1.0008271354444369</v>
      </c>
      <c r="D58" s="10">
        <f t="shared" si="3"/>
        <v>423.74586052530901</v>
      </c>
      <c r="E58" s="17">
        <f t="shared" si="6"/>
        <v>526.6858926993342</v>
      </c>
      <c r="F58" s="10">
        <f t="shared" si="4"/>
        <v>848.49202351422934</v>
      </c>
      <c r="G58" s="10"/>
      <c r="H58" s="10"/>
    </row>
    <row r="59" spans="1:8" ht="14.25" customHeight="1" x14ac:dyDescent="0.3">
      <c r="A59" s="44">
        <v>47</v>
      </c>
      <c r="B59" s="10">
        <f t="shared" si="1"/>
        <v>424.74668766075342</v>
      </c>
      <c r="C59" s="10">
        <f t="shared" si="2"/>
        <v>0.66748039183119379</v>
      </c>
      <c r="D59" s="10">
        <f t="shared" si="3"/>
        <v>424.07920726892223</v>
      </c>
      <c r="E59" s="17">
        <f t="shared" si="6"/>
        <v>526.6858926993342</v>
      </c>
      <c r="F59" s="10">
        <f t="shared" si="4"/>
        <v>424.41281624530711</v>
      </c>
      <c r="G59" s="10"/>
      <c r="H59" s="10"/>
    </row>
    <row r="60" spans="1:8" ht="14.25" customHeight="1" x14ac:dyDescent="0.3">
      <c r="A60" s="44">
        <v>48</v>
      </c>
      <c r="B60" s="10">
        <f t="shared" si="1"/>
        <v>424.74668766075342</v>
      </c>
      <c r="C60" s="10">
        <f t="shared" si="2"/>
        <v>0.33387141544630827</v>
      </c>
      <c r="D60" s="10">
        <f t="shared" si="3"/>
        <v>424.41281624530711</v>
      </c>
      <c r="E60" s="10">
        <f t="shared" si="6"/>
        <v>526.6858926993342</v>
      </c>
      <c r="F60" s="10">
        <f t="shared" si="4"/>
        <v>0</v>
      </c>
      <c r="G60" s="10"/>
      <c r="H60" s="10"/>
    </row>
    <row r="61" spans="1:8" ht="14.25" customHeight="1" x14ac:dyDescent="0.3">
      <c r="A61" s="44">
        <v>49</v>
      </c>
      <c r="B61" s="10">
        <f t="shared" si="1"/>
        <v>0</v>
      </c>
      <c r="C61" s="10">
        <f t="shared" si="2"/>
        <v>0</v>
      </c>
      <c r="D61" s="10">
        <f t="shared" si="3"/>
        <v>0</v>
      </c>
      <c r="E61" s="17"/>
      <c r="F61" s="10">
        <f t="shared" si="4"/>
        <v>0</v>
      </c>
    </row>
    <row r="62" spans="1:8" ht="14.25" customHeight="1" x14ac:dyDescent="0.3">
      <c r="A62" s="44">
        <v>50</v>
      </c>
      <c r="B62" s="10">
        <f t="shared" si="1"/>
        <v>0</v>
      </c>
      <c r="C62" s="10">
        <f t="shared" si="2"/>
        <v>0</v>
      </c>
      <c r="D62" s="10">
        <f t="shared" si="3"/>
        <v>0</v>
      </c>
      <c r="E62" s="17"/>
      <c r="F62" s="10">
        <f t="shared" si="4"/>
        <v>0</v>
      </c>
    </row>
    <row r="63" spans="1:8" ht="14.25" customHeight="1" x14ac:dyDescent="0.3">
      <c r="A63" s="44">
        <v>51</v>
      </c>
      <c r="B63" s="10">
        <f t="shared" si="1"/>
        <v>0</v>
      </c>
      <c r="C63" s="10">
        <f t="shared" si="2"/>
        <v>0</v>
      </c>
      <c r="D63" s="10">
        <f t="shared" si="3"/>
        <v>0</v>
      </c>
      <c r="E63" s="17"/>
      <c r="F63" s="10">
        <f t="shared" si="4"/>
        <v>0</v>
      </c>
    </row>
    <row r="64" spans="1:8" ht="14.25" customHeight="1" x14ac:dyDescent="0.3">
      <c r="A64" s="44">
        <v>52</v>
      </c>
      <c r="B64" s="10">
        <f t="shared" si="1"/>
        <v>0</v>
      </c>
      <c r="C64" s="10">
        <f t="shared" si="2"/>
        <v>0</v>
      </c>
      <c r="D64" s="10">
        <f t="shared" si="3"/>
        <v>0</v>
      </c>
      <c r="E64" s="17"/>
      <c r="F64" s="10">
        <f t="shared" si="4"/>
        <v>0</v>
      </c>
    </row>
    <row r="65" spans="1:6" ht="14.25" customHeight="1" x14ac:dyDescent="0.3">
      <c r="A65" s="44">
        <v>53</v>
      </c>
      <c r="B65" s="10">
        <f t="shared" si="1"/>
        <v>0</v>
      </c>
      <c r="C65" s="10">
        <f t="shared" si="2"/>
        <v>0</v>
      </c>
      <c r="D65" s="10">
        <f t="shared" si="3"/>
        <v>0</v>
      </c>
      <c r="E65" s="17"/>
      <c r="F65" s="10">
        <f t="shared" si="4"/>
        <v>0</v>
      </c>
    </row>
    <row r="66" spans="1:6" ht="14.25" customHeight="1" x14ac:dyDescent="0.3">
      <c r="A66" s="44">
        <v>54</v>
      </c>
      <c r="B66" s="10">
        <f t="shared" si="1"/>
        <v>0</v>
      </c>
      <c r="C66" s="10">
        <f t="shared" si="2"/>
        <v>0</v>
      </c>
      <c r="D66" s="10">
        <f t="shared" si="3"/>
        <v>0</v>
      </c>
      <c r="E66" s="17"/>
      <c r="F66" s="10">
        <f t="shared" si="4"/>
        <v>0</v>
      </c>
    </row>
    <row r="67" spans="1:6" ht="14.25" customHeight="1" x14ac:dyDescent="0.3">
      <c r="A67" s="44">
        <v>55</v>
      </c>
      <c r="B67" s="10">
        <f t="shared" si="1"/>
        <v>0</v>
      </c>
      <c r="C67" s="10">
        <f t="shared" si="2"/>
        <v>0</v>
      </c>
      <c r="D67" s="10">
        <f t="shared" si="3"/>
        <v>0</v>
      </c>
      <c r="E67" s="17"/>
      <c r="F67" s="10">
        <f t="shared" si="4"/>
        <v>0</v>
      </c>
    </row>
    <row r="68" spans="1:6" ht="14.25" customHeight="1" x14ac:dyDescent="0.3">
      <c r="A68" s="44">
        <v>56</v>
      </c>
      <c r="B68" s="10">
        <f t="shared" si="1"/>
        <v>0</v>
      </c>
      <c r="C68" s="10">
        <f t="shared" si="2"/>
        <v>0</v>
      </c>
      <c r="D68" s="10">
        <f t="shared" si="3"/>
        <v>0</v>
      </c>
      <c r="E68" s="17"/>
      <c r="F68" s="10">
        <f t="shared" si="4"/>
        <v>0</v>
      </c>
    </row>
    <row r="69" spans="1:6" ht="14.25" customHeight="1" x14ac:dyDescent="0.3">
      <c r="A69" s="44">
        <v>57</v>
      </c>
      <c r="B69" s="10">
        <f t="shared" si="1"/>
        <v>0</v>
      </c>
      <c r="C69" s="10">
        <f t="shared" si="2"/>
        <v>0</v>
      </c>
      <c r="D69" s="10">
        <f t="shared" si="3"/>
        <v>0</v>
      </c>
      <c r="E69" s="17"/>
      <c r="F69" s="10">
        <f t="shared" si="4"/>
        <v>0</v>
      </c>
    </row>
    <row r="70" spans="1:6" ht="14.25" customHeight="1" x14ac:dyDescent="0.3">
      <c r="A70" s="44">
        <v>58</v>
      </c>
      <c r="B70" s="10">
        <f t="shared" si="1"/>
        <v>0</v>
      </c>
      <c r="C70" s="10">
        <f t="shared" si="2"/>
        <v>0</v>
      </c>
      <c r="D70" s="10">
        <f t="shared" si="3"/>
        <v>0</v>
      </c>
      <c r="E70" s="17"/>
      <c r="F70" s="10">
        <f t="shared" si="4"/>
        <v>0</v>
      </c>
    </row>
    <row r="71" spans="1:6" ht="14.25" customHeight="1" x14ac:dyDescent="0.3">
      <c r="A71" s="44">
        <v>59</v>
      </c>
      <c r="B71" s="10">
        <f t="shared" si="1"/>
        <v>0</v>
      </c>
      <c r="C71" s="10">
        <f t="shared" si="2"/>
        <v>0</v>
      </c>
      <c r="D71" s="10">
        <f t="shared" si="3"/>
        <v>0</v>
      </c>
      <c r="E71" s="17"/>
      <c r="F71" s="10">
        <f t="shared" si="4"/>
        <v>0</v>
      </c>
    </row>
    <row r="72" spans="1:6" ht="14.25" customHeight="1" x14ac:dyDescent="0.3">
      <c r="A72" s="44">
        <v>60</v>
      </c>
      <c r="B72" s="10">
        <f t="shared" si="1"/>
        <v>0</v>
      </c>
      <c r="C72" s="10">
        <f t="shared" si="2"/>
        <v>0</v>
      </c>
      <c r="D72" s="10">
        <f t="shared" si="3"/>
        <v>0</v>
      </c>
      <c r="E72" s="17"/>
      <c r="F72" s="10">
        <f t="shared" si="4"/>
        <v>0</v>
      </c>
    </row>
    <row r="73" spans="1:6" ht="14.25" customHeight="1" x14ac:dyDescent="0.3">
      <c r="A73" s="44">
        <v>61</v>
      </c>
      <c r="B73" s="10">
        <f t="shared" si="1"/>
        <v>0</v>
      </c>
      <c r="C73" s="10">
        <f t="shared" si="2"/>
        <v>0</v>
      </c>
      <c r="D73" s="10">
        <f t="shared" si="3"/>
        <v>0</v>
      </c>
      <c r="F73" s="10">
        <f t="shared" si="4"/>
        <v>0</v>
      </c>
    </row>
    <row r="74" spans="1:6" ht="14.25" customHeight="1" x14ac:dyDescent="0.3">
      <c r="A74" s="44">
        <v>62</v>
      </c>
      <c r="B74" s="10">
        <f t="shared" si="1"/>
        <v>0</v>
      </c>
      <c r="C74" s="10">
        <f t="shared" si="2"/>
        <v>0</v>
      </c>
      <c r="D74" s="10">
        <f t="shared" si="3"/>
        <v>0</v>
      </c>
      <c r="F74" s="10">
        <f t="shared" si="4"/>
        <v>0</v>
      </c>
    </row>
    <row r="75" spans="1:6" ht="14.25" customHeight="1" x14ac:dyDescent="0.3">
      <c r="A75" s="44">
        <v>63</v>
      </c>
      <c r="B75" s="10">
        <f t="shared" si="1"/>
        <v>0</v>
      </c>
      <c r="C75" s="10">
        <f t="shared" si="2"/>
        <v>0</v>
      </c>
      <c r="D75" s="10">
        <f t="shared" si="3"/>
        <v>0</v>
      </c>
      <c r="F75" s="10">
        <f t="shared" si="4"/>
        <v>0</v>
      </c>
    </row>
    <row r="76" spans="1:6" ht="14.25" customHeight="1" x14ac:dyDescent="0.3">
      <c r="A76" s="44">
        <v>64</v>
      </c>
      <c r="B76" s="10">
        <f t="shared" si="1"/>
        <v>0</v>
      </c>
      <c r="C76" s="10">
        <f t="shared" si="2"/>
        <v>0</v>
      </c>
      <c r="D76" s="10">
        <f t="shared" si="3"/>
        <v>0</v>
      </c>
      <c r="F76" s="10">
        <f t="shared" si="4"/>
        <v>0</v>
      </c>
    </row>
    <row r="77" spans="1:6" ht="14.25" customHeight="1" x14ac:dyDescent="0.3">
      <c r="A77" s="44">
        <v>65</v>
      </c>
      <c r="B77" s="10">
        <f t="shared" si="1"/>
        <v>0</v>
      </c>
      <c r="C77" s="10">
        <f t="shared" si="2"/>
        <v>0</v>
      </c>
      <c r="D77" s="10">
        <f t="shared" si="3"/>
        <v>0</v>
      </c>
      <c r="F77" s="10">
        <f t="shared" ref="F77:F140" si="9">IF(ROUND(F76,5)&gt;0,F76-D77,0)</f>
        <v>0</v>
      </c>
    </row>
    <row r="78" spans="1:6" ht="14.25" customHeight="1" x14ac:dyDescent="0.3">
      <c r="A78" s="44">
        <v>66</v>
      </c>
      <c r="B78" s="10">
        <f t="shared" si="1"/>
        <v>0</v>
      </c>
      <c r="C78" s="10">
        <f t="shared" si="2"/>
        <v>0</v>
      </c>
      <c r="D78" s="10">
        <f t="shared" si="3"/>
        <v>0</v>
      </c>
      <c r="F78" s="10">
        <f t="shared" si="9"/>
        <v>0</v>
      </c>
    </row>
    <row r="79" spans="1:6" ht="14.25" customHeight="1" x14ac:dyDescent="0.3">
      <c r="A79" s="44">
        <v>67</v>
      </c>
      <c r="B79" s="10">
        <f t="shared" si="1"/>
        <v>0</v>
      </c>
      <c r="C79" s="10">
        <f t="shared" si="2"/>
        <v>0</v>
      </c>
      <c r="D79" s="10">
        <f t="shared" si="3"/>
        <v>0</v>
      </c>
      <c r="F79" s="10">
        <f t="shared" si="9"/>
        <v>0</v>
      </c>
    </row>
    <row r="80" spans="1:6" ht="14.25" customHeight="1" x14ac:dyDescent="0.3">
      <c r="A80" s="44">
        <v>68</v>
      </c>
      <c r="B80" s="10">
        <f t="shared" si="1"/>
        <v>0</v>
      </c>
      <c r="C80" s="10">
        <f t="shared" si="2"/>
        <v>0</v>
      </c>
      <c r="D80" s="10">
        <f t="shared" si="3"/>
        <v>0</v>
      </c>
      <c r="F80" s="10">
        <f t="shared" si="9"/>
        <v>0</v>
      </c>
    </row>
    <row r="81" spans="1:6" ht="14.25" customHeight="1" x14ac:dyDescent="0.3">
      <c r="A81" s="44">
        <v>69</v>
      </c>
      <c r="B81" s="10">
        <f t="shared" si="1"/>
        <v>0</v>
      </c>
      <c r="C81" s="10">
        <f t="shared" si="2"/>
        <v>0</v>
      </c>
      <c r="D81" s="10">
        <f t="shared" si="3"/>
        <v>0</v>
      </c>
      <c r="F81" s="10">
        <f t="shared" si="9"/>
        <v>0</v>
      </c>
    </row>
    <row r="82" spans="1:6" ht="14.25" customHeight="1" x14ac:dyDescent="0.3">
      <c r="A82" s="44">
        <v>70</v>
      </c>
      <c r="B82" s="10">
        <f t="shared" si="1"/>
        <v>0</v>
      </c>
      <c r="C82" s="10">
        <f t="shared" si="2"/>
        <v>0</v>
      </c>
      <c r="D82" s="10">
        <f t="shared" si="3"/>
        <v>0</v>
      </c>
      <c r="F82" s="10">
        <f t="shared" si="9"/>
        <v>0</v>
      </c>
    </row>
    <row r="83" spans="1:6" ht="14.25" customHeight="1" x14ac:dyDescent="0.3">
      <c r="A83" s="44">
        <v>71</v>
      </c>
      <c r="B83" s="10">
        <f t="shared" si="1"/>
        <v>0</v>
      </c>
      <c r="C83" s="10">
        <f t="shared" si="2"/>
        <v>0</v>
      </c>
      <c r="D83" s="10">
        <f t="shared" si="3"/>
        <v>0</v>
      </c>
      <c r="F83" s="10">
        <f t="shared" si="9"/>
        <v>0</v>
      </c>
    </row>
    <row r="84" spans="1:6" ht="14.25" customHeight="1" x14ac:dyDescent="0.3">
      <c r="A84" s="44">
        <v>72</v>
      </c>
      <c r="B84" s="10">
        <f t="shared" si="1"/>
        <v>0</v>
      </c>
      <c r="C84" s="10">
        <f t="shared" si="2"/>
        <v>0</v>
      </c>
      <c r="D84" s="10">
        <f t="shared" si="3"/>
        <v>0</v>
      </c>
      <c r="F84" s="10">
        <f t="shared" si="9"/>
        <v>0</v>
      </c>
    </row>
    <row r="85" spans="1:6" ht="14.25" customHeight="1" x14ac:dyDescent="0.3">
      <c r="A85" s="44">
        <v>73</v>
      </c>
      <c r="B85" s="10">
        <f t="shared" si="1"/>
        <v>0</v>
      </c>
      <c r="C85" s="10">
        <f t="shared" si="2"/>
        <v>0</v>
      </c>
      <c r="D85" s="10">
        <f t="shared" si="3"/>
        <v>0</v>
      </c>
      <c r="F85" s="10">
        <f t="shared" si="9"/>
        <v>0</v>
      </c>
    </row>
    <row r="86" spans="1:6" ht="14.25" customHeight="1" x14ac:dyDescent="0.3">
      <c r="A86" s="44">
        <v>74</v>
      </c>
      <c r="B86" s="10">
        <f t="shared" si="1"/>
        <v>0</v>
      </c>
      <c r="C86" s="10">
        <f t="shared" si="2"/>
        <v>0</v>
      </c>
      <c r="D86" s="10">
        <f t="shared" si="3"/>
        <v>0</v>
      </c>
      <c r="F86" s="10">
        <f t="shared" si="9"/>
        <v>0</v>
      </c>
    </row>
    <row r="87" spans="1:6" ht="14.25" customHeight="1" x14ac:dyDescent="0.3">
      <c r="A87" s="44">
        <v>75</v>
      </c>
      <c r="B87" s="10">
        <f t="shared" si="1"/>
        <v>0</v>
      </c>
      <c r="C87" s="10">
        <f t="shared" si="2"/>
        <v>0</v>
      </c>
      <c r="D87" s="10">
        <f t="shared" si="3"/>
        <v>0</v>
      </c>
      <c r="F87" s="10">
        <f t="shared" si="9"/>
        <v>0</v>
      </c>
    </row>
    <row r="88" spans="1:6" ht="14.25" customHeight="1" x14ac:dyDescent="0.3">
      <c r="A88" s="44">
        <v>76</v>
      </c>
      <c r="B88" s="10">
        <f t="shared" si="1"/>
        <v>0</v>
      </c>
      <c r="C88" s="10">
        <f t="shared" si="2"/>
        <v>0</v>
      </c>
      <c r="D88" s="10">
        <f t="shared" si="3"/>
        <v>0</v>
      </c>
      <c r="F88" s="10">
        <f t="shared" si="9"/>
        <v>0</v>
      </c>
    </row>
    <row r="89" spans="1:6" ht="14.25" customHeight="1" x14ac:dyDescent="0.3">
      <c r="A89" s="44">
        <v>77</v>
      </c>
      <c r="B89" s="10">
        <f t="shared" si="1"/>
        <v>0</v>
      </c>
      <c r="C89" s="10">
        <f t="shared" si="2"/>
        <v>0</v>
      </c>
      <c r="D89" s="10">
        <f t="shared" si="3"/>
        <v>0</v>
      </c>
      <c r="F89" s="10">
        <f t="shared" si="9"/>
        <v>0</v>
      </c>
    </row>
    <row r="90" spans="1:6" ht="14.25" customHeight="1" x14ac:dyDescent="0.3">
      <c r="A90" s="44">
        <v>78</v>
      </c>
      <c r="B90" s="10">
        <f t="shared" si="1"/>
        <v>0</v>
      </c>
      <c r="C90" s="10">
        <f t="shared" si="2"/>
        <v>0</v>
      </c>
      <c r="D90" s="10">
        <f t="shared" si="3"/>
        <v>0</v>
      </c>
      <c r="F90" s="10">
        <f t="shared" si="9"/>
        <v>0</v>
      </c>
    </row>
    <row r="91" spans="1:6" ht="14.25" customHeight="1" x14ac:dyDescent="0.3">
      <c r="A91" s="44">
        <v>79</v>
      </c>
      <c r="B91" s="10">
        <f t="shared" si="1"/>
        <v>0</v>
      </c>
      <c r="C91" s="10">
        <f t="shared" si="2"/>
        <v>0</v>
      </c>
      <c r="D91" s="10">
        <f t="shared" si="3"/>
        <v>0</v>
      </c>
      <c r="F91" s="10">
        <f t="shared" si="9"/>
        <v>0</v>
      </c>
    </row>
    <row r="92" spans="1:6" ht="14.25" customHeight="1" x14ac:dyDescent="0.3">
      <c r="A92" s="44">
        <v>80</v>
      </c>
      <c r="B92" s="10">
        <f t="shared" si="1"/>
        <v>0</v>
      </c>
      <c r="C92" s="10">
        <f t="shared" si="2"/>
        <v>0</v>
      </c>
      <c r="D92" s="10">
        <f t="shared" si="3"/>
        <v>0</v>
      </c>
      <c r="F92" s="10">
        <f t="shared" si="9"/>
        <v>0</v>
      </c>
    </row>
    <row r="93" spans="1:6" ht="14.25" customHeight="1" x14ac:dyDescent="0.3">
      <c r="A93" s="44">
        <v>81</v>
      </c>
      <c r="B93" s="10">
        <f t="shared" si="1"/>
        <v>0</v>
      </c>
      <c r="C93" s="10">
        <f t="shared" si="2"/>
        <v>0</v>
      </c>
      <c r="D93" s="10">
        <f t="shared" si="3"/>
        <v>0</v>
      </c>
      <c r="F93" s="10">
        <f t="shared" si="9"/>
        <v>0</v>
      </c>
    </row>
    <row r="94" spans="1:6" ht="14.25" customHeight="1" x14ac:dyDescent="0.3">
      <c r="A94" s="44">
        <v>82</v>
      </c>
      <c r="B94" s="10">
        <f t="shared" si="1"/>
        <v>0</v>
      </c>
      <c r="C94" s="10">
        <f t="shared" si="2"/>
        <v>0</v>
      </c>
      <c r="D94" s="10">
        <f t="shared" si="3"/>
        <v>0</v>
      </c>
      <c r="F94" s="10">
        <f t="shared" si="9"/>
        <v>0</v>
      </c>
    </row>
    <row r="95" spans="1:6" ht="14.25" customHeight="1" x14ac:dyDescent="0.3">
      <c r="A95" s="44">
        <v>83</v>
      </c>
      <c r="B95" s="10">
        <f t="shared" si="1"/>
        <v>0</v>
      </c>
      <c r="C95" s="10">
        <f t="shared" si="2"/>
        <v>0</v>
      </c>
      <c r="D95" s="10">
        <f t="shared" si="3"/>
        <v>0</v>
      </c>
      <c r="F95" s="10">
        <f t="shared" si="9"/>
        <v>0</v>
      </c>
    </row>
    <row r="96" spans="1:6" ht="14.25" customHeight="1" x14ac:dyDescent="0.3">
      <c r="A96" s="44">
        <v>84</v>
      </c>
      <c r="B96" s="10">
        <f t="shared" si="1"/>
        <v>0</v>
      </c>
      <c r="C96" s="10">
        <f t="shared" si="2"/>
        <v>0</v>
      </c>
      <c r="D96" s="10">
        <f t="shared" si="3"/>
        <v>0</v>
      </c>
      <c r="F96" s="10">
        <f t="shared" si="9"/>
        <v>0</v>
      </c>
    </row>
    <row r="97" spans="1:6" ht="14.25" customHeight="1" x14ac:dyDescent="0.3">
      <c r="A97" s="44">
        <v>85</v>
      </c>
      <c r="B97" s="10">
        <f t="shared" si="1"/>
        <v>0</v>
      </c>
      <c r="C97" s="10">
        <f t="shared" si="2"/>
        <v>0</v>
      </c>
      <c r="D97" s="10">
        <f t="shared" si="3"/>
        <v>0</v>
      </c>
      <c r="F97" s="10">
        <f t="shared" si="9"/>
        <v>0</v>
      </c>
    </row>
    <row r="98" spans="1:6" ht="14.25" customHeight="1" x14ac:dyDescent="0.3">
      <c r="A98" s="44">
        <v>86</v>
      </c>
      <c r="B98" s="10">
        <f t="shared" si="1"/>
        <v>0</v>
      </c>
      <c r="C98" s="10">
        <f t="shared" si="2"/>
        <v>0</v>
      </c>
      <c r="D98" s="10">
        <f t="shared" si="3"/>
        <v>0</v>
      </c>
      <c r="F98" s="10">
        <f t="shared" si="9"/>
        <v>0</v>
      </c>
    </row>
    <row r="99" spans="1:6" ht="14.25" customHeight="1" x14ac:dyDescent="0.3">
      <c r="A99" s="44">
        <v>87</v>
      </c>
      <c r="B99" s="10">
        <f t="shared" si="1"/>
        <v>0</v>
      </c>
      <c r="C99" s="10">
        <f t="shared" si="2"/>
        <v>0</v>
      </c>
      <c r="D99" s="10">
        <f t="shared" si="3"/>
        <v>0</v>
      </c>
      <c r="F99" s="10">
        <f t="shared" si="9"/>
        <v>0</v>
      </c>
    </row>
    <row r="100" spans="1:6" ht="14.25" customHeight="1" x14ac:dyDescent="0.3">
      <c r="A100" s="44">
        <v>88</v>
      </c>
      <c r="B100" s="10">
        <f t="shared" si="1"/>
        <v>0</v>
      </c>
      <c r="C100" s="10">
        <f t="shared" si="2"/>
        <v>0</v>
      </c>
      <c r="D100" s="10">
        <f t="shared" si="3"/>
        <v>0</v>
      </c>
      <c r="F100" s="10">
        <f t="shared" si="9"/>
        <v>0</v>
      </c>
    </row>
    <row r="101" spans="1:6" ht="14.25" customHeight="1" x14ac:dyDescent="0.3">
      <c r="A101" s="44">
        <v>89</v>
      </c>
      <c r="B101" s="10">
        <f t="shared" si="1"/>
        <v>0</v>
      </c>
      <c r="C101" s="10">
        <f t="shared" si="2"/>
        <v>0</v>
      </c>
      <c r="D101" s="10">
        <f t="shared" si="3"/>
        <v>0</v>
      </c>
      <c r="F101" s="10">
        <f t="shared" si="9"/>
        <v>0</v>
      </c>
    </row>
    <row r="102" spans="1:6" ht="14.25" customHeight="1" x14ac:dyDescent="0.3">
      <c r="A102" s="44">
        <v>90</v>
      </c>
      <c r="B102" s="10">
        <f t="shared" si="1"/>
        <v>0</v>
      </c>
      <c r="C102" s="10">
        <f t="shared" si="2"/>
        <v>0</v>
      </c>
      <c r="D102" s="10">
        <f t="shared" si="3"/>
        <v>0</v>
      </c>
      <c r="F102" s="10">
        <f t="shared" si="9"/>
        <v>0</v>
      </c>
    </row>
    <row r="103" spans="1:6" ht="14.25" customHeight="1" x14ac:dyDescent="0.3">
      <c r="A103" s="44">
        <v>91</v>
      </c>
      <c r="B103" s="10">
        <f t="shared" si="1"/>
        <v>0</v>
      </c>
      <c r="C103" s="10">
        <f t="shared" si="2"/>
        <v>0</v>
      </c>
      <c r="D103" s="10">
        <f t="shared" si="3"/>
        <v>0</v>
      </c>
      <c r="F103" s="10">
        <f t="shared" si="9"/>
        <v>0</v>
      </c>
    </row>
    <row r="104" spans="1:6" ht="14.25" customHeight="1" x14ac:dyDescent="0.3">
      <c r="A104" s="44">
        <v>92</v>
      </c>
      <c r="B104" s="10">
        <f t="shared" si="1"/>
        <v>0</v>
      </c>
      <c r="C104" s="10">
        <f t="shared" si="2"/>
        <v>0</v>
      </c>
      <c r="D104" s="10">
        <f t="shared" si="3"/>
        <v>0</v>
      </c>
      <c r="F104" s="10">
        <f t="shared" si="9"/>
        <v>0</v>
      </c>
    </row>
    <row r="105" spans="1:6" ht="14.25" customHeight="1" x14ac:dyDescent="0.3">
      <c r="A105" s="44">
        <v>93</v>
      </c>
      <c r="B105" s="10">
        <f t="shared" si="1"/>
        <v>0</v>
      </c>
      <c r="C105" s="10">
        <f t="shared" si="2"/>
        <v>0</v>
      </c>
      <c r="D105" s="10">
        <f t="shared" si="3"/>
        <v>0</v>
      </c>
      <c r="F105" s="10">
        <f t="shared" si="9"/>
        <v>0</v>
      </c>
    </row>
    <row r="106" spans="1:6" ht="14.25" customHeight="1" x14ac:dyDescent="0.3">
      <c r="A106" s="44">
        <v>94</v>
      </c>
      <c r="B106" s="10">
        <f t="shared" si="1"/>
        <v>0</v>
      </c>
      <c r="C106" s="10">
        <f t="shared" si="2"/>
        <v>0</v>
      </c>
      <c r="D106" s="10">
        <f t="shared" si="3"/>
        <v>0</v>
      </c>
      <c r="F106" s="10">
        <f t="shared" si="9"/>
        <v>0</v>
      </c>
    </row>
    <row r="107" spans="1:6" ht="14.25" customHeight="1" x14ac:dyDescent="0.3">
      <c r="A107" s="44">
        <v>95</v>
      </c>
      <c r="B107" s="10">
        <f t="shared" si="1"/>
        <v>0</v>
      </c>
      <c r="C107" s="10">
        <f t="shared" si="2"/>
        <v>0</v>
      </c>
      <c r="D107" s="10">
        <f t="shared" si="3"/>
        <v>0</v>
      </c>
      <c r="F107" s="10">
        <f t="shared" si="9"/>
        <v>0</v>
      </c>
    </row>
    <row r="108" spans="1:6" ht="14.25" customHeight="1" x14ac:dyDescent="0.3">
      <c r="A108" s="44">
        <v>96</v>
      </c>
      <c r="B108" s="10">
        <f t="shared" si="1"/>
        <v>0</v>
      </c>
      <c r="C108" s="10">
        <f t="shared" si="2"/>
        <v>0</v>
      </c>
      <c r="D108" s="10">
        <f t="shared" si="3"/>
        <v>0</v>
      </c>
      <c r="F108" s="10">
        <f t="shared" si="9"/>
        <v>0</v>
      </c>
    </row>
    <row r="109" spans="1:6" ht="14.25" customHeight="1" x14ac:dyDescent="0.3">
      <c r="A109" s="44">
        <v>97</v>
      </c>
      <c r="B109" s="10">
        <f t="shared" si="1"/>
        <v>0</v>
      </c>
      <c r="C109" s="10">
        <f t="shared" si="2"/>
        <v>0</v>
      </c>
      <c r="D109" s="10">
        <f t="shared" si="3"/>
        <v>0</v>
      </c>
      <c r="F109" s="10">
        <f t="shared" si="9"/>
        <v>0</v>
      </c>
    </row>
    <row r="110" spans="1:6" ht="14.25" customHeight="1" x14ac:dyDescent="0.3">
      <c r="A110" s="44">
        <v>98</v>
      </c>
      <c r="B110" s="10">
        <f t="shared" si="1"/>
        <v>0</v>
      </c>
      <c r="C110" s="10">
        <f t="shared" si="2"/>
        <v>0</v>
      </c>
      <c r="D110" s="10">
        <f t="shared" si="3"/>
        <v>0</v>
      </c>
      <c r="F110" s="10">
        <f t="shared" si="9"/>
        <v>0</v>
      </c>
    </row>
    <row r="111" spans="1:6" ht="14.25" customHeight="1" x14ac:dyDescent="0.3">
      <c r="A111" s="44">
        <v>99</v>
      </c>
      <c r="B111" s="10">
        <f t="shared" si="1"/>
        <v>0</v>
      </c>
      <c r="C111" s="10">
        <f t="shared" si="2"/>
        <v>0</v>
      </c>
      <c r="D111" s="10">
        <f t="shared" si="3"/>
        <v>0</v>
      </c>
      <c r="F111" s="10">
        <f t="shared" si="9"/>
        <v>0</v>
      </c>
    </row>
    <row r="112" spans="1:6" ht="14.25" customHeight="1" x14ac:dyDescent="0.3">
      <c r="A112" s="44">
        <v>100</v>
      </c>
      <c r="B112" s="10">
        <f t="shared" si="1"/>
        <v>0</v>
      </c>
      <c r="C112" s="10">
        <f t="shared" si="2"/>
        <v>0</v>
      </c>
      <c r="D112" s="10">
        <f t="shared" si="3"/>
        <v>0</v>
      </c>
      <c r="F112" s="10">
        <f t="shared" si="9"/>
        <v>0</v>
      </c>
    </row>
    <row r="113" spans="1:6" ht="14.25" customHeight="1" x14ac:dyDescent="0.3">
      <c r="A113" s="44">
        <v>101</v>
      </c>
      <c r="B113" s="10">
        <f t="shared" si="1"/>
        <v>0</v>
      </c>
      <c r="C113" s="10">
        <f t="shared" si="2"/>
        <v>0</v>
      </c>
      <c r="D113" s="10">
        <f t="shared" si="3"/>
        <v>0</v>
      </c>
      <c r="F113" s="10">
        <f t="shared" si="9"/>
        <v>0</v>
      </c>
    </row>
    <row r="114" spans="1:6" ht="14.25" customHeight="1" x14ac:dyDescent="0.3">
      <c r="A114" s="44">
        <v>102</v>
      </c>
      <c r="B114" s="10">
        <f t="shared" si="1"/>
        <v>0</v>
      </c>
      <c r="C114" s="10">
        <f t="shared" si="2"/>
        <v>0</v>
      </c>
      <c r="D114" s="10">
        <f t="shared" si="3"/>
        <v>0</v>
      </c>
      <c r="F114" s="10">
        <f t="shared" si="9"/>
        <v>0</v>
      </c>
    </row>
    <row r="115" spans="1:6" ht="14.25" customHeight="1" x14ac:dyDescent="0.3">
      <c r="A115" s="44">
        <v>103</v>
      </c>
      <c r="B115" s="10">
        <f t="shared" si="1"/>
        <v>0</v>
      </c>
      <c r="C115" s="10">
        <f t="shared" si="2"/>
        <v>0</v>
      </c>
      <c r="D115" s="10">
        <f t="shared" si="3"/>
        <v>0</v>
      </c>
      <c r="F115" s="10">
        <f t="shared" si="9"/>
        <v>0</v>
      </c>
    </row>
    <row r="116" spans="1:6" ht="14.25" customHeight="1" x14ac:dyDescent="0.3">
      <c r="A116" s="44">
        <v>104</v>
      </c>
      <c r="B116" s="10">
        <f t="shared" si="1"/>
        <v>0</v>
      </c>
      <c r="C116" s="10">
        <f t="shared" si="2"/>
        <v>0</v>
      </c>
      <c r="D116" s="10">
        <f t="shared" si="3"/>
        <v>0</v>
      </c>
      <c r="F116" s="10">
        <f t="shared" si="9"/>
        <v>0</v>
      </c>
    </row>
    <row r="117" spans="1:6" ht="14.25" customHeight="1" x14ac:dyDescent="0.3">
      <c r="A117" s="44">
        <v>105</v>
      </c>
      <c r="B117" s="10">
        <f t="shared" si="1"/>
        <v>0</v>
      </c>
      <c r="C117" s="10">
        <f t="shared" si="2"/>
        <v>0</v>
      </c>
      <c r="D117" s="10">
        <f t="shared" si="3"/>
        <v>0</v>
      </c>
      <c r="F117" s="10">
        <f t="shared" si="9"/>
        <v>0</v>
      </c>
    </row>
    <row r="118" spans="1:6" ht="14.25" customHeight="1" x14ac:dyDescent="0.3">
      <c r="A118" s="44">
        <v>106</v>
      </c>
      <c r="B118" s="10">
        <f t="shared" si="1"/>
        <v>0</v>
      </c>
      <c r="C118" s="10">
        <f t="shared" si="2"/>
        <v>0</v>
      </c>
      <c r="D118" s="10">
        <f t="shared" si="3"/>
        <v>0</v>
      </c>
      <c r="F118" s="10">
        <f t="shared" si="9"/>
        <v>0</v>
      </c>
    </row>
    <row r="119" spans="1:6" ht="14.25" customHeight="1" x14ac:dyDescent="0.3">
      <c r="A119" s="44">
        <v>107</v>
      </c>
      <c r="B119" s="10">
        <f t="shared" si="1"/>
        <v>0</v>
      </c>
      <c r="C119" s="10">
        <f t="shared" si="2"/>
        <v>0</v>
      </c>
      <c r="D119" s="10">
        <f t="shared" si="3"/>
        <v>0</v>
      </c>
      <c r="F119" s="10">
        <f t="shared" si="9"/>
        <v>0</v>
      </c>
    </row>
    <row r="120" spans="1:6" ht="14.25" customHeight="1" x14ac:dyDescent="0.3">
      <c r="A120" s="44">
        <v>108</v>
      </c>
      <c r="B120" s="10">
        <f t="shared" si="1"/>
        <v>0</v>
      </c>
      <c r="C120" s="10">
        <f t="shared" si="2"/>
        <v>0</v>
      </c>
      <c r="D120" s="10">
        <f t="shared" si="3"/>
        <v>0</v>
      </c>
      <c r="F120" s="10">
        <f t="shared" si="9"/>
        <v>0</v>
      </c>
    </row>
    <row r="121" spans="1:6" ht="14.25" customHeight="1" x14ac:dyDescent="0.3">
      <c r="A121" s="44">
        <v>109</v>
      </c>
      <c r="B121" s="10">
        <f t="shared" si="1"/>
        <v>0</v>
      </c>
      <c r="C121" s="10">
        <f t="shared" si="2"/>
        <v>0</v>
      </c>
      <c r="D121" s="10">
        <f t="shared" si="3"/>
        <v>0</v>
      </c>
      <c r="F121" s="10">
        <f t="shared" si="9"/>
        <v>0</v>
      </c>
    </row>
    <row r="122" spans="1:6" ht="14.25" customHeight="1" x14ac:dyDescent="0.3">
      <c r="A122" s="44">
        <v>110</v>
      </c>
      <c r="B122" s="10">
        <f t="shared" si="1"/>
        <v>0</v>
      </c>
      <c r="C122" s="10">
        <f t="shared" si="2"/>
        <v>0</v>
      </c>
      <c r="D122" s="10">
        <f t="shared" si="3"/>
        <v>0</v>
      </c>
      <c r="F122" s="10">
        <f t="shared" si="9"/>
        <v>0</v>
      </c>
    </row>
    <row r="123" spans="1:6" ht="14.25" customHeight="1" x14ac:dyDescent="0.3">
      <c r="A123" s="44">
        <v>111</v>
      </c>
      <c r="B123" s="10">
        <f t="shared" si="1"/>
        <v>0</v>
      </c>
      <c r="C123" s="10">
        <f t="shared" si="2"/>
        <v>0</v>
      </c>
      <c r="D123" s="10">
        <f t="shared" si="3"/>
        <v>0</v>
      </c>
      <c r="F123" s="10">
        <f t="shared" si="9"/>
        <v>0</v>
      </c>
    </row>
    <row r="124" spans="1:6" ht="14.25" customHeight="1" x14ac:dyDescent="0.3">
      <c r="A124" s="44">
        <v>112</v>
      </c>
      <c r="B124" s="10">
        <f t="shared" si="1"/>
        <v>0</v>
      </c>
      <c r="C124" s="10">
        <f t="shared" si="2"/>
        <v>0</v>
      </c>
      <c r="D124" s="10">
        <f t="shared" si="3"/>
        <v>0</v>
      </c>
      <c r="F124" s="10">
        <f t="shared" si="9"/>
        <v>0</v>
      </c>
    </row>
    <row r="125" spans="1:6" ht="14.25" customHeight="1" x14ac:dyDescent="0.3">
      <c r="A125" s="44">
        <v>113</v>
      </c>
      <c r="B125" s="10">
        <f t="shared" si="1"/>
        <v>0</v>
      </c>
      <c r="C125" s="10">
        <f t="shared" si="2"/>
        <v>0</v>
      </c>
      <c r="D125" s="10">
        <f t="shared" si="3"/>
        <v>0</v>
      </c>
      <c r="F125" s="10">
        <f t="shared" si="9"/>
        <v>0</v>
      </c>
    </row>
    <row r="126" spans="1:6" ht="14.25" customHeight="1" x14ac:dyDescent="0.3">
      <c r="A126" s="44">
        <v>114</v>
      </c>
      <c r="B126" s="10">
        <f t="shared" si="1"/>
        <v>0</v>
      </c>
      <c r="C126" s="10">
        <f t="shared" si="2"/>
        <v>0</v>
      </c>
      <c r="D126" s="10">
        <f t="shared" si="3"/>
        <v>0</v>
      </c>
      <c r="F126" s="10">
        <f t="shared" si="9"/>
        <v>0</v>
      </c>
    </row>
    <row r="127" spans="1:6" ht="14.25" customHeight="1" x14ac:dyDescent="0.3">
      <c r="A127" s="44">
        <v>115</v>
      </c>
      <c r="B127" s="10">
        <f t="shared" si="1"/>
        <v>0</v>
      </c>
      <c r="C127" s="10">
        <f t="shared" si="2"/>
        <v>0</v>
      </c>
      <c r="D127" s="10">
        <f t="shared" si="3"/>
        <v>0</v>
      </c>
      <c r="F127" s="10">
        <f t="shared" si="9"/>
        <v>0</v>
      </c>
    </row>
    <row r="128" spans="1:6" ht="14.25" customHeight="1" x14ac:dyDescent="0.3">
      <c r="A128" s="44">
        <v>116</v>
      </c>
      <c r="B128" s="10">
        <f t="shared" si="1"/>
        <v>0</v>
      </c>
      <c r="C128" s="10">
        <f t="shared" si="2"/>
        <v>0</v>
      </c>
      <c r="D128" s="10">
        <f t="shared" si="3"/>
        <v>0</v>
      </c>
      <c r="F128" s="10">
        <f t="shared" si="9"/>
        <v>0</v>
      </c>
    </row>
    <row r="129" spans="1:6" ht="14.25" customHeight="1" x14ac:dyDescent="0.3">
      <c r="A129" s="44">
        <v>117</v>
      </c>
      <c r="B129" s="10">
        <f t="shared" si="1"/>
        <v>0</v>
      </c>
      <c r="C129" s="10">
        <f t="shared" si="2"/>
        <v>0</v>
      </c>
      <c r="D129" s="10">
        <f t="shared" si="3"/>
        <v>0</v>
      </c>
      <c r="F129" s="10">
        <f t="shared" si="9"/>
        <v>0</v>
      </c>
    </row>
    <row r="130" spans="1:6" ht="14.25" customHeight="1" x14ac:dyDescent="0.3">
      <c r="A130" s="44">
        <v>118</v>
      </c>
      <c r="B130" s="10">
        <f t="shared" si="1"/>
        <v>0</v>
      </c>
      <c r="C130" s="10">
        <f t="shared" si="2"/>
        <v>0</v>
      </c>
      <c r="D130" s="10">
        <f t="shared" si="3"/>
        <v>0</v>
      </c>
      <c r="F130" s="10">
        <f t="shared" si="9"/>
        <v>0</v>
      </c>
    </row>
    <row r="131" spans="1:6" ht="14.25" customHeight="1" x14ac:dyDescent="0.3">
      <c r="A131" s="44">
        <v>119</v>
      </c>
      <c r="B131" s="10">
        <f t="shared" si="1"/>
        <v>0</v>
      </c>
      <c r="C131" s="10">
        <f t="shared" si="2"/>
        <v>0</v>
      </c>
      <c r="D131" s="10">
        <f t="shared" si="3"/>
        <v>0</v>
      </c>
      <c r="F131" s="10">
        <f t="shared" si="9"/>
        <v>0</v>
      </c>
    </row>
    <row r="132" spans="1:6" ht="14.25" customHeight="1" x14ac:dyDescent="0.3">
      <c r="A132" s="44">
        <v>120</v>
      </c>
      <c r="B132" s="10">
        <f t="shared" si="1"/>
        <v>0</v>
      </c>
      <c r="C132" s="10">
        <f t="shared" si="2"/>
        <v>0</v>
      </c>
      <c r="D132" s="10">
        <f t="shared" si="3"/>
        <v>0</v>
      </c>
      <c r="F132" s="10">
        <f t="shared" si="9"/>
        <v>0</v>
      </c>
    </row>
    <row r="133" spans="1:6" ht="14.25" customHeight="1" x14ac:dyDescent="0.3">
      <c r="A133" s="44">
        <v>121</v>
      </c>
      <c r="B133" s="10">
        <f t="shared" si="1"/>
        <v>0</v>
      </c>
      <c r="C133" s="10">
        <f t="shared" si="2"/>
        <v>0</v>
      </c>
      <c r="D133" s="10">
        <f t="shared" si="3"/>
        <v>0</v>
      </c>
      <c r="F133" s="10">
        <f t="shared" si="9"/>
        <v>0</v>
      </c>
    </row>
    <row r="134" spans="1:6" ht="14.25" customHeight="1" x14ac:dyDescent="0.3">
      <c r="A134" s="44">
        <v>122</v>
      </c>
      <c r="B134" s="10">
        <f t="shared" si="1"/>
        <v>0</v>
      </c>
      <c r="C134" s="10">
        <f t="shared" si="2"/>
        <v>0</v>
      </c>
      <c r="D134" s="10">
        <f t="shared" si="3"/>
        <v>0</v>
      </c>
      <c r="F134" s="10">
        <f t="shared" si="9"/>
        <v>0</v>
      </c>
    </row>
    <row r="135" spans="1:6" ht="14.25" customHeight="1" x14ac:dyDescent="0.3">
      <c r="A135" s="44">
        <v>123</v>
      </c>
      <c r="B135" s="10">
        <f t="shared" si="1"/>
        <v>0</v>
      </c>
      <c r="C135" s="10">
        <f t="shared" si="2"/>
        <v>0</v>
      </c>
      <c r="D135" s="10">
        <f t="shared" si="3"/>
        <v>0</v>
      </c>
      <c r="F135" s="10">
        <f t="shared" si="9"/>
        <v>0</v>
      </c>
    </row>
    <row r="136" spans="1:6" ht="14.25" customHeight="1" x14ac:dyDescent="0.3">
      <c r="A136" s="44">
        <v>124</v>
      </c>
      <c r="B136" s="10">
        <f t="shared" si="1"/>
        <v>0</v>
      </c>
      <c r="C136" s="10">
        <f t="shared" si="2"/>
        <v>0</v>
      </c>
      <c r="D136" s="10">
        <f t="shared" si="3"/>
        <v>0</v>
      </c>
      <c r="F136" s="10">
        <f t="shared" si="9"/>
        <v>0</v>
      </c>
    </row>
    <row r="137" spans="1:6" ht="14.25" customHeight="1" x14ac:dyDescent="0.3">
      <c r="A137" s="44">
        <v>125</v>
      </c>
      <c r="B137" s="10">
        <f t="shared" si="1"/>
        <v>0</v>
      </c>
      <c r="C137" s="10">
        <f t="shared" si="2"/>
        <v>0</v>
      </c>
      <c r="D137" s="10">
        <f t="shared" si="3"/>
        <v>0</v>
      </c>
      <c r="F137" s="10">
        <f t="shared" si="9"/>
        <v>0</v>
      </c>
    </row>
    <row r="138" spans="1:6" ht="14.25" customHeight="1" x14ac:dyDescent="0.3">
      <c r="A138" s="44">
        <v>126</v>
      </c>
      <c r="B138" s="10">
        <f t="shared" si="1"/>
        <v>0</v>
      </c>
      <c r="C138" s="10">
        <f t="shared" si="2"/>
        <v>0</v>
      </c>
      <c r="D138" s="10">
        <f t="shared" si="3"/>
        <v>0</v>
      </c>
      <c r="F138" s="10">
        <f t="shared" si="9"/>
        <v>0</v>
      </c>
    </row>
    <row r="139" spans="1:6" ht="14.25" customHeight="1" x14ac:dyDescent="0.3">
      <c r="A139" s="44">
        <v>127</v>
      </c>
      <c r="B139" s="10">
        <f t="shared" si="1"/>
        <v>0</v>
      </c>
      <c r="C139" s="10">
        <f t="shared" si="2"/>
        <v>0</v>
      </c>
      <c r="D139" s="10">
        <f t="shared" si="3"/>
        <v>0</v>
      </c>
      <c r="F139" s="10">
        <f t="shared" si="9"/>
        <v>0</v>
      </c>
    </row>
    <row r="140" spans="1:6" ht="14.25" customHeight="1" x14ac:dyDescent="0.3">
      <c r="A140" s="44">
        <v>128</v>
      </c>
      <c r="B140" s="10">
        <f t="shared" si="1"/>
        <v>0</v>
      </c>
      <c r="C140" s="10">
        <f t="shared" si="2"/>
        <v>0</v>
      </c>
      <c r="D140" s="10">
        <f t="shared" si="3"/>
        <v>0</v>
      </c>
      <c r="F140" s="10">
        <f t="shared" si="9"/>
        <v>0</v>
      </c>
    </row>
    <row r="141" spans="1:6" ht="14.25" customHeight="1" x14ac:dyDescent="0.3">
      <c r="A141" s="44">
        <v>129</v>
      </c>
      <c r="B141" s="10">
        <f t="shared" si="1"/>
        <v>0</v>
      </c>
      <c r="C141" s="10">
        <f t="shared" si="2"/>
        <v>0</v>
      </c>
      <c r="D141" s="10">
        <f t="shared" si="3"/>
        <v>0</v>
      </c>
      <c r="F141" s="10">
        <f t="shared" ref="F141:F204" si="10">IF(ROUND(F140,5)&gt;0,F140-D141,0)</f>
        <v>0</v>
      </c>
    </row>
    <row r="142" spans="1:6" ht="14.25" customHeight="1" x14ac:dyDescent="0.3">
      <c r="A142" s="44">
        <v>130</v>
      </c>
      <c r="B142" s="10">
        <f t="shared" si="1"/>
        <v>0</v>
      </c>
      <c r="C142" s="10">
        <f t="shared" si="2"/>
        <v>0</v>
      </c>
      <c r="D142" s="10">
        <f t="shared" si="3"/>
        <v>0</v>
      </c>
      <c r="F142" s="10">
        <f t="shared" si="10"/>
        <v>0</v>
      </c>
    </row>
    <row r="143" spans="1:6" ht="14.25" customHeight="1" x14ac:dyDescent="0.3">
      <c r="A143" s="44">
        <v>131</v>
      </c>
      <c r="B143" s="10">
        <f t="shared" si="1"/>
        <v>0</v>
      </c>
      <c r="C143" s="10">
        <f t="shared" si="2"/>
        <v>0</v>
      </c>
      <c r="D143" s="10">
        <f t="shared" si="3"/>
        <v>0</v>
      </c>
      <c r="F143" s="10">
        <f t="shared" si="10"/>
        <v>0</v>
      </c>
    </row>
    <row r="144" spans="1:6" ht="14.25" customHeight="1" x14ac:dyDescent="0.3">
      <c r="A144" s="44">
        <v>132</v>
      </c>
      <c r="B144" s="10">
        <f t="shared" si="1"/>
        <v>0</v>
      </c>
      <c r="C144" s="10">
        <f t="shared" si="2"/>
        <v>0</v>
      </c>
      <c r="D144" s="10">
        <f t="shared" si="3"/>
        <v>0</v>
      </c>
      <c r="F144" s="10">
        <f t="shared" si="10"/>
        <v>0</v>
      </c>
    </row>
    <row r="145" spans="1:6" ht="14.25" customHeight="1" x14ac:dyDescent="0.3">
      <c r="A145" s="44">
        <v>133</v>
      </c>
      <c r="B145" s="10">
        <f t="shared" si="1"/>
        <v>0</v>
      </c>
      <c r="C145" s="10">
        <f t="shared" si="2"/>
        <v>0</v>
      </c>
      <c r="D145" s="10">
        <f t="shared" si="3"/>
        <v>0</v>
      </c>
      <c r="F145" s="10">
        <f t="shared" si="10"/>
        <v>0</v>
      </c>
    </row>
    <row r="146" spans="1:6" ht="14.25" customHeight="1" x14ac:dyDescent="0.3">
      <c r="A146" s="44">
        <v>134</v>
      </c>
      <c r="B146" s="10">
        <f t="shared" si="1"/>
        <v>0</v>
      </c>
      <c r="C146" s="10">
        <f t="shared" si="2"/>
        <v>0</v>
      </c>
      <c r="D146" s="10">
        <f t="shared" si="3"/>
        <v>0</v>
      </c>
      <c r="F146" s="10">
        <f t="shared" si="10"/>
        <v>0</v>
      </c>
    </row>
    <row r="147" spans="1:6" ht="14.25" customHeight="1" x14ac:dyDescent="0.3">
      <c r="A147" s="44">
        <v>135</v>
      </c>
      <c r="B147" s="10">
        <f t="shared" si="1"/>
        <v>0</v>
      </c>
      <c r="C147" s="10">
        <f t="shared" si="2"/>
        <v>0</v>
      </c>
      <c r="D147" s="10">
        <f t="shared" si="3"/>
        <v>0</v>
      </c>
      <c r="F147" s="10">
        <f t="shared" si="10"/>
        <v>0</v>
      </c>
    </row>
    <row r="148" spans="1:6" ht="14.25" customHeight="1" x14ac:dyDescent="0.3">
      <c r="A148" s="44">
        <v>136</v>
      </c>
      <c r="B148" s="10">
        <f t="shared" si="1"/>
        <v>0</v>
      </c>
      <c r="C148" s="10">
        <f t="shared" si="2"/>
        <v>0</v>
      </c>
      <c r="D148" s="10">
        <f t="shared" si="3"/>
        <v>0</v>
      </c>
      <c r="F148" s="10">
        <f t="shared" si="10"/>
        <v>0</v>
      </c>
    </row>
    <row r="149" spans="1:6" ht="14.25" customHeight="1" x14ac:dyDescent="0.3">
      <c r="A149" s="44">
        <v>137</v>
      </c>
      <c r="B149" s="10">
        <f t="shared" si="1"/>
        <v>0</v>
      </c>
      <c r="C149" s="10">
        <f t="shared" si="2"/>
        <v>0</v>
      </c>
      <c r="D149" s="10">
        <f t="shared" si="3"/>
        <v>0</v>
      </c>
      <c r="F149" s="10">
        <f t="shared" si="10"/>
        <v>0</v>
      </c>
    </row>
    <row r="150" spans="1:6" ht="14.25" customHeight="1" x14ac:dyDescent="0.3">
      <c r="A150" s="44">
        <v>138</v>
      </c>
      <c r="B150" s="10">
        <f t="shared" si="1"/>
        <v>0</v>
      </c>
      <c r="C150" s="10">
        <f t="shared" si="2"/>
        <v>0</v>
      </c>
      <c r="D150" s="10">
        <f t="shared" si="3"/>
        <v>0</v>
      </c>
      <c r="F150" s="10">
        <f t="shared" si="10"/>
        <v>0</v>
      </c>
    </row>
    <row r="151" spans="1:6" ht="14.25" customHeight="1" x14ac:dyDescent="0.3">
      <c r="A151" s="44">
        <v>139</v>
      </c>
      <c r="B151" s="10">
        <f t="shared" si="1"/>
        <v>0</v>
      </c>
      <c r="C151" s="10">
        <f t="shared" si="2"/>
        <v>0</v>
      </c>
      <c r="D151" s="10">
        <f t="shared" si="3"/>
        <v>0</v>
      </c>
      <c r="F151" s="10">
        <f t="shared" si="10"/>
        <v>0</v>
      </c>
    </row>
    <row r="152" spans="1:6" ht="14.25" customHeight="1" x14ac:dyDescent="0.3">
      <c r="A152" s="44">
        <v>140</v>
      </c>
      <c r="B152" s="10">
        <f t="shared" si="1"/>
        <v>0</v>
      </c>
      <c r="C152" s="10">
        <f t="shared" si="2"/>
        <v>0</v>
      </c>
      <c r="D152" s="10">
        <f t="shared" si="3"/>
        <v>0</v>
      </c>
      <c r="F152" s="10">
        <f t="shared" si="10"/>
        <v>0</v>
      </c>
    </row>
    <row r="153" spans="1:6" ht="14.25" customHeight="1" x14ac:dyDescent="0.3">
      <c r="A153" s="44">
        <v>141</v>
      </c>
      <c r="B153" s="10">
        <f t="shared" si="1"/>
        <v>0</v>
      </c>
      <c r="C153" s="10">
        <f t="shared" si="2"/>
        <v>0</v>
      </c>
      <c r="D153" s="10">
        <f t="shared" si="3"/>
        <v>0</v>
      </c>
      <c r="F153" s="10">
        <f t="shared" si="10"/>
        <v>0</v>
      </c>
    </row>
    <row r="154" spans="1:6" ht="14.25" customHeight="1" x14ac:dyDescent="0.3">
      <c r="A154" s="44">
        <v>142</v>
      </c>
      <c r="B154" s="10">
        <f t="shared" si="1"/>
        <v>0</v>
      </c>
      <c r="C154" s="10">
        <f t="shared" si="2"/>
        <v>0</v>
      </c>
      <c r="D154" s="10">
        <f t="shared" si="3"/>
        <v>0</v>
      </c>
      <c r="F154" s="10">
        <f t="shared" si="10"/>
        <v>0</v>
      </c>
    </row>
    <row r="155" spans="1:6" ht="14.25" customHeight="1" x14ac:dyDescent="0.3">
      <c r="A155" s="44">
        <v>143</v>
      </c>
      <c r="B155" s="10">
        <f t="shared" si="1"/>
        <v>0</v>
      </c>
      <c r="C155" s="10">
        <f t="shared" si="2"/>
        <v>0</v>
      </c>
      <c r="D155" s="10">
        <f t="shared" si="3"/>
        <v>0</v>
      </c>
      <c r="F155" s="10">
        <f t="shared" si="10"/>
        <v>0</v>
      </c>
    </row>
    <row r="156" spans="1:6" ht="14.25" customHeight="1" x14ac:dyDescent="0.3">
      <c r="A156" s="44">
        <v>144</v>
      </c>
      <c r="B156" s="10">
        <f t="shared" si="1"/>
        <v>0</v>
      </c>
      <c r="C156" s="10">
        <f t="shared" si="2"/>
        <v>0</v>
      </c>
      <c r="D156" s="10">
        <f t="shared" si="3"/>
        <v>0</v>
      </c>
      <c r="F156" s="10">
        <f t="shared" si="10"/>
        <v>0</v>
      </c>
    </row>
    <row r="157" spans="1:6" ht="14.25" customHeight="1" x14ac:dyDescent="0.3">
      <c r="A157" s="44">
        <v>145</v>
      </c>
      <c r="B157" s="10">
        <f t="shared" si="1"/>
        <v>0</v>
      </c>
      <c r="C157" s="10">
        <f t="shared" si="2"/>
        <v>0</v>
      </c>
      <c r="D157" s="10">
        <f t="shared" si="3"/>
        <v>0</v>
      </c>
      <c r="F157" s="10">
        <f t="shared" si="10"/>
        <v>0</v>
      </c>
    </row>
    <row r="158" spans="1:6" ht="14.25" customHeight="1" x14ac:dyDescent="0.3">
      <c r="A158" s="44">
        <v>146</v>
      </c>
      <c r="B158" s="10">
        <f t="shared" si="1"/>
        <v>0</v>
      </c>
      <c r="C158" s="10">
        <f t="shared" si="2"/>
        <v>0</v>
      </c>
      <c r="D158" s="10">
        <f t="shared" si="3"/>
        <v>0</v>
      </c>
      <c r="F158" s="10">
        <f t="shared" si="10"/>
        <v>0</v>
      </c>
    </row>
    <row r="159" spans="1:6" ht="14.25" customHeight="1" x14ac:dyDescent="0.3">
      <c r="A159" s="44">
        <v>147</v>
      </c>
      <c r="B159" s="10">
        <f t="shared" si="1"/>
        <v>0</v>
      </c>
      <c r="C159" s="10">
        <f t="shared" si="2"/>
        <v>0</v>
      </c>
      <c r="D159" s="10">
        <f t="shared" si="3"/>
        <v>0</v>
      </c>
      <c r="F159" s="10">
        <f t="shared" si="10"/>
        <v>0</v>
      </c>
    </row>
    <row r="160" spans="1:6" ht="14.25" customHeight="1" x14ac:dyDescent="0.3">
      <c r="A160" s="44">
        <v>148</v>
      </c>
      <c r="B160" s="10">
        <f t="shared" si="1"/>
        <v>0</v>
      </c>
      <c r="C160" s="10">
        <f t="shared" si="2"/>
        <v>0</v>
      </c>
      <c r="D160" s="10">
        <f t="shared" si="3"/>
        <v>0</v>
      </c>
      <c r="F160" s="10">
        <f t="shared" si="10"/>
        <v>0</v>
      </c>
    </row>
    <row r="161" spans="1:6" ht="14.25" customHeight="1" x14ac:dyDescent="0.3">
      <c r="A161" s="44">
        <v>149</v>
      </c>
      <c r="B161" s="10">
        <f t="shared" si="1"/>
        <v>0</v>
      </c>
      <c r="C161" s="10">
        <f t="shared" si="2"/>
        <v>0</v>
      </c>
      <c r="D161" s="10">
        <f t="shared" si="3"/>
        <v>0</v>
      </c>
      <c r="F161" s="10">
        <f t="shared" si="10"/>
        <v>0</v>
      </c>
    </row>
    <row r="162" spans="1:6" ht="14.25" customHeight="1" x14ac:dyDescent="0.3">
      <c r="A162" s="44">
        <v>150</v>
      </c>
      <c r="B162" s="10">
        <f t="shared" si="1"/>
        <v>0</v>
      </c>
      <c r="C162" s="10">
        <f t="shared" si="2"/>
        <v>0</v>
      </c>
      <c r="D162" s="10">
        <f t="shared" si="3"/>
        <v>0</v>
      </c>
      <c r="F162" s="10">
        <f t="shared" si="10"/>
        <v>0</v>
      </c>
    </row>
    <row r="163" spans="1:6" ht="14.25" customHeight="1" x14ac:dyDescent="0.3">
      <c r="A163" s="44">
        <v>151</v>
      </c>
      <c r="B163" s="10">
        <f t="shared" si="1"/>
        <v>0</v>
      </c>
      <c r="C163" s="10">
        <f t="shared" si="2"/>
        <v>0</v>
      </c>
      <c r="D163" s="10">
        <f t="shared" si="3"/>
        <v>0</v>
      </c>
      <c r="F163" s="10">
        <f t="shared" si="10"/>
        <v>0</v>
      </c>
    </row>
    <row r="164" spans="1:6" ht="14.25" customHeight="1" x14ac:dyDescent="0.3">
      <c r="A164" s="44">
        <v>152</v>
      </c>
      <c r="B164" s="10">
        <f t="shared" si="1"/>
        <v>0</v>
      </c>
      <c r="C164" s="10">
        <f t="shared" si="2"/>
        <v>0</v>
      </c>
      <c r="D164" s="10">
        <f t="shared" si="3"/>
        <v>0</v>
      </c>
      <c r="F164" s="10">
        <f t="shared" si="10"/>
        <v>0</v>
      </c>
    </row>
    <row r="165" spans="1:6" ht="14.25" customHeight="1" x14ac:dyDescent="0.3">
      <c r="A165" s="44">
        <v>153</v>
      </c>
      <c r="B165" s="10">
        <f t="shared" si="1"/>
        <v>0</v>
      </c>
      <c r="C165" s="10">
        <f t="shared" si="2"/>
        <v>0</v>
      </c>
      <c r="D165" s="10">
        <f t="shared" si="3"/>
        <v>0</v>
      </c>
      <c r="F165" s="10">
        <f t="shared" si="10"/>
        <v>0</v>
      </c>
    </row>
    <row r="166" spans="1:6" ht="14.25" customHeight="1" x14ac:dyDescent="0.3">
      <c r="A166" s="44">
        <v>154</v>
      </c>
      <c r="B166" s="10">
        <f t="shared" si="1"/>
        <v>0</v>
      </c>
      <c r="C166" s="10">
        <f t="shared" si="2"/>
        <v>0</v>
      </c>
      <c r="D166" s="10">
        <f t="shared" si="3"/>
        <v>0</v>
      </c>
      <c r="F166" s="10">
        <f t="shared" si="10"/>
        <v>0</v>
      </c>
    </row>
    <row r="167" spans="1:6" ht="14.25" customHeight="1" x14ac:dyDescent="0.3">
      <c r="A167" s="44">
        <v>155</v>
      </c>
      <c r="B167" s="10">
        <f t="shared" si="1"/>
        <v>0</v>
      </c>
      <c r="C167" s="10">
        <f t="shared" si="2"/>
        <v>0</v>
      </c>
      <c r="D167" s="10">
        <f t="shared" si="3"/>
        <v>0</v>
      </c>
      <c r="F167" s="10">
        <f t="shared" si="10"/>
        <v>0</v>
      </c>
    </row>
    <row r="168" spans="1:6" ht="14.25" customHeight="1" x14ac:dyDescent="0.3">
      <c r="A168" s="44">
        <v>156</v>
      </c>
      <c r="B168" s="10">
        <f t="shared" si="1"/>
        <v>0</v>
      </c>
      <c r="C168" s="10">
        <f t="shared" si="2"/>
        <v>0</v>
      </c>
      <c r="D168" s="10">
        <f t="shared" si="3"/>
        <v>0</v>
      </c>
      <c r="F168" s="10">
        <f t="shared" si="10"/>
        <v>0</v>
      </c>
    </row>
    <row r="169" spans="1:6" ht="14.25" customHeight="1" x14ac:dyDescent="0.3">
      <c r="A169" s="44">
        <v>157</v>
      </c>
      <c r="B169" s="10">
        <f t="shared" si="1"/>
        <v>0</v>
      </c>
      <c r="C169" s="10">
        <f t="shared" si="2"/>
        <v>0</v>
      </c>
      <c r="D169" s="10">
        <f t="shared" si="3"/>
        <v>0</v>
      </c>
      <c r="F169" s="10">
        <f t="shared" si="10"/>
        <v>0</v>
      </c>
    </row>
    <row r="170" spans="1:6" ht="14.25" customHeight="1" x14ac:dyDescent="0.3">
      <c r="A170" s="44">
        <v>158</v>
      </c>
      <c r="B170" s="12">
        <f t="shared" si="1"/>
        <v>0</v>
      </c>
      <c r="C170" s="12">
        <f t="shared" si="2"/>
        <v>0</v>
      </c>
      <c r="D170" s="12">
        <f t="shared" si="3"/>
        <v>0</v>
      </c>
      <c r="F170" s="10">
        <f t="shared" si="10"/>
        <v>0</v>
      </c>
    </row>
    <row r="171" spans="1:6" ht="14.25" customHeight="1" x14ac:dyDescent="0.3">
      <c r="A171" s="44">
        <v>159</v>
      </c>
      <c r="B171" s="12">
        <f t="shared" si="1"/>
        <v>0</v>
      </c>
      <c r="C171" s="12">
        <f t="shared" si="2"/>
        <v>0</v>
      </c>
      <c r="D171" s="12">
        <f t="shared" si="3"/>
        <v>0</v>
      </c>
      <c r="F171" s="10">
        <f t="shared" si="10"/>
        <v>0</v>
      </c>
    </row>
    <row r="172" spans="1:6" ht="14.25" customHeight="1" x14ac:dyDescent="0.3">
      <c r="A172" s="44">
        <v>160</v>
      </c>
      <c r="B172" s="12">
        <f t="shared" si="1"/>
        <v>0</v>
      </c>
      <c r="C172" s="12">
        <f t="shared" si="2"/>
        <v>0</v>
      </c>
      <c r="D172" s="12">
        <f t="shared" si="3"/>
        <v>0</v>
      </c>
      <c r="F172" s="10">
        <f t="shared" si="10"/>
        <v>0</v>
      </c>
    </row>
    <row r="173" spans="1:6" ht="14.25" customHeight="1" x14ac:dyDescent="0.3">
      <c r="A173" s="44">
        <v>161</v>
      </c>
      <c r="B173" s="12">
        <f t="shared" si="1"/>
        <v>0</v>
      </c>
      <c r="C173" s="12">
        <f t="shared" si="2"/>
        <v>0</v>
      </c>
      <c r="D173" s="12">
        <f t="shared" si="3"/>
        <v>0</v>
      </c>
      <c r="F173" s="10">
        <f t="shared" si="10"/>
        <v>0</v>
      </c>
    </row>
    <row r="174" spans="1:6" ht="14.25" customHeight="1" x14ac:dyDescent="0.3">
      <c r="A174" s="44">
        <v>162</v>
      </c>
      <c r="B174" s="12">
        <f t="shared" si="1"/>
        <v>0</v>
      </c>
      <c r="C174" s="12">
        <f t="shared" si="2"/>
        <v>0</v>
      </c>
      <c r="D174" s="12">
        <f t="shared" si="3"/>
        <v>0</v>
      </c>
      <c r="F174" s="10">
        <f t="shared" si="10"/>
        <v>0</v>
      </c>
    </row>
    <row r="175" spans="1:6" ht="14.25" customHeight="1" x14ac:dyDescent="0.3">
      <c r="A175" s="44">
        <v>163</v>
      </c>
      <c r="B175" s="12">
        <f t="shared" si="1"/>
        <v>0</v>
      </c>
      <c r="C175" s="12">
        <f t="shared" si="2"/>
        <v>0</v>
      </c>
      <c r="D175" s="12">
        <f t="shared" si="3"/>
        <v>0</v>
      </c>
      <c r="F175" s="10">
        <f t="shared" si="10"/>
        <v>0</v>
      </c>
    </row>
    <row r="176" spans="1:6" ht="14.25" customHeight="1" x14ac:dyDescent="0.3">
      <c r="A176" s="44">
        <v>164</v>
      </c>
      <c r="B176" s="12">
        <f t="shared" si="1"/>
        <v>0</v>
      </c>
      <c r="C176" s="12">
        <f t="shared" si="2"/>
        <v>0</v>
      </c>
      <c r="D176" s="12">
        <f t="shared" si="3"/>
        <v>0</v>
      </c>
      <c r="F176" s="10">
        <f t="shared" si="10"/>
        <v>0</v>
      </c>
    </row>
    <row r="177" spans="1:6" ht="14.25" customHeight="1" x14ac:dyDescent="0.3">
      <c r="A177" s="44">
        <v>165</v>
      </c>
      <c r="B177" s="12">
        <f t="shared" si="1"/>
        <v>0</v>
      </c>
      <c r="C177" s="12">
        <f t="shared" si="2"/>
        <v>0</v>
      </c>
      <c r="D177" s="12">
        <f t="shared" si="3"/>
        <v>0</v>
      </c>
      <c r="F177" s="10">
        <f t="shared" si="10"/>
        <v>0</v>
      </c>
    </row>
    <row r="178" spans="1:6" ht="14.25" customHeight="1" x14ac:dyDescent="0.3">
      <c r="A178" s="44">
        <v>166</v>
      </c>
      <c r="B178" s="12">
        <f t="shared" si="1"/>
        <v>0</v>
      </c>
      <c r="C178" s="12">
        <f t="shared" si="2"/>
        <v>0</v>
      </c>
      <c r="D178" s="12">
        <f t="shared" si="3"/>
        <v>0</v>
      </c>
      <c r="F178" s="10">
        <f t="shared" si="10"/>
        <v>0</v>
      </c>
    </row>
    <row r="179" spans="1:6" ht="14.25" customHeight="1" x14ac:dyDescent="0.3">
      <c r="A179" s="44">
        <v>167</v>
      </c>
      <c r="B179" s="12">
        <f t="shared" si="1"/>
        <v>0</v>
      </c>
      <c r="C179" s="12">
        <f t="shared" si="2"/>
        <v>0</v>
      </c>
      <c r="D179" s="12">
        <f t="shared" si="3"/>
        <v>0</v>
      </c>
      <c r="F179" s="10">
        <f t="shared" si="10"/>
        <v>0</v>
      </c>
    </row>
    <row r="180" spans="1:6" ht="14.25" customHeight="1" x14ac:dyDescent="0.3">
      <c r="A180" s="44">
        <v>168</v>
      </c>
      <c r="B180" s="12">
        <f t="shared" si="1"/>
        <v>0</v>
      </c>
      <c r="C180" s="12">
        <f t="shared" si="2"/>
        <v>0</v>
      </c>
      <c r="D180" s="12">
        <f t="shared" si="3"/>
        <v>0</v>
      </c>
      <c r="F180" s="10">
        <f t="shared" si="10"/>
        <v>0</v>
      </c>
    </row>
    <row r="181" spans="1:6" ht="14.25" customHeight="1" x14ac:dyDescent="0.3">
      <c r="A181" s="44">
        <v>169</v>
      </c>
      <c r="B181" s="12">
        <f t="shared" si="1"/>
        <v>0</v>
      </c>
      <c r="C181" s="12">
        <f t="shared" si="2"/>
        <v>0</v>
      </c>
      <c r="D181" s="12">
        <f t="shared" si="3"/>
        <v>0</v>
      </c>
      <c r="F181" s="10">
        <f t="shared" si="10"/>
        <v>0</v>
      </c>
    </row>
    <row r="182" spans="1:6" ht="14.25" customHeight="1" x14ac:dyDescent="0.3">
      <c r="A182" s="44">
        <v>170</v>
      </c>
      <c r="B182" s="12">
        <f t="shared" si="1"/>
        <v>0</v>
      </c>
      <c r="C182" s="12">
        <f t="shared" si="2"/>
        <v>0</v>
      </c>
      <c r="D182" s="12">
        <f t="shared" si="3"/>
        <v>0</v>
      </c>
      <c r="F182" s="10">
        <f t="shared" si="10"/>
        <v>0</v>
      </c>
    </row>
    <row r="183" spans="1:6" ht="14.25" customHeight="1" x14ac:dyDescent="0.3">
      <c r="A183" s="44">
        <v>171</v>
      </c>
      <c r="B183" s="12">
        <f t="shared" si="1"/>
        <v>0</v>
      </c>
      <c r="C183" s="12">
        <f t="shared" si="2"/>
        <v>0</v>
      </c>
      <c r="D183" s="12">
        <f t="shared" si="3"/>
        <v>0</v>
      </c>
      <c r="F183" s="10">
        <f t="shared" si="10"/>
        <v>0</v>
      </c>
    </row>
    <row r="184" spans="1:6" ht="14.25" customHeight="1" x14ac:dyDescent="0.3">
      <c r="A184" s="44">
        <v>172</v>
      </c>
      <c r="B184" s="12">
        <f t="shared" si="1"/>
        <v>0</v>
      </c>
      <c r="C184" s="12">
        <f t="shared" si="2"/>
        <v>0</v>
      </c>
      <c r="D184" s="12">
        <f t="shared" si="3"/>
        <v>0</v>
      </c>
      <c r="F184" s="10">
        <f t="shared" si="10"/>
        <v>0</v>
      </c>
    </row>
    <row r="185" spans="1:6" ht="14.25" customHeight="1" x14ac:dyDescent="0.3">
      <c r="A185" s="44">
        <v>173</v>
      </c>
      <c r="B185" s="12">
        <f t="shared" si="1"/>
        <v>0</v>
      </c>
      <c r="C185" s="12">
        <f t="shared" si="2"/>
        <v>0</v>
      </c>
      <c r="D185" s="12">
        <f t="shared" si="3"/>
        <v>0</v>
      </c>
      <c r="F185" s="10">
        <f t="shared" si="10"/>
        <v>0</v>
      </c>
    </row>
    <row r="186" spans="1:6" ht="14.25" customHeight="1" x14ac:dyDescent="0.3">
      <c r="A186" s="44">
        <v>174</v>
      </c>
      <c r="B186" s="12">
        <f t="shared" si="1"/>
        <v>0</v>
      </c>
      <c r="C186" s="12">
        <f t="shared" si="2"/>
        <v>0</v>
      </c>
      <c r="D186" s="12">
        <f t="shared" si="3"/>
        <v>0</v>
      </c>
      <c r="F186" s="10">
        <f t="shared" si="10"/>
        <v>0</v>
      </c>
    </row>
    <row r="187" spans="1:6" ht="14.25" customHeight="1" x14ac:dyDescent="0.3">
      <c r="A187" s="44">
        <v>175</v>
      </c>
      <c r="B187" s="12">
        <f t="shared" si="1"/>
        <v>0</v>
      </c>
      <c r="C187" s="12">
        <f t="shared" si="2"/>
        <v>0</v>
      </c>
      <c r="D187" s="12">
        <f t="shared" si="3"/>
        <v>0</v>
      </c>
      <c r="F187" s="10">
        <f t="shared" si="10"/>
        <v>0</v>
      </c>
    </row>
    <row r="188" spans="1:6" ht="14.25" customHeight="1" x14ac:dyDescent="0.3">
      <c r="A188" s="44">
        <v>176</v>
      </c>
      <c r="B188" s="12">
        <f t="shared" si="1"/>
        <v>0</v>
      </c>
      <c r="C188" s="12">
        <f t="shared" si="2"/>
        <v>0</v>
      </c>
      <c r="D188" s="12">
        <f t="shared" si="3"/>
        <v>0</v>
      </c>
      <c r="F188" s="10">
        <f t="shared" si="10"/>
        <v>0</v>
      </c>
    </row>
    <row r="189" spans="1:6" ht="14.25" customHeight="1" x14ac:dyDescent="0.3">
      <c r="A189" s="44">
        <v>177</v>
      </c>
      <c r="B189" s="12">
        <f t="shared" si="1"/>
        <v>0</v>
      </c>
      <c r="C189" s="12">
        <f t="shared" si="2"/>
        <v>0</v>
      </c>
      <c r="D189" s="12">
        <f t="shared" si="3"/>
        <v>0</v>
      </c>
      <c r="F189" s="10">
        <f t="shared" si="10"/>
        <v>0</v>
      </c>
    </row>
    <row r="190" spans="1:6" ht="14.25" customHeight="1" x14ac:dyDescent="0.3">
      <c r="A190" s="44">
        <v>178</v>
      </c>
      <c r="B190" s="12">
        <f t="shared" si="1"/>
        <v>0</v>
      </c>
      <c r="C190" s="12">
        <f t="shared" si="2"/>
        <v>0</v>
      </c>
      <c r="D190" s="12">
        <f t="shared" si="3"/>
        <v>0</v>
      </c>
      <c r="F190" s="10">
        <f t="shared" si="10"/>
        <v>0</v>
      </c>
    </row>
    <row r="191" spans="1:6" ht="14.25" customHeight="1" x14ac:dyDescent="0.3">
      <c r="A191" s="44">
        <v>179</v>
      </c>
      <c r="B191" s="12">
        <f t="shared" si="1"/>
        <v>0</v>
      </c>
      <c r="C191" s="12">
        <f t="shared" si="2"/>
        <v>0</v>
      </c>
      <c r="D191" s="12">
        <f t="shared" si="3"/>
        <v>0</v>
      </c>
      <c r="F191" s="10">
        <f t="shared" si="10"/>
        <v>0</v>
      </c>
    </row>
    <row r="192" spans="1:6" ht="14.25" customHeight="1" x14ac:dyDescent="0.3">
      <c r="A192" s="44">
        <v>180</v>
      </c>
      <c r="B192" s="12">
        <f t="shared" si="1"/>
        <v>0</v>
      </c>
      <c r="C192" s="12">
        <f t="shared" si="2"/>
        <v>0</v>
      </c>
      <c r="D192" s="12">
        <f t="shared" si="3"/>
        <v>0</v>
      </c>
      <c r="F192" s="10">
        <f t="shared" si="10"/>
        <v>0</v>
      </c>
    </row>
    <row r="193" spans="1:6" ht="14.25" customHeight="1" x14ac:dyDescent="0.3">
      <c r="A193" s="44">
        <v>181</v>
      </c>
      <c r="B193" s="12">
        <f t="shared" si="1"/>
        <v>0</v>
      </c>
      <c r="C193" s="12">
        <f t="shared" si="2"/>
        <v>0</v>
      </c>
      <c r="D193" s="12">
        <f t="shared" si="3"/>
        <v>0</v>
      </c>
      <c r="F193" s="10">
        <f t="shared" si="10"/>
        <v>0</v>
      </c>
    </row>
    <row r="194" spans="1:6" ht="14.25" customHeight="1" x14ac:dyDescent="0.3">
      <c r="A194" s="44">
        <v>182</v>
      </c>
      <c r="B194" s="12">
        <f t="shared" si="1"/>
        <v>0</v>
      </c>
      <c r="C194" s="12">
        <f t="shared" si="2"/>
        <v>0</v>
      </c>
      <c r="D194" s="12">
        <f t="shared" si="3"/>
        <v>0</v>
      </c>
      <c r="F194" s="10">
        <f t="shared" si="10"/>
        <v>0</v>
      </c>
    </row>
    <row r="195" spans="1:6" ht="14.25" customHeight="1" x14ac:dyDescent="0.3">
      <c r="A195" s="44">
        <v>183</v>
      </c>
      <c r="B195" s="12">
        <f t="shared" si="1"/>
        <v>0</v>
      </c>
      <c r="C195" s="12">
        <f t="shared" si="2"/>
        <v>0</v>
      </c>
      <c r="D195" s="12">
        <f t="shared" si="3"/>
        <v>0</v>
      </c>
      <c r="F195" s="10">
        <f t="shared" si="10"/>
        <v>0</v>
      </c>
    </row>
    <row r="196" spans="1:6" ht="14.25" customHeight="1" x14ac:dyDescent="0.3">
      <c r="A196" s="44">
        <v>184</v>
      </c>
      <c r="B196" s="12">
        <f t="shared" si="1"/>
        <v>0</v>
      </c>
      <c r="C196" s="12">
        <f t="shared" si="2"/>
        <v>0</v>
      </c>
      <c r="D196" s="12">
        <f t="shared" si="3"/>
        <v>0</v>
      </c>
      <c r="F196" s="10">
        <f t="shared" si="10"/>
        <v>0</v>
      </c>
    </row>
    <row r="197" spans="1:6" ht="14.25" customHeight="1" x14ac:dyDescent="0.3">
      <c r="A197" s="44">
        <v>185</v>
      </c>
      <c r="B197" s="12">
        <f t="shared" si="1"/>
        <v>0</v>
      </c>
      <c r="C197" s="12">
        <f t="shared" si="2"/>
        <v>0</v>
      </c>
      <c r="D197" s="12">
        <f t="shared" si="3"/>
        <v>0</v>
      </c>
      <c r="F197" s="10">
        <f t="shared" si="10"/>
        <v>0</v>
      </c>
    </row>
    <row r="198" spans="1:6" ht="14.25" customHeight="1" x14ac:dyDescent="0.3">
      <c r="A198" s="44">
        <v>186</v>
      </c>
      <c r="B198" s="12">
        <f t="shared" si="1"/>
        <v>0</v>
      </c>
      <c r="C198" s="12">
        <f t="shared" si="2"/>
        <v>0</v>
      </c>
      <c r="D198" s="12">
        <f t="shared" si="3"/>
        <v>0</v>
      </c>
      <c r="F198" s="10">
        <f t="shared" si="10"/>
        <v>0</v>
      </c>
    </row>
    <row r="199" spans="1:6" ht="14.25" customHeight="1" x14ac:dyDescent="0.3">
      <c r="A199" s="44">
        <v>187</v>
      </c>
      <c r="B199" s="12">
        <f t="shared" si="1"/>
        <v>0</v>
      </c>
      <c r="C199" s="12">
        <f t="shared" si="2"/>
        <v>0</v>
      </c>
      <c r="D199" s="12">
        <f t="shared" si="3"/>
        <v>0</v>
      </c>
      <c r="F199" s="10">
        <f t="shared" si="10"/>
        <v>0</v>
      </c>
    </row>
    <row r="200" spans="1:6" ht="14.25" customHeight="1" x14ac:dyDescent="0.3">
      <c r="A200" s="44">
        <v>188</v>
      </c>
      <c r="B200" s="12">
        <f t="shared" si="1"/>
        <v>0</v>
      </c>
      <c r="C200" s="12">
        <f t="shared" si="2"/>
        <v>0</v>
      </c>
      <c r="D200" s="12">
        <f t="shared" si="3"/>
        <v>0</v>
      </c>
      <c r="F200" s="10">
        <f t="shared" si="10"/>
        <v>0</v>
      </c>
    </row>
    <row r="201" spans="1:6" ht="14.25" customHeight="1" x14ac:dyDescent="0.3">
      <c r="A201" s="44">
        <v>189</v>
      </c>
      <c r="B201" s="12">
        <f t="shared" si="1"/>
        <v>0</v>
      </c>
      <c r="C201" s="12">
        <f t="shared" si="2"/>
        <v>0</v>
      </c>
      <c r="D201" s="12">
        <f t="shared" si="3"/>
        <v>0</v>
      </c>
      <c r="F201" s="10">
        <f t="shared" si="10"/>
        <v>0</v>
      </c>
    </row>
    <row r="202" spans="1:6" ht="14.25" customHeight="1" x14ac:dyDescent="0.3">
      <c r="A202" s="44">
        <v>190</v>
      </c>
      <c r="B202" s="12">
        <f t="shared" si="1"/>
        <v>0</v>
      </c>
      <c r="C202" s="12">
        <f t="shared" si="2"/>
        <v>0</v>
      </c>
      <c r="D202" s="12">
        <f t="shared" si="3"/>
        <v>0</v>
      </c>
      <c r="F202" s="10">
        <f t="shared" si="10"/>
        <v>0</v>
      </c>
    </row>
    <row r="203" spans="1:6" ht="14.25" customHeight="1" x14ac:dyDescent="0.3">
      <c r="A203" s="44">
        <v>191</v>
      </c>
      <c r="B203" s="12">
        <f t="shared" si="1"/>
        <v>0</v>
      </c>
      <c r="C203" s="12">
        <f t="shared" si="2"/>
        <v>0</v>
      </c>
      <c r="D203" s="12">
        <f t="shared" si="3"/>
        <v>0</v>
      </c>
      <c r="F203" s="10">
        <f t="shared" si="10"/>
        <v>0</v>
      </c>
    </row>
    <row r="204" spans="1:6" ht="14.25" customHeight="1" x14ac:dyDescent="0.3">
      <c r="A204" s="44">
        <v>192</v>
      </c>
      <c r="B204" s="12">
        <f t="shared" si="1"/>
        <v>0</v>
      </c>
      <c r="C204" s="12">
        <f t="shared" si="2"/>
        <v>0</v>
      </c>
      <c r="D204" s="12">
        <f t="shared" si="3"/>
        <v>0</v>
      </c>
      <c r="F204" s="10">
        <f t="shared" si="10"/>
        <v>0</v>
      </c>
    </row>
    <row r="205" spans="1:6" ht="14.25" customHeight="1" x14ac:dyDescent="0.3">
      <c r="A205" s="44">
        <v>193</v>
      </c>
      <c r="B205" s="12">
        <f t="shared" si="1"/>
        <v>0</v>
      </c>
      <c r="C205" s="12">
        <f t="shared" si="2"/>
        <v>0</v>
      </c>
      <c r="D205" s="12">
        <f t="shared" si="3"/>
        <v>0</v>
      </c>
      <c r="F205" s="10">
        <f t="shared" ref="F205:F268" si="11">IF(ROUND(F204,5)&gt;0,F204-D205,0)</f>
        <v>0</v>
      </c>
    </row>
    <row r="206" spans="1:6" ht="14.25" customHeight="1" x14ac:dyDescent="0.3">
      <c r="A206" s="44">
        <v>194</v>
      </c>
      <c r="B206" s="12">
        <f t="shared" si="1"/>
        <v>0</v>
      </c>
      <c r="C206" s="12">
        <f t="shared" si="2"/>
        <v>0</v>
      </c>
      <c r="D206" s="12">
        <f t="shared" si="3"/>
        <v>0</v>
      </c>
      <c r="F206" s="10">
        <f t="shared" si="11"/>
        <v>0</v>
      </c>
    </row>
    <row r="207" spans="1:6" ht="14.25" customHeight="1" x14ac:dyDescent="0.3">
      <c r="A207" s="44">
        <v>195</v>
      </c>
      <c r="B207" s="12">
        <f t="shared" si="1"/>
        <v>0</v>
      </c>
      <c r="C207" s="12">
        <f t="shared" si="2"/>
        <v>0</v>
      </c>
      <c r="D207" s="12">
        <f t="shared" si="3"/>
        <v>0</v>
      </c>
      <c r="F207" s="10">
        <f t="shared" si="11"/>
        <v>0</v>
      </c>
    </row>
    <row r="208" spans="1:6" ht="14.25" customHeight="1" x14ac:dyDescent="0.3">
      <c r="A208" s="44">
        <v>196</v>
      </c>
      <c r="B208" s="12">
        <f t="shared" si="1"/>
        <v>0</v>
      </c>
      <c r="C208" s="12">
        <f t="shared" si="2"/>
        <v>0</v>
      </c>
      <c r="D208" s="12">
        <f t="shared" si="3"/>
        <v>0</v>
      </c>
      <c r="F208" s="10">
        <f t="shared" si="11"/>
        <v>0</v>
      </c>
    </row>
    <row r="209" spans="1:6" ht="14.25" customHeight="1" x14ac:dyDescent="0.3">
      <c r="A209" s="44">
        <v>197</v>
      </c>
      <c r="B209" s="12">
        <f t="shared" si="1"/>
        <v>0</v>
      </c>
      <c r="C209" s="12">
        <f t="shared" si="2"/>
        <v>0</v>
      </c>
      <c r="D209" s="12">
        <f t="shared" si="3"/>
        <v>0</v>
      </c>
      <c r="F209" s="10">
        <f t="shared" si="11"/>
        <v>0</v>
      </c>
    </row>
    <row r="210" spans="1:6" ht="14.25" customHeight="1" x14ac:dyDescent="0.3">
      <c r="A210" s="44">
        <v>198</v>
      </c>
      <c r="B210" s="12">
        <f t="shared" si="1"/>
        <v>0</v>
      </c>
      <c r="C210" s="12">
        <f t="shared" si="2"/>
        <v>0</v>
      </c>
      <c r="D210" s="12">
        <f t="shared" si="3"/>
        <v>0</v>
      </c>
      <c r="F210" s="10">
        <f t="shared" si="11"/>
        <v>0</v>
      </c>
    </row>
    <row r="211" spans="1:6" ht="14.25" customHeight="1" x14ac:dyDescent="0.3">
      <c r="A211" s="44">
        <v>199</v>
      </c>
      <c r="B211" s="12">
        <f t="shared" si="1"/>
        <v>0</v>
      </c>
      <c r="C211" s="12">
        <f t="shared" si="2"/>
        <v>0</v>
      </c>
      <c r="D211" s="12">
        <f t="shared" si="3"/>
        <v>0</v>
      </c>
      <c r="F211" s="10">
        <f t="shared" si="11"/>
        <v>0</v>
      </c>
    </row>
    <row r="212" spans="1:6" ht="14.25" customHeight="1" x14ac:dyDescent="0.3">
      <c r="A212" s="44">
        <v>200</v>
      </c>
      <c r="B212" s="12">
        <f t="shared" si="1"/>
        <v>0</v>
      </c>
      <c r="C212" s="12">
        <f t="shared" si="2"/>
        <v>0</v>
      </c>
      <c r="D212" s="12">
        <f t="shared" si="3"/>
        <v>0</v>
      </c>
      <c r="F212" s="10">
        <f t="shared" si="11"/>
        <v>0</v>
      </c>
    </row>
    <row r="213" spans="1:6" ht="14.25" customHeight="1" x14ac:dyDescent="0.3">
      <c r="A213" s="44">
        <v>201</v>
      </c>
      <c r="B213" s="12">
        <f t="shared" si="1"/>
        <v>0</v>
      </c>
      <c r="C213" s="12">
        <f t="shared" si="2"/>
        <v>0</v>
      </c>
      <c r="D213" s="12">
        <f t="shared" si="3"/>
        <v>0</v>
      </c>
      <c r="F213" s="10">
        <f t="shared" si="11"/>
        <v>0</v>
      </c>
    </row>
    <row r="214" spans="1:6" ht="14.25" customHeight="1" x14ac:dyDescent="0.3">
      <c r="A214" s="44">
        <v>202</v>
      </c>
      <c r="B214" s="12">
        <f t="shared" si="1"/>
        <v>0</v>
      </c>
      <c r="C214" s="12">
        <f t="shared" si="2"/>
        <v>0</v>
      </c>
      <c r="D214" s="12">
        <f t="shared" si="3"/>
        <v>0</v>
      </c>
      <c r="F214" s="10">
        <f t="shared" si="11"/>
        <v>0</v>
      </c>
    </row>
    <row r="215" spans="1:6" ht="14.25" customHeight="1" x14ac:dyDescent="0.3">
      <c r="A215" s="44">
        <v>203</v>
      </c>
      <c r="B215" s="12">
        <f t="shared" si="1"/>
        <v>0</v>
      </c>
      <c r="C215" s="12">
        <f t="shared" si="2"/>
        <v>0</v>
      </c>
      <c r="D215" s="12">
        <f t="shared" si="3"/>
        <v>0</v>
      </c>
      <c r="F215" s="10">
        <f t="shared" si="11"/>
        <v>0</v>
      </c>
    </row>
    <row r="216" spans="1:6" ht="14.25" customHeight="1" x14ac:dyDescent="0.3">
      <c r="A216" s="44">
        <v>204</v>
      </c>
      <c r="B216" s="12">
        <f t="shared" si="1"/>
        <v>0</v>
      </c>
      <c r="C216" s="12">
        <f t="shared" si="2"/>
        <v>0</v>
      </c>
      <c r="D216" s="12">
        <f t="shared" si="3"/>
        <v>0</v>
      </c>
      <c r="F216" s="10">
        <f t="shared" si="11"/>
        <v>0</v>
      </c>
    </row>
    <row r="217" spans="1:6" ht="14.25" customHeight="1" x14ac:dyDescent="0.3">
      <c r="A217" s="44">
        <v>205</v>
      </c>
      <c r="B217" s="12">
        <f t="shared" si="1"/>
        <v>0</v>
      </c>
      <c r="C217" s="12">
        <f t="shared" si="2"/>
        <v>0</v>
      </c>
      <c r="D217" s="12">
        <f t="shared" si="3"/>
        <v>0</v>
      </c>
      <c r="F217" s="10">
        <f t="shared" si="11"/>
        <v>0</v>
      </c>
    </row>
    <row r="218" spans="1:6" ht="14.25" customHeight="1" x14ac:dyDescent="0.3">
      <c r="A218" s="44">
        <v>206</v>
      </c>
      <c r="B218" s="12">
        <f t="shared" si="1"/>
        <v>0</v>
      </c>
      <c r="C218" s="12">
        <f t="shared" si="2"/>
        <v>0</v>
      </c>
      <c r="D218" s="12">
        <f t="shared" si="3"/>
        <v>0</v>
      </c>
      <c r="F218" s="10">
        <f t="shared" si="11"/>
        <v>0</v>
      </c>
    </row>
    <row r="219" spans="1:6" ht="14.25" customHeight="1" x14ac:dyDescent="0.3">
      <c r="A219" s="44">
        <v>207</v>
      </c>
      <c r="B219" s="12">
        <f t="shared" si="1"/>
        <v>0</v>
      </c>
      <c r="C219" s="12">
        <f t="shared" si="2"/>
        <v>0</v>
      </c>
      <c r="D219" s="12">
        <f t="shared" si="3"/>
        <v>0</v>
      </c>
      <c r="F219" s="10">
        <f t="shared" si="11"/>
        <v>0</v>
      </c>
    </row>
    <row r="220" spans="1:6" ht="14.25" customHeight="1" x14ac:dyDescent="0.3">
      <c r="A220" s="44">
        <v>208</v>
      </c>
      <c r="B220" s="12">
        <f t="shared" si="1"/>
        <v>0</v>
      </c>
      <c r="C220" s="12">
        <f t="shared" si="2"/>
        <v>0</v>
      </c>
      <c r="D220" s="12">
        <f t="shared" si="3"/>
        <v>0</v>
      </c>
      <c r="F220" s="10">
        <f t="shared" si="11"/>
        <v>0</v>
      </c>
    </row>
    <row r="221" spans="1:6" ht="14.25" customHeight="1" x14ac:dyDescent="0.3">
      <c r="A221" s="44">
        <v>209</v>
      </c>
      <c r="B221" s="12">
        <f t="shared" si="1"/>
        <v>0</v>
      </c>
      <c r="C221" s="12">
        <f t="shared" si="2"/>
        <v>0</v>
      </c>
      <c r="D221" s="12">
        <f t="shared" si="3"/>
        <v>0</v>
      </c>
      <c r="F221" s="10">
        <f t="shared" si="11"/>
        <v>0</v>
      </c>
    </row>
    <row r="222" spans="1:6" ht="14.25" customHeight="1" x14ac:dyDescent="0.3">
      <c r="A222" s="44">
        <v>210</v>
      </c>
      <c r="B222" s="12">
        <f t="shared" si="1"/>
        <v>0</v>
      </c>
      <c r="C222" s="12">
        <f t="shared" si="2"/>
        <v>0</v>
      </c>
      <c r="D222" s="12">
        <f t="shared" si="3"/>
        <v>0</v>
      </c>
      <c r="F222" s="10">
        <f t="shared" si="11"/>
        <v>0</v>
      </c>
    </row>
    <row r="223" spans="1:6" ht="14.25" customHeight="1" x14ac:dyDescent="0.3">
      <c r="A223" s="44">
        <v>211</v>
      </c>
      <c r="B223" s="12">
        <f t="shared" si="1"/>
        <v>0</v>
      </c>
      <c r="C223" s="12">
        <f t="shared" si="2"/>
        <v>0</v>
      </c>
      <c r="D223" s="12">
        <f t="shared" si="3"/>
        <v>0</v>
      </c>
      <c r="F223" s="10">
        <f t="shared" si="11"/>
        <v>0</v>
      </c>
    </row>
    <row r="224" spans="1:6" ht="14.25" customHeight="1" x14ac:dyDescent="0.3">
      <c r="A224" s="44">
        <v>212</v>
      </c>
      <c r="B224" s="12">
        <f t="shared" si="1"/>
        <v>0</v>
      </c>
      <c r="C224" s="12">
        <f t="shared" si="2"/>
        <v>0</v>
      </c>
      <c r="D224" s="12">
        <f t="shared" si="3"/>
        <v>0</v>
      </c>
      <c r="F224" s="10">
        <f t="shared" si="11"/>
        <v>0</v>
      </c>
    </row>
    <row r="225" spans="1:6" ht="14.25" customHeight="1" x14ac:dyDescent="0.3">
      <c r="A225" s="44">
        <v>213</v>
      </c>
      <c r="B225" s="12">
        <f t="shared" si="1"/>
        <v>0</v>
      </c>
      <c r="C225" s="12">
        <f t="shared" si="2"/>
        <v>0</v>
      </c>
      <c r="D225" s="12">
        <f t="shared" si="3"/>
        <v>0</v>
      </c>
      <c r="F225" s="10">
        <f t="shared" si="11"/>
        <v>0</v>
      </c>
    </row>
    <row r="226" spans="1:6" ht="14.25" customHeight="1" x14ac:dyDescent="0.3">
      <c r="A226" s="44">
        <v>214</v>
      </c>
      <c r="B226" s="12">
        <f t="shared" si="1"/>
        <v>0</v>
      </c>
      <c r="C226" s="12">
        <f t="shared" si="2"/>
        <v>0</v>
      </c>
      <c r="D226" s="12">
        <f t="shared" si="3"/>
        <v>0</v>
      </c>
      <c r="F226" s="10">
        <f t="shared" si="11"/>
        <v>0</v>
      </c>
    </row>
    <row r="227" spans="1:6" ht="14.25" customHeight="1" x14ac:dyDescent="0.3">
      <c r="A227" s="44">
        <v>215</v>
      </c>
      <c r="B227" s="12">
        <f t="shared" si="1"/>
        <v>0</v>
      </c>
      <c r="C227" s="12">
        <f t="shared" si="2"/>
        <v>0</v>
      </c>
      <c r="D227" s="12">
        <f t="shared" si="3"/>
        <v>0</v>
      </c>
      <c r="F227" s="10">
        <f t="shared" si="11"/>
        <v>0</v>
      </c>
    </row>
    <row r="228" spans="1:6" ht="14.25" customHeight="1" x14ac:dyDescent="0.3">
      <c r="A228" s="44">
        <v>216</v>
      </c>
      <c r="B228" s="12">
        <f t="shared" si="1"/>
        <v>0</v>
      </c>
      <c r="C228" s="12">
        <f t="shared" si="2"/>
        <v>0</v>
      </c>
      <c r="D228" s="12">
        <f t="shared" si="3"/>
        <v>0</v>
      </c>
      <c r="F228" s="10">
        <f t="shared" si="11"/>
        <v>0</v>
      </c>
    </row>
    <row r="229" spans="1:6" ht="14.25" customHeight="1" x14ac:dyDescent="0.3">
      <c r="A229" s="44">
        <v>217</v>
      </c>
      <c r="B229" s="12">
        <f t="shared" si="1"/>
        <v>0</v>
      </c>
      <c r="C229" s="12">
        <f t="shared" si="2"/>
        <v>0</v>
      </c>
      <c r="D229" s="12">
        <f t="shared" si="3"/>
        <v>0</v>
      </c>
      <c r="F229" s="10">
        <f t="shared" si="11"/>
        <v>0</v>
      </c>
    </row>
    <row r="230" spans="1:6" ht="14.25" customHeight="1" x14ac:dyDescent="0.3">
      <c r="A230" s="44">
        <v>218</v>
      </c>
      <c r="B230" s="12">
        <f t="shared" si="1"/>
        <v>0</v>
      </c>
      <c r="C230" s="12">
        <f t="shared" si="2"/>
        <v>0</v>
      </c>
      <c r="D230" s="12">
        <f t="shared" si="3"/>
        <v>0</v>
      </c>
      <c r="F230" s="10">
        <f t="shared" si="11"/>
        <v>0</v>
      </c>
    </row>
    <row r="231" spans="1:6" ht="14.25" customHeight="1" x14ac:dyDescent="0.3">
      <c r="A231" s="44">
        <v>219</v>
      </c>
      <c r="B231" s="12">
        <f t="shared" si="1"/>
        <v>0</v>
      </c>
      <c r="C231" s="12">
        <f t="shared" si="2"/>
        <v>0</v>
      </c>
      <c r="D231" s="12">
        <f t="shared" si="3"/>
        <v>0</v>
      </c>
      <c r="F231" s="10">
        <f t="shared" si="11"/>
        <v>0</v>
      </c>
    </row>
    <row r="232" spans="1:6" ht="14.25" customHeight="1" x14ac:dyDescent="0.3">
      <c r="A232" s="44">
        <v>220</v>
      </c>
      <c r="B232" s="12">
        <f t="shared" si="1"/>
        <v>0</v>
      </c>
      <c r="C232" s="12">
        <f t="shared" si="2"/>
        <v>0</v>
      </c>
      <c r="D232" s="12">
        <f t="shared" si="3"/>
        <v>0</v>
      </c>
      <c r="F232" s="10">
        <f t="shared" si="11"/>
        <v>0</v>
      </c>
    </row>
    <row r="233" spans="1:6" ht="14.25" customHeight="1" x14ac:dyDescent="0.3">
      <c r="A233" s="44">
        <v>221</v>
      </c>
      <c r="B233" s="12">
        <f t="shared" si="1"/>
        <v>0</v>
      </c>
      <c r="C233" s="12">
        <f t="shared" si="2"/>
        <v>0</v>
      </c>
      <c r="D233" s="12">
        <f t="shared" si="3"/>
        <v>0</v>
      </c>
      <c r="F233" s="10">
        <f t="shared" si="11"/>
        <v>0</v>
      </c>
    </row>
    <row r="234" spans="1:6" ht="14.25" customHeight="1" x14ac:dyDescent="0.3">
      <c r="A234" s="44">
        <v>222</v>
      </c>
      <c r="B234" s="12">
        <f t="shared" si="1"/>
        <v>0</v>
      </c>
      <c r="C234" s="12">
        <f t="shared" si="2"/>
        <v>0</v>
      </c>
      <c r="D234" s="12">
        <f t="shared" si="3"/>
        <v>0</v>
      </c>
      <c r="F234" s="10">
        <f t="shared" si="11"/>
        <v>0</v>
      </c>
    </row>
    <row r="235" spans="1:6" ht="14.25" customHeight="1" x14ac:dyDescent="0.3">
      <c r="A235" s="44">
        <v>223</v>
      </c>
      <c r="B235" s="12">
        <f t="shared" si="1"/>
        <v>0</v>
      </c>
      <c r="C235" s="12">
        <f t="shared" si="2"/>
        <v>0</v>
      </c>
      <c r="D235" s="12">
        <f t="shared" si="3"/>
        <v>0</v>
      </c>
      <c r="F235" s="10">
        <f t="shared" si="11"/>
        <v>0</v>
      </c>
    </row>
    <row r="236" spans="1:6" ht="14.25" customHeight="1" x14ac:dyDescent="0.3">
      <c r="A236" s="44">
        <v>224</v>
      </c>
      <c r="B236" s="12">
        <f t="shared" si="1"/>
        <v>0</v>
      </c>
      <c r="C236" s="12">
        <f t="shared" si="2"/>
        <v>0</v>
      </c>
      <c r="D236" s="12">
        <f t="shared" si="3"/>
        <v>0</v>
      </c>
      <c r="F236" s="10">
        <f t="shared" si="11"/>
        <v>0</v>
      </c>
    </row>
    <row r="237" spans="1:6" ht="14.25" customHeight="1" x14ac:dyDescent="0.3">
      <c r="A237" s="44">
        <v>225</v>
      </c>
      <c r="B237" s="12">
        <f t="shared" si="1"/>
        <v>0</v>
      </c>
      <c r="C237" s="12">
        <f t="shared" si="2"/>
        <v>0</v>
      </c>
      <c r="D237" s="12">
        <f t="shared" si="3"/>
        <v>0</v>
      </c>
      <c r="F237" s="10">
        <f t="shared" si="11"/>
        <v>0</v>
      </c>
    </row>
    <row r="238" spans="1:6" ht="14.25" customHeight="1" x14ac:dyDescent="0.3">
      <c r="A238" s="44">
        <v>226</v>
      </c>
      <c r="B238" s="12">
        <f t="shared" si="1"/>
        <v>0</v>
      </c>
      <c r="C238" s="12">
        <f t="shared" si="2"/>
        <v>0</v>
      </c>
      <c r="D238" s="12">
        <f t="shared" si="3"/>
        <v>0</v>
      </c>
      <c r="F238" s="10">
        <f t="shared" si="11"/>
        <v>0</v>
      </c>
    </row>
    <row r="239" spans="1:6" ht="14.25" customHeight="1" x14ac:dyDescent="0.3">
      <c r="A239" s="44">
        <v>227</v>
      </c>
      <c r="B239" s="12">
        <f t="shared" si="1"/>
        <v>0</v>
      </c>
      <c r="C239" s="12">
        <f t="shared" si="2"/>
        <v>0</v>
      </c>
      <c r="D239" s="12">
        <f t="shared" si="3"/>
        <v>0</v>
      </c>
      <c r="F239" s="10">
        <f t="shared" si="11"/>
        <v>0</v>
      </c>
    </row>
    <row r="240" spans="1:6" ht="14.25" customHeight="1" x14ac:dyDescent="0.3">
      <c r="A240" s="44">
        <v>228</v>
      </c>
      <c r="B240" s="12">
        <f t="shared" si="1"/>
        <v>0</v>
      </c>
      <c r="C240" s="12">
        <f t="shared" si="2"/>
        <v>0</v>
      </c>
      <c r="D240" s="12">
        <f t="shared" si="3"/>
        <v>0</v>
      </c>
      <c r="F240" s="10">
        <f t="shared" si="11"/>
        <v>0</v>
      </c>
    </row>
    <row r="241" spans="1:6" ht="14.25" customHeight="1" x14ac:dyDescent="0.3">
      <c r="A241" s="44">
        <v>229</v>
      </c>
      <c r="B241" s="12">
        <f t="shared" si="1"/>
        <v>0</v>
      </c>
      <c r="C241" s="12">
        <f t="shared" si="2"/>
        <v>0</v>
      </c>
      <c r="D241" s="12">
        <f t="shared" si="3"/>
        <v>0</v>
      </c>
      <c r="F241" s="10">
        <f t="shared" si="11"/>
        <v>0</v>
      </c>
    </row>
    <row r="242" spans="1:6" ht="14.25" customHeight="1" x14ac:dyDescent="0.3">
      <c r="A242" s="44">
        <v>230</v>
      </c>
      <c r="B242" s="12">
        <f t="shared" si="1"/>
        <v>0</v>
      </c>
      <c r="C242" s="12">
        <f t="shared" si="2"/>
        <v>0</v>
      </c>
      <c r="D242" s="12">
        <f t="shared" si="3"/>
        <v>0</v>
      </c>
      <c r="F242" s="10">
        <f t="shared" si="11"/>
        <v>0</v>
      </c>
    </row>
    <row r="243" spans="1:6" ht="14.25" customHeight="1" x14ac:dyDescent="0.3">
      <c r="A243" s="44">
        <v>231</v>
      </c>
      <c r="B243" s="12">
        <f t="shared" si="1"/>
        <v>0</v>
      </c>
      <c r="C243" s="12">
        <f t="shared" si="2"/>
        <v>0</v>
      </c>
      <c r="D243" s="12">
        <f t="shared" si="3"/>
        <v>0</v>
      </c>
      <c r="F243" s="10">
        <f t="shared" si="11"/>
        <v>0</v>
      </c>
    </row>
    <row r="244" spans="1:6" ht="14.25" customHeight="1" x14ac:dyDescent="0.3">
      <c r="A244" s="44">
        <v>232</v>
      </c>
      <c r="B244" s="12">
        <f t="shared" si="1"/>
        <v>0</v>
      </c>
      <c r="C244" s="12">
        <f t="shared" si="2"/>
        <v>0</v>
      </c>
      <c r="D244" s="12">
        <f t="shared" si="3"/>
        <v>0</v>
      </c>
      <c r="F244" s="10">
        <f t="shared" si="11"/>
        <v>0</v>
      </c>
    </row>
    <row r="245" spans="1:6" ht="14.25" customHeight="1" x14ac:dyDescent="0.3">
      <c r="A245" s="44">
        <v>233</v>
      </c>
      <c r="B245" s="12">
        <f t="shared" si="1"/>
        <v>0</v>
      </c>
      <c r="C245" s="12">
        <f t="shared" si="2"/>
        <v>0</v>
      </c>
      <c r="D245" s="12">
        <f t="shared" si="3"/>
        <v>0</v>
      </c>
      <c r="F245" s="10">
        <f t="shared" si="11"/>
        <v>0</v>
      </c>
    </row>
    <row r="246" spans="1:6" ht="14.25" customHeight="1" x14ac:dyDescent="0.3">
      <c r="A246" s="44">
        <v>234</v>
      </c>
      <c r="B246" s="12">
        <f t="shared" si="1"/>
        <v>0</v>
      </c>
      <c r="C246" s="12">
        <f t="shared" si="2"/>
        <v>0</v>
      </c>
      <c r="D246" s="12">
        <f t="shared" si="3"/>
        <v>0</v>
      </c>
      <c r="F246" s="10">
        <f t="shared" si="11"/>
        <v>0</v>
      </c>
    </row>
    <row r="247" spans="1:6" ht="14.25" customHeight="1" x14ac:dyDescent="0.3">
      <c r="A247" s="44">
        <v>235</v>
      </c>
      <c r="B247" s="12">
        <f t="shared" si="1"/>
        <v>0</v>
      </c>
      <c r="C247" s="12">
        <f t="shared" si="2"/>
        <v>0</v>
      </c>
      <c r="D247" s="12">
        <f t="shared" si="3"/>
        <v>0</v>
      </c>
      <c r="F247" s="10">
        <f t="shared" si="11"/>
        <v>0</v>
      </c>
    </row>
    <row r="248" spans="1:6" ht="14.25" customHeight="1" x14ac:dyDescent="0.3">
      <c r="A248" s="44">
        <v>236</v>
      </c>
      <c r="B248" s="12">
        <f t="shared" si="1"/>
        <v>0</v>
      </c>
      <c r="C248" s="12">
        <f t="shared" si="2"/>
        <v>0</v>
      </c>
      <c r="D248" s="12">
        <f t="shared" si="3"/>
        <v>0</v>
      </c>
      <c r="F248" s="10">
        <f t="shared" si="11"/>
        <v>0</v>
      </c>
    </row>
    <row r="249" spans="1:6" ht="14.25" customHeight="1" x14ac:dyDescent="0.3">
      <c r="A249" s="44">
        <v>237</v>
      </c>
      <c r="B249" s="12">
        <f t="shared" si="1"/>
        <v>0</v>
      </c>
      <c r="C249" s="12">
        <f t="shared" si="2"/>
        <v>0</v>
      </c>
      <c r="D249" s="12">
        <f t="shared" si="3"/>
        <v>0</v>
      </c>
      <c r="F249" s="10">
        <f t="shared" si="11"/>
        <v>0</v>
      </c>
    </row>
    <row r="250" spans="1:6" ht="14.25" customHeight="1" x14ac:dyDescent="0.3">
      <c r="A250" s="44">
        <v>238</v>
      </c>
      <c r="B250" s="12">
        <f t="shared" si="1"/>
        <v>0</v>
      </c>
      <c r="C250" s="12">
        <f t="shared" si="2"/>
        <v>0</v>
      </c>
      <c r="D250" s="12">
        <f t="shared" si="3"/>
        <v>0</v>
      </c>
      <c r="F250" s="10">
        <f t="shared" si="11"/>
        <v>0</v>
      </c>
    </row>
    <row r="251" spans="1:6" ht="14.25" customHeight="1" x14ac:dyDescent="0.3">
      <c r="A251" s="44">
        <v>239</v>
      </c>
      <c r="B251" s="12">
        <f t="shared" si="1"/>
        <v>0</v>
      </c>
      <c r="C251" s="12">
        <f t="shared" si="2"/>
        <v>0</v>
      </c>
      <c r="D251" s="12">
        <f t="shared" si="3"/>
        <v>0</v>
      </c>
      <c r="F251" s="10">
        <f t="shared" si="11"/>
        <v>0</v>
      </c>
    </row>
    <row r="252" spans="1:6" ht="14.25" customHeight="1" x14ac:dyDescent="0.3">
      <c r="A252" s="44">
        <v>240</v>
      </c>
      <c r="B252" s="12">
        <f t="shared" si="1"/>
        <v>0</v>
      </c>
      <c r="C252" s="12">
        <f t="shared" si="2"/>
        <v>0</v>
      </c>
      <c r="D252" s="12">
        <f t="shared" si="3"/>
        <v>0</v>
      </c>
      <c r="F252" s="10">
        <f t="shared" si="11"/>
        <v>0</v>
      </c>
    </row>
    <row r="253" spans="1:6" ht="14.25" customHeight="1" x14ac:dyDescent="0.3">
      <c r="A253" s="44">
        <v>241</v>
      </c>
      <c r="B253" s="12">
        <f t="shared" si="1"/>
        <v>0</v>
      </c>
      <c r="C253" s="12">
        <f t="shared" si="2"/>
        <v>0</v>
      </c>
      <c r="D253" s="12">
        <f t="shared" si="3"/>
        <v>0</v>
      </c>
      <c r="F253" s="10">
        <f t="shared" si="11"/>
        <v>0</v>
      </c>
    </row>
    <row r="254" spans="1:6" ht="14.25" customHeight="1" x14ac:dyDescent="0.3">
      <c r="A254" s="44">
        <v>242</v>
      </c>
      <c r="B254" s="12">
        <f t="shared" si="1"/>
        <v>0</v>
      </c>
      <c r="C254" s="12">
        <f t="shared" si="2"/>
        <v>0</v>
      </c>
      <c r="D254" s="12">
        <f t="shared" si="3"/>
        <v>0</v>
      </c>
      <c r="F254" s="10">
        <f t="shared" si="11"/>
        <v>0</v>
      </c>
    </row>
    <row r="255" spans="1:6" ht="14.25" customHeight="1" x14ac:dyDescent="0.3">
      <c r="A255" s="44">
        <v>243</v>
      </c>
      <c r="B255" s="12">
        <f t="shared" si="1"/>
        <v>0</v>
      </c>
      <c r="C255" s="12">
        <f t="shared" si="2"/>
        <v>0</v>
      </c>
      <c r="D255" s="12">
        <f t="shared" si="3"/>
        <v>0</v>
      </c>
      <c r="F255" s="10">
        <f t="shared" si="11"/>
        <v>0</v>
      </c>
    </row>
    <row r="256" spans="1:6" ht="14.25" customHeight="1" x14ac:dyDescent="0.3">
      <c r="A256" s="44">
        <v>244</v>
      </c>
      <c r="B256" s="12">
        <f t="shared" si="1"/>
        <v>0</v>
      </c>
      <c r="C256" s="12">
        <f t="shared" si="2"/>
        <v>0</v>
      </c>
      <c r="D256" s="12">
        <f t="shared" si="3"/>
        <v>0</v>
      </c>
      <c r="F256" s="10">
        <f t="shared" si="11"/>
        <v>0</v>
      </c>
    </row>
    <row r="257" spans="1:6" ht="14.25" customHeight="1" x14ac:dyDescent="0.3">
      <c r="A257" s="44">
        <v>245</v>
      </c>
      <c r="B257" s="12">
        <f t="shared" si="1"/>
        <v>0</v>
      </c>
      <c r="C257" s="12">
        <f t="shared" si="2"/>
        <v>0</v>
      </c>
      <c r="D257" s="12">
        <f t="shared" si="3"/>
        <v>0</v>
      </c>
      <c r="F257" s="10">
        <f t="shared" si="11"/>
        <v>0</v>
      </c>
    </row>
    <row r="258" spans="1:6" ht="14.25" customHeight="1" x14ac:dyDescent="0.3">
      <c r="A258" s="44">
        <v>246</v>
      </c>
      <c r="B258" s="12">
        <f t="shared" si="1"/>
        <v>0</v>
      </c>
      <c r="C258" s="12">
        <f t="shared" si="2"/>
        <v>0</v>
      </c>
      <c r="D258" s="12">
        <f t="shared" si="3"/>
        <v>0</v>
      </c>
      <c r="F258" s="10">
        <f t="shared" si="11"/>
        <v>0</v>
      </c>
    </row>
    <row r="259" spans="1:6" ht="14.25" customHeight="1" x14ac:dyDescent="0.3">
      <c r="A259" s="44">
        <v>247</v>
      </c>
      <c r="B259" s="12">
        <f t="shared" si="1"/>
        <v>0</v>
      </c>
      <c r="C259" s="12">
        <f t="shared" si="2"/>
        <v>0</v>
      </c>
      <c r="D259" s="12">
        <f t="shared" si="3"/>
        <v>0</v>
      </c>
      <c r="F259" s="10">
        <f t="shared" si="11"/>
        <v>0</v>
      </c>
    </row>
    <row r="260" spans="1:6" ht="14.25" customHeight="1" x14ac:dyDescent="0.3">
      <c r="A260" s="44">
        <v>248</v>
      </c>
      <c r="B260" s="12">
        <f t="shared" si="1"/>
        <v>0</v>
      </c>
      <c r="C260" s="12">
        <f t="shared" si="2"/>
        <v>0</v>
      </c>
      <c r="D260" s="12">
        <f t="shared" si="3"/>
        <v>0</v>
      </c>
      <c r="F260" s="10">
        <f t="shared" si="11"/>
        <v>0</v>
      </c>
    </row>
    <row r="261" spans="1:6" ht="14.25" customHeight="1" x14ac:dyDescent="0.3">
      <c r="A261" s="44">
        <v>249</v>
      </c>
      <c r="B261" s="12">
        <f t="shared" si="1"/>
        <v>0</v>
      </c>
      <c r="C261" s="12">
        <f t="shared" si="2"/>
        <v>0</v>
      </c>
      <c r="D261" s="12">
        <f t="shared" si="3"/>
        <v>0</v>
      </c>
      <c r="F261" s="10">
        <f t="shared" si="11"/>
        <v>0</v>
      </c>
    </row>
    <row r="262" spans="1:6" ht="14.25" customHeight="1" x14ac:dyDescent="0.3">
      <c r="A262" s="44">
        <v>250</v>
      </c>
      <c r="B262" s="12">
        <f t="shared" si="1"/>
        <v>0</v>
      </c>
      <c r="C262" s="12">
        <f t="shared" si="2"/>
        <v>0</v>
      </c>
      <c r="D262" s="12">
        <f t="shared" si="3"/>
        <v>0</v>
      </c>
      <c r="F262" s="10">
        <f t="shared" si="11"/>
        <v>0</v>
      </c>
    </row>
    <row r="263" spans="1:6" ht="14.25" customHeight="1" x14ac:dyDescent="0.3">
      <c r="A263" s="44">
        <v>251</v>
      </c>
      <c r="B263" s="12">
        <f t="shared" si="1"/>
        <v>0</v>
      </c>
      <c r="C263" s="12">
        <f t="shared" si="2"/>
        <v>0</v>
      </c>
      <c r="D263" s="12">
        <f t="shared" si="3"/>
        <v>0</v>
      </c>
      <c r="F263" s="10">
        <f t="shared" si="11"/>
        <v>0</v>
      </c>
    </row>
    <row r="264" spans="1:6" ht="14.25" customHeight="1" x14ac:dyDescent="0.3">
      <c r="A264" s="44">
        <v>252</v>
      </c>
      <c r="B264" s="12">
        <f t="shared" si="1"/>
        <v>0</v>
      </c>
      <c r="C264" s="12">
        <f t="shared" si="2"/>
        <v>0</v>
      </c>
      <c r="D264" s="12">
        <f t="shared" si="3"/>
        <v>0</v>
      </c>
      <c r="F264" s="10">
        <f t="shared" si="11"/>
        <v>0</v>
      </c>
    </row>
    <row r="265" spans="1:6" ht="14.25" customHeight="1" x14ac:dyDescent="0.3">
      <c r="A265" s="44">
        <v>253</v>
      </c>
      <c r="B265" s="12">
        <f t="shared" si="1"/>
        <v>0</v>
      </c>
      <c r="C265" s="12">
        <f t="shared" si="2"/>
        <v>0</v>
      </c>
      <c r="D265" s="12">
        <f t="shared" si="3"/>
        <v>0</v>
      </c>
      <c r="F265" s="10">
        <f t="shared" si="11"/>
        <v>0</v>
      </c>
    </row>
    <row r="266" spans="1:6" ht="14.25" customHeight="1" x14ac:dyDescent="0.3">
      <c r="A266" s="44">
        <v>254</v>
      </c>
      <c r="B266" s="12">
        <f t="shared" si="1"/>
        <v>0</v>
      </c>
      <c r="C266" s="12">
        <f t="shared" si="2"/>
        <v>0</v>
      </c>
      <c r="D266" s="12">
        <f t="shared" si="3"/>
        <v>0</v>
      </c>
      <c r="F266" s="10">
        <f t="shared" si="11"/>
        <v>0</v>
      </c>
    </row>
    <row r="267" spans="1:6" ht="14.25" customHeight="1" x14ac:dyDescent="0.3">
      <c r="A267" s="44">
        <v>255</v>
      </c>
      <c r="B267" s="12">
        <f t="shared" si="1"/>
        <v>0</v>
      </c>
      <c r="C267" s="12">
        <f t="shared" si="2"/>
        <v>0</v>
      </c>
      <c r="D267" s="12">
        <f t="shared" si="3"/>
        <v>0</v>
      </c>
      <c r="F267" s="10">
        <f t="shared" si="11"/>
        <v>0</v>
      </c>
    </row>
    <row r="268" spans="1:6" ht="14.25" customHeight="1" x14ac:dyDescent="0.3">
      <c r="A268" s="44">
        <v>256</v>
      </c>
      <c r="B268" s="12">
        <f t="shared" ref="B268:B372" si="12">IF($B$9&lt;=F267,$B$9,F267+F267*$B$7/$B$8)</f>
        <v>0</v>
      </c>
      <c r="C268" s="12">
        <f t="shared" ref="C268:C372" si="13">IF(B268&gt;0,$B$7/$B$8*F267,0)</f>
        <v>0</v>
      </c>
      <c r="D268" s="12">
        <f t="shared" ref="D268:D372" si="14">IF(B268&gt;0,MIN(B268-C268,F267),0)</f>
        <v>0</v>
      </c>
      <c r="F268" s="10">
        <f t="shared" si="11"/>
        <v>0</v>
      </c>
    </row>
    <row r="269" spans="1:6" ht="14.25" customHeight="1" x14ac:dyDescent="0.3">
      <c r="A269" s="44">
        <v>257</v>
      </c>
      <c r="B269" s="12">
        <f t="shared" si="12"/>
        <v>0</v>
      </c>
      <c r="C269" s="12">
        <f t="shared" si="13"/>
        <v>0</v>
      </c>
      <c r="D269" s="12">
        <f t="shared" si="14"/>
        <v>0</v>
      </c>
      <c r="F269" s="10">
        <f t="shared" ref="F269:F332" si="15">IF(ROUND(F268,5)&gt;0,F268-D269,0)</f>
        <v>0</v>
      </c>
    </row>
    <row r="270" spans="1:6" ht="14.25" customHeight="1" x14ac:dyDescent="0.3">
      <c r="A270" s="44">
        <v>258</v>
      </c>
      <c r="B270" s="12">
        <f t="shared" si="12"/>
        <v>0</v>
      </c>
      <c r="C270" s="12">
        <f t="shared" si="13"/>
        <v>0</v>
      </c>
      <c r="D270" s="12">
        <f t="shared" si="14"/>
        <v>0</v>
      </c>
      <c r="F270" s="10">
        <f t="shared" si="15"/>
        <v>0</v>
      </c>
    </row>
    <row r="271" spans="1:6" ht="14.25" customHeight="1" x14ac:dyDescent="0.3">
      <c r="A271" s="44">
        <v>259</v>
      </c>
      <c r="B271" s="12">
        <f t="shared" si="12"/>
        <v>0</v>
      </c>
      <c r="C271" s="12">
        <f t="shared" si="13"/>
        <v>0</v>
      </c>
      <c r="D271" s="12">
        <f t="shared" si="14"/>
        <v>0</v>
      </c>
      <c r="F271" s="10">
        <f t="shared" si="15"/>
        <v>0</v>
      </c>
    </row>
    <row r="272" spans="1:6" ht="14.25" customHeight="1" x14ac:dyDescent="0.3">
      <c r="A272" s="44">
        <v>260</v>
      </c>
      <c r="B272" s="12">
        <f t="shared" si="12"/>
        <v>0</v>
      </c>
      <c r="C272" s="12">
        <f t="shared" si="13"/>
        <v>0</v>
      </c>
      <c r="D272" s="12">
        <f t="shared" si="14"/>
        <v>0</v>
      </c>
      <c r="F272" s="10">
        <f t="shared" si="15"/>
        <v>0</v>
      </c>
    </row>
    <row r="273" spans="1:6" ht="14.25" customHeight="1" x14ac:dyDescent="0.3">
      <c r="A273" s="44">
        <v>261</v>
      </c>
      <c r="B273" s="12">
        <f t="shared" si="12"/>
        <v>0</v>
      </c>
      <c r="C273" s="12">
        <f t="shared" si="13"/>
        <v>0</v>
      </c>
      <c r="D273" s="12">
        <f t="shared" si="14"/>
        <v>0</v>
      </c>
      <c r="F273" s="10">
        <f t="shared" si="15"/>
        <v>0</v>
      </c>
    </row>
    <row r="274" spans="1:6" ht="14.25" customHeight="1" x14ac:dyDescent="0.3">
      <c r="A274" s="44">
        <v>262</v>
      </c>
      <c r="B274" s="12">
        <f t="shared" si="12"/>
        <v>0</v>
      </c>
      <c r="C274" s="12">
        <f t="shared" si="13"/>
        <v>0</v>
      </c>
      <c r="D274" s="12">
        <f t="shared" si="14"/>
        <v>0</v>
      </c>
      <c r="F274" s="10">
        <f t="shared" si="15"/>
        <v>0</v>
      </c>
    </row>
    <row r="275" spans="1:6" ht="14.25" customHeight="1" x14ac:dyDescent="0.3">
      <c r="A275" s="44">
        <v>263</v>
      </c>
      <c r="B275" s="12">
        <f t="shared" si="12"/>
        <v>0</v>
      </c>
      <c r="C275" s="12">
        <f t="shared" si="13"/>
        <v>0</v>
      </c>
      <c r="D275" s="12">
        <f t="shared" si="14"/>
        <v>0</v>
      </c>
      <c r="F275" s="10">
        <f t="shared" si="15"/>
        <v>0</v>
      </c>
    </row>
    <row r="276" spans="1:6" ht="14.25" customHeight="1" x14ac:dyDescent="0.3">
      <c r="A276" s="44">
        <v>264</v>
      </c>
      <c r="B276" s="12">
        <f t="shared" si="12"/>
        <v>0</v>
      </c>
      <c r="C276" s="12">
        <f t="shared" si="13"/>
        <v>0</v>
      </c>
      <c r="D276" s="12">
        <f t="shared" si="14"/>
        <v>0</v>
      </c>
      <c r="F276" s="10">
        <f t="shared" si="15"/>
        <v>0</v>
      </c>
    </row>
    <row r="277" spans="1:6" ht="14.25" customHeight="1" x14ac:dyDescent="0.3">
      <c r="A277" s="44">
        <v>265</v>
      </c>
      <c r="B277" s="12">
        <f t="shared" si="12"/>
        <v>0</v>
      </c>
      <c r="C277" s="12">
        <f t="shared" si="13"/>
        <v>0</v>
      </c>
      <c r="D277" s="12">
        <f t="shared" si="14"/>
        <v>0</v>
      </c>
      <c r="F277" s="10">
        <f t="shared" si="15"/>
        <v>0</v>
      </c>
    </row>
    <row r="278" spans="1:6" ht="14.25" customHeight="1" x14ac:dyDescent="0.3">
      <c r="A278" s="44">
        <v>266</v>
      </c>
      <c r="B278" s="12">
        <f t="shared" si="12"/>
        <v>0</v>
      </c>
      <c r="C278" s="12">
        <f t="shared" si="13"/>
        <v>0</v>
      </c>
      <c r="D278" s="12">
        <f t="shared" si="14"/>
        <v>0</v>
      </c>
      <c r="F278" s="10">
        <f t="shared" si="15"/>
        <v>0</v>
      </c>
    </row>
    <row r="279" spans="1:6" ht="14.25" customHeight="1" x14ac:dyDescent="0.3">
      <c r="A279" s="44">
        <v>267</v>
      </c>
      <c r="B279" s="12">
        <f t="shared" si="12"/>
        <v>0</v>
      </c>
      <c r="C279" s="12">
        <f t="shared" si="13"/>
        <v>0</v>
      </c>
      <c r="D279" s="12">
        <f t="shared" si="14"/>
        <v>0</v>
      </c>
      <c r="F279" s="10">
        <f t="shared" si="15"/>
        <v>0</v>
      </c>
    </row>
    <row r="280" spans="1:6" ht="14.25" customHeight="1" x14ac:dyDescent="0.3">
      <c r="A280" s="44">
        <v>268</v>
      </c>
      <c r="B280" s="12">
        <f t="shared" si="12"/>
        <v>0</v>
      </c>
      <c r="C280" s="12">
        <f t="shared" si="13"/>
        <v>0</v>
      </c>
      <c r="D280" s="12">
        <f t="shared" si="14"/>
        <v>0</v>
      </c>
      <c r="F280" s="10">
        <f t="shared" si="15"/>
        <v>0</v>
      </c>
    </row>
    <row r="281" spans="1:6" ht="14.25" customHeight="1" x14ac:dyDescent="0.3">
      <c r="A281" s="44">
        <v>269</v>
      </c>
      <c r="B281" s="12">
        <f t="shared" si="12"/>
        <v>0</v>
      </c>
      <c r="C281" s="12">
        <f t="shared" si="13"/>
        <v>0</v>
      </c>
      <c r="D281" s="12">
        <f t="shared" si="14"/>
        <v>0</v>
      </c>
      <c r="F281" s="10">
        <f t="shared" si="15"/>
        <v>0</v>
      </c>
    </row>
    <row r="282" spans="1:6" ht="14.25" customHeight="1" x14ac:dyDescent="0.3">
      <c r="A282" s="44">
        <v>270</v>
      </c>
      <c r="B282" s="12">
        <f t="shared" si="12"/>
        <v>0</v>
      </c>
      <c r="C282" s="12">
        <f t="shared" si="13"/>
        <v>0</v>
      </c>
      <c r="D282" s="12">
        <f t="shared" si="14"/>
        <v>0</v>
      </c>
      <c r="F282" s="10">
        <f t="shared" si="15"/>
        <v>0</v>
      </c>
    </row>
    <row r="283" spans="1:6" ht="14.25" customHeight="1" x14ac:dyDescent="0.3">
      <c r="A283" s="44">
        <v>271</v>
      </c>
      <c r="B283" s="12">
        <f t="shared" si="12"/>
        <v>0</v>
      </c>
      <c r="C283" s="12">
        <f t="shared" si="13"/>
        <v>0</v>
      </c>
      <c r="D283" s="12">
        <f t="shared" si="14"/>
        <v>0</v>
      </c>
      <c r="F283" s="10">
        <f t="shared" si="15"/>
        <v>0</v>
      </c>
    </row>
    <row r="284" spans="1:6" ht="14.25" customHeight="1" x14ac:dyDescent="0.3">
      <c r="A284" s="44">
        <v>272</v>
      </c>
      <c r="B284" s="12">
        <f t="shared" si="12"/>
        <v>0</v>
      </c>
      <c r="C284" s="12">
        <f t="shared" si="13"/>
        <v>0</v>
      </c>
      <c r="D284" s="12">
        <f t="shared" si="14"/>
        <v>0</v>
      </c>
      <c r="F284" s="10">
        <f t="shared" si="15"/>
        <v>0</v>
      </c>
    </row>
    <row r="285" spans="1:6" ht="14.25" customHeight="1" x14ac:dyDescent="0.3">
      <c r="A285" s="44">
        <v>273</v>
      </c>
      <c r="B285" s="12">
        <f t="shared" si="12"/>
        <v>0</v>
      </c>
      <c r="C285" s="12">
        <f t="shared" si="13"/>
        <v>0</v>
      </c>
      <c r="D285" s="12">
        <f t="shared" si="14"/>
        <v>0</v>
      </c>
      <c r="F285" s="10">
        <f t="shared" si="15"/>
        <v>0</v>
      </c>
    </row>
    <row r="286" spans="1:6" ht="14.25" customHeight="1" x14ac:dyDescent="0.3">
      <c r="A286" s="44">
        <v>274</v>
      </c>
      <c r="B286" s="12">
        <f t="shared" si="12"/>
        <v>0</v>
      </c>
      <c r="C286" s="12">
        <f t="shared" si="13"/>
        <v>0</v>
      </c>
      <c r="D286" s="12">
        <f t="shared" si="14"/>
        <v>0</v>
      </c>
      <c r="F286" s="10">
        <f t="shared" si="15"/>
        <v>0</v>
      </c>
    </row>
    <row r="287" spans="1:6" ht="14.25" customHeight="1" x14ac:dyDescent="0.3">
      <c r="A287" s="44">
        <v>275</v>
      </c>
      <c r="B287" s="12">
        <f t="shared" si="12"/>
        <v>0</v>
      </c>
      <c r="C287" s="12">
        <f t="shared" si="13"/>
        <v>0</v>
      </c>
      <c r="D287" s="12">
        <f t="shared" si="14"/>
        <v>0</v>
      </c>
      <c r="F287" s="10">
        <f t="shared" si="15"/>
        <v>0</v>
      </c>
    </row>
    <row r="288" spans="1:6" ht="14.25" customHeight="1" x14ac:dyDescent="0.3">
      <c r="A288" s="44">
        <v>276</v>
      </c>
      <c r="B288" s="12">
        <f t="shared" si="12"/>
        <v>0</v>
      </c>
      <c r="C288" s="12">
        <f t="shared" si="13"/>
        <v>0</v>
      </c>
      <c r="D288" s="12">
        <f t="shared" si="14"/>
        <v>0</v>
      </c>
      <c r="F288" s="10">
        <f t="shared" si="15"/>
        <v>0</v>
      </c>
    </row>
    <row r="289" spans="1:6" ht="14.25" customHeight="1" x14ac:dyDescent="0.3">
      <c r="A289" s="44">
        <v>277</v>
      </c>
      <c r="B289" s="12">
        <f t="shared" si="12"/>
        <v>0</v>
      </c>
      <c r="C289" s="12">
        <f t="shared" si="13"/>
        <v>0</v>
      </c>
      <c r="D289" s="12">
        <f t="shared" si="14"/>
        <v>0</v>
      </c>
      <c r="F289" s="10">
        <f t="shared" si="15"/>
        <v>0</v>
      </c>
    </row>
    <row r="290" spans="1:6" ht="14.25" customHeight="1" x14ac:dyDescent="0.3">
      <c r="A290" s="44">
        <v>278</v>
      </c>
      <c r="B290" s="12">
        <f t="shared" si="12"/>
        <v>0</v>
      </c>
      <c r="C290" s="12">
        <f t="shared" si="13"/>
        <v>0</v>
      </c>
      <c r="D290" s="12">
        <f t="shared" si="14"/>
        <v>0</v>
      </c>
      <c r="F290" s="10">
        <f t="shared" si="15"/>
        <v>0</v>
      </c>
    </row>
    <row r="291" spans="1:6" ht="14.25" customHeight="1" x14ac:dyDescent="0.3">
      <c r="A291" s="44">
        <v>279</v>
      </c>
      <c r="B291" s="12">
        <f t="shared" si="12"/>
        <v>0</v>
      </c>
      <c r="C291" s="12">
        <f t="shared" si="13"/>
        <v>0</v>
      </c>
      <c r="D291" s="12">
        <f t="shared" si="14"/>
        <v>0</v>
      </c>
      <c r="F291" s="10">
        <f t="shared" si="15"/>
        <v>0</v>
      </c>
    </row>
    <row r="292" spans="1:6" ht="14.25" customHeight="1" x14ac:dyDescent="0.3">
      <c r="A292" s="44">
        <v>280</v>
      </c>
      <c r="B292" s="12">
        <f t="shared" si="12"/>
        <v>0</v>
      </c>
      <c r="C292" s="12">
        <f t="shared" si="13"/>
        <v>0</v>
      </c>
      <c r="D292" s="12">
        <f t="shared" si="14"/>
        <v>0</v>
      </c>
      <c r="F292" s="10">
        <f t="shared" si="15"/>
        <v>0</v>
      </c>
    </row>
    <row r="293" spans="1:6" ht="14.25" customHeight="1" x14ac:dyDescent="0.3">
      <c r="A293" s="44">
        <v>281</v>
      </c>
      <c r="B293" s="12">
        <f t="shared" si="12"/>
        <v>0</v>
      </c>
      <c r="C293" s="12">
        <f t="shared" si="13"/>
        <v>0</v>
      </c>
      <c r="D293" s="12">
        <f t="shared" si="14"/>
        <v>0</v>
      </c>
      <c r="F293" s="10">
        <f t="shared" si="15"/>
        <v>0</v>
      </c>
    </row>
    <row r="294" spans="1:6" ht="14.25" customHeight="1" x14ac:dyDescent="0.3">
      <c r="A294" s="44">
        <v>282</v>
      </c>
      <c r="B294" s="12">
        <f t="shared" si="12"/>
        <v>0</v>
      </c>
      <c r="C294" s="12">
        <f t="shared" si="13"/>
        <v>0</v>
      </c>
      <c r="D294" s="12">
        <f t="shared" si="14"/>
        <v>0</v>
      </c>
      <c r="F294" s="10">
        <f t="shared" si="15"/>
        <v>0</v>
      </c>
    </row>
    <row r="295" spans="1:6" ht="14.25" customHeight="1" x14ac:dyDescent="0.3">
      <c r="A295" s="44">
        <v>283</v>
      </c>
      <c r="B295" s="12">
        <f t="shared" si="12"/>
        <v>0</v>
      </c>
      <c r="C295" s="12">
        <f t="shared" si="13"/>
        <v>0</v>
      </c>
      <c r="D295" s="12">
        <f t="shared" si="14"/>
        <v>0</v>
      </c>
      <c r="F295" s="10">
        <f t="shared" si="15"/>
        <v>0</v>
      </c>
    </row>
    <row r="296" spans="1:6" ht="14.25" customHeight="1" x14ac:dyDescent="0.3">
      <c r="A296" s="44">
        <v>284</v>
      </c>
      <c r="B296" s="12">
        <f t="shared" si="12"/>
        <v>0</v>
      </c>
      <c r="C296" s="12">
        <f t="shared" si="13"/>
        <v>0</v>
      </c>
      <c r="D296" s="12">
        <f t="shared" si="14"/>
        <v>0</v>
      </c>
      <c r="F296" s="10">
        <f t="shared" si="15"/>
        <v>0</v>
      </c>
    </row>
    <row r="297" spans="1:6" ht="14.25" customHeight="1" x14ac:dyDescent="0.3">
      <c r="A297" s="44">
        <v>285</v>
      </c>
      <c r="B297" s="12">
        <f t="shared" si="12"/>
        <v>0</v>
      </c>
      <c r="C297" s="12">
        <f t="shared" si="13"/>
        <v>0</v>
      </c>
      <c r="D297" s="12">
        <f t="shared" si="14"/>
        <v>0</v>
      </c>
      <c r="F297" s="10">
        <f t="shared" si="15"/>
        <v>0</v>
      </c>
    </row>
    <row r="298" spans="1:6" ht="14.25" customHeight="1" x14ac:dyDescent="0.3">
      <c r="A298" s="44">
        <v>286</v>
      </c>
      <c r="B298" s="12">
        <f t="shared" si="12"/>
        <v>0</v>
      </c>
      <c r="C298" s="12">
        <f t="shared" si="13"/>
        <v>0</v>
      </c>
      <c r="D298" s="12">
        <f t="shared" si="14"/>
        <v>0</v>
      </c>
      <c r="F298" s="10">
        <f t="shared" si="15"/>
        <v>0</v>
      </c>
    </row>
    <row r="299" spans="1:6" ht="14.25" customHeight="1" x14ac:dyDescent="0.3">
      <c r="A299" s="44">
        <v>287</v>
      </c>
      <c r="B299" s="12">
        <f t="shared" si="12"/>
        <v>0</v>
      </c>
      <c r="C299" s="12">
        <f t="shared" si="13"/>
        <v>0</v>
      </c>
      <c r="D299" s="12">
        <f t="shared" si="14"/>
        <v>0</v>
      </c>
      <c r="F299" s="10">
        <f t="shared" si="15"/>
        <v>0</v>
      </c>
    </row>
    <row r="300" spans="1:6" ht="14.25" customHeight="1" x14ac:dyDescent="0.3">
      <c r="A300" s="44">
        <v>288</v>
      </c>
      <c r="B300" s="12">
        <f t="shared" si="12"/>
        <v>0</v>
      </c>
      <c r="C300" s="12">
        <f t="shared" si="13"/>
        <v>0</v>
      </c>
      <c r="D300" s="12">
        <f t="shared" si="14"/>
        <v>0</v>
      </c>
      <c r="F300" s="10">
        <f t="shared" si="15"/>
        <v>0</v>
      </c>
    </row>
    <row r="301" spans="1:6" ht="14.25" customHeight="1" x14ac:dyDescent="0.3">
      <c r="A301" s="44">
        <v>289</v>
      </c>
      <c r="B301" s="12">
        <f t="shared" si="12"/>
        <v>0</v>
      </c>
      <c r="C301" s="12">
        <f t="shared" si="13"/>
        <v>0</v>
      </c>
      <c r="D301" s="12">
        <f t="shared" si="14"/>
        <v>0</v>
      </c>
      <c r="F301" s="10">
        <f t="shared" si="15"/>
        <v>0</v>
      </c>
    </row>
    <row r="302" spans="1:6" ht="14.25" customHeight="1" x14ac:dyDescent="0.3">
      <c r="A302" s="44">
        <v>290</v>
      </c>
      <c r="B302" s="12">
        <f t="shared" si="12"/>
        <v>0</v>
      </c>
      <c r="C302" s="12">
        <f t="shared" si="13"/>
        <v>0</v>
      </c>
      <c r="D302" s="12">
        <f t="shared" si="14"/>
        <v>0</v>
      </c>
      <c r="F302" s="10">
        <f t="shared" si="15"/>
        <v>0</v>
      </c>
    </row>
    <row r="303" spans="1:6" ht="14.25" customHeight="1" x14ac:dyDescent="0.3">
      <c r="A303" s="44">
        <v>291</v>
      </c>
      <c r="B303" s="12">
        <f t="shared" si="12"/>
        <v>0</v>
      </c>
      <c r="C303" s="12">
        <f t="shared" si="13"/>
        <v>0</v>
      </c>
      <c r="D303" s="12">
        <f t="shared" si="14"/>
        <v>0</v>
      </c>
      <c r="F303" s="10">
        <f t="shared" si="15"/>
        <v>0</v>
      </c>
    </row>
    <row r="304" spans="1:6" ht="14.25" customHeight="1" x14ac:dyDescent="0.3">
      <c r="A304" s="44">
        <v>292</v>
      </c>
      <c r="B304" s="12">
        <f t="shared" si="12"/>
        <v>0</v>
      </c>
      <c r="C304" s="12">
        <f t="shared" si="13"/>
        <v>0</v>
      </c>
      <c r="D304" s="12">
        <f t="shared" si="14"/>
        <v>0</v>
      </c>
      <c r="F304" s="10">
        <f t="shared" si="15"/>
        <v>0</v>
      </c>
    </row>
    <row r="305" spans="1:6" ht="14.25" customHeight="1" x14ac:dyDescent="0.3">
      <c r="A305" s="44">
        <v>293</v>
      </c>
      <c r="B305" s="12">
        <f t="shared" si="12"/>
        <v>0</v>
      </c>
      <c r="C305" s="12">
        <f t="shared" si="13"/>
        <v>0</v>
      </c>
      <c r="D305" s="12">
        <f t="shared" si="14"/>
        <v>0</v>
      </c>
      <c r="F305" s="10">
        <f t="shared" si="15"/>
        <v>0</v>
      </c>
    </row>
    <row r="306" spans="1:6" ht="14.25" customHeight="1" x14ac:dyDescent="0.3">
      <c r="A306" s="44">
        <v>294</v>
      </c>
      <c r="B306" s="12">
        <f t="shared" si="12"/>
        <v>0</v>
      </c>
      <c r="C306" s="12">
        <f t="shared" si="13"/>
        <v>0</v>
      </c>
      <c r="D306" s="12">
        <f t="shared" si="14"/>
        <v>0</v>
      </c>
      <c r="F306" s="10">
        <f t="shared" si="15"/>
        <v>0</v>
      </c>
    </row>
    <row r="307" spans="1:6" ht="14.25" customHeight="1" x14ac:dyDescent="0.3">
      <c r="A307" s="44">
        <v>295</v>
      </c>
      <c r="B307" s="12">
        <f t="shared" si="12"/>
        <v>0</v>
      </c>
      <c r="C307" s="12">
        <f t="shared" si="13"/>
        <v>0</v>
      </c>
      <c r="D307" s="12">
        <f t="shared" si="14"/>
        <v>0</v>
      </c>
      <c r="F307" s="10">
        <f t="shared" si="15"/>
        <v>0</v>
      </c>
    </row>
    <row r="308" spans="1:6" ht="14.25" customHeight="1" x14ac:dyDescent="0.3">
      <c r="A308" s="44">
        <v>296</v>
      </c>
      <c r="B308" s="12">
        <f t="shared" si="12"/>
        <v>0</v>
      </c>
      <c r="C308" s="12">
        <f t="shared" si="13"/>
        <v>0</v>
      </c>
      <c r="D308" s="12">
        <f t="shared" si="14"/>
        <v>0</v>
      </c>
      <c r="F308" s="10">
        <f t="shared" si="15"/>
        <v>0</v>
      </c>
    </row>
    <row r="309" spans="1:6" ht="14.25" customHeight="1" x14ac:dyDescent="0.3">
      <c r="A309" s="44">
        <v>297</v>
      </c>
      <c r="B309" s="12">
        <f t="shared" si="12"/>
        <v>0</v>
      </c>
      <c r="C309" s="12">
        <f t="shared" si="13"/>
        <v>0</v>
      </c>
      <c r="D309" s="12">
        <f t="shared" si="14"/>
        <v>0</v>
      </c>
      <c r="F309" s="10">
        <f t="shared" si="15"/>
        <v>0</v>
      </c>
    </row>
    <row r="310" spans="1:6" ht="14.25" customHeight="1" x14ac:dyDescent="0.3">
      <c r="A310" s="44">
        <v>298</v>
      </c>
      <c r="B310" s="12">
        <f t="shared" si="12"/>
        <v>0</v>
      </c>
      <c r="C310" s="12">
        <f t="shared" si="13"/>
        <v>0</v>
      </c>
      <c r="D310" s="12">
        <f t="shared" si="14"/>
        <v>0</v>
      </c>
      <c r="F310" s="10">
        <f t="shared" si="15"/>
        <v>0</v>
      </c>
    </row>
    <row r="311" spans="1:6" ht="14.25" customHeight="1" x14ac:dyDescent="0.3">
      <c r="A311" s="44">
        <v>299</v>
      </c>
      <c r="B311" s="12">
        <f t="shared" si="12"/>
        <v>0</v>
      </c>
      <c r="C311" s="12">
        <f t="shared" si="13"/>
        <v>0</v>
      </c>
      <c r="D311" s="12">
        <f t="shared" si="14"/>
        <v>0</v>
      </c>
      <c r="F311" s="10">
        <f t="shared" si="15"/>
        <v>0</v>
      </c>
    </row>
    <row r="312" spans="1:6" ht="14.25" customHeight="1" x14ac:dyDescent="0.3">
      <c r="A312" s="44">
        <v>300</v>
      </c>
      <c r="B312" s="12">
        <f t="shared" si="12"/>
        <v>0</v>
      </c>
      <c r="C312" s="12">
        <f t="shared" si="13"/>
        <v>0</v>
      </c>
      <c r="D312" s="12">
        <f t="shared" si="14"/>
        <v>0</v>
      </c>
      <c r="F312" s="10">
        <f t="shared" si="15"/>
        <v>0</v>
      </c>
    </row>
    <row r="313" spans="1:6" ht="14.25" customHeight="1" x14ac:dyDescent="0.3">
      <c r="A313" s="44">
        <v>301</v>
      </c>
      <c r="B313" s="12">
        <f t="shared" si="12"/>
        <v>0</v>
      </c>
      <c r="C313" s="12">
        <f t="shared" si="13"/>
        <v>0</v>
      </c>
      <c r="D313" s="12">
        <f t="shared" si="14"/>
        <v>0</v>
      </c>
      <c r="F313" s="10">
        <f t="shared" si="15"/>
        <v>0</v>
      </c>
    </row>
    <row r="314" spans="1:6" ht="14.25" customHeight="1" x14ac:dyDescent="0.3">
      <c r="A314" s="44">
        <v>302</v>
      </c>
      <c r="B314" s="12">
        <f t="shared" si="12"/>
        <v>0</v>
      </c>
      <c r="C314" s="12">
        <f t="shared" si="13"/>
        <v>0</v>
      </c>
      <c r="D314" s="12">
        <f t="shared" si="14"/>
        <v>0</v>
      </c>
      <c r="F314" s="10">
        <f t="shared" si="15"/>
        <v>0</v>
      </c>
    </row>
    <row r="315" spans="1:6" ht="14.25" customHeight="1" x14ac:dyDescent="0.3">
      <c r="A315" s="44">
        <v>303</v>
      </c>
      <c r="B315" s="12">
        <f t="shared" si="12"/>
        <v>0</v>
      </c>
      <c r="C315" s="12">
        <f t="shared" si="13"/>
        <v>0</v>
      </c>
      <c r="D315" s="12">
        <f t="shared" si="14"/>
        <v>0</v>
      </c>
      <c r="F315" s="10">
        <f t="shared" si="15"/>
        <v>0</v>
      </c>
    </row>
    <row r="316" spans="1:6" ht="14.25" customHeight="1" x14ac:dyDescent="0.3">
      <c r="A316" s="44">
        <v>304</v>
      </c>
      <c r="B316" s="12">
        <f t="shared" si="12"/>
        <v>0</v>
      </c>
      <c r="C316" s="12">
        <f t="shared" si="13"/>
        <v>0</v>
      </c>
      <c r="D316" s="12">
        <f t="shared" si="14"/>
        <v>0</v>
      </c>
      <c r="F316" s="10">
        <f t="shared" si="15"/>
        <v>0</v>
      </c>
    </row>
    <row r="317" spans="1:6" ht="14.25" customHeight="1" x14ac:dyDescent="0.3">
      <c r="A317" s="44">
        <v>305</v>
      </c>
      <c r="B317" s="12">
        <f t="shared" si="12"/>
        <v>0</v>
      </c>
      <c r="C317" s="12">
        <f t="shared" si="13"/>
        <v>0</v>
      </c>
      <c r="D317" s="12">
        <f t="shared" si="14"/>
        <v>0</v>
      </c>
      <c r="F317" s="10">
        <f t="shared" si="15"/>
        <v>0</v>
      </c>
    </row>
    <row r="318" spans="1:6" ht="14.25" customHeight="1" x14ac:dyDescent="0.3">
      <c r="A318" s="44">
        <v>306</v>
      </c>
      <c r="B318" s="12">
        <f t="shared" si="12"/>
        <v>0</v>
      </c>
      <c r="C318" s="12">
        <f t="shared" si="13"/>
        <v>0</v>
      </c>
      <c r="D318" s="12">
        <f t="shared" si="14"/>
        <v>0</v>
      </c>
      <c r="F318" s="10">
        <f t="shared" si="15"/>
        <v>0</v>
      </c>
    </row>
    <row r="319" spans="1:6" ht="14.25" customHeight="1" x14ac:dyDescent="0.3">
      <c r="A319" s="44">
        <v>307</v>
      </c>
      <c r="B319" s="12">
        <f t="shared" si="12"/>
        <v>0</v>
      </c>
      <c r="C319" s="12">
        <f t="shared" si="13"/>
        <v>0</v>
      </c>
      <c r="D319" s="12">
        <f t="shared" si="14"/>
        <v>0</v>
      </c>
      <c r="F319" s="10">
        <f t="shared" si="15"/>
        <v>0</v>
      </c>
    </row>
    <row r="320" spans="1:6" ht="14.25" customHeight="1" x14ac:dyDescent="0.3">
      <c r="A320" s="44">
        <v>308</v>
      </c>
      <c r="B320" s="12">
        <f t="shared" si="12"/>
        <v>0</v>
      </c>
      <c r="C320" s="12">
        <f t="shared" si="13"/>
        <v>0</v>
      </c>
      <c r="D320" s="12">
        <f t="shared" si="14"/>
        <v>0</v>
      </c>
      <c r="F320" s="10">
        <f t="shared" si="15"/>
        <v>0</v>
      </c>
    </row>
    <row r="321" spans="1:6" ht="14.25" customHeight="1" x14ac:dyDescent="0.3">
      <c r="A321" s="44">
        <v>309</v>
      </c>
      <c r="B321" s="12">
        <f t="shared" si="12"/>
        <v>0</v>
      </c>
      <c r="C321" s="12">
        <f t="shared" si="13"/>
        <v>0</v>
      </c>
      <c r="D321" s="12">
        <f t="shared" si="14"/>
        <v>0</v>
      </c>
      <c r="F321" s="10">
        <f t="shared" si="15"/>
        <v>0</v>
      </c>
    </row>
    <row r="322" spans="1:6" ht="14.25" customHeight="1" x14ac:dyDescent="0.3">
      <c r="A322" s="44">
        <v>310</v>
      </c>
      <c r="B322" s="12">
        <f t="shared" si="12"/>
        <v>0</v>
      </c>
      <c r="C322" s="12">
        <f t="shared" si="13"/>
        <v>0</v>
      </c>
      <c r="D322" s="12">
        <f t="shared" si="14"/>
        <v>0</v>
      </c>
      <c r="F322" s="10">
        <f t="shared" si="15"/>
        <v>0</v>
      </c>
    </row>
    <row r="323" spans="1:6" ht="14.25" customHeight="1" x14ac:dyDescent="0.3">
      <c r="A323" s="44">
        <v>311</v>
      </c>
      <c r="B323" s="12">
        <f t="shared" si="12"/>
        <v>0</v>
      </c>
      <c r="C323" s="12">
        <f t="shared" si="13"/>
        <v>0</v>
      </c>
      <c r="D323" s="12">
        <f t="shared" si="14"/>
        <v>0</v>
      </c>
      <c r="F323" s="10">
        <f t="shared" si="15"/>
        <v>0</v>
      </c>
    </row>
    <row r="324" spans="1:6" ht="14.25" customHeight="1" x14ac:dyDescent="0.3">
      <c r="A324" s="44">
        <v>312</v>
      </c>
      <c r="B324" s="12">
        <f t="shared" si="12"/>
        <v>0</v>
      </c>
      <c r="C324" s="12">
        <f t="shared" si="13"/>
        <v>0</v>
      </c>
      <c r="D324" s="12">
        <f t="shared" si="14"/>
        <v>0</v>
      </c>
      <c r="F324" s="10">
        <f t="shared" si="15"/>
        <v>0</v>
      </c>
    </row>
    <row r="325" spans="1:6" ht="14.25" customHeight="1" x14ac:dyDescent="0.3">
      <c r="A325" s="44">
        <v>313</v>
      </c>
      <c r="B325" s="12">
        <f t="shared" si="12"/>
        <v>0</v>
      </c>
      <c r="C325" s="12">
        <f t="shared" si="13"/>
        <v>0</v>
      </c>
      <c r="D325" s="12">
        <f t="shared" si="14"/>
        <v>0</v>
      </c>
      <c r="F325" s="10">
        <f t="shared" si="15"/>
        <v>0</v>
      </c>
    </row>
    <row r="326" spans="1:6" ht="14.25" customHeight="1" x14ac:dyDescent="0.3">
      <c r="A326" s="44">
        <v>314</v>
      </c>
      <c r="B326" s="12">
        <f t="shared" si="12"/>
        <v>0</v>
      </c>
      <c r="C326" s="12">
        <f t="shared" si="13"/>
        <v>0</v>
      </c>
      <c r="D326" s="12">
        <f t="shared" si="14"/>
        <v>0</v>
      </c>
      <c r="F326" s="10">
        <f t="shared" si="15"/>
        <v>0</v>
      </c>
    </row>
    <row r="327" spans="1:6" ht="14.25" customHeight="1" x14ac:dyDescent="0.3">
      <c r="A327" s="44">
        <v>315</v>
      </c>
      <c r="B327" s="12">
        <f t="shared" si="12"/>
        <v>0</v>
      </c>
      <c r="C327" s="12">
        <f t="shared" si="13"/>
        <v>0</v>
      </c>
      <c r="D327" s="12">
        <f t="shared" si="14"/>
        <v>0</v>
      </c>
      <c r="F327" s="10">
        <f t="shared" si="15"/>
        <v>0</v>
      </c>
    </row>
    <row r="328" spans="1:6" ht="14.25" customHeight="1" x14ac:dyDescent="0.3">
      <c r="A328" s="44">
        <v>316</v>
      </c>
      <c r="B328" s="12">
        <f t="shared" si="12"/>
        <v>0</v>
      </c>
      <c r="C328" s="12">
        <f t="shared" si="13"/>
        <v>0</v>
      </c>
      <c r="D328" s="12">
        <f t="shared" si="14"/>
        <v>0</v>
      </c>
      <c r="F328" s="10">
        <f t="shared" si="15"/>
        <v>0</v>
      </c>
    </row>
    <row r="329" spans="1:6" ht="14.25" customHeight="1" x14ac:dyDescent="0.3">
      <c r="A329" s="44">
        <v>317</v>
      </c>
      <c r="B329" s="12">
        <f t="shared" si="12"/>
        <v>0</v>
      </c>
      <c r="C329" s="12">
        <f t="shared" si="13"/>
        <v>0</v>
      </c>
      <c r="D329" s="12">
        <f t="shared" si="14"/>
        <v>0</v>
      </c>
      <c r="F329" s="10">
        <f t="shared" si="15"/>
        <v>0</v>
      </c>
    </row>
    <row r="330" spans="1:6" ht="14.25" customHeight="1" x14ac:dyDescent="0.3">
      <c r="A330" s="44">
        <v>318</v>
      </c>
      <c r="B330" s="12">
        <f t="shared" si="12"/>
        <v>0</v>
      </c>
      <c r="C330" s="12">
        <f t="shared" si="13"/>
        <v>0</v>
      </c>
      <c r="D330" s="12">
        <f t="shared" si="14"/>
        <v>0</v>
      </c>
      <c r="F330" s="10">
        <f t="shared" si="15"/>
        <v>0</v>
      </c>
    </row>
    <row r="331" spans="1:6" ht="14.25" customHeight="1" x14ac:dyDescent="0.3">
      <c r="A331" s="44">
        <v>319</v>
      </c>
      <c r="B331" s="12">
        <f t="shared" si="12"/>
        <v>0</v>
      </c>
      <c r="C331" s="12">
        <f t="shared" si="13"/>
        <v>0</v>
      </c>
      <c r="D331" s="12">
        <f t="shared" si="14"/>
        <v>0</v>
      </c>
      <c r="F331" s="10">
        <f t="shared" si="15"/>
        <v>0</v>
      </c>
    </row>
    <row r="332" spans="1:6" ht="14.25" customHeight="1" x14ac:dyDescent="0.3">
      <c r="A332" s="44">
        <v>320</v>
      </c>
      <c r="B332" s="12">
        <f t="shared" si="12"/>
        <v>0</v>
      </c>
      <c r="C332" s="12">
        <f t="shared" si="13"/>
        <v>0</v>
      </c>
      <c r="D332" s="12">
        <f t="shared" si="14"/>
        <v>0</v>
      </c>
      <c r="F332" s="10">
        <f t="shared" si="15"/>
        <v>0</v>
      </c>
    </row>
    <row r="333" spans="1:6" ht="14.25" customHeight="1" x14ac:dyDescent="0.3">
      <c r="A333" s="44">
        <v>321</v>
      </c>
      <c r="B333" s="12">
        <f t="shared" si="12"/>
        <v>0</v>
      </c>
      <c r="C333" s="12">
        <f t="shared" si="13"/>
        <v>0</v>
      </c>
      <c r="D333" s="12">
        <f t="shared" si="14"/>
        <v>0</v>
      </c>
      <c r="F333" s="10">
        <f t="shared" ref="F333:F372" si="16">IF(ROUND(F332,5)&gt;0,F332-D333,0)</f>
        <v>0</v>
      </c>
    </row>
    <row r="334" spans="1:6" ht="14.25" customHeight="1" x14ac:dyDescent="0.3">
      <c r="A334" s="44">
        <v>322</v>
      </c>
      <c r="B334" s="12">
        <f t="shared" si="12"/>
        <v>0</v>
      </c>
      <c r="C334" s="12">
        <f t="shared" si="13"/>
        <v>0</v>
      </c>
      <c r="D334" s="12">
        <f t="shared" si="14"/>
        <v>0</v>
      </c>
      <c r="F334" s="10">
        <f t="shared" si="16"/>
        <v>0</v>
      </c>
    </row>
    <row r="335" spans="1:6" ht="14.25" customHeight="1" x14ac:dyDescent="0.3">
      <c r="A335" s="44">
        <v>323</v>
      </c>
      <c r="B335" s="12">
        <f t="shared" si="12"/>
        <v>0</v>
      </c>
      <c r="C335" s="12">
        <f t="shared" si="13"/>
        <v>0</v>
      </c>
      <c r="D335" s="12">
        <f t="shared" si="14"/>
        <v>0</v>
      </c>
      <c r="F335" s="10">
        <f t="shared" si="16"/>
        <v>0</v>
      </c>
    </row>
    <row r="336" spans="1:6" ht="14.25" customHeight="1" x14ac:dyDescent="0.3">
      <c r="A336" s="44">
        <v>324</v>
      </c>
      <c r="B336" s="12">
        <f t="shared" si="12"/>
        <v>0</v>
      </c>
      <c r="C336" s="12">
        <f t="shared" si="13"/>
        <v>0</v>
      </c>
      <c r="D336" s="12">
        <f t="shared" si="14"/>
        <v>0</v>
      </c>
      <c r="F336" s="10">
        <f t="shared" si="16"/>
        <v>0</v>
      </c>
    </row>
    <row r="337" spans="1:6" ht="14.25" customHeight="1" x14ac:dyDescent="0.3">
      <c r="A337" s="44">
        <v>325</v>
      </c>
      <c r="B337" s="12">
        <f t="shared" si="12"/>
        <v>0</v>
      </c>
      <c r="C337" s="12">
        <f t="shared" si="13"/>
        <v>0</v>
      </c>
      <c r="D337" s="12">
        <f t="shared" si="14"/>
        <v>0</v>
      </c>
      <c r="F337" s="10">
        <f t="shared" si="16"/>
        <v>0</v>
      </c>
    </row>
    <row r="338" spans="1:6" ht="14.25" customHeight="1" x14ac:dyDescent="0.3">
      <c r="A338" s="44">
        <v>326</v>
      </c>
      <c r="B338" s="12">
        <f t="shared" si="12"/>
        <v>0</v>
      </c>
      <c r="C338" s="12">
        <f t="shared" si="13"/>
        <v>0</v>
      </c>
      <c r="D338" s="12">
        <f t="shared" si="14"/>
        <v>0</v>
      </c>
      <c r="F338" s="10">
        <f t="shared" si="16"/>
        <v>0</v>
      </c>
    </row>
    <row r="339" spans="1:6" ht="14.25" customHeight="1" x14ac:dyDescent="0.3">
      <c r="A339" s="44">
        <v>327</v>
      </c>
      <c r="B339" s="12">
        <f t="shared" si="12"/>
        <v>0</v>
      </c>
      <c r="C339" s="12">
        <f t="shared" si="13"/>
        <v>0</v>
      </c>
      <c r="D339" s="12">
        <f t="shared" si="14"/>
        <v>0</v>
      </c>
      <c r="F339" s="10">
        <f t="shared" si="16"/>
        <v>0</v>
      </c>
    </row>
    <row r="340" spans="1:6" ht="14.25" customHeight="1" x14ac:dyDescent="0.3">
      <c r="A340" s="44">
        <v>328</v>
      </c>
      <c r="B340" s="12">
        <f t="shared" si="12"/>
        <v>0</v>
      </c>
      <c r="C340" s="12">
        <f t="shared" si="13"/>
        <v>0</v>
      </c>
      <c r="D340" s="12">
        <f t="shared" si="14"/>
        <v>0</v>
      </c>
      <c r="F340" s="10">
        <f t="shared" si="16"/>
        <v>0</v>
      </c>
    </row>
    <row r="341" spans="1:6" ht="14.25" customHeight="1" x14ac:dyDescent="0.3">
      <c r="A341" s="44">
        <v>329</v>
      </c>
      <c r="B341" s="12">
        <f t="shared" si="12"/>
        <v>0</v>
      </c>
      <c r="C341" s="12">
        <f t="shared" si="13"/>
        <v>0</v>
      </c>
      <c r="D341" s="12">
        <f t="shared" si="14"/>
        <v>0</v>
      </c>
      <c r="F341" s="10">
        <f t="shared" si="16"/>
        <v>0</v>
      </c>
    </row>
    <row r="342" spans="1:6" ht="14.25" customHeight="1" x14ac:dyDescent="0.3">
      <c r="A342" s="44">
        <v>330</v>
      </c>
      <c r="B342" s="12">
        <f t="shared" si="12"/>
        <v>0</v>
      </c>
      <c r="C342" s="12">
        <f t="shared" si="13"/>
        <v>0</v>
      </c>
      <c r="D342" s="12">
        <f t="shared" si="14"/>
        <v>0</v>
      </c>
      <c r="F342" s="10">
        <f t="shared" si="16"/>
        <v>0</v>
      </c>
    </row>
    <row r="343" spans="1:6" ht="14.25" customHeight="1" x14ac:dyDescent="0.3">
      <c r="A343" s="44">
        <v>331</v>
      </c>
      <c r="B343" s="12">
        <f t="shared" si="12"/>
        <v>0</v>
      </c>
      <c r="C343" s="12">
        <f t="shared" si="13"/>
        <v>0</v>
      </c>
      <c r="D343" s="12">
        <f t="shared" si="14"/>
        <v>0</v>
      </c>
      <c r="F343" s="10">
        <f t="shared" si="16"/>
        <v>0</v>
      </c>
    </row>
    <row r="344" spans="1:6" ht="14.25" customHeight="1" x14ac:dyDescent="0.3">
      <c r="A344" s="44">
        <v>332</v>
      </c>
      <c r="B344" s="12">
        <f t="shared" si="12"/>
        <v>0</v>
      </c>
      <c r="C344" s="12">
        <f t="shared" si="13"/>
        <v>0</v>
      </c>
      <c r="D344" s="12">
        <f t="shared" si="14"/>
        <v>0</v>
      </c>
      <c r="F344" s="10">
        <f t="shared" si="16"/>
        <v>0</v>
      </c>
    </row>
    <row r="345" spans="1:6" ht="14.25" customHeight="1" x14ac:dyDescent="0.3">
      <c r="A345" s="44">
        <v>333</v>
      </c>
      <c r="B345" s="12">
        <f t="shared" si="12"/>
        <v>0</v>
      </c>
      <c r="C345" s="12">
        <f t="shared" si="13"/>
        <v>0</v>
      </c>
      <c r="D345" s="12">
        <f t="shared" si="14"/>
        <v>0</v>
      </c>
      <c r="F345" s="10">
        <f t="shared" si="16"/>
        <v>0</v>
      </c>
    </row>
    <row r="346" spans="1:6" ht="14.25" customHeight="1" x14ac:dyDescent="0.3">
      <c r="A346" s="44">
        <v>334</v>
      </c>
      <c r="B346" s="12">
        <f t="shared" si="12"/>
        <v>0</v>
      </c>
      <c r="C346" s="12">
        <f t="shared" si="13"/>
        <v>0</v>
      </c>
      <c r="D346" s="12">
        <f t="shared" si="14"/>
        <v>0</v>
      </c>
      <c r="F346" s="10">
        <f t="shared" si="16"/>
        <v>0</v>
      </c>
    </row>
    <row r="347" spans="1:6" ht="14.25" customHeight="1" x14ac:dyDescent="0.3">
      <c r="A347" s="44">
        <v>335</v>
      </c>
      <c r="B347" s="12">
        <f t="shared" si="12"/>
        <v>0</v>
      </c>
      <c r="C347" s="12">
        <f t="shared" si="13"/>
        <v>0</v>
      </c>
      <c r="D347" s="12">
        <f t="shared" si="14"/>
        <v>0</v>
      </c>
      <c r="F347" s="10">
        <f t="shared" si="16"/>
        <v>0</v>
      </c>
    </row>
    <row r="348" spans="1:6" ht="14.25" customHeight="1" x14ac:dyDescent="0.3">
      <c r="A348" s="44">
        <v>336</v>
      </c>
      <c r="B348" s="12">
        <f t="shared" si="12"/>
        <v>0</v>
      </c>
      <c r="C348" s="12">
        <f t="shared" si="13"/>
        <v>0</v>
      </c>
      <c r="D348" s="12">
        <f t="shared" si="14"/>
        <v>0</v>
      </c>
      <c r="F348" s="10">
        <f t="shared" si="16"/>
        <v>0</v>
      </c>
    </row>
    <row r="349" spans="1:6" ht="14.25" customHeight="1" x14ac:dyDescent="0.3">
      <c r="A349" s="44">
        <v>337</v>
      </c>
      <c r="B349" s="12">
        <f t="shared" si="12"/>
        <v>0</v>
      </c>
      <c r="C349" s="12">
        <f t="shared" si="13"/>
        <v>0</v>
      </c>
      <c r="D349" s="12">
        <f t="shared" si="14"/>
        <v>0</v>
      </c>
      <c r="F349" s="10">
        <f t="shared" si="16"/>
        <v>0</v>
      </c>
    </row>
    <row r="350" spans="1:6" ht="14.25" customHeight="1" x14ac:dyDescent="0.3">
      <c r="A350" s="44">
        <v>338</v>
      </c>
      <c r="B350" s="12">
        <f t="shared" si="12"/>
        <v>0</v>
      </c>
      <c r="C350" s="12">
        <f t="shared" si="13"/>
        <v>0</v>
      </c>
      <c r="D350" s="12">
        <f t="shared" si="14"/>
        <v>0</v>
      </c>
      <c r="F350" s="10">
        <f t="shared" si="16"/>
        <v>0</v>
      </c>
    </row>
    <row r="351" spans="1:6" ht="14.25" customHeight="1" x14ac:dyDescent="0.3">
      <c r="A351" s="44">
        <v>339</v>
      </c>
      <c r="B351" s="12">
        <f t="shared" si="12"/>
        <v>0</v>
      </c>
      <c r="C351" s="12">
        <f t="shared" si="13"/>
        <v>0</v>
      </c>
      <c r="D351" s="12">
        <f t="shared" si="14"/>
        <v>0</v>
      </c>
      <c r="F351" s="10">
        <f t="shared" si="16"/>
        <v>0</v>
      </c>
    </row>
    <row r="352" spans="1:6" ht="14.25" customHeight="1" x14ac:dyDescent="0.3">
      <c r="A352" s="44">
        <v>340</v>
      </c>
      <c r="B352" s="12">
        <f t="shared" si="12"/>
        <v>0</v>
      </c>
      <c r="C352" s="12">
        <f t="shared" si="13"/>
        <v>0</v>
      </c>
      <c r="D352" s="12">
        <f t="shared" si="14"/>
        <v>0</v>
      </c>
      <c r="F352" s="10">
        <f t="shared" si="16"/>
        <v>0</v>
      </c>
    </row>
    <row r="353" spans="1:6" ht="14.25" customHeight="1" x14ac:dyDescent="0.3">
      <c r="A353" s="44">
        <v>341</v>
      </c>
      <c r="B353" s="12">
        <f t="shared" si="12"/>
        <v>0</v>
      </c>
      <c r="C353" s="12">
        <f t="shared" si="13"/>
        <v>0</v>
      </c>
      <c r="D353" s="12">
        <f t="shared" si="14"/>
        <v>0</v>
      </c>
      <c r="F353" s="10">
        <f t="shared" si="16"/>
        <v>0</v>
      </c>
    </row>
    <row r="354" spans="1:6" ht="14.25" customHeight="1" x14ac:dyDescent="0.3">
      <c r="A354" s="44">
        <v>342</v>
      </c>
      <c r="B354" s="12">
        <f t="shared" si="12"/>
        <v>0</v>
      </c>
      <c r="C354" s="12">
        <f t="shared" si="13"/>
        <v>0</v>
      </c>
      <c r="D354" s="12">
        <f t="shared" si="14"/>
        <v>0</v>
      </c>
      <c r="F354" s="10">
        <f t="shared" si="16"/>
        <v>0</v>
      </c>
    </row>
    <row r="355" spans="1:6" ht="14.25" customHeight="1" x14ac:dyDescent="0.3">
      <c r="A355" s="44">
        <v>343</v>
      </c>
      <c r="B355" s="12">
        <f t="shared" si="12"/>
        <v>0</v>
      </c>
      <c r="C355" s="12">
        <f t="shared" si="13"/>
        <v>0</v>
      </c>
      <c r="D355" s="12">
        <f t="shared" si="14"/>
        <v>0</v>
      </c>
      <c r="F355" s="10">
        <f t="shared" si="16"/>
        <v>0</v>
      </c>
    </row>
    <row r="356" spans="1:6" ht="14.25" customHeight="1" x14ac:dyDescent="0.3">
      <c r="A356" s="44">
        <v>344</v>
      </c>
      <c r="B356" s="12">
        <f t="shared" si="12"/>
        <v>0</v>
      </c>
      <c r="C356" s="12">
        <f t="shared" si="13"/>
        <v>0</v>
      </c>
      <c r="D356" s="12">
        <f t="shared" si="14"/>
        <v>0</v>
      </c>
      <c r="F356" s="10">
        <f t="shared" si="16"/>
        <v>0</v>
      </c>
    </row>
    <row r="357" spans="1:6" ht="14.25" customHeight="1" x14ac:dyDescent="0.3">
      <c r="A357" s="44">
        <v>345</v>
      </c>
      <c r="B357" s="12">
        <f t="shared" si="12"/>
        <v>0</v>
      </c>
      <c r="C357" s="12">
        <f t="shared" si="13"/>
        <v>0</v>
      </c>
      <c r="D357" s="12">
        <f t="shared" si="14"/>
        <v>0</v>
      </c>
      <c r="F357" s="10">
        <f t="shared" si="16"/>
        <v>0</v>
      </c>
    </row>
    <row r="358" spans="1:6" ht="14.25" customHeight="1" x14ac:dyDescent="0.3">
      <c r="A358" s="44">
        <v>346</v>
      </c>
      <c r="B358" s="12">
        <f t="shared" si="12"/>
        <v>0</v>
      </c>
      <c r="C358" s="12">
        <f t="shared" si="13"/>
        <v>0</v>
      </c>
      <c r="D358" s="12">
        <f t="shared" si="14"/>
        <v>0</v>
      </c>
      <c r="F358" s="10">
        <f t="shared" si="16"/>
        <v>0</v>
      </c>
    </row>
    <row r="359" spans="1:6" ht="14.25" customHeight="1" x14ac:dyDescent="0.3">
      <c r="A359" s="44">
        <v>347</v>
      </c>
      <c r="B359" s="12">
        <f t="shared" si="12"/>
        <v>0</v>
      </c>
      <c r="C359" s="12">
        <f t="shared" si="13"/>
        <v>0</v>
      </c>
      <c r="D359" s="12">
        <f t="shared" si="14"/>
        <v>0</v>
      </c>
      <c r="F359" s="10">
        <f t="shared" si="16"/>
        <v>0</v>
      </c>
    </row>
    <row r="360" spans="1:6" ht="14.25" customHeight="1" x14ac:dyDescent="0.3">
      <c r="A360" s="44">
        <v>348</v>
      </c>
      <c r="B360" s="12">
        <f t="shared" si="12"/>
        <v>0</v>
      </c>
      <c r="C360" s="12">
        <f t="shared" si="13"/>
        <v>0</v>
      </c>
      <c r="D360" s="12">
        <f t="shared" si="14"/>
        <v>0</v>
      </c>
      <c r="F360" s="10">
        <f t="shared" si="16"/>
        <v>0</v>
      </c>
    </row>
    <row r="361" spans="1:6" ht="14.25" customHeight="1" x14ac:dyDescent="0.3">
      <c r="A361" s="44">
        <v>349</v>
      </c>
      <c r="B361" s="12">
        <f t="shared" si="12"/>
        <v>0</v>
      </c>
      <c r="C361" s="12">
        <f t="shared" si="13"/>
        <v>0</v>
      </c>
      <c r="D361" s="12">
        <f t="shared" si="14"/>
        <v>0</v>
      </c>
      <c r="F361" s="10">
        <f t="shared" si="16"/>
        <v>0</v>
      </c>
    </row>
    <row r="362" spans="1:6" ht="14.25" customHeight="1" x14ac:dyDescent="0.3">
      <c r="A362" s="44">
        <v>350</v>
      </c>
      <c r="B362" s="12">
        <f t="shared" si="12"/>
        <v>0</v>
      </c>
      <c r="C362" s="12">
        <f t="shared" si="13"/>
        <v>0</v>
      </c>
      <c r="D362" s="12">
        <f t="shared" si="14"/>
        <v>0</v>
      </c>
      <c r="F362" s="10">
        <f t="shared" si="16"/>
        <v>0</v>
      </c>
    </row>
    <row r="363" spans="1:6" ht="14.25" customHeight="1" x14ac:dyDescent="0.3">
      <c r="A363" s="44">
        <v>351</v>
      </c>
      <c r="B363" s="12">
        <f t="shared" si="12"/>
        <v>0</v>
      </c>
      <c r="C363" s="12">
        <f t="shared" si="13"/>
        <v>0</v>
      </c>
      <c r="D363" s="12">
        <f t="shared" si="14"/>
        <v>0</v>
      </c>
      <c r="F363" s="10">
        <f t="shared" si="16"/>
        <v>0</v>
      </c>
    </row>
    <row r="364" spans="1:6" ht="14.25" customHeight="1" x14ac:dyDescent="0.3">
      <c r="A364" s="44">
        <v>352</v>
      </c>
      <c r="B364" s="12">
        <f t="shared" si="12"/>
        <v>0</v>
      </c>
      <c r="C364" s="12">
        <f t="shared" si="13"/>
        <v>0</v>
      </c>
      <c r="D364" s="12">
        <f t="shared" si="14"/>
        <v>0</v>
      </c>
      <c r="F364" s="10">
        <f t="shared" si="16"/>
        <v>0</v>
      </c>
    </row>
    <row r="365" spans="1:6" ht="14.25" customHeight="1" x14ac:dyDescent="0.3">
      <c r="A365" s="44">
        <v>353</v>
      </c>
      <c r="B365" s="12">
        <f t="shared" si="12"/>
        <v>0</v>
      </c>
      <c r="C365" s="12">
        <f t="shared" si="13"/>
        <v>0</v>
      </c>
      <c r="D365" s="12">
        <f t="shared" si="14"/>
        <v>0</v>
      </c>
      <c r="F365" s="10">
        <f t="shared" si="16"/>
        <v>0</v>
      </c>
    </row>
    <row r="366" spans="1:6" ht="14.25" customHeight="1" x14ac:dyDescent="0.3">
      <c r="A366" s="44">
        <v>354</v>
      </c>
      <c r="B366" s="12">
        <f t="shared" si="12"/>
        <v>0</v>
      </c>
      <c r="C366" s="12">
        <f t="shared" si="13"/>
        <v>0</v>
      </c>
      <c r="D366" s="12">
        <f t="shared" si="14"/>
        <v>0</v>
      </c>
      <c r="F366" s="10">
        <f t="shared" si="16"/>
        <v>0</v>
      </c>
    </row>
    <row r="367" spans="1:6" ht="14.25" customHeight="1" x14ac:dyDescent="0.3">
      <c r="A367" s="44">
        <v>355</v>
      </c>
      <c r="B367" s="12">
        <f t="shared" si="12"/>
        <v>0</v>
      </c>
      <c r="C367" s="12">
        <f t="shared" si="13"/>
        <v>0</v>
      </c>
      <c r="D367" s="12">
        <f t="shared" si="14"/>
        <v>0</v>
      </c>
      <c r="F367" s="10">
        <f t="shared" si="16"/>
        <v>0</v>
      </c>
    </row>
    <row r="368" spans="1:6" ht="14.25" customHeight="1" x14ac:dyDescent="0.3">
      <c r="A368" s="44">
        <v>356</v>
      </c>
      <c r="B368" s="12">
        <f t="shared" si="12"/>
        <v>0</v>
      </c>
      <c r="C368" s="12">
        <f t="shared" si="13"/>
        <v>0</v>
      </c>
      <c r="D368" s="12">
        <f t="shared" si="14"/>
        <v>0</v>
      </c>
      <c r="F368" s="10">
        <f t="shared" si="16"/>
        <v>0</v>
      </c>
    </row>
    <row r="369" spans="1:6" ht="14.25" customHeight="1" x14ac:dyDescent="0.3">
      <c r="A369" s="44">
        <v>357</v>
      </c>
      <c r="B369" s="12">
        <f t="shared" si="12"/>
        <v>0</v>
      </c>
      <c r="C369" s="12">
        <f t="shared" si="13"/>
        <v>0</v>
      </c>
      <c r="D369" s="12">
        <f t="shared" si="14"/>
        <v>0</v>
      </c>
      <c r="F369" s="10">
        <f t="shared" si="16"/>
        <v>0</v>
      </c>
    </row>
    <row r="370" spans="1:6" ht="14.25" customHeight="1" x14ac:dyDescent="0.3">
      <c r="A370" s="44">
        <v>358</v>
      </c>
      <c r="B370" s="12">
        <f t="shared" si="12"/>
        <v>0</v>
      </c>
      <c r="C370" s="12">
        <f t="shared" si="13"/>
        <v>0</v>
      </c>
      <c r="D370" s="12">
        <f t="shared" si="14"/>
        <v>0</v>
      </c>
      <c r="F370" s="10">
        <f t="shared" si="16"/>
        <v>0</v>
      </c>
    </row>
    <row r="371" spans="1:6" ht="14.25" customHeight="1" x14ac:dyDescent="0.3">
      <c r="A371" s="44">
        <v>359</v>
      </c>
      <c r="B371" s="12">
        <f t="shared" si="12"/>
        <v>0</v>
      </c>
      <c r="C371" s="12">
        <f t="shared" si="13"/>
        <v>0</v>
      </c>
      <c r="D371" s="12">
        <f t="shared" si="14"/>
        <v>0</v>
      </c>
      <c r="F371" s="10">
        <f t="shared" si="16"/>
        <v>0</v>
      </c>
    </row>
    <row r="372" spans="1:6" ht="14.25" customHeight="1" x14ac:dyDescent="0.3">
      <c r="A372" s="44">
        <v>360</v>
      </c>
      <c r="B372" s="12">
        <f t="shared" si="12"/>
        <v>0</v>
      </c>
      <c r="C372" s="12">
        <f t="shared" si="13"/>
        <v>0</v>
      </c>
      <c r="D372" s="12">
        <f t="shared" si="14"/>
        <v>0</v>
      </c>
      <c r="F372" s="10">
        <f t="shared" si="16"/>
        <v>0</v>
      </c>
    </row>
    <row r="373" spans="1:6" ht="14.25" customHeight="1" x14ac:dyDescent="0.3"/>
    <row r="374" spans="1:6" ht="14.25" customHeight="1" x14ac:dyDescent="0.3"/>
    <row r="375" spans="1:6" ht="14.25" customHeight="1" x14ac:dyDescent="0.3"/>
    <row r="376" spans="1:6" ht="14.25" customHeight="1" x14ac:dyDescent="0.3"/>
    <row r="377" spans="1:6" ht="14.25" customHeight="1" x14ac:dyDescent="0.3"/>
    <row r="378" spans="1:6" ht="14.25" customHeight="1" x14ac:dyDescent="0.3"/>
    <row r="379" spans="1:6" ht="14.25" customHeight="1" x14ac:dyDescent="0.3"/>
    <row r="380" spans="1:6" ht="14.25" customHeight="1" x14ac:dyDescent="0.3"/>
    <row r="381" spans="1:6" ht="14.25" customHeight="1" x14ac:dyDescent="0.3"/>
    <row r="382" spans="1:6" ht="14.25" customHeight="1" x14ac:dyDescent="0.3"/>
    <row r="383" spans="1:6" ht="14.25" customHeight="1" x14ac:dyDescent="0.3"/>
    <row r="384" spans="1:6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conditionalFormatting sqref="A13:D372 F13:F372">
    <cfRule type="expression" dxfId="20" priority="4" stopIfTrue="1">
      <formula>ROUND($F12,5)=0</formula>
    </cfRule>
    <cfRule type="expression" dxfId="19" priority="5" stopIfTrue="1">
      <formula>$A13&gt;($B$6*$B$8)</formula>
    </cfRule>
    <cfRule type="expression" dxfId="18" priority="6" stopIfTrue="1">
      <formula>ROUND($F13,5)=0</formula>
    </cfRule>
  </conditionalFormatting>
  <conditionalFormatting sqref="E60">
    <cfRule type="expression" dxfId="17" priority="1" stopIfTrue="1">
      <formula>ROUND($F59,5)=0</formula>
    </cfRule>
    <cfRule type="expression" dxfId="16" priority="2" stopIfTrue="1">
      <formula>$A60&gt;($B$6*$B$8)</formula>
    </cfRule>
    <cfRule type="expression" dxfId="15" priority="3" stopIfTrue="1">
      <formula>ROUND($F60,5)=0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31BB-A5A6-432F-996F-129603B6D217}">
  <dimension ref="A1:M1000"/>
  <sheetViews>
    <sheetView topLeftCell="B1" zoomScaleNormal="100" workbookViewId="0">
      <selection activeCell="I13" sqref="I13"/>
    </sheetView>
  </sheetViews>
  <sheetFormatPr defaultColWidth="14.44140625" defaultRowHeight="15" customHeight="1" x14ac:dyDescent="0.3"/>
  <cols>
    <col min="1" max="1" width="21.109375" customWidth="1"/>
    <col min="2" max="3" width="13.109375" bestFit="1" customWidth="1"/>
    <col min="4" max="4" width="22.5546875" customWidth="1"/>
    <col min="5" max="5" width="17" customWidth="1"/>
    <col min="6" max="6" width="12.6640625" customWidth="1"/>
    <col min="7" max="8" width="8.6640625" customWidth="1"/>
    <col min="12" max="12" width="15.5546875" bestFit="1" customWidth="1"/>
  </cols>
  <sheetData>
    <row r="1" spans="1:13" ht="14.25" customHeight="1" thickBot="1" x14ac:dyDescent="0.35">
      <c r="A1" s="65" t="s">
        <v>0</v>
      </c>
      <c r="B1" s="66"/>
      <c r="F1" s="1"/>
    </row>
    <row r="2" spans="1:13" ht="14.25" customHeight="1" x14ac:dyDescent="0.3">
      <c r="A2" s="2" t="s">
        <v>1</v>
      </c>
      <c r="B2" s="3">
        <v>20000</v>
      </c>
      <c r="D2" s="4"/>
      <c r="E2" s="5"/>
      <c r="F2" s="1"/>
    </row>
    <row r="3" spans="1:13" ht="14.25" customHeight="1" x14ac:dyDescent="0.3">
      <c r="A3" s="1" t="s">
        <v>3</v>
      </c>
      <c r="B3" s="8">
        <v>0</v>
      </c>
      <c r="D3" s="4" t="s">
        <v>4</v>
      </c>
      <c r="E3" s="9">
        <f>+SUM(C13:C60)</f>
        <v>5280.4820146506681</v>
      </c>
      <c r="F3" s="10"/>
      <c r="L3">
        <f>500*43</f>
        <v>21500</v>
      </c>
      <c r="M3" s="64">
        <f>+L10/L3</f>
        <v>3.875968992248062E-2</v>
      </c>
    </row>
    <row r="4" spans="1:13" ht="14.25" customHeight="1" x14ac:dyDescent="0.3">
      <c r="A4" s="1" t="s">
        <v>6</v>
      </c>
      <c r="B4" s="10">
        <f>+B2-B3</f>
        <v>20000</v>
      </c>
      <c r="D4" s="4" t="s">
        <v>7</v>
      </c>
      <c r="E4" s="9">
        <f>+SUM(D13:D60)</f>
        <v>20000.000000000007</v>
      </c>
      <c r="F4" s="9"/>
    </row>
    <row r="5" spans="1:13" ht="14.25" customHeight="1" x14ac:dyDescent="0.3">
      <c r="A5" s="1" t="s">
        <v>9</v>
      </c>
      <c r="B5" s="24">
        <f>+C5*B2</f>
        <v>0</v>
      </c>
      <c r="C5" s="25">
        <v>0</v>
      </c>
      <c r="D5" s="4"/>
      <c r="E5" s="9"/>
      <c r="L5">
        <f>+L6*500</f>
        <v>3000000</v>
      </c>
    </row>
    <row r="6" spans="1:13" ht="14.25" customHeight="1" x14ac:dyDescent="0.3">
      <c r="A6" s="1" t="s">
        <v>11</v>
      </c>
      <c r="B6" s="27">
        <v>4</v>
      </c>
      <c r="C6" s="10"/>
      <c r="D6" s="4" t="s">
        <v>12</v>
      </c>
      <c r="E6" s="9">
        <f>SUM(E4:E5)</f>
        <v>20000.000000000007</v>
      </c>
      <c r="L6">
        <f>+L8/2</f>
        <v>6000</v>
      </c>
    </row>
    <row r="7" spans="1:13" ht="14.25" customHeight="1" x14ac:dyDescent="0.3">
      <c r="A7" s="1" t="s">
        <v>14</v>
      </c>
      <c r="B7" s="30">
        <v>0.12</v>
      </c>
      <c r="D7" s="36" t="s">
        <v>15</v>
      </c>
      <c r="E7" s="37">
        <f>SUM(E3:E5)</f>
        <v>25280.482014650675</v>
      </c>
    </row>
    <row r="8" spans="1:13" ht="14.25" customHeight="1" x14ac:dyDescent="0.3">
      <c r="A8" s="1" t="s">
        <v>16</v>
      </c>
      <c r="B8" s="35">
        <v>12</v>
      </c>
      <c r="D8" s="4"/>
      <c r="E8" s="10"/>
      <c r="F8" s="10"/>
      <c r="L8" s="9">
        <v>12000</v>
      </c>
    </row>
    <row r="9" spans="1:13" ht="14.25" customHeight="1" x14ac:dyDescent="0.3">
      <c r="A9" s="1" t="s">
        <v>19</v>
      </c>
      <c r="B9" s="62">
        <f>-PMT(B7/B8,(B6*B8),B4,-B5)</f>
        <v>526.67670863855528</v>
      </c>
      <c r="D9" s="4"/>
      <c r="E9" s="10"/>
      <c r="L9" s="9">
        <v>10000000</v>
      </c>
    </row>
    <row r="10" spans="1:13" ht="14.25" customHeight="1" thickBot="1" x14ac:dyDescent="0.35">
      <c r="B10" s="16"/>
      <c r="C10" s="16"/>
      <c r="L10" s="9">
        <f>+L9/L8</f>
        <v>833.33333333333337</v>
      </c>
    </row>
    <row r="11" spans="1:13" ht="14.25" customHeight="1" thickBot="1" x14ac:dyDescent="0.35">
      <c r="A11" s="41" t="s">
        <v>23</v>
      </c>
      <c r="B11" s="41" t="s">
        <v>19</v>
      </c>
      <c r="C11" s="41" t="s">
        <v>24</v>
      </c>
      <c r="D11" s="41" t="s">
        <v>25</v>
      </c>
      <c r="E11" s="41" t="s">
        <v>27</v>
      </c>
    </row>
    <row r="12" spans="1:13" ht="14.25" customHeight="1" x14ac:dyDescent="0.3">
      <c r="A12" s="44">
        <v>0</v>
      </c>
      <c r="B12" s="10"/>
      <c r="C12" s="10"/>
      <c r="D12" s="10"/>
      <c r="E12" s="10">
        <f>B4</f>
        <v>20000</v>
      </c>
    </row>
    <row r="13" spans="1:13" ht="14.25" customHeight="1" x14ac:dyDescent="0.3">
      <c r="A13" s="44">
        <v>1</v>
      </c>
      <c r="B13" s="10">
        <f t="shared" ref="B13:B76" si="0">IF($B$9&lt;=E12,$B$9,E12+E12*$B$7/$B$8)</f>
        <v>526.67670863855528</v>
      </c>
      <c r="C13" s="10">
        <f t="shared" ref="C13:C76" si="1">IF(B13&gt;0,$B$7/$B$8*E12,0)</f>
        <v>200</v>
      </c>
      <c r="D13" s="10">
        <f t="shared" ref="D13:D76" si="2">IF(B13&gt;0,MIN(B13-C13,E12),0)</f>
        <v>326.67670863855528</v>
      </c>
      <c r="E13" s="10">
        <f t="shared" ref="E13:E76" si="3">IF(ROUND(E12,5)&gt;0,E12-D13,0)</f>
        <v>19673.323291361445</v>
      </c>
    </row>
    <row r="14" spans="1:13" ht="14.25" customHeight="1" x14ac:dyDescent="0.3">
      <c r="A14" s="44">
        <v>2</v>
      </c>
      <c r="B14" s="10">
        <f t="shared" si="0"/>
        <v>526.67670863855528</v>
      </c>
      <c r="C14" s="10">
        <f t="shared" si="1"/>
        <v>196.73323291361444</v>
      </c>
      <c r="D14" s="10">
        <f t="shared" si="2"/>
        <v>329.94347572494087</v>
      </c>
      <c r="E14" s="10">
        <f t="shared" si="3"/>
        <v>19343.379815636505</v>
      </c>
    </row>
    <row r="15" spans="1:13" ht="14.25" customHeight="1" x14ac:dyDescent="0.3">
      <c r="A15" s="44">
        <v>3</v>
      </c>
      <c r="B15" s="10">
        <f t="shared" si="0"/>
        <v>526.67670863855528</v>
      </c>
      <c r="C15" s="10">
        <f t="shared" si="1"/>
        <v>193.43379815636504</v>
      </c>
      <c r="D15" s="10">
        <f t="shared" si="2"/>
        <v>333.24291048219027</v>
      </c>
      <c r="E15" s="10">
        <f t="shared" si="3"/>
        <v>19010.136905154315</v>
      </c>
    </row>
    <row r="16" spans="1:13" ht="14.25" customHeight="1" x14ac:dyDescent="0.3">
      <c r="A16" s="44">
        <v>4</v>
      </c>
      <c r="B16" s="10">
        <f t="shared" si="0"/>
        <v>526.67670863855528</v>
      </c>
      <c r="C16" s="10">
        <f t="shared" si="1"/>
        <v>190.10136905154314</v>
      </c>
      <c r="D16" s="10">
        <f t="shared" si="2"/>
        <v>336.57533958701214</v>
      </c>
      <c r="E16" s="10">
        <f t="shared" si="3"/>
        <v>18673.561565567303</v>
      </c>
    </row>
    <row r="17" spans="1:11" ht="14.25" customHeight="1" x14ac:dyDescent="0.3">
      <c r="A17" s="44">
        <v>5</v>
      </c>
      <c r="B17" s="10">
        <f t="shared" si="0"/>
        <v>526.67670863855528</v>
      </c>
      <c r="C17" s="10">
        <f t="shared" si="1"/>
        <v>186.73561565567303</v>
      </c>
      <c r="D17" s="10">
        <f t="shared" si="2"/>
        <v>339.94109298288225</v>
      </c>
      <c r="E17" s="10">
        <f t="shared" si="3"/>
        <v>18333.620472584422</v>
      </c>
      <c r="K17" s="63"/>
    </row>
    <row r="18" spans="1:11" ht="14.25" customHeight="1" x14ac:dyDescent="0.3">
      <c r="A18" s="44">
        <v>6</v>
      </c>
      <c r="B18" s="10">
        <f t="shared" si="0"/>
        <v>526.67670863855528</v>
      </c>
      <c r="C18" s="10">
        <f t="shared" si="1"/>
        <v>183.33620472584423</v>
      </c>
      <c r="D18" s="10">
        <f t="shared" si="2"/>
        <v>343.34050391271103</v>
      </c>
      <c r="E18" s="10">
        <f t="shared" si="3"/>
        <v>17990.279968671712</v>
      </c>
    </row>
    <row r="19" spans="1:11" ht="14.25" customHeight="1" x14ac:dyDescent="0.3">
      <c r="A19" s="44">
        <v>7</v>
      </c>
      <c r="B19" s="10">
        <f t="shared" si="0"/>
        <v>526.67670863855528</v>
      </c>
      <c r="C19" s="10">
        <f t="shared" si="1"/>
        <v>179.90279968671712</v>
      </c>
      <c r="D19" s="10">
        <f t="shared" si="2"/>
        <v>346.77390895183817</v>
      </c>
      <c r="E19" s="10">
        <f t="shared" si="3"/>
        <v>17643.506059719875</v>
      </c>
    </row>
    <row r="20" spans="1:11" ht="14.25" customHeight="1" x14ac:dyDescent="0.3">
      <c r="A20" s="44">
        <v>8</v>
      </c>
      <c r="B20" s="10">
        <f t="shared" si="0"/>
        <v>526.67670863855528</v>
      </c>
      <c r="C20" s="10">
        <f t="shared" si="1"/>
        <v>176.43506059719877</v>
      </c>
      <c r="D20" s="10">
        <f t="shared" si="2"/>
        <v>350.24164804135648</v>
      </c>
      <c r="E20" s="10">
        <f t="shared" si="3"/>
        <v>17293.26441167852</v>
      </c>
    </row>
    <row r="21" spans="1:11" ht="14.25" customHeight="1" x14ac:dyDescent="0.3">
      <c r="A21" s="44">
        <v>9</v>
      </c>
      <c r="B21" s="10">
        <f t="shared" si="0"/>
        <v>526.67670863855528</v>
      </c>
      <c r="C21" s="10">
        <f t="shared" si="1"/>
        <v>172.93264411678521</v>
      </c>
      <c r="D21" s="10">
        <f t="shared" si="2"/>
        <v>353.74406452177004</v>
      </c>
      <c r="E21" s="10">
        <f t="shared" si="3"/>
        <v>16939.520347156751</v>
      </c>
    </row>
    <row r="22" spans="1:11" ht="14.25" customHeight="1" x14ac:dyDescent="0.3">
      <c r="A22" s="44">
        <v>10</v>
      </c>
      <c r="B22" s="10">
        <f t="shared" si="0"/>
        <v>526.67670863855528</v>
      </c>
      <c r="C22" s="10">
        <f t="shared" si="1"/>
        <v>169.39520347156753</v>
      </c>
      <c r="D22" s="10">
        <f t="shared" si="2"/>
        <v>357.28150516698776</v>
      </c>
      <c r="E22" s="10">
        <f t="shared" si="3"/>
        <v>16582.238841989762</v>
      </c>
    </row>
    <row r="23" spans="1:11" ht="14.25" customHeight="1" x14ac:dyDescent="0.3">
      <c r="A23" s="44">
        <v>11</v>
      </c>
      <c r="B23" s="10">
        <f t="shared" si="0"/>
        <v>526.67670863855528</v>
      </c>
      <c r="C23" s="10">
        <f t="shared" si="1"/>
        <v>165.82238841989761</v>
      </c>
      <c r="D23" s="10">
        <f t="shared" si="2"/>
        <v>360.85432021865768</v>
      </c>
      <c r="E23" s="10">
        <f t="shared" si="3"/>
        <v>16221.384521771104</v>
      </c>
    </row>
    <row r="24" spans="1:11" ht="14.25" customHeight="1" x14ac:dyDescent="0.3">
      <c r="A24" s="44">
        <v>12</v>
      </c>
      <c r="B24" s="10">
        <f t="shared" si="0"/>
        <v>526.67670863855528</v>
      </c>
      <c r="C24" s="10">
        <f t="shared" si="1"/>
        <v>162.21384521771105</v>
      </c>
      <c r="D24" s="10">
        <f t="shared" si="2"/>
        <v>364.4628634208442</v>
      </c>
      <c r="E24" s="10">
        <f t="shared" si="3"/>
        <v>15856.92165835026</v>
      </c>
    </row>
    <row r="25" spans="1:11" ht="14.25" customHeight="1" x14ac:dyDescent="0.3">
      <c r="A25" s="44">
        <v>13</v>
      </c>
      <c r="B25" s="10">
        <f t="shared" si="0"/>
        <v>526.67670863855528</v>
      </c>
      <c r="C25" s="10">
        <f t="shared" si="1"/>
        <v>158.56921658350259</v>
      </c>
      <c r="D25" s="10">
        <f t="shared" si="2"/>
        <v>368.10749205505272</v>
      </c>
      <c r="E25" s="10">
        <f t="shared" si="3"/>
        <v>15488.814166295208</v>
      </c>
    </row>
    <row r="26" spans="1:11" ht="14.25" customHeight="1" x14ac:dyDescent="0.3">
      <c r="A26" s="44">
        <v>14</v>
      </c>
      <c r="B26" s="10">
        <f t="shared" si="0"/>
        <v>526.67670863855528</v>
      </c>
      <c r="C26" s="10">
        <f t="shared" si="1"/>
        <v>154.88814166295208</v>
      </c>
      <c r="D26" s="10">
        <f t="shared" si="2"/>
        <v>371.7885669756032</v>
      </c>
      <c r="E26" s="10">
        <f t="shared" si="3"/>
        <v>15117.025599319604</v>
      </c>
    </row>
    <row r="27" spans="1:11" ht="14.25" customHeight="1" x14ac:dyDescent="0.3">
      <c r="A27" s="44">
        <v>15</v>
      </c>
      <c r="B27" s="10">
        <f t="shared" si="0"/>
        <v>526.67670863855528</v>
      </c>
      <c r="C27" s="10">
        <f t="shared" si="1"/>
        <v>151.17025599319604</v>
      </c>
      <c r="D27" s="10">
        <f t="shared" si="2"/>
        <v>375.50645264535922</v>
      </c>
      <c r="E27" s="10">
        <f t="shared" si="3"/>
        <v>14741.519146674245</v>
      </c>
    </row>
    <row r="28" spans="1:11" ht="14.25" customHeight="1" x14ac:dyDescent="0.3">
      <c r="A28" s="44">
        <v>16</v>
      </c>
      <c r="B28" s="10">
        <f t="shared" si="0"/>
        <v>526.67670863855528</v>
      </c>
      <c r="C28" s="10">
        <f t="shared" si="1"/>
        <v>147.41519146674247</v>
      </c>
      <c r="D28" s="10">
        <f t="shared" si="2"/>
        <v>379.26151717181278</v>
      </c>
      <c r="E28" s="10">
        <f t="shared" si="3"/>
        <v>14362.257629502432</v>
      </c>
    </row>
    <row r="29" spans="1:11" ht="14.25" customHeight="1" x14ac:dyDescent="0.3">
      <c r="A29" s="44">
        <v>17</v>
      </c>
      <c r="B29" s="10">
        <f t="shared" si="0"/>
        <v>526.67670863855528</v>
      </c>
      <c r="C29" s="10">
        <f t="shared" si="1"/>
        <v>143.62257629502432</v>
      </c>
      <c r="D29" s="10">
        <f t="shared" si="2"/>
        <v>383.05413234353097</v>
      </c>
      <c r="E29" s="10">
        <f t="shared" si="3"/>
        <v>13979.2034971589</v>
      </c>
    </row>
    <row r="30" spans="1:11" ht="14.25" customHeight="1" x14ac:dyDescent="0.3">
      <c r="A30" s="44">
        <v>18</v>
      </c>
      <c r="B30" s="10">
        <f t="shared" si="0"/>
        <v>526.67670863855528</v>
      </c>
      <c r="C30" s="10">
        <f t="shared" si="1"/>
        <v>139.792034971589</v>
      </c>
      <c r="D30" s="10">
        <f t="shared" si="2"/>
        <v>386.88467366696625</v>
      </c>
      <c r="E30" s="10">
        <f t="shared" si="3"/>
        <v>13592.318823491934</v>
      </c>
    </row>
    <row r="31" spans="1:11" ht="14.25" customHeight="1" x14ac:dyDescent="0.3">
      <c r="A31" s="44">
        <v>19</v>
      </c>
      <c r="B31" s="10">
        <f t="shared" si="0"/>
        <v>526.67670863855528</v>
      </c>
      <c r="C31" s="10">
        <f t="shared" si="1"/>
        <v>135.92318823491934</v>
      </c>
      <c r="D31" s="10">
        <f t="shared" si="2"/>
        <v>390.75352040363595</v>
      </c>
      <c r="E31" s="10">
        <f t="shared" si="3"/>
        <v>13201.565303088299</v>
      </c>
    </row>
    <row r="32" spans="1:11" ht="14.25" customHeight="1" x14ac:dyDescent="0.3">
      <c r="A32" s="44">
        <v>20</v>
      </c>
      <c r="B32" s="10">
        <f t="shared" si="0"/>
        <v>526.67670863855528</v>
      </c>
      <c r="C32" s="10">
        <f t="shared" si="1"/>
        <v>132.01565303088299</v>
      </c>
      <c r="D32" s="10">
        <f t="shared" si="2"/>
        <v>394.66105560767232</v>
      </c>
      <c r="E32" s="10">
        <f t="shared" si="3"/>
        <v>12806.904247480627</v>
      </c>
    </row>
    <row r="33" spans="1:5" ht="14.25" customHeight="1" x14ac:dyDescent="0.3">
      <c r="A33" s="44">
        <v>21</v>
      </c>
      <c r="B33" s="10">
        <f t="shared" si="0"/>
        <v>526.67670863855528</v>
      </c>
      <c r="C33" s="10">
        <f t="shared" si="1"/>
        <v>128.06904247480628</v>
      </c>
      <c r="D33" s="10">
        <f t="shared" si="2"/>
        <v>398.607666163749</v>
      </c>
      <c r="E33" s="10">
        <f t="shared" si="3"/>
        <v>12408.296581316878</v>
      </c>
    </row>
    <row r="34" spans="1:5" ht="14.25" customHeight="1" x14ac:dyDescent="0.3">
      <c r="A34" s="44">
        <v>22</v>
      </c>
      <c r="B34" s="10">
        <f t="shared" si="0"/>
        <v>526.67670863855528</v>
      </c>
      <c r="C34" s="10">
        <f t="shared" si="1"/>
        <v>124.08296581316878</v>
      </c>
      <c r="D34" s="10">
        <f t="shared" si="2"/>
        <v>402.59374282538647</v>
      </c>
      <c r="E34" s="10">
        <f t="shared" si="3"/>
        <v>12005.702838491492</v>
      </c>
    </row>
    <row r="35" spans="1:5" ht="14.25" customHeight="1" x14ac:dyDescent="0.3">
      <c r="A35" s="44">
        <v>23</v>
      </c>
      <c r="B35" s="10">
        <f t="shared" si="0"/>
        <v>526.67670863855528</v>
      </c>
      <c r="C35" s="10">
        <f t="shared" si="1"/>
        <v>120.05702838491493</v>
      </c>
      <c r="D35" s="10">
        <f t="shared" si="2"/>
        <v>406.61968025364035</v>
      </c>
      <c r="E35" s="10">
        <f t="shared" si="3"/>
        <v>11599.083158237852</v>
      </c>
    </row>
    <row r="36" spans="1:5" ht="14.25" customHeight="1" x14ac:dyDescent="0.3">
      <c r="A36" s="44">
        <v>24</v>
      </c>
      <c r="B36" s="10">
        <f t="shared" si="0"/>
        <v>526.67670863855528</v>
      </c>
      <c r="C36" s="10">
        <f t="shared" si="1"/>
        <v>115.99083158237852</v>
      </c>
      <c r="D36" s="10">
        <f t="shared" si="2"/>
        <v>410.68587705617676</v>
      </c>
      <c r="E36" s="10">
        <f t="shared" si="3"/>
        <v>11188.397281181675</v>
      </c>
    </row>
    <row r="37" spans="1:5" ht="14.25" customHeight="1" x14ac:dyDescent="0.3">
      <c r="A37" s="44">
        <v>25</v>
      </c>
      <c r="B37" s="10">
        <f t="shared" si="0"/>
        <v>526.67670863855528</v>
      </c>
      <c r="C37" s="10">
        <f t="shared" si="1"/>
        <v>111.88397281181675</v>
      </c>
      <c r="D37" s="10">
        <f t="shared" si="2"/>
        <v>414.79273582673852</v>
      </c>
      <c r="E37" s="10">
        <f t="shared" si="3"/>
        <v>10773.604545354936</v>
      </c>
    </row>
    <row r="38" spans="1:5" ht="14.25" customHeight="1" x14ac:dyDescent="0.3">
      <c r="A38" s="44">
        <v>26</v>
      </c>
      <c r="B38" s="10">
        <f t="shared" si="0"/>
        <v>526.67670863855528</v>
      </c>
      <c r="C38" s="10">
        <f t="shared" si="1"/>
        <v>107.73604545354937</v>
      </c>
      <c r="D38" s="10">
        <f t="shared" si="2"/>
        <v>418.94066318500592</v>
      </c>
      <c r="E38" s="10">
        <f t="shared" si="3"/>
        <v>10354.663882169931</v>
      </c>
    </row>
    <row r="39" spans="1:5" ht="14.25" customHeight="1" x14ac:dyDescent="0.3">
      <c r="A39" s="44">
        <v>27</v>
      </c>
      <c r="B39" s="10">
        <f t="shared" si="0"/>
        <v>526.67670863855528</v>
      </c>
      <c r="C39" s="10">
        <f t="shared" si="1"/>
        <v>103.5466388216993</v>
      </c>
      <c r="D39" s="10">
        <f t="shared" si="2"/>
        <v>423.13006981685601</v>
      </c>
      <c r="E39" s="10">
        <f t="shared" si="3"/>
        <v>9931.5338123530746</v>
      </c>
    </row>
    <row r="40" spans="1:5" ht="14.25" customHeight="1" x14ac:dyDescent="0.3">
      <c r="A40" s="44">
        <v>28</v>
      </c>
      <c r="B40" s="10">
        <f t="shared" si="0"/>
        <v>526.67670863855528</v>
      </c>
      <c r="C40" s="10">
        <f t="shared" si="1"/>
        <v>99.315338123530751</v>
      </c>
      <c r="D40" s="10">
        <f t="shared" si="2"/>
        <v>427.36137051502453</v>
      </c>
      <c r="E40" s="10">
        <f t="shared" si="3"/>
        <v>9504.1724418380509</v>
      </c>
    </row>
    <row r="41" spans="1:5" ht="14.25" customHeight="1" x14ac:dyDescent="0.3">
      <c r="A41" s="44">
        <v>29</v>
      </c>
      <c r="B41" s="10">
        <f t="shared" si="0"/>
        <v>526.67670863855528</v>
      </c>
      <c r="C41" s="10">
        <f t="shared" si="1"/>
        <v>95.041724418380511</v>
      </c>
      <c r="D41" s="10">
        <f t="shared" si="2"/>
        <v>431.63498422017477</v>
      </c>
      <c r="E41" s="10">
        <f t="shared" si="3"/>
        <v>9072.5374576178765</v>
      </c>
    </row>
    <row r="42" spans="1:5" ht="14.25" customHeight="1" x14ac:dyDescent="0.3">
      <c r="A42" s="44">
        <v>30</v>
      </c>
      <c r="B42" s="10">
        <f t="shared" si="0"/>
        <v>526.67670863855528</v>
      </c>
      <c r="C42" s="10">
        <f t="shared" si="1"/>
        <v>90.725374576178766</v>
      </c>
      <c r="D42" s="10">
        <f t="shared" si="2"/>
        <v>435.95133406237653</v>
      </c>
      <c r="E42" s="10">
        <f t="shared" si="3"/>
        <v>8636.5861235555003</v>
      </c>
    </row>
    <row r="43" spans="1:5" ht="14.25" customHeight="1" x14ac:dyDescent="0.3">
      <c r="A43" s="44">
        <v>31</v>
      </c>
      <c r="B43" s="10">
        <f t="shared" si="0"/>
        <v>526.67670863855528</v>
      </c>
      <c r="C43" s="10">
        <f t="shared" si="1"/>
        <v>86.365861235555002</v>
      </c>
      <c r="D43" s="10">
        <f t="shared" si="2"/>
        <v>440.31084740300025</v>
      </c>
      <c r="E43" s="10">
        <f t="shared" si="3"/>
        <v>8196.2752761525007</v>
      </c>
    </row>
    <row r="44" spans="1:5" ht="14.25" customHeight="1" x14ac:dyDescent="0.3">
      <c r="A44" s="44">
        <v>32</v>
      </c>
      <c r="B44" s="10">
        <f t="shared" si="0"/>
        <v>526.67670863855528</v>
      </c>
      <c r="C44" s="10">
        <f t="shared" si="1"/>
        <v>81.96275276152501</v>
      </c>
      <c r="D44" s="10">
        <f t="shared" si="2"/>
        <v>444.71395587703029</v>
      </c>
      <c r="E44" s="10">
        <f t="shared" si="3"/>
        <v>7751.5613202754703</v>
      </c>
    </row>
    <row r="45" spans="1:5" ht="14.25" customHeight="1" x14ac:dyDescent="0.3">
      <c r="A45" s="44">
        <v>33</v>
      </c>
      <c r="B45" s="10">
        <f t="shared" si="0"/>
        <v>526.67670863855528</v>
      </c>
      <c r="C45" s="10">
        <f t="shared" si="1"/>
        <v>77.515613202754707</v>
      </c>
      <c r="D45" s="10">
        <f t="shared" si="2"/>
        <v>449.16109543580058</v>
      </c>
      <c r="E45" s="10">
        <f t="shared" si="3"/>
        <v>7302.40022483967</v>
      </c>
    </row>
    <row r="46" spans="1:5" ht="14.25" customHeight="1" x14ac:dyDescent="0.3">
      <c r="A46" s="44">
        <v>34</v>
      </c>
      <c r="B46" s="10">
        <f t="shared" si="0"/>
        <v>526.67670863855528</v>
      </c>
      <c r="C46" s="10">
        <f t="shared" si="1"/>
        <v>73.024002248396698</v>
      </c>
      <c r="D46" s="10">
        <f t="shared" si="2"/>
        <v>453.65270639015858</v>
      </c>
      <c r="E46" s="10">
        <f t="shared" si="3"/>
        <v>6848.7475184495115</v>
      </c>
    </row>
    <row r="47" spans="1:5" ht="14.25" customHeight="1" x14ac:dyDescent="0.3">
      <c r="A47" s="44">
        <v>35</v>
      </c>
      <c r="B47" s="10">
        <f t="shared" si="0"/>
        <v>526.67670863855528</v>
      </c>
      <c r="C47" s="10">
        <f t="shared" si="1"/>
        <v>68.487475184495111</v>
      </c>
      <c r="D47" s="10">
        <f t="shared" si="2"/>
        <v>458.18923345406017</v>
      </c>
      <c r="E47" s="10">
        <f t="shared" si="3"/>
        <v>6390.5582849954517</v>
      </c>
    </row>
    <row r="48" spans="1:5" ht="14.25" customHeight="1" x14ac:dyDescent="0.3">
      <c r="A48" s="44">
        <v>36</v>
      </c>
      <c r="B48" s="10">
        <f t="shared" si="0"/>
        <v>526.67670863855528</v>
      </c>
      <c r="C48" s="10">
        <f t="shared" si="1"/>
        <v>63.90558284995452</v>
      </c>
      <c r="D48" s="10">
        <f t="shared" si="2"/>
        <v>462.77112578860078</v>
      </c>
      <c r="E48" s="10">
        <f t="shared" si="3"/>
        <v>5927.7871592068514</v>
      </c>
    </row>
    <row r="49" spans="1:5" ht="14.25" customHeight="1" x14ac:dyDescent="0.3">
      <c r="A49" s="44">
        <v>37</v>
      </c>
      <c r="B49" s="10">
        <f t="shared" si="0"/>
        <v>526.67670863855528</v>
      </c>
      <c r="C49" s="10">
        <f t="shared" si="1"/>
        <v>59.277871592068514</v>
      </c>
      <c r="D49" s="10">
        <f t="shared" si="2"/>
        <v>467.39883704648679</v>
      </c>
      <c r="E49" s="10">
        <f t="shared" si="3"/>
        <v>5460.3883221603646</v>
      </c>
    </row>
    <row r="50" spans="1:5" ht="14.25" customHeight="1" x14ac:dyDescent="0.3">
      <c r="A50" s="44">
        <v>38</v>
      </c>
      <c r="B50" s="10">
        <f t="shared" si="0"/>
        <v>526.67670863855528</v>
      </c>
      <c r="C50" s="10">
        <f t="shared" si="1"/>
        <v>54.603883221603645</v>
      </c>
      <c r="D50" s="10">
        <f t="shared" si="2"/>
        <v>472.07282541695162</v>
      </c>
      <c r="E50" s="10">
        <f t="shared" si="3"/>
        <v>4988.315496743413</v>
      </c>
    </row>
    <row r="51" spans="1:5" ht="14.25" customHeight="1" x14ac:dyDescent="0.3">
      <c r="A51" s="44">
        <v>39</v>
      </c>
      <c r="B51" s="10">
        <f t="shared" si="0"/>
        <v>526.67670863855528</v>
      </c>
      <c r="C51" s="10">
        <f t="shared" si="1"/>
        <v>49.88315496743413</v>
      </c>
      <c r="D51" s="10">
        <f t="shared" si="2"/>
        <v>476.79355367112117</v>
      </c>
      <c r="E51" s="10">
        <f t="shared" si="3"/>
        <v>4511.5219430722918</v>
      </c>
    </row>
    <row r="52" spans="1:5" ht="14.25" customHeight="1" x14ac:dyDescent="0.3">
      <c r="A52" s="44">
        <v>40</v>
      </c>
      <c r="B52" s="10">
        <f t="shared" si="0"/>
        <v>526.67670863855528</v>
      </c>
      <c r="C52" s="10">
        <f t="shared" si="1"/>
        <v>45.115219430722917</v>
      </c>
      <c r="D52" s="10">
        <f t="shared" si="2"/>
        <v>481.56148920783238</v>
      </c>
      <c r="E52" s="10">
        <f t="shared" si="3"/>
        <v>4029.9604538644594</v>
      </c>
    </row>
    <row r="53" spans="1:5" ht="14.25" customHeight="1" x14ac:dyDescent="0.3">
      <c r="A53" s="44">
        <v>41</v>
      </c>
      <c r="B53" s="10">
        <f t="shared" si="0"/>
        <v>526.67670863855528</v>
      </c>
      <c r="C53" s="10">
        <f t="shared" si="1"/>
        <v>40.299604538644594</v>
      </c>
      <c r="D53" s="10">
        <f t="shared" si="2"/>
        <v>486.3771040999107</v>
      </c>
      <c r="E53" s="10">
        <f t="shared" si="3"/>
        <v>3543.5833497645485</v>
      </c>
    </row>
    <row r="54" spans="1:5" ht="14.25" customHeight="1" x14ac:dyDescent="0.3">
      <c r="A54" s="44">
        <v>42</v>
      </c>
      <c r="B54" s="10">
        <f t="shared" si="0"/>
        <v>526.67670863855528</v>
      </c>
      <c r="C54" s="10">
        <f t="shared" si="1"/>
        <v>35.435833497645483</v>
      </c>
      <c r="D54" s="10">
        <f t="shared" si="2"/>
        <v>491.24087514090979</v>
      </c>
      <c r="E54" s="10">
        <f t="shared" si="3"/>
        <v>3052.3424746236387</v>
      </c>
    </row>
    <row r="55" spans="1:5" ht="14.25" customHeight="1" x14ac:dyDescent="0.3">
      <c r="A55" s="44">
        <v>43</v>
      </c>
      <c r="B55" s="10">
        <f t="shared" si="0"/>
        <v>526.67670863855528</v>
      </c>
      <c r="C55" s="10">
        <f t="shared" si="1"/>
        <v>30.523424746236387</v>
      </c>
      <c r="D55" s="10">
        <f t="shared" si="2"/>
        <v>496.15328389231888</v>
      </c>
      <c r="E55" s="10">
        <f t="shared" si="3"/>
        <v>2556.1891907313197</v>
      </c>
    </row>
    <row r="56" spans="1:5" ht="14.25" customHeight="1" x14ac:dyDescent="0.3">
      <c r="A56" s="44">
        <v>44</v>
      </c>
      <c r="B56" s="10">
        <f t="shared" si="0"/>
        <v>526.67670863855528</v>
      </c>
      <c r="C56" s="10">
        <f t="shared" si="1"/>
        <v>25.561891907313196</v>
      </c>
      <c r="D56" s="10">
        <f t="shared" si="2"/>
        <v>501.11481673124206</v>
      </c>
      <c r="E56" s="10">
        <f t="shared" si="3"/>
        <v>2055.0743740000776</v>
      </c>
    </row>
    <row r="57" spans="1:5" ht="14.25" customHeight="1" x14ac:dyDescent="0.3">
      <c r="A57" s="44">
        <v>45</v>
      </c>
      <c r="B57" s="10">
        <f t="shared" si="0"/>
        <v>526.67670863855528</v>
      </c>
      <c r="C57" s="10">
        <f t="shared" si="1"/>
        <v>20.550743740000776</v>
      </c>
      <c r="D57" s="10">
        <f t="shared" si="2"/>
        <v>506.12596489855451</v>
      </c>
      <c r="E57" s="10">
        <f t="shared" si="3"/>
        <v>1548.9484091015231</v>
      </c>
    </row>
    <row r="58" spans="1:5" ht="14.25" customHeight="1" x14ac:dyDescent="0.3">
      <c r="A58" s="44">
        <v>46</v>
      </c>
      <c r="B58" s="10">
        <f t="shared" si="0"/>
        <v>526.67670863855528</v>
      </c>
      <c r="C58" s="10">
        <f t="shared" si="1"/>
        <v>15.489484091015232</v>
      </c>
      <c r="D58" s="10">
        <f t="shared" si="2"/>
        <v>511.18722454754004</v>
      </c>
      <c r="E58" s="10">
        <f t="shared" si="3"/>
        <v>1037.7611845539832</v>
      </c>
    </row>
    <row r="59" spans="1:5" ht="14.25" customHeight="1" x14ac:dyDescent="0.3">
      <c r="A59" s="44">
        <v>47</v>
      </c>
      <c r="B59" s="10">
        <f t="shared" si="0"/>
        <v>526.67670863855528</v>
      </c>
      <c r="C59" s="10">
        <f t="shared" si="1"/>
        <v>10.377611845539832</v>
      </c>
      <c r="D59" s="10">
        <f t="shared" si="2"/>
        <v>516.29909679301545</v>
      </c>
      <c r="E59" s="10">
        <f t="shared" si="3"/>
        <v>521.46208776096773</v>
      </c>
    </row>
    <row r="60" spans="1:5" ht="14.25" customHeight="1" x14ac:dyDescent="0.3">
      <c r="A60" s="44">
        <v>48</v>
      </c>
      <c r="B60" s="10">
        <f t="shared" si="0"/>
        <v>526.67670863857745</v>
      </c>
      <c r="C60" s="10">
        <f t="shared" si="1"/>
        <v>5.2146208776096774</v>
      </c>
      <c r="D60" s="10">
        <f t="shared" si="2"/>
        <v>521.46208776096773</v>
      </c>
      <c r="E60" s="10">
        <f t="shared" si="3"/>
        <v>0</v>
      </c>
    </row>
    <row r="61" spans="1:5" ht="14.25" customHeight="1" x14ac:dyDescent="0.3">
      <c r="A61" s="44">
        <v>49</v>
      </c>
      <c r="B61" s="10">
        <f t="shared" si="0"/>
        <v>0</v>
      </c>
      <c r="C61" s="10">
        <f t="shared" si="1"/>
        <v>0</v>
      </c>
      <c r="D61" s="10">
        <f t="shared" si="2"/>
        <v>0</v>
      </c>
      <c r="E61" s="10">
        <f t="shared" si="3"/>
        <v>0</v>
      </c>
    </row>
    <row r="62" spans="1:5" ht="14.25" customHeight="1" x14ac:dyDescent="0.3">
      <c r="A62" s="44">
        <v>50</v>
      </c>
      <c r="B62" s="10">
        <f t="shared" si="0"/>
        <v>0</v>
      </c>
      <c r="C62" s="10">
        <f t="shared" si="1"/>
        <v>0</v>
      </c>
      <c r="D62" s="10">
        <f t="shared" si="2"/>
        <v>0</v>
      </c>
      <c r="E62" s="10">
        <f t="shared" si="3"/>
        <v>0</v>
      </c>
    </row>
    <row r="63" spans="1:5" ht="14.25" customHeight="1" x14ac:dyDescent="0.3">
      <c r="A63" s="44">
        <v>51</v>
      </c>
      <c r="B63" s="10">
        <f t="shared" si="0"/>
        <v>0</v>
      </c>
      <c r="C63" s="10">
        <f t="shared" si="1"/>
        <v>0</v>
      </c>
      <c r="D63" s="10">
        <f t="shared" si="2"/>
        <v>0</v>
      </c>
      <c r="E63" s="10">
        <f t="shared" si="3"/>
        <v>0</v>
      </c>
    </row>
    <row r="64" spans="1:5" ht="14.25" customHeight="1" x14ac:dyDescent="0.3">
      <c r="A64" s="44">
        <v>52</v>
      </c>
      <c r="B64" s="10">
        <f t="shared" si="0"/>
        <v>0</v>
      </c>
      <c r="C64" s="10">
        <f t="shared" si="1"/>
        <v>0</v>
      </c>
      <c r="D64" s="10">
        <f t="shared" si="2"/>
        <v>0</v>
      </c>
      <c r="E64" s="10">
        <f t="shared" si="3"/>
        <v>0</v>
      </c>
    </row>
    <row r="65" spans="1:5" ht="14.25" customHeight="1" x14ac:dyDescent="0.3">
      <c r="A65" s="44">
        <v>53</v>
      </c>
      <c r="B65" s="10">
        <f t="shared" si="0"/>
        <v>0</v>
      </c>
      <c r="C65" s="10">
        <f t="shared" si="1"/>
        <v>0</v>
      </c>
      <c r="D65" s="10">
        <f t="shared" si="2"/>
        <v>0</v>
      </c>
      <c r="E65" s="10">
        <f t="shared" si="3"/>
        <v>0</v>
      </c>
    </row>
    <row r="66" spans="1:5" ht="14.25" customHeight="1" x14ac:dyDescent="0.3">
      <c r="A66" s="44">
        <v>54</v>
      </c>
      <c r="B66" s="10">
        <f t="shared" si="0"/>
        <v>0</v>
      </c>
      <c r="C66" s="10">
        <f t="shared" si="1"/>
        <v>0</v>
      </c>
      <c r="D66" s="10">
        <f t="shared" si="2"/>
        <v>0</v>
      </c>
      <c r="E66" s="10">
        <f t="shared" si="3"/>
        <v>0</v>
      </c>
    </row>
    <row r="67" spans="1:5" ht="14.25" customHeight="1" x14ac:dyDescent="0.3">
      <c r="A67" s="44">
        <v>55</v>
      </c>
      <c r="B67" s="10">
        <f t="shared" si="0"/>
        <v>0</v>
      </c>
      <c r="C67" s="10">
        <f t="shared" si="1"/>
        <v>0</v>
      </c>
      <c r="D67" s="10">
        <f t="shared" si="2"/>
        <v>0</v>
      </c>
      <c r="E67" s="10">
        <f t="shared" si="3"/>
        <v>0</v>
      </c>
    </row>
    <row r="68" spans="1:5" ht="14.25" customHeight="1" x14ac:dyDescent="0.3">
      <c r="A68" s="44">
        <v>56</v>
      </c>
      <c r="B68" s="10">
        <f t="shared" si="0"/>
        <v>0</v>
      </c>
      <c r="C68" s="10">
        <f t="shared" si="1"/>
        <v>0</v>
      </c>
      <c r="D68" s="10">
        <f t="shared" si="2"/>
        <v>0</v>
      </c>
      <c r="E68" s="10">
        <f t="shared" si="3"/>
        <v>0</v>
      </c>
    </row>
    <row r="69" spans="1:5" ht="14.25" customHeight="1" x14ac:dyDescent="0.3">
      <c r="A69" s="44">
        <v>57</v>
      </c>
      <c r="B69" s="10">
        <f t="shared" si="0"/>
        <v>0</v>
      </c>
      <c r="C69" s="10">
        <f t="shared" si="1"/>
        <v>0</v>
      </c>
      <c r="D69" s="10">
        <f t="shared" si="2"/>
        <v>0</v>
      </c>
      <c r="E69" s="10">
        <f t="shared" si="3"/>
        <v>0</v>
      </c>
    </row>
    <row r="70" spans="1:5" ht="14.25" customHeight="1" x14ac:dyDescent="0.3">
      <c r="A70" s="44">
        <v>58</v>
      </c>
      <c r="B70" s="10">
        <f t="shared" si="0"/>
        <v>0</v>
      </c>
      <c r="C70" s="10">
        <f t="shared" si="1"/>
        <v>0</v>
      </c>
      <c r="D70" s="10">
        <f t="shared" si="2"/>
        <v>0</v>
      </c>
      <c r="E70" s="10">
        <f t="shared" si="3"/>
        <v>0</v>
      </c>
    </row>
    <row r="71" spans="1:5" ht="14.25" customHeight="1" x14ac:dyDescent="0.3">
      <c r="A71" s="44">
        <v>59</v>
      </c>
      <c r="B71" s="10">
        <f t="shared" si="0"/>
        <v>0</v>
      </c>
      <c r="C71" s="10">
        <f t="shared" si="1"/>
        <v>0</v>
      </c>
      <c r="D71" s="10">
        <f t="shared" si="2"/>
        <v>0</v>
      </c>
      <c r="E71" s="10">
        <f t="shared" si="3"/>
        <v>0</v>
      </c>
    </row>
    <row r="72" spans="1:5" ht="14.25" customHeight="1" x14ac:dyDescent="0.3">
      <c r="A72" s="44">
        <v>60</v>
      </c>
      <c r="B72" s="10">
        <f t="shared" si="0"/>
        <v>0</v>
      </c>
      <c r="C72" s="10">
        <f t="shared" si="1"/>
        <v>0</v>
      </c>
      <c r="D72" s="10">
        <f t="shared" si="2"/>
        <v>0</v>
      </c>
      <c r="E72" s="10">
        <f t="shared" si="3"/>
        <v>0</v>
      </c>
    </row>
    <row r="73" spans="1:5" ht="14.25" customHeight="1" x14ac:dyDescent="0.3">
      <c r="A73" s="44">
        <v>61</v>
      </c>
      <c r="B73" s="10">
        <f t="shared" si="0"/>
        <v>0</v>
      </c>
      <c r="C73" s="10">
        <f t="shared" si="1"/>
        <v>0</v>
      </c>
      <c r="D73" s="10">
        <f t="shared" si="2"/>
        <v>0</v>
      </c>
      <c r="E73" s="10">
        <f t="shared" si="3"/>
        <v>0</v>
      </c>
    </row>
    <row r="74" spans="1:5" ht="14.25" customHeight="1" x14ac:dyDescent="0.3">
      <c r="A74" s="44">
        <v>62</v>
      </c>
      <c r="B74" s="10">
        <f t="shared" si="0"/>
        <v>0</v>
      </c>
      <c r="C74" s="10">
        <f t="shared" si="1"/>
        <v>0</v>
      </c>
      <c r="D74" s="10">
        <f t="shared" si="2"/>
        <v>0</v>
      </c>
      <c r="E74" s="10">
        <f t="shared" si="3"/>
        <v>0</v>
      </c>
    </row>
    <row r="75" spans="1:5" ht="14.25" customHeight="1" x14ac:dyDescent="0.3">
      <c r="A75" s="44">
        <v>63</v>
      </c>
      <c r="B75" s="10">
        <f t="shared" si="0"/>
        <v>0</v>
      </c>
      <c r="C75" s="10">
        <f t="shared" si="1"/>
        <v>0</v>
      </c>
      <c r="D75" s="10">
        <f t="shared" si="2"/>
        <v>0</v>
      </c>
      <c r="E75" s="10">
        <f t="shared" si="3"/>
        <v>0</v>
      </c>
    </row>
    <row r="76" spans="1:5" ht="14.25" customHeight="1" x14ac:dyDescent="0.3">
      <c r="A76" s="44">
        <v>64</v>
      </c>
      <c r="B76" s="10">
        <f t="shared" si="0"/>
        <v>0</v>
      </c>
      <c r="C76" s="10">
        <f t="shared" si="1"/>
        <v>0</v>
      </c>
      <c r="D76" s="10">
        <f t="shared" si="2"/>
        <v>0</v>
      </c>
      <c r="E76" s="10">
        <f t="shared" si="3"/>
        <v>0</v>
      </c>
    </row>
    <row r="77" spans="1:5" ht="14.25" customHeight="1" x14ac:dyDescent="0.3">
      <c r="A77" s="44">
        <v>65</v>
      </c>
      <c r="B77" s="10">
        <f t="shared" ref="B77:B140" si="4">IF($B$9&lt;=E76,$B$9,E76+E76*$B$7/$B$8)</f>
        <v>0</v>
      </c>
      <c r="C77" s="10">
        <f t="shared" ref="C77:C140" si="5">IF(B77&gt;0,$B$7/$B$8*E76,0)</f>
        <v>0</v>
      </c>
      <c r="D77" s="10">
        <f t="shared" ref="D77:D140" si="6">IF(B77&gt;0,MIN(B77-C77,E76),0)</f>
        <v>0</v>
      </c>
      <c r="E77" s="10">
        <f t="shared" ref="E77:E140" si="7">IF(ROUND(E76,5)&gt;0,E76-D77,0)</f>
        <v>0</v>
      </c>
    </row>
    <row r="78" spans="1:5" ht="14.25" customHeight="1" x14ac:dyDescent="0.3">
      <c r="A78" s="44">
        <v>66</v>
      </c>
      <c r="B78" s="10">
        <f t="shared" si="4"/>
        <v>0</v>
      </c>
      <c r="C78" s="10">
        <f t="shared" si="5"/>
        <v>0</v>
      </c>
      <c r="D78" s="10">
        <f t="shared" si="6"/>
        <v>0</v>
      </c>
      <c r="E78" s="10">
        <f t="shared" si="7"/>
        <v>0</v>
      </c>
    </row>
    <row r="79" spans="1:5" ht="14.25" customHeight="1" x14ac:dyDescent="0.3">
      <c r="A79" s="44">
        <v>67</v>
      </c>
      <c r="B79" s="10">
        <f t="shared" si="4"/>
        <v>0</v>
      </c>
      <c r="C79" s="10">
        <f t="shared" si="5"/>
        <v>0</v>
      </c>
      <c r="D79" s="10">
        <f t="shared" si="6"/>
        <v>0</v>
      </c>
      <c r="E79" s="10">
        <f t="shared" si="7"/>
        <v>0</v>
      </c>
    </row>
    <row r="80" spans="1:5" ht="14.25" customHeight="1" x14ac:dyDescent="0.3">
      <c r="A80" s="44">
        <v>68</v>
      </c>
      <c r="B80" s="10">
        <f t="shared" si="4"/>
        <v>0</v>
      </c>
      <c r="C80" s="10">
        <f t="shared" si="5"/>
        <v>0</v>
      </c>
      <c r="D80" s="10">
        <f t="shared" si="6"/>
        <v>0</v>
      </c>
      <c r="E80" s="10">
        <f t="shared" si="7"/>
        <v>0</v>
      </c>
    </row>
    <row r="81" spans="1:5" ht="14.25" customHeight="1" x14ac:dyDescent="0.3">
      <c r="A81" s="44">
        <v>69</v>
      </c>
      <c r="B81" s="10">
        <f t="shared" si="4"/>
        <v>0</v>
      </c>
      <c r="C81" s="10">
        <f t="shared" si="5"/>
        <v>0</v>
      </c>
      <c r="D81" s="10">
        <f t="shared" si="6"/>
        <v>0</v>
      </c>
      <c r="E81" s="10">
        <f t="shared" si="7"/>
        <v>0</v>
      </c>
    </row>
    <row r="82" spans="1:5" ht="14.25" customHeight="1" x14ac:dyDescent="0.3">
      <c r="A82" s="44">
        <v>70</v>
      </c>
      <c r="B82" s="10">
        <f t="shared" si="4"/>
        <v>0</v>
      </c>
      <c r="C82" s="10">
        <f t="shared" si="5"/>
        <v>0</v>
      </c>
      <c r="D82" s="10">
        <f t="shared" si="6"/>
        <v>0</v>
      </c>
      <c r="E82" s="10">
        <f t="shared" si="7"/>
        <v>0</v>
      </c>
    </row>
    <row r="83" spans="1:5" ht="14.25" customHeight="1" x14ac:dyDescent="0.3">
      <c r="A83" s="44">
        <v>71</v>
      </c>
      <c r="B83" s="10">
        <f t="shared" si="4"/>
        <v>0</v>
      </c>
      <c r="C83" s="10">
        <f t="shared" si="5"/>
        <v>0</v>
      </c>
      <c r="D83" s="10">
        <f t="shared" si="6"/>
        <v>0</v>
      </c>
      <c r="E83" s="10">
        <f t="shared" si="7"/>
        <v>0</v>
      </c>
    </row>
    <row r="84" spans="1:5" ht="14.25" customHeight="1" x14ac:dyDescent="0.3">
      <c r="A84" s="44">
        <v>72</v>
      </c>
      <c r="B84" s="10">
        <f t="shared" si="4"/>
        <v>0</v>
      </c>
      <c r="C84" s="10">
        <f t="shared" si="5"/>
        <v>0</v>
      </c>
      <c r="D84" s="10">
        <f t="shared" si="6"/>
        <v>0</v>
      </c>
      <c r="E84" s="10">
        <f t="shared" si="7"/>
        <v>0</v>
      </c>
    </row>
    <row r="85" spans="1:5" ht="14.25" customHeight="1" x14ac:dyDescent="0.3">
      <c r="A85" s="44">
        <v>73</v>
      </c>
      <c r="B85" s="10">
        <f t="shared" si="4"/>
        <v>0</v>
      </c>
      <c r="C85" s="10">
        <f t="shared" si="5"/>
        <v>0</v>
      </c>
      <c r="D85" s="10">
        <f t="shared" si="6"/>
        <v>0</v>
      </c>
      <c r="E85" s="10">
        <f t="shared" si="7"/>
        <v>0</v>
      </c>
    </row>
    <row r="86" spans="1:5" ht="14.25" customHeight="1" x14ac:dyDescent="0.3">
      <c r="A86" s="44">
        <v>74</v>
      </c>
      <c r="B86" s="10">
        <f t="shared" si="4"/>
        <v>0</v>
      </c>
      <c r="C86" s="10">
        <f t="shared" si="5"/>
        <v>0</v>
      </c>
      <c r="D86" s="10">
        <f t="shared" si="6"/>
        <v>0</v>
      </c>
      <c r="E86" s="10">
        <f t="shared" si="7"/>
        <v>0</v>
      </c>
    </row>
    <row r="87" spans="1:5" ht="14.25" customHeight="1" x14ac:dyDescent="0.3">
      <c r="A87" s="44">
        <v>75</v>
      </c>
      <c r="B87" s="10">
        <f t="shared" si="4"/>
        <v>0</v>
      </c>
      <c r="C87" s="10">
        <f t="shared" si="5"/>
        <v>0</v>
      </c>
      <c r="D87" s="10">
        <f t="shared" si="6"/>
        <v>0</v>
      </c>
      <c r="E87" s="10">
        <f t="shared" si="7"/>
        <v>0</v>
      </c>
    </row>
    <row r="88" spans="1:5" ht="14.25" customHeight="1" x14ac:dyDescent="0.3">
      <c r="A88" s="44">
        <v>76</v>
      </c>
      <c r="B88" s="10">
        <f t="shared" si="4"/>
        <v>0</v>
      </c>
      <c r="C88" s="10">
        <f t="shared" si="5"/>
        <v>0</v>
      </c>
      <c r="D88" s="10">
        <f t="shared" si="6"/>
        <v>0</v>
      </c>
      <c r="E88" s="10">
        <f t="shared" si="7"/>
        <v>0</v>
      </c>
    </row>
    <row r="89" spans="1:5" ht="14.25" customHeight="1" x14ac:dyDescent="0.3">
      <c r="A89" s="44">
        <v>77</v>
      </c>
      <c r="B89" s="10">
        <f t="shared" si="4"/>
        <v>0</v>
      </c>
      <c r="C89" s="10">
        <f t="shared" si="5"/>
        <v>0</v>
      </c>
      <c r="D89" s="10">
        <f t="shared" si="6"/>
        <v>0</v>
      </c>
      <c r="E89" s="10">
        <f t="shared" si="7"/>
        <v>0</v>
      </c>
    </row>
    <row r="90" spans="1:5" ht="14.25" customHeight="1" x14ac:dyDescent="0.3">
      <c r="A90" s="44">
        <v>78</v>
      </c>
      <c r="B90" s="10">
        <f t="shared" si="4"/>
        <v>0</v>
      </c>
      <c r="C90" s="10">
        <f t="shared" si="5"/>
        <v>0</v>
      </c>
      <c r="D90" s="10">
        <f t="shared" si="6"/>
        <v>0</v>
      </c>
      <c r="E90" s="10">
        <f t="shared" si="7"/>
        <v>0</v>
      </c>
    </row>
    <row r="91" spans="1:5" ht="14.25" customHeight="1" x14ac:dyDescent="0.3">
      <c r="A91" s="44">
        <v>79</v>
      </c>
      <c r="B91" s="10">
        <f t="shared" si="4"/>
        <v>0</v>
      </c>
      <c r="C91" s="10">
        <f t="shared" si="5"/>
        <v>0</v>
      </c>
      <c r="D91" s="10">
        <f t="shared" si="6"/>
        <v>0</v>
      </c>
      <c r="E91" s="10">
        <f t="shared" si="7"/>
        <v>0</v>
      </c>
    </row>
    <row r="92" spans="1:5" ht="14.25" customHeight="1" x14ac:dyDescent="0.3">
      <c r="A92" s="44">
        <v>80</v>
      </c>
      <c r="B92" s="10">
        <f t="shared" si="4"/>
        <v>0</v>
      </c>
      <c r="C92" s="10">
        <f t="shared" si="5"/>
        <v>0</v>
      </c>
      <c r="D92" s="10">
        <f t="shared" si="6"/>
        <v>0</v>
      </c>
      <c r="E92" s="10">
        <f t="shared" si="7"/>
        <v>0</v>
      </c>
    </row>
    <row r="93" spans="1:5" ht="14.25" customHeight="1" x14ac:dyDescent="0.3">
      <c r="A93" s="44">
        <v>81</v>
      </c>
      <c r="B93" s="10">
        <f t="shared" si="4"/>
        <v>0</v>
      </c>
      <c r="C93" s="10">
        <f t="shared" si="5"/>
        <v>0</v>
      </c>
      <c r="D93" s="10">
        <f t="shared" si="6"/>
        <v>0</v>
      </c>
      <c r="E93" s="10">
        <f t="shared" si="7"/>
        <v>0</v>
      </c>
    </row>
    <row r="94" spans="1:5" ht="14.25" customHeight="1" x14ac:dyDescent="0.3">
      <c r="A94" s="44">
        <v>82</v>
      </c>
      <c r="B94" s="10">
        <f t="shared" si="4"/>
        <v>0</v>
      </c>
      <c r="C94" s="10">
        <f t="shared" si="5"/>
        <v>0</v>
      </c>
      <c r="D94" s="10">
        <f t="shared" si="6"/>
        <v>0</v>
      </c>
      <c r="E94" s="10">
        <f t="shared" si="7"/>
        <v>0</v>
      </c>
    </row>
    <row r="95" spans="1:5" ht="14.25" customHeight="1" x14ac:dyDescent="0.3">
      <c r="A95" s="44">
        <v>83</v>
      </c>
      <c r="B95" s="10">
        <f t="shared" si="4"/>
        <v>0</v>
      </c>
      <c r="C95" s="10">
        <f t="shared" si="5"/>
        <v>0</v>
      </c>
      <c r="D95" s="10">
        <f t="shared" si="6"/>
        <v>0</v>
      </c>
      <c r="E95" s="10">
        <f t="shared" si="7"/>
        <v>0</v>
      </c>
    </row>
    <row r="96" spans="1:5" ht="14.25" customHeight="1" x14ac:dyDescent="0.3">
      <c r="A96" s="44">
        <v>84</v>
      </c>
      <c r="B96" s="10">
        <f t="shared" si="4"/>
        <v>0</v>
      </c>
      <c r="C96" s="10">
        <f t="shared" si="5"/>
        <v>0</v>
      </c>
      <c r="D96" s="10">
        <f t="shared" si="6"/>
        <v>0</v>
      </c>
      <c r="E96" s="10">
        <f t="shared" si="7"/>
        <v>0</v>
      </c>
    </row>
    <row r="97" spans="1:5" ht="14.25" customHeight="1" x14ac:dyDescent="0.3">
      <c r="A97" s="44">
        <v>85</v>
      </c>
      <c r="B97" s="10">
        <f t="shared" si="4"/>
        <v>0</v>
      </c>
      <c r="C97" s="10">
        <f t="shared" si="5"/>
        <v>0</v>
      </c>
      <c r="D97" s="10">
        <f t="shared" si="6"/>
        <v>0</v>
      </c>
      <c r="E97" s="10">
        <f t="shared" si="7"/>
        <v>0</v>
      </c>
    </row>
    <row r="98" spans="1:5" ht="14.25" customHeight="1" x14ac:dyDescent="0.3">
      <c r="A98" s="44">
        <v>86</v>
      </c>
      <c r="B98" s="10">
        <f t="shared" si="4"/>
        <v>0</v>
      </c>
      <c r="C98" s="10">
        <f t="shared" si="5"/>
        <v>0</v>
      </c>
      <c r="D98" s="10">
        <f t="shared" si="6"/>
        <v>0</v>
      </c>
      <c r="E98" s="10">
        <f t="shared" si="7"/>
        <v>0</v>
      </c>
    </row>
    <row r="99" spans="1:5" ht="14.25" customHeight="1" x14ac:dyDescent="0.3">
      <c r="A99" s="44">
        <v>87</v>
      </c>
      <c r="B99" s="10">
        <f t="shared" si="4"/>
        <v>0</v>
      </c>
      <c r="C99" s="10">
        <f t="shared" si="5"/>
        <v>0</v>
      </c>
      <c r="D99" s="10">
        <f t="shared" si="6"/>
        <v>0</v>
      </c>
      <c r="E99" s="10">
        <f t="shared" si="7"/>
        <v>0</v>
      </c>
    </row>
    <row r="100" spans="1:5" ht="14.25" customHeight="1" x14ac:dyDescent="0.3">
      <c r="A100" s="44">
        <v>88</v>
      </c>
      <c r="B100" s="10">
        <f t="shared" si="4"/>
        <v>0</v>
      </c>
      <c r="C100" s="10">
        <f t="shared" si="5"/>
        <v>0</v>
      </c>
      <c r="D100" s="10">
        <f t="shared" si="6"/>
        <v>0</v>
      </c>
      <c r="E100" s="10">
        <f t="shared" si="7"/>
        <v>0</v>
      </c>
    </row>
    <row r="101" spans="1:5" ht="14.25" customHeight="1" x14ac:dyDescent="0.3">
      <c r="A101" s="44">
        <v>89</v>
      </c>
      <c r="B101" s="10">
        <f t="shared" si="4"/>
        <v>0</v>
      </c>
      <c r="C101" s="10">
        <f t="shared" si="5"/>
        <v>0</v>
      </c>
      <c r="D101" s="10">
        <f t="shared" si="6"/>
        <v>0</v>
      </c>
      <c r="E101" s="10">
        <f t="shared" si="7"/>
        <v>0</v>
      </c>
    </row>
    <row r="102" spans="1:5" ht="14.25" customHeight="1" x14ac:dyDescent="0.3">
      <c r="A102" s="44">
        <v>90</v>
      </c>
      <c r="B102" s="10">
        <f t="shared" si="4"/>
        <v>0</v>
      </c>
      <c r="C102" s="10">
        <f t="shared" si="5"/>
        <v>0</v>
      </c>
      <c r="D102" s="10">
        <f t="shared" si="6"/>
        <v>0</v>
      </c>
      <c r="E102" s="10">
        <f t="shared" si="7"/>
        <v>0</v>
      </c>
    </row>
    <row r="103" spans="1:5" ht="14.25" customHeight="1" x14ac:dyDescent="0.3">
      <c r="A103" s="44">
        <v>91</v>
      </c>
      <c r="B103" s="10">
        <f t="shared" si="4"/>
        <v>0</v>
      </c>
      <c r="C103" s="10">
        <f t="shared" si="5"/>
        <v>0</v>
      </c>
      <c r="D103" s="10">
        <f t="shared" si="6"/>
        <v>0</v>
      </c>
      <c r="E103" s="10">
        <f t="shared" si="7"/>
        <v>0</v>
      </c>
    </row>
    <row r="104" spans="1:5" ht="14.25" customHeight="1" x14ac:dyDescent="0.3">
      <c r="A104" s="44">
        <v>92</v>
      </c>
      <c r="B104" s="10">
        <f t="shared" si="4"/>
        <v>0</v>
      </c>
      <c r="C104" s="10">
        <f t="shared" si="5"/>
        <v>0</v>
      </c>
      <c r="D104" s="10">
        <f t="shared" si="6"/>
        <v>0</v>
      </c>
      <c r="E104" s="10">
        <f t="shared" si="7"/>
        <v>0</v>
      </c>
    </row>
    <row r="105" spans="1:5" ht="14.25" customHeight="1" x14ac:dyDescent="0.3">
      <c r="A105" s="44">
        <v>93</v>
      </c>
      <c r="B105" s="10">
        <f t="shared" si="4"/>
        <v>0</v>
      </c>
      <c r="C105" s="10">
        <f t="shared" si="5"/>
        <v>0</v>
      </c>
      <c r="D105" s="10">
        <f t="shared" si="6"/>
        <v>0</v>
      </c>
      <c r="E105" s="10">
        <f t="shared" si="7"/>
        <v>0</v>
      </c>
    </row>
    <row r="106" spans="1:5" ht="14.25" customHeight="1" x14ac:dyDescent="0.3">
      <c r="A106" s="44">
        <v>94</v>
      </c>
      <c r="B106" s="10">
        <f t="shared" si="4"/>
        <v>0</v>
      </c>
      <c r="C106" s="10">
        <f t="shared" si="5"/>
        <v>0</v>
      </c>
      <c r="D106" s="10">
        <f t="shared" si="6"/>
        <v>0</v>
      </c>
      <c r="E106" s="10">
        <f t="shared" si="7"/>
        <v>0</v>
      </c>
    </row>
    <row r="107" spans="1:5" ht="14.25" customHeight="1" x14ac:dyDescent="0.3">
      <c r="A107" s="44">
        <v>95</v>
      </c>
      <c r="B107" s="10">
        <f t="shared" si="4"/>
        <v>0</v>
      </c>
      <c r="C107" s="10">
        <f t="shared" si="5"/>
        <v>0</v>
      </c>
      <c r="D107" s="10">
        <f t="shared" si="6"/>
        <v>0</v>
      </c>
      <c r="E107" s="10">
        <f t="shared" si="7"/>
        <v>0</v>
      </c>
    </row>
    <row r="108" spans="1:5" ht="14.25" customHeight="1" x14ac:dyDescent="0.3">
      <c r="A108" s="44">
        <v>96</v>
      </c>
      <c r="B108" s="10">
        <f t="shared" si="4"/>
        <v>0</v>
      </c>
      <c r="C108" s="10">
        <f t="shared" si="5"/>
        <v>0</v>
      </c>
      <c r="D108" s="10">
        <f t="shared" si="6"/>
        <v>0</v>
      </c>
      <c r="E108" s="10">
        <f t="shared" si="7"/>
        <v>0</v>
      </c>
    </row>
    <row r="109" spans="1:5" ht="14.25" customHeight="1" x14ac:dyDescent="0.3">
      <c r="A109" s="44">
        <v>97</v>
      </c>
      <c r="B109" s="10">
        <f t="shared" si="4"/>
        <v>0</v>
      </c>
      <c r="C109" s="10">
        <f t="shared" si="5"/>
        <v>0</v>
      </c>
      <c r="D109" s="10">
        <f t="shared" si="6"/>
        <v>0</v>
      </c>
      <c r="E109" s="10">
        <f t="shared" si="7"/>
        <v>0</v>
      </c>
    </row>
    <row r="110" spans="1:5" ht="14.25" customHeight="1" x14ac:dyDescent="0.3">
      <c r="A110" s="44">
        <v>98</v>
      </c>
      <c r="B110" s="10">
        <f t="shared" si="4"/>
        <v>0</v>
      </c>
      <c r="C110" s="10">
        <f t="shared" si="5"/>
        <v>0</v>
      </c>
      <c r="D110" s="10">
        <f t="shared" si="6"/>
        <v>0</v>
      </c>
      <c r="E110" s="10">
        <f t="shared" si="7"/>
        <v>0</v>
      </c>
    </row>
    <row r="111" spans="1:5" ht="14.25" customHeight="1" x14ac:dyDescent="0.3">
      <c r="A111" s="44">
        <v>99</v>
      </c>
      <c r="B111" s="10">
        <f t="shared" si="4"/>
        <v>0</v>
      </c>
      <c r="C111" s="10">
        <f t="shared" si="5"/>
        <v>0</v>
      </c>
      <c r="D111" s="10">
        <f t="shared" si="6"/>
        <v>0</v>
      </c>
      <c r="E111" s="10">
        <f t="shared" si="7"/>
        <v>0</v>
      </c>
    </row>
    <row r="112" spans="1:5" ht="14.25" customHeight="1" x14ac:dyDescent="0.3">
      <c r="A112" s="44">
        <v>100</v>
      </c>
      <c r="B112" s="10">
        <f t="shared" si="4"/>
        <v>0</v>
      </c>
      <c r="C112" s="10">
        <f t="shared" si="5"/>
        <v>0</v>
      </c>
      <c r="D112" s="10">
        <f t="shared" si="6"/>
        <v>0</v>
      </c>
      <c r="E112" s="10">
        <f t="shared" si="7"/>
        <v>0</v>
      </c>
    </row>
    <row r="113" spans="1:5" ht="14.25" customHeight="1" x14ac:dyDescent="0.3">
      <c r="A113" s="44">
        <v>101</v>
      </c>
      <c r="B113" s="10">
        <f t="shared" si="4"/>
        <v>0</v>
      </c>
      <c r="C113" s="10">
        <f t="shared" si="5"/>
        <v>0</v>
      </c>
      <c r="D113" s="10">
        <f t="shared" si="6"/>
        <v>0</v>
      </c>
      <c r="E113" s="10">
        <f t="shared" si="7"/>
        <v>0</v>
      </c>
    </row>
    <row r="114" spans="1:5" ht="14.25" customHeight="1" x14ac:dyDescent="0.3">
      <c r="A114" s="44">
        <v>102</v>
      </c>
      <c r="B114" s="10">
        <f t="shared" si="4"/>
        <v>0</v>
      </c>
      <c r="C114" s="10">
        <f t="shared" si="5"/>
        <v>0</v>
      </c>
      <c r="D114" s="10">
        <f t="shared" si="6"/>
        <v>0</v>
      </c>
      <c r="E114" s="10">
        <f t="shared" si="7"/>
        <v>0</v>
      </c>
    </row>
    <row r="115" spans="1:5" ht="14.25" customHeight="1" x14ac:dyDescent="0.3">
      <c r="A115" s="44">
        <v>103</v>
      </c>
      <c r="B115" s="10">
        <f t="shared" si="4"/>
        <v>0</v>
      </c>
      <c r="C115" s="10">
        <f t="shared" si="5"/>
        <v>0</v>
      </c>
      <c r="D115" s="10">
        <f t="shared" si="6"/>
        <v>0</v>
      </c>
      <c r="E115" s="10">
        <f t="shared" si="7"/>
        <v>0</v>
      </c>
    </row>
    <row r="116" spans="1:5" ht="14.25" customHeight="1" x14ac:dyDescent="0.3">
      <c r="A116" s="44">
        <v>104</v>
      </c>
      <c r="B116" s="10">
        <f t="shared" si="4"/>
        <v>0</v>
      </c>
      <c r="C116" s="10">
        <f t="shared" si="5"/>
        <v>0</v>
      </c>
      <c r="D116" s="10">
        <f t="shared" si="6"/>
        <v>0</v>
      </c>
      <c r="E116" s="10">
        <f t="shared" si="7"/>
        <v>0</v>
      </c>
    </row>
    <row r="117" spans="1:5" ht="14.25" customHeight="1" x14ac:dyDescent="0.3">
      <c r="A117" s="44">
        <v>105</v>
      </c>
      <c r="B117" s="10">
        <f t="shared" si="4"/>
        <v>0</v>
      </c>
      <c r="C117" s="10">
        <f t="shared" si="5"/>
        <v>0</v>
      </c>
      <c r="D117" s="10">
        <f t="shared" si="6"/>
        <v>0</v>
      </c>
      <c r="E117" s="10">
        <f t="shared" si="7"/>
        <v>0</v>
      </c>
    </row>
    <row r="118" spans="1:5" ht="14.25" customHeight="1" x14ac:dyDescent="0.3">
      <c r="A118" s="44">
        <v>106</v>
      </c>
      <c r="B118" s="10">
        <f t="shared" si="4"/>
        <v>0</v>
      </c>
      <c r="C118" s="10">
        <f t="shared" si="5"/>
        <v>0</v>
      </c>
      <c r="D118" s="10">
        <f t="shared" si="6"/>
        <v>0</v>
      </c>
      <c r="E118" s="10">
        <f t="shared" si="7"/>
        <v>0</v>
      </c>
    </row>
    <row r="119" spans="1:5" ht="14.25" customHeight="1" x14ac:dyDescent="0.3">
      <c r="A119" s="44">
        <v>107</v>
      </c>
      <c r="B119" s="10">
        <f t="shared" si="4"/>
        <v>0</v>
      </c>
      <c r="C119" s="10">
        <f t="shared" si="5"/>
        <v>0</v>
      </c>
      <c r="D119" s="10">
        <f t="shared" si="6"/>
        <v>0</v>
      </c>
      <c r="E119" s="10">
        <f t="shared" si="7"/>
        <v>0</v>
      </c>
    </row>
    <row r="120" spans="1:5" ht="14.25" customHeight="1" x14ac:dyDescent="0.3">
      <c r="A120" s="44">
        <v>108</v>
      </c>
      <c r="B120" s="10">
        <f t="shared" si="4"/>
        <v>0</v>
      </c>
      <c r="C120" s="10">
        <f t="shared" si="5"/>
        <v>0</v>
      </c>
      <c r="D120" s="10">
        <f t="shared" si="6"/>
        <v>0</v>
      </c>
      <c r="E120" s="10">
        <f t="shared" si="7"/>
        <v>0</v>
      </c>
    </row>
    <row r="121" spans="1:5" ht="14.25" customHeight="1" x14ac:dyDescent="0.3">
      <c r="A121" s="44">
        <v>109</v>
      </c>
      <c r="B121" s="10">
        <f t="shared" si="4"/>
        <v>0</v>
      </c>
      <c r="C121" s="10">
        <f t="shared" si="5"/>
        <v>0</v>
      </c>
      <c r="D121" s="10">
        <f t="shared" si="6"/>
        <v>0</v>
      </c>
      <c r="E121" s="10">
        <f t="shared" si="7"/>
        <v>0</v>
      </c>
    </row>
    <row r="122" spans="1:5" ht="14.25" customHeight="1" x14ac:dyDescent="0.3">
      <c r="A122" s="44">
        <v>110</v>
      </c>
      <c r="B122" s="10">
        <f t="shared" si="4"/>
        <v>0</v>
      </c>
      <c r="C122" s="10">
        <f t="shared" si="5"/>
        <v>0</v>
      </c>
      <c r="D122" s="10">
        <f t="shared" si="6"/>
        <v>0</v>
      </c>
      <c r="E122" s="10">
        <f t="shared" si="7"/>
        <v>0</v>
      </c>
    </row>
    <row r="123" spans="1:5" ht="14.25" customHeight="1" x14ac:dyDescent="0.3">
      <c r="A123" s="44">
        <v>111</v>
      </c>
      <c r="B123" s="10">
        <f t="shared" si="4"/>
        <v>0</v>
      </c>
      <c r="C123" s="10">
        <f t="shared" si="5"/>
        <v>0</v>
      </c>
      <c r="D123" s="10">
        <f t="shared" si="6"/>
        <v>0</v>
      </c>
      <c r="E123" s="10">
        <f t="shared" si="7"/>
        <v>0</v>
      </c>
    </row>
    <row r="124" spans="1:5" ht="14.25" customHeight="1" x14ac:dyDescent="0.3">
      <c r="A124" s="44">
        <v>112</v>
      </c>
      <c r="B124" s="10">
        <f t="shared" si="4"/>
        <v>0</v>
      </c>
      <c r="C124" s="10">
        <f t="shared" si="5"/>
        <v>0</v>
      </c>
      <c r="D124" s="10">
        <f t="shared" si="6"/>
        <v>0</v>
      </c>
      <c r="E124" s="10">
        <f t="shared" si="7"/>
        <v>0</v>
      </c>
    </row>
    <row r="125" spans="1:5" ht="14.25" customHeight="1" x14ac:dyDescent="0.3">
      <c r="A125" s="44">
        <v>113</v>
      </c>
      <c r="B125" s="10">
        <f t="shared" si="4"/>
        <v>0</v>
      </c>
      <c r="C125" s="10">
        <f t="shared" si="5"/>
        <v>0</v>
      </c>
      <c r="D125" s="10">
        <f t="shared" si="6"/>
        <v>0</v>
      </c>
      <c r="E125" s="10">
        <f t="shared" si="7"/>
        <v>0</v>
      </c>
    </row>
    <row r="126" spans="1:5" ht="14.25" customHeight="1" x14ac:dyDescent="0.3">
      <c r="A126" s="44">
        <v>114</v>
      </c>
      <c r="B126" s="10">
        <f t="shared" si="4"/>
        <v>0</v>
      </c>
      <c r="C126" s="10">
        <f t="shared" si="5"/>
        <v>0</v>
      </c>
      <c r="D126" s="10">
        <f t="shared" si="6"/>
        <v>0</v>
      </c>
      <c r="E126" s="10">
        <f t="shared" si="7"/>
        <v>0</v>
      </c>
    </row>
    <row r="127" spans="1:5" ht="14.25" customHeight="1" x14ac:dyDescent="0.3">
      <c r="A127" s="44">
        <v>115</v>
      </c>
      <c r="B127" s="10">
        <f t="shared" si="4"/>
        <v>0</v>
      </c>
      <c r="C127" s="10">
        <f t="shared" si="5"/>
        <v>0</v>
      </c>
      <c r="D127" s="10">
        <f t="shared" si="6"/>
        <v>0</v>
      </c>
      <c r="E127" s="10">
        <f t="shared" si="7"/>
        <v>0</v>
      </c>
    </row>
    <row r="128" spans="1:5" ht="14.25" customHeight="1" x14ac:dyDescent="0.3">
      <c r="A128" s="44">
        <v>116</v>
      </c>
      <c r="B128" s="10">
        <f t="shared" si="4"/>
        <v>0</v>
      </c>
      <c r="C128" s="10">
        <f t="shared" si="5"/>
        <v>0</v>
      </c>
      <c r="D128" s="10">
        <f t="shared" si="6"/>
        <v>0</v>
      </c>
      <c r="E128" s="10">
        <f t="shared" si="7"/>
        <v>0</v>
      </c>
    </row>
    <row r="129" spans="1:5" ht="14.25" customHeight="1" x14ac:dyDescent="0.3">
      <c r="A129" s="44">
        <v>117</v>
      </c>
      <c r="B129" s="10">
        <f t="shared" si="4"/>
        <v>0</v>
      </c>
      <c r="C129" s="10">
        <f t="shared" si="5"/>
        <v>0</v>
      </c>
      <c r="D129" s="10">
        <f t="shared" si="6"/>
        <v>0</v>
      </c>
      <c r="E129" s="10">
        <f t="shared" si="7"/>
        <v>0</v>
      </c>
    </row>
    <row r="130" spans="1:5" ht="14.25" customHeight="1" x14ac:dyDescent="0.3">
      <c r="A130" s="44">
        <v>118</v>
      </c>
      <c r="B130" s="10">
        <f t="shared" si="4"/>
        <v>0</v>
      </c>
      <c r="C130" s="10">
        <f t="shared" si="5"/>
        <v>0</v>
      </c>
      <c r="D130" s="10">
        <f t="shared" si="6"/>
        <v>0</v>
      </c>
      <c r="E130" s="10">
        <f t="shared" si="7"/>
        <v>0</v>
      </c>
    </row>
    <row r="131" spans="1:5" ht="14.25" customHeight="1" x14ac:dyDescent="0.3">
      <c r="A131" s="44">
        <v>119</v>
      </c>
      <c r="B131" s="10">
        <f t="shared" si="4"/>
        <v>0</v>
      </c>
      <c r="C131" s="10">
        <f t="shared" si="5"/>
        <v>0</v>
      </c>
      <c r="D131" s="10">
        <f t="shared" si="6"/>
        <v>0</v>
      </c>
      <c r="E131" s="10">
        <f t="shared" si="7"/>
        <v>0</v>
      </c>
    </row>
    <row r="132" spans="1:5" ht="14.25" customHeight="1" x14ac:dyDescent="0.3">
      <c r="A132" s="44">
        <v>120</v>
      </c>
      <c r="B132" s="10">
        <f t="shared" si="4"/>
        <v>0</v>
      </c>
      <c r="C132" s="10">
        <f t="shared" si="5"/>
        <v>0</v>
      </c>
      <c r="D132" s="10">
        <f t="shared" si="6"/>
        <v>0</v>
      </c>
      <c r="E132" s="10">
        <f t="shared" si="7"/>
        <v>0</v>
      </c>
    </row>
    <row r="133" spans="1:5" ht="14.25" customHeight="1" x14ac:dyDescent="0.3">
      <c r="A133" s="44">
        <v>121</v>
      </c>
      <c r="B133" s="10">
        <f t="shared" si="4"/>
        <v>0</v>
      </c>
      <c r="C133" s="10">
        <f t="shared" si="5"/>
        <v>0</v>
      </c>
      <c r="D133" s="10">
        <f t="shared" si="6"/>
        <v>0</v>
      </c>
      <c r="E133" s="10">
        <f t="shared" si="7"/>
        <v>0</v>
      </c>
    </row>
    <row r="134" spans="1:5" ht="14.25" customHeight="1" x14ac:dyDescent="0.3">
      <c r="A134" s="44">
        <v>122</v>
      </c>
      <c r="B134" s="10">
        <f t="shared" si="4"/>
        <v>0</v>
      </c>
      <c r="C134" s="10">
        <f t="shared" si="5"/>
        <v>0</v>
      </c>
      <c r="D134" s="10">
        <f t="shared" si="6"/>
        <v>0</v>
      </c>
      <c r="E134" s="10">
        <f t="shared" si="7"/>
        <v>0</v>
      </c>
    </row>
    <row r="135" spans="1:5" ht="14.25" customHeight="1" x14ac:dyDescent="0.3">
      <c r="A135" s="44">
        <v>123</v>
      </c>
      <c r="B135" s="10">
        <f t="shared" si="4"/>
        <v>0</v>
      </c>
      <c r="C135" s="10">
        <f t="shared" si="5"/>
        <v>0</v>
      </c>
      <c r="D135" s="10">
        <f t="shared" si="6"/>
        <v>0</v>
      </c>
      <c r="E135" s="10">
        <f t="shared" si="7"/>
        <v>0</v>
      </c>
    </row>
    <row r="136" spans="1:5" ht="14.25" customHeight="1" x14ac:dyDescent="0.3">
      <c r="A136" s="44">
        <v>124</v>
      </c>
      <c r="B136" s="10">
        <f t="shared" si="4"/>
        <v>0</v>
      </c>
      <c r="C136" s="10">
        <f t="shared" si="5"/>
        <v>0</v>
      </c>
      <c r="D136" s="10">
        <f t="shared" si="6"/>
        <v>0</v>
      </c>
      <c r="E136" s="10">
        <f t="shared" si="7"/>
        <v>0</v>
      </c>
    </row>
    <row r="137" spans="1:5" ht="14.25" customHeight="1" x14ac:dyDescent="0.3">
      <c r="A137" s="44">
        <v>125</v>
      </c>
      <c r="B137" s="10">
        <f t="shared" si="4"/>
        <v>0</v>
      </c>
      <c r="C137" s="10">
        <f t="shared" si="5"/>
        <v>0</v>
      </c>
      <c r="D137" s="10">
        <f t="shared" si="6"/>
        <v>0</v>
      </c>
      <c r="E137" s="10">
        <f t="shared" si="7"/>
        <v>0</v>
      </c>
    </row>
    <row r="138" spans="1:5" ht="14.25" customHeight="1" x14ac:dyDescent="0.3">
      <c r="A138" s="44">
        <v>126</v>
      </c>
      <c r="B138" s="10">
        <f t="shared" si="4"/>
        <v>0</v>
      </c>
      <c r="C138" s="10">
        <f t="shared" si="5"/>
        <v>0</v>
      </c>
      <c r="D138" s="10">
        <f t="shared" si="6"/>
        <v>0</v>
      </c>
      <c r="E138" s="10">
        <f t="shared" si="7"/>
        <v>0</v>
      </c>
    </row>
    <row r="139" spans="1:5" ht="14.25" customHeight="1" x14ac:dyDescent="0.3">
      <c r="A139" s="44">
        <v>127</v>
      </c>
      <c r="B139" s="10">
        <f t="shared" si="4"/>
        <v>0</v>
      </c>
      <c r="C139" s="10">
        <f t="shared" si="5"/>
        <v>0</v>
      </c>
      <c r="D139" s="10">
        <f t="shared" si="6"/>
        <v>0</v>
      </c>
      <c r="E139" s="10">
        <f t="shared" si="7"/>
        <v>0</v>
      </c>
    </row>
    <row r="140" spans="1:5" ht="14.25" customHeight="1" x14ac:dyDescent="0.3">
      <c r="A140" s="44">
        <v>128</v>
      </c>
      <c r="B140" s="10">
        <f t="shared" si="4"/>
        <v>0</v>
      </c>
      <c r="C140" s="10">
        <f t="shared" si="5"/>
        <v>0</v>
      </c>
      <c r="D140" s="10">
        <f t="shared" si="6"/>
        <v>0</v>
      </c>
      <c r="E140" s="10">
        <f t="shared" si="7"/>
        <v>0</v>
      </c>
    </row>
    <row r="141" spans="1:5" ht="14.25" customHeight="1" x14ac:dyDescent="0.3">
      <c r="A141" s="44">
        <v>129</v>
      </c>
      <c r="B141" s="10">
        <f t="shared" ref="B141:B204" si="8">IF($B$9&lt;=E140,$B$9,E140+E140*$B$7/$B$8)</f>
        <v>0</v>
      </c>
      <c r="C141" s="10">
        <f t="shared" ref="C141:C204" si="9">IF(B141&gt;0,$B$7/$B$8*E140,0)</f>
        <v>0</v>
      </c>
      <c r="D141" s="10">
        <f t="shared" ref="D141:D204" si="10">IF(B141&gt;0,MIN(B141-C141,E140),0)</f>
        <v>0</v>
      </c>
      <c r="E141" s="10">
        <f t="shared" ref="E141:E204" si="11">IF(ROUND(E140,5)&gt;0,E140-D141,0)</f>
        <v>0</v>
      </c>
    </row>
    <row r="142" spans="1:5" ht="14.25" customHeight="1" x14ac:dyDescent="0.3">
      <c r="A142" s="44">
        <v>130</v>
      </c>
      <c r="B142" s="10">
        <f t="shared" si="8"/>
        <v>0</v>
      </c>
      <c r="C142" s="10">
        <f t="shared" si="9"/>
        <v>0</v>
      </c>
      <c r="D142" s="10">
        <f t="shared" si="10"/>
        <v>0</v>
      </c>
      <c r="E142" s="10">
        <f t="shared" si="11"/>
        <v>0</v>
      </c>
    </row>
    <row r="143" spans="1:5" ht="14.25" customHeight="1" x14ac:dyDescent="0.3">
      <c r="A143" s="44">
        <v>131</v>
      </c>
      <c r="B143" s="10">
        <f t="shared" si="8"/>
        <v>0</v>
      </c>
      <c r="C143" s="10">
        <f t="shared" si="9"/>
        <v>0</v>
      </c>
      <c r="D143" s="10">
        <f t="shared" si="10"/>
        <v>0</v>
      </c>
      <c r="E143" s="10">
        <f t="shared" si="11"/>
        <v>0</v>
      </c>
    </row>
    <row r="144" spans="1:5" ht="14.25" customHeight="1" x14ac:dyDescent="0.3">
      <c r="A144" s="44">
        <v>132</v>
      </c>
      <c r="B144" s="10">
        <f t="shared" si="8"/>
        <v>0</v>
      </c>
      <c r="C144" s="10">
        <f t="shared" si="9"/>
        <v>0</v>
      </c>
      <c r="D144" s="10">
        <f t="shared" si="10"/>
        <v>0</v>
      </c>
      <c r="E144" s="10">
        <f t="shared" si="11"/>
        <v>0</v>
      </c>
    </row>
    <row r="145" spans="1:5" ht="14.25" customHeight="1" x14ac:dyDescent="0.3">
      <c r="A145" s="44">
        <v>133</v>
      </c>
      <c r="B145" s="10">
        <f t="shared" si="8"/>
        <v>0</v>
      </c>
      <c r="C145" s="10">
        <f t="shared" si="9"/>
        <v>0</v>
      </c>
      <c r="D145" s="10">
        <f t="shared" si="10"/>
        <v>0</v>
      </c>
      <c r="E145" s="10">
        <f t="shared" si="11"/>
        <v>0</v>
      </c>
    </row>
    <row r="146" spans="1:5" ht="14.25" customHeight="1" x14ac:dyDescent="0.3">
      <c r="A146" s="44">
        <v>134</v>
      </c>
      <c r="B146" s="10">
        <f t="shared" si="8"/>
        <v>0</v>
      </c>
      <c r="C146" s="10">
        <f t="shared" si="9"/>
        <v>0</v>
      </c>
      <c r="D146" s="10">
        <f t="shared" si="10"/>
        <v>0</v>
      </c>
      <c r="E146" s="10">
        <f t="shared" si="11"/>
        <v>0</v>
      </c>
    </row>
    <row r="147" spans="1:5" ht="14.25" customHeight="1" x14ac:dyDescent="0.3">
      <c r="A147" s="44">
        <v>135</v>
      </c>
      <c r="B147" s="10">
        <f t="shared" si="8"/>
        <v>0</v>
      </c>
      <c r="C147" s="10">
        <f t="shared" si="9"/>
        <v>0</v>
      </c>
      <c r="D147" s="10">
        <f t="shared" si="10"/>
        <v>0</v>
      </c>
      <c r="E147" s="10">
        <f t="shared" si="11"/>
        <v>0</v>
      </c>
    </row>
    <row r="148" spans="1:5" ht="14.25" customHeight="1" x14ac:dyDescent="0.3">
      <c r="A148" s="44">
        <v>136</v>
      </c>
      <c r="B148" s="10">
        <f t="shared" si="8"/>
        <v>0</v>
      </c>
      <c r="C148" s="10">
        <f t="shared" si="9"/>
        <v>0</v>
      </c>
      <c r="D148" s="10">
        <f t="shared" si="10"/>
        <v>0</v>
      </c>
      <c r="E148" s="10">
        <f t="shared" si="11"/>
        <v>0</v>
      </c>
    </row>
    <row r="149" spans="1:5" ht="14.25" customHeight="1" x14ac:dyDescent="0.3">
      <c r="A149" s="44">
        <v>137</v>
      </c>
      <c r="B149" s="10">
        <f t="shared" si="8"/>
        <v>0</v>
      </c>
      <c r="C149" s="10">
        <f t="shared" si="9"/>
        <v>0</v>
      </c>
      <c r="D149" s="10">
        <f t="shared" si="10"/>
        <v>0</v>
      </c>
      <c r="E149" s="10">
        <f t="shared" si="11"/>
        <v>0</v>
      </c>
    </row>
    <row r="150" spans="1:5" ht="14.25" customHeight="1" x14ac:dyDescent="0.3">
      <c r="A150" s="44">
        <v>138</v>
      </c>
      <c r="B150" s="10">
        <f t="shared" si="8"/>
        <v>0</v>
      </c>
      <c r="C150" s="10">
        <f t="shared" si="9"/>
        <v>0</v>
      </c>
      <c r="D150" s="10">
        <f t="shared" si="10"/>
        <v>0</v>
      </c>
      <c r="E150" s="10">
        <f t="shared" si="11"/>
        <v>0</v>
      </c>
    </row>
    <row r="151" spans="1:5" ht="14.25" customHeight="1" x14ac:dyDescent="0.3">
      <c r="A151" s="44">
        <v>139</v>
      </c>
      <c r="B151" s="10">
        <f t="shared" si="8"/>
        <v>0</v>
      </c>
      <c r="C151" s="10">
        <f t="shared" si="9"/>
        <v>0</v>
      </c>
      <c r="D151" s="10">
        <f t="shared" si="10"/>
        <v>0</v>
      </c>
      <c r="E151" s="10">
        <f t="shared" si="11"/>
        <v>0</v>
      </c>
    </row>
    <row r="152" spans="1:5" ht="14.25" customHeight="1" x14ac:dyDescent="0.3">
      <c r="A152" s="44">
        <v>140</v>
      </c>
      <c r="B152" s="10">
        <f t="shared" si="8"/>
        <v>0</v>
      </c>
      <c r="C152" s="10">
        <f t="shared" si="9"/>
        <v>0</v>
      </c>
      <c r="D152" s="10">
        <f t="shared" si="10"/>
        <v>0</v>
      </c>
      <c r="E152" s="10">
        <f t="shared" si="11"/>
        <v>0</v>
      </c>
    </row>
    <row r="153" spans="1:5" ht="14.25" customHeight="1" x14ac:dyDescent="0.3">
      <c r="A153" s="44">
        <v>141</v>
      </c>
      <c r="B153" s="10">
        <f t="shared" si="8"/>
        <v>0</v>
      </c>
      <c r="C153" s="10">
        <f t="shared" si="9"/>
        <v>0</v>
      </c>
      <c r="D153" s="10">
        <f t="shared" si="10"/>
        <v>0</v>
      </c>
      <c r="E153" s="10">
        <f t="shared" si="11"/>
        <v>0</v>
      </c>
    </row>
    <row r="154" spans="1:5" ht="14.25" customHeight="1" x14ac:dyDescent="0.3">
      <c r="A154" s="44">
        <v>142</v>
      </c>
      <c r="B154" s="10">
        <f t="shared" si="8"/>
        <v>0</v>
      </c>
      <c r="C154" s="10">
        <f t="shared" si="9"/>
        <v>0</v>
      </c>
      <c r="D154" s="10">
        <f t="shared" si="10"/>
        <v>0</v>
      </c>
      <c r="E154" s="10">
        <f t="shared" si="11"/>
        <v>0</v>
      </c>
    </row>
    <row r="155" spans="1:5" ht="14.25" customHeight="1" x14ac:dyDescent="0.3">
      <c r="A155" s="44">
        <v>143</v>
      </c>
      <c r="B155" s="10">
        <f t="shared" si="8"/>
        <v>0</v>
      </c>
      <c r="C155" s="10">
        <f t="shared" si="9"/>
        <v>0</v>
      </c>
      <c r="D155" s="10">
        <f t="shared" si="10"/>
        <v>0</v>
      </c>
      <c r="E155" s="10">
        <f t="shared" si="11"/>
        <v>0</v>
      </c>
    </row>
    <row r="156" spans="1:5" ht="14.25" customHeight="1" x14ac:dyDescent="0.3">
      <c r="A156" s="44">
        <v>144</v>
      </c>
      <c r="B156" s="10">
        <f t="shared" si="8"/>
        <v>0</v>
      </c>
      <c r="C156" s="10">
        <f t="shared" si="9"/>
        <v>0</v>
      </c>
      <c r="D156" s="10">
        <f t="shared" si="10"/>
        <v>0</v>
      </c>
      <c r="E156" s="10">
        <f t="shared" si="11"/>
        <v>0</v>
      </c>
    </row>
    <row r="157" spans="1:5" ht="14.25" customHeight="1" x14ac:dyDescent="0.3">
      <c r="A157" s="44">
        <v>145</v>
      </c>
      <c r="B157" s="10">
        <f t="shared" si="8"/>
        <v>0</v>
      </c>
      <c r="C157" s="10">
        <f t="shared" si="9"/>
        <v>0</v>
      </c>
      <c r="D157" s="10">
        <f t="shared" si="10"/>
        <v>0</v>
      </c>
      <c r="E157" s="10">
        <f t="shared" si="11"/>
        <v>0</v>
      </c>
    </row>
    <row r="158" spans="1:5" ht="14.25" customHeight="1" x14ac:dyDescent="0.3">
      <c r="A158" s="44">
        <v>146</v>
      </c>
      <c r="B158" s="10">
        <f t="shared" si="8"/>
        <v>0</v>
      </c>
      <c r="C158" s="10">
        <f t="shared" si="9"/>
        <v>0</v>
      </c>
      <c r="D158" s="10">
        <f t="shared" si="10"/>
        <v>0</v>
      </c>
      <c r="E158" s="10">
        <f t="shared" si="11"/>
        <v>0</v>
      </c>
    </row>
    <row r="159" spans="1:5" ht="14.25" customHeight="1" x14ac:dyDescent="0.3">
      <c r="A159" s="44">
        <v>147</v>
      </c>
      <c r="B159" s="10">
        <f t="shared" si="8"/>
        <v>0</v>
      </c>
      <c r="C159" s="10">
        <f t="shared" si="9"/>
        <v>0</v>
      </c>
      <c r="D159" s="10">
        <f t="shared" si="10"/>
        <v>0</v>
      </c>
      <c r="E159" s="10">
        <f t="shared" si="11"/>
        <v>0</v>
      </c>
    </row>
    <row r="160" spans="1:5" ht="14.25" customHeight="1" x14ac:dyDescent="0.3">
      <c r="A160" s="44">
        <v>148</v>
      </c>
      <c r="B160" s="10">
        <f t="shared" si="8"/>
        <v>0</v>
      </c>
      <c r="C160" s="10">
        <f t="shared" si="9"/>
        <v>0</v>
      </c>
      <c r="D160" s="10">
        <f t="shared" si="10"/>
        <v>0</v>
      </c>
      <c r="E160" s="10">
        <f t="shared" si="11"/>
        <v>0</v>
      </c>
    </row>
    <row r="161" spans="1:5" ht="14.25" customHeight="1" x14ac:dyDescent="0.3">
      <c r="A161" s="44">
        <v>149</v>
      </c>
      <c r="B161" s="10">
        <f t="shared" si="8"/>
        <v>0</v>
      </c>
      <c r="C161" s="10">
        <f t="shared" si="9"/>
        <v>0</v>
      </c>
      <c r="D161" s="10">
        <f t="shared" si="10"/>
        <v>0</v>
      </c>
      <c r="E161" s="10">
        <f t="shared" si="11"/>
        <v>0</v>
      </c>
    </row>
    <row r="162" spans="1:5" ht="14.25" customHeight="1" x14ac:dyDescent="0.3">
      <c r="A162" s="44">
        <v>150</v>
      </c>
      <c r="B162" s="10">
        <f t="shared" si="8"/>
        <v>0</v>
      </c>
      <c r="C162" s="10">
        <f t="shared" si="9"/>
        <v>0</v>
      </c>
      <c r="D162" s="10">
        <f t="shared" si="10"/>
        <v>0</v>
      </c>
      <c r="E162" s="10">
        <f t="shared" si="11"/>
        <v>0</v>
      </c>
    </row>
    <row r="163" spans="1:5" ht="14.25" customHeight="1" x14ac:dyDescent="0.3">
      <c r="A163" s="44">
        <v>151</v>
      </c>
      <c r="B163" s="10">
        <f t="shared" si="8"/>
        <v>0</v>
      </c>
      <c r="C163" s="10">
        <f t="shared" si="9"/>
        <v>0</v>
      </c>
      <c r="D163" s="10">
        <f t="shared" si="10"/>
        <v>0</v>
      </c>
      <c r="E163" s="10">
        <f t="shared" si="11"/>
        <v>0</v>
      </c>
    </row>
    <row r="164" spans="1:5" ht="14.25" customHeight="1" x14ac:dyDescent="0.3">
      <c r="A164" s="44">
        <v>152</v>
      </c>
      <c r="B164" s="10">
        <f t="shared" si="8"/>
        <v>0</v>
      </c>
      <c r="C164" s="10">
        <f t="shared" si="9"/>
        <v>0</v>
      </c>
      <c r="D164" s="10">
        <f t="shared" si="10"/>
        <v>0</v>
      </c>
      <c r="E164" s="10">
        <f t="shared" si="11"/>
        <v>0</v>
      </c>
    </row>
    <row r="165" spans="1:5" ht="14.25" customHeight="1" x14ac:dyDescent="0.3">
      <c r="A165" s="44">
        <v>153</v>
      </c>
      <c r="B165" s="10">
        <f t="shared" si="8"/>
        <v>0</v>
      </c>
      <c r="C165" s="10">
        <f t="shared" si="9"/>
        <v>0</v>
      </c>
      <c r="D165" s="10">
        <f t="shared" si="10"/>
        <v>0</v>
      </c>
      <c r="E165" s="10">
        <f t="shared" si="11"/>
        <v>0</v>
      </c>
    </row>
    <row r="166" spans="1:5" ht="14.25" customHeight="1" x14ac:dyDescent="0.3">
      <c r="A166" s="44">
        <v>154</v>
      </c>
      <c r="B166" s="10">
        <f t="shared" si="8"/>
        <v>0</v>
      </c>
      <c r="C166" s="10">
        <f t="shared" si="9"/>
        <v>0</v>
      </c>
      <c r="D166" s="10">
        <f t="shared" si="10"/>
        <v>0</v>
      </c>
      <c r="E166" s="10">
        <f t="shared" si="11"/>
        <v>0</v>
      </c>
    </row>
    <row r="167" spans="1:5" ht="14.25" customHeight="1" x14ac:dyDescent="0.3">
      <c r="A167" s="44">
        <v>155</v>
      </c>
      <c r="B167" s="10">
        <f t="shared" si="8"/>
        <v>0</v>
      </c>
      <c r="C167" s="10">
        <f t="shared" si="9"/>
        <v>0</v>
      </c>
      <c r="D167" s="10">
        <f t="shared" si="10"/>
        <v>0</v>
      </c>
      <c r="E167" s="10">
        <f t="shared" si="11"/>
        <v>0</v>
      </c>
    </row>
    <row r="168" spans="1:5" ht="14.25" customHeight="1" x14ac:dyDescent="0.3">
      <c r="A168" s="44">
        <v>156</v>
      </c>
      <c r="B168" s="10">
        <f t="shared" si="8"/>
        <v>0</v>
      </c>
      <c r="C168" s="10">
        <f t="shared" si="9"/>
        <v>0</v>
      </c>
      <c r="D168" s="10">
        <f t="shared" si="10"/>
        <v>0</v>
      </c>
      <c r="E168" s="10">
        <f t="shared" si="11"/>
        <v>0</v>
      </c>
    </row>
    <row r="169" spans="1:5" ht="14.25" customHeight="1" x14ac:dyDescent="0.3">
      <c r="A169" s="44">
        <v>157</v>
      </c>
      <c r="B169" s="10">
        <f t="shared" si="8"/>
        <v>0</v>
      </c>
      <c r="C169" s="10">
        <f t="shared" si="9"/>
        <v>0</v>
      </c>
      <c r="D169" s="10">
        <f t="shared" si="10"/>
        <v>0</v>
      </c>
      <c r="E169" s="10">
        <f t="shared" si="11"/>
        <v>0</v>
      </c>
    </row>
    <row r="170" spans="1:5" ht="14.25" customHeight="1" x14ac:dyDescent="0.3">
      <c r="A170" s="44">
        <v>158</v>
      </c>
      <c r="B170" s="12">
        <f t="shared" si="8"/>
        <v>0</v>
      </c>
      <c r="C170" s="12">
        <f t="shared" si="9"/>
        <v>0</v>
      </c>
      <c r="D170" s="12">
        <f t="shared" si="10"/>
        <v>0</v>
      </c>
      <c r="E170" s="10">
        <f t="shared" si="11"/>
        <v>0</v>
      </c>
    </row>
    <row r="171" spans="1:5" ht="14.25" customHeight="1" x14ac:dyDescent="0.3">
      <c r="A171" s="44">
        <v>159</v>
      </c>
      <c r="B171" s="12">
        <f t="shared" si="8"/>
        <v>0</v>
      </c>
      <c r="C171" s="12">
        <f t="shared" si="9"/>
        <v>0</v>
      </c>
      <c r="D171" s="12">
        <f t="shared" si="10"/>
        <v>0</v>
      </c>
      <c r="E171" s="10">
        <f t="shared" si="11"/>
        <v>0</v>
      </c>
    </row>
    <row r="172" spans="1:5" ht="14.25" customHeight="1" x14ac:dyDescent="0.3">
      <c r="A172" s="44">
        <v>160</v>
      </c>
      <c r="B172" s="12">
        <f t="shared" si="8"/>
        <v>0</v>
      </c>
      <c r="C172" s="12">
        <f t="shared" si="9"/>
        <v>0</v>
      </c>
      <c r="D172" s="12">
        <f t="shared" si="10"/>
        <v>0</v>
      </c>
      <c r="E172" s="10">
        <f t="shared" si="11"/>
        <v>0</v>
      </c>
    </row>
    <row r="173" spans="1:5" ht="14.25" customHeight="1" x14ac:dyDescent="0.3">
      <c r="A173" s="44">
        <v>161</v>
      </c>
      <c r="B173" s="12">
        <f t="shared" si="8"/>
        <v>0</v>
      </c>
      <c r="C173" s="12">
        <f t="shared" si="9"/>
        <v>0</v>
      </c>
      <c r="D173" s="12">
        <f t="shared" si="10"/>
        <v>0</v>
      </c>
      <c r="E173" s="10">
        <f t="shared" si="11"/>
        <v>0</v>
      </c>
    </row>
    <row r="174" spans="1:5" ht="14.25" customHeight="1" x14ac:dyDescent="0.3">
      <c r="A174" s="44">
        <v>162</v>
      </c>
      <c r="B174" s="12">
        <f t="shared" si="8"/>
        <v>0</v>
      </c>
      <c r="C174" s="12">
        <f t="shared" si="9"/>
        <v>0</v>
      </c>
      <c r="D174" s="12">
        <f t="shared" si="10"/>
        <v>0</v>
      </c>
      <c r="E174" s="10">
        <f t="shared" si="11"/>
        <v>0</v>
      </c>
    </row>
    <row r="175" spans="1:5" ht="14.25" customHeight="1" x14ac:dyDescent="0.3">
      <c r="A175" s="44">
        <v>163</v>
      </c>
      <c r="B175" s="12">
        <f t="shared" si="8"/>
        <v>0</v>
      </c>
      <c r="C175" s="12">
        <f t="shared" si="9"/>
        <v>0</v>
      </c>
      <c r="D175" s="12">
        <f t="shared" si="10"/>
        <v>0</v>
      </c>
      <c r="E175" s="10">
        <f t="shared" si="11"/>
        <v>0</v>
      </c>
    </row>
    <row r="176" spans="1:5" ht="14.25" customHeight="1" x14ac:dyDescent="0.3">
      <c r="A176" s="44">
        <v>164</v>
      </c>
      <c r="B176" s="12">
        <f t="shared" si="8"/>
        <v>0</v>
      </c>
      <c r="C176" s="12">
        <f t="shared" si="9"/>
        <v>0</v>
      </c>
      <c r="D176" s="12">
        <f t="shared" si="10"/>
        <v>0</v>
      </c>
      <c r="E176" s="10">
        <f t="shared" si="11"/>
        <v>0</v>
      </c>
    </row>
    <row r="177" spans="1:5" ht="14.25" customHeight="1" x14ac:dyDescent="0.3">
      <c r="A177" s="44">
        <v>165</v>
      </c>
      <c r="B177" s="12">
        <f t="shared" si="8"/>
        <v>0</v>
      </c>
      <c r="C177" s="12">
        <f t="shared" si="9"/>
        <v>0</v>
      </c>
      <c r="D177" s="12">
        <f t="shared" si="10"/>
        <v>0</v>
      </c>
      <c r="E177" s="10">
        <f t="shared" si="11"/>
        <v>0</v>
      </c>
    </row>
    <row r="178" spans="1:5" ht="14.25" customHeight="1" x14ac:dyDescent="0.3">
      <c r="A178" s="44">
        <v>166</v>
      </c>
      <c r="B178" s="12">
        <f t="shared" si="8"/>
        <v>0</v>
      </c>
      <c r="C178" s="12">
        <f t="shared" si="9"/>
        <v>0</v>
      </c>
      <c r="D178" s="12">
        <f t="shared" si="10"/>
        <v>0</v>
      </c>
      <c r="E178" s="10">
        <f t="shared" si="11"/>
        <v>0</v>
      </c>
    </row>
    <row r="179" spans="1:5" ht="14.25" customHeight="1" x14ac:dyDescent="0.3">
      <c r="A179" s="44">
        <v>167</v>
      </c>
      <c r="B179" s="12">
        <f t="shared" si="8"/>
        <v>0</v>
      </c>
      <c r="C179" s="12">
        <f t="shared" si="9"/>
        <v>0</v>
      </c>
      <c r="D179" s="12">
        <f t="shared" si="10"/>
        <v>0</v>
      </c>
      <c r="E179" s="10">
        <f t="shared" si="11"/>
        <v>0</v>
      </c>
    </row>
    <row r="180" spans="1:5" ht="14.25" customHeight="1" x14ac:dyDescent="0.3">
      <c r="A180" s="44">
        <v>168</v>
      </c>
      <c r="B180" s="12">
        <f t="shared" si="8"/>
        <v>0</v>
      </c>
      <c r="C180" s="12">
        <f t="shared" si="9"/>
        <v>0</v>
      </c>
      <c r="D180" s="12">
        <f t="shared" si="10"/>
        <v>0</v>
      </c>
      <c r="E180" s="10">
        <f t="shared" si="11"/>
        <v>0</v>
      </c>
    </row>
    <row r="181" spans="1:5" ht="14.25" customHeight="1" x14ac:dyDescent="0.3">
      <c r="A181" s="44">
        <v>169</v>
      </c>
      <c r="B181" s="12">
        <f t="shared" si="8"/>
        <v>0</v>
      </c>
      <c r="C181" s="12">
        <f t="shared" si="9"/>
        <v>0</v>
      </c>
      <c r="D181" s="12">
        <f t="shared" si="10"/>
        <v>0</v>
      </c>
      <c r="E181" s="10">
        <f t="shared" si="11"/>
        <v>0</v>
      </c>
    </row>
    <row r="182" spans="1:5" ht="14.25" customHeight="1" x14ac:dyDescent="0.3">
      <c r="A182" s="44">
        <v>170</v>
      </c>
      <c r="B182" s="12">
        <f t="shared" si="8"/>
        <v>0</v>
      </c>
      <c r="C182" s="12">
        <f t="shared" si="9"/>
        <v>0</v>
      </c>
      <c r="D182" s="12">
        <f t="shared" si="10"/>
        <v>0</v>
      </c>
      <c r="E182" s="10">
        <f t="shared" si="11"/>
        <v>0</v>
      </c>
    </row>
    <row r="183" spans="1:5" ht="14.25" customHeight="1" x14ac:dyDescent="0.3">
      <c r="A183" s="44">
        <v>171</v>
      </c>
      <c r="B183" s="12">
        <f t="shared" si="8"/>
        <v>0</v>
      </c>
      <c r="C183" s="12">
        <f t="shared" si="9"/>
        <v>0</v>
      </c>
      <c r="D183" s="12">
        <f t="shared" si="10"/>
        <v>0</v>
      </c>
      <c r="E183" s="10">
        <f t="shared" si="11"/>
        <v>0</v>
      </c>
    </row>
    <row r="184" spans="1:5" ht="14.25" customHeight="1" x14ac:dyDescent="0.3">
      <c r="A184" s="44">
        <v>172</v>
      </c>
      <c r="B184" s="12">
        <f t="shared" si="8"/>
        <v>0</v>
      </c>
      <c r="C184" s="12">
        <f t="shared" si="9"/>
        <v>0</v>
      </c>
      <c r="D184" s="12">
        <f t="shared" si="10"/>
        <v>0</v>
      </c>
      <c r="E184" s="10">
        <f t="shared" si="11"/>
        <v>0</v>
      </c>
    </row>
    <row r="185" spans="1:5" ht="14.25" customHeight="1" x14ac:dyDescent="0.3">
      <c r="A185" s="44">
        <v>173</v>
      </c>
      <c r="B185" s="12">
        <f t="shared" si="8"/>
        <v>0</v>
      </c>
      <c r="C185" s="12">
        <f t="shared" si="9"/>
        <v>0</v>
      </c>
      <c r="D185" s="12">
        <f t="shared" si="10"/>
        <v>0</v>
      </c>
      <c r="E185" s="10">
        <f t="shared" si="11"/>
        <v>0</v>
      </c>
    </row>
    <row r="186" spans="1:5" ht="14.25" customHeight="1" x14ac:dyDescent="0.3">
      <c r="A186" s="44">
        <v>174</v>
      </c>
      <c r="B186" s="12">
        <f t="shared" si="8"/>
        <v>0</v>
      </c>
      <c r="C186" s="12">
        <f t="shared" si="9"/>
        <v>0</v>
      </c>
      <c r="D186" s="12">
        <f t="shared" si="10"/>
        <v>0</v>
      </c>
      <c r="E186" s="10">
        <f t="shared" si="11"/>
        <v>0</v>
      </c>
    </row>
    <row r="187" spans="1:5" ht="14.25" customHeight="1" x14ac:dyDescent="0.3">
      <c r="A187" s="44">
        <v>175</v>
      </c>
      <c r="B187" s="12">
        <f t="shared" si="8"/>
        <v>0</v>
      </c>
      <c r="C187" s="12">
        <f t="shared" si="9"/>
        <v>0</v>
      </c>
      <c r="D187" s="12">
        <f t="shared" si="10"/>
        <v>0</v>
      </c>
      <c r="E187" s="10">
        <f t="shared" si="11"/>
        <v>0</v>
      </c>
    </row>
    <row r="188" spans="1:5" ht="14.25" customHeight="1" x14ac:dyDescent="0.3">
      <c r="A188" s="44">
        <v>176</v>
      </c>
      <c r="B188" s="12">
        <f t="shared" si="8"/>
        <v>0</v>
      </c>
      <c r="C188" s="12">
        <f t="shared" si="9"/>
        <v>0</v>
      </c>
      <c r="D188" s="12">
        <f t="shared" si="10"/>
        <v>0</v>
      </c>
      <c r="E188" s="10">
        <f t="shared" si="11"/>
        <v>0</v>
      </c>
    </row>
    <row r="189" spans="1:5" ht="14.25" customHeight="1" x14ac:dyDescent="0.3">
      <c r="A189" s="44">
        <v>177</v>
      </c>
      <c r="B189" s="12">
        <f t="shared" si="8"/>
        <v>0</v>
      </c>
      <c r="C189" s="12">
        <f t="shared" si="9"/>
        <v>0</v>
      </c>
      <c r="D189" s="12">
        <f t="shared" si="10"/>
        <v>0</v>
      </c>
      <c r="E189" s="10">
        <f t="shared" si="11"/>
        <v>0</v>
      </c>
    </row>
    <row r="190" spans="1:5" ht="14.25" customHeight="1" x14ac:dyDescent="0.3">
      <c r="A190" s="44">
        <v>178</v>
      </c>
      <c r="B190" s="12">
        <f t="shared" si="8"/>
        <v>0</v>
      </c>
      <c r="C190" s="12">
        <f t="shared" si="9"/>
        <v>0</v>
      </c>
      <c r="D190" s="12">
        <f t="shared" si="10"/>
        <v>0</v>
      </c>
      <c r="E190" s="10">
        <f t="shared" si="11"/>
        <v>0</v>
      </c>
    </row>
    <row r="191" spans="1:5" ht="14.25" customHeight="1" x14ac:dyDescent="0.3">
      <c r="A191" s="44">
        <v>179</v>
      </c>
      <c r="B191" s="12">
        <f t="shared" si="8"/>
        <v>0</v>
      </c>
      <c r="C191" s="12">
        <f t="shared" si="9"/>
        <v>0</v>
      </c>
      <c r="D191" s="12">
        <f t="shared" si="10"/>
        <v>0</v>
      </c>
      <c r="E191" s="10">
        <f t="shared" si="11"/>
        <v>0</v>
      </c>
    </row>
    <row r="192" spans="1:5" ht="14.25" customHeight="1" x14ac:dyDescent="0.3">
      <c r="A192" s="44">
        <v>180</v>
      </c>
      <c r="B192" s="12">
        <f t="shared" si="8"/>
        <v>0</v>
      </c>
      <c r="C192" s="12">
        <f t="shared" si="9"/>
        <v>0</v>
      </c>
      <c r="D192" s="12">
        <f t="shared" si="10"/>
        <v>0</v>
      </c>
      <c r="E192" s="10">
        <f t="shared" si="11"/>
        <v>0</v>
      </c>
    </row>
    <row r="193" spans="1:5" ht="14.25" customHeight="1" x14ac:dyDescent="0.3">
      <c r="A193" s="44">
        <v>181</v>
      </c>
      <c r="B193" s="12">
        <f t="shared" si="8"/>
        <v>0</v>
      </c>
      <c r="C193" s="12">
        <f t="shared" si="9"/>
        <v>0</v>
      </c>
      <c r="D193" s="12">
        <f t="shared" si="10"/>
        <v>0</v>
      </c>
      <c r="E193" s="10">
        <f t="shared" si="11"/>
        <v>0</v>
      </c>
    </row>
    <row r="194" spans="1:5" ht="14.25" customHeight="1" x14ac:dyDescent="0.3">
      <c r="A194" s="44">
        <v>182</v>
      </c>
      <c r="B194" s="12">
        <f t="shared" si="8"/>
        <v>0</v>
      </c>
      <c r="C194" s="12">
        <f t="shared" si="9"/>
        <v>0</v>
      </c>
      <c r="D194" s="12">
        <f t="shared" si="10"/>
        <v>0</v>
      </c>
      <c r="E194" s="10">
        <f t="shared" si="11"/>
        <v>0</v>
      </c>
    </row>
    <row r="195" spans="1:5" ht="14.25" customHeight="1" x14ac:dyDescent="0.3">
      <c r="A195" s="44">
        <v>183</v>
      </c>
      <c r="B195" s="12">
        <f t="shared" si="8"/>
        <v>0</v>
      </c>
      <c r="C195" s="12">
        <f t="shared" si="9"/>
        <v>0</v>
      </c>
      <c r="D195" s="12">
        <f t="shared" si="10"/>
        <v>0</v>
      </c>
      <c r="E195" s="10">
        <f t="shared" si="11"/>
        <v>0</v>
      </c>
    </row>
    <row r="196" spans="1:5" ht="14.25" customHeight="1" x14ac:dyDescent="0.3">
      <c r="A196" s="44">
        <v>184</v>
      </c>
      <c r="B196" s="12">
        <f t="shared" si="8"/>
        <v>0</v>
      </c>
      <c r="C196" s="12">
        <f t="shared" si="9"/>
        <v>0</v>
      </c>
      <c r="D196" s="12">
        <f t="shared" si="10"/>
        <v>0</v>
      </c>
      <c r="E196" s="10">
        <f t="shared" si="11"/>
        <v>0</v>
      </c>
    </row>
    <row r="197" spans="1:5" ht="14.25" customHeight="1" x14ac:dyDescent="0.3">
      <c r="A197" s="44">
        <v>185</v>
      </c>
      <c r="B197" s="12">
        <f t="shared" si="8"/>
        <v>0</v>
      </c>
      <c r="C197" s="12">
        <f t="shared" si="9"/>
        <v>0</v>
      </c>
      <c r="D197" s="12">
        <f t="shared" si="10"/>
        <v>0</v>
      </c>
      <c r="E197" s="10">
        <f t="shared" si="11"/>
        <v>0</v>
      </c>
    </row>
    <row r="198" spans="1:5" ht="14.25" customHeight="1" x14ac:dyDescent="0.3">
      <c r="A198" s="44">
        <v>186</v>
      </c>
      <c r="B198" s="12">
        <f t="shared" si="8"/>
        <v>0</v>
      </c>
      <c r="C198" s="12">
        <f t="shared" si="9"/>
        <v>0</v>
      </c>
      <c r="D198" s="12">
        <f t="shared" si="10"/>
        <v>0</v>
      </c>
      <c r="E198" s="10">
        <f t="shared" si="11"/>
        <v>0</v>
      </c>
    </row>
    <row r="199" spans="1:5" ht="14.25" customHeight="1" x14ac:dyDescent="0.3">
      <c r="A199" s="44">
        <v>187</v>
      </c>
      <c r="B199" s="12">
        <f t="shared" si="8"/>
        <v>0</v>
      </c>
      <c r="C199" s="12">
        <f t="shared" si="9"/>
        <v>0</v>
      </c>
      <c r="D199" s="12">
        <f t="shared" si="10"/>
        <v>0</v>
      </c>
      <c r="E199" s="10">
        <f t="shared" si="11"/>
        <v>0</v>
      </c>
    </row>
    <row r="200" spans="1:5" ht="14.25" customHeight="1" x14ac:dyDescent="0.3">
      <c r="A200" s="44">
        <v>188</v>
      </c>
      <c r="B200" s="12">
        <f t="shared" si="8"/>
        <v>0</v>
      </c>
      <c r="C200" s="12">
        <f t="shared" si="9"/>
        <v>0</v>
      </c>
      <c r="D200" s="12">
        <f t="shared" si="10"/>
        <v>0</v>
      </c>
      <c r="E200" s="10">
        <f t="shared" si="11"/>
        <v>0</v>
      </c>
    </row>
    <row r="201" spans="1:5" ht="14.25" customHeight="1" x14ac:dyDescent="0.3">
      <c r="A201" s="44">
        <v>189</v>
      </c>
      <c r="B201" s="12">
        <f t="shared" si="8"/>
        <v>0</v>
      </c>
      <c r="C201" s="12">
        <f t="shared" si="9"/>
        <v>0</v>
      </c>
      <c r="D201" s="12">
        <f t="shared" si="10"/>
        <v>0</v>
      </c>
      <c r="E201" s="10">
        <f t="shared" si="11"/>
        <v>0</v>
      </c>
    </row>
    <row r="202" spans="1:5" ht="14.25" customHeight="1" x14ac:dyDescent="0.3">
      <c r="A202" s="44">
        <v>190</v>
      </c>
      <c r="B202" s="12">
        <f t="shared" si="8"/>
        <v>0</v>
      </c>
      <c r="C202" s="12">
        <f t="shared" si="9"/>
        <v>0</v>
      </c>
      <c r="D202" s="12">
        <f t="shared" si="10"/>
        <v>0</v>
      </c>
      <c r="E202" s="10">
        <f t="shared" si="11"/>
        <v>0</v>
      </c>
    </row>
    <row r="203" spans="1:5" ht="14.25" customHeight="1" x14ac:dyDescent="0.3">
      <c r="A203" s="44">
        <v>191</v>
      </c>
      <c r="B203" s="12">
        <f t="shared" si="8"/>
        <v>0</v>
      </c>
      <c r="C203" s="12">
        <f t="shared" si="9"/>
        <v>0</v>
      </c>
      <c r="D203" s="12">
        <f t="shared" si="10"/>
        <v>0</v>
      </c>
      <c r="E203" s="10">
        <f t="shared" si="11"/>
        <v>0</v>
      </c>
    </row>
    <row r="204" spans="1:5" ht="14.25" customHeight="1" x14ac:dyDescent="0.3">
      <c r="A204" s="44">
        <v>192</v>
      </c>
      <c r="B204" s="12">
        <f t="shared" si="8"/>
        <v>0</v>
      </c>
      <c r="C204" s="12">
        <f t="shared" si="9"/>
        <v>0</v>
      </c>
      <c r="D204" s="12">
        <f t="shared" si="10"/>
        <v>0</v>
      </c>
      <c r="E204" s="10">
        <f t="shared" si="11"/>
        <v>0</v>
      </c>
    </row>
    <row r="205" spans="1:5" ht="14.25" customHeight="1" x14ac:dyDescent="0.3">
      <c r="A205" s="44">
        <v>193</v>
      </c>
      <c r="B205" s="12">
        <f t="shared" ref="B205:B268" si="12">IF($B$9&lt;=E204,$B$9,E204+E204*$B$7/$B$8)</f>
        <v>0</v>
      </c>
      <c r="C205" s="12">
        <f t="shared" ref="C205:C268" si="13">IF(B205&gt;0,$B$7/$B$8*E204,0)</f>
        <v>0</v>
      </c>
      <c r="D205" s="12">
        <f t="shared" ref="D205:D268" si="14">IF(B205&gt;0,MIN(B205-C205,E204),0)</f>
        <v>0</v>
      </c>
      <c r="E205" s="10">
        <f t="shared" ref="E205:E268" si="15">IF(ROUND(E204,5)&gt;0,E204-D205,0)</f>
        <v>0</v>
      </c>
    </row>
    <row r="206" spans="1:5" ht="14.25" customHeight="1" x14ac:dyDescent="0.3">
      <c r="A206" s="44">
        <v>194</v>
      </c>
      <c r="B206" s="12">
        <f t="shared" si="12"/>
        <v>0</v>
      </c>
      <c r="C206" s="12">
        <f t="shared" si="13"/>
        <v>0</v>
      </c>
      <c r="D206" s="12">
        <f t="shared" si="14"/>
        <v>0</v>
      </c>
      <c r="E206" s="10">
        <f t="shared" si="15"/>
        <v>0</v>
      </c>
    </row>
    <row r="207" spans="1:5" ht="14.25" customHeight="1" x14ac:dyDescent="0.3">
      <c r="A207" s="44">
        <v>195</v>
      </c>
      <c r="B207" s="12">
        <f t="shared" si="12"/>
        <v>0</v>
      </c>
      <c r="C207" s="12">
        <f t="shared" si="13"/>
        <v>0</v>
      </c>
      <c r="D207" s="12">
        <f t="shared" si="14"/>
        <v>0</v>
      </c>
      <c r="E207" s="10">
        <f t="shared" si="15"/>
        <v>0</v>
      </c>
    </row>
    <row r="208" spans="1:5" ht="14.25" customHeight="1" x14ac:dyDescent="0.3">
      <c r="A208" s="44">
        <v>196</v>
      </c>
      <c r="B208" s="12">
        <f t="shared" si="12"/>
        <v>0</v>
      </c>
      <c r="C208" s="12">
        <f t="shared" si="13"/>
        <v>0</v>
      </c>
      <c r="D208" s="12">
        <f t="shared" si="14"/>
        <v>0</v>
      </c>
      <c r="E208" s="10">
        <f t="shared" si="15"/>
        <v>0</v>
      </c>
    </row>
    <row r="209" spans="1:5" ht="14.25" customHeight="1" x14ac:dyDescent="0.3">
      <c r="A209" s="44">
        <v>197</v>
      </c>
      <c r="B209" s="12">
        <f t="shared" si="12"/>
        <v>0</v>
      </c>
      <c r="C209" s="12">
        <f t="shared" si="13"/>
        <v>0</v>
      </c>
      <c r="D209" s="12">
        <f t="shared" si="14"/>
        <v>0</v>
      </c>
      <c r="E209" s="10">
        <f t="shared" si="15"/>
        <v>0</v>
      </c>
    </row>
    <row r="210" spans="1:5" ht="14.25" customHeight="1" x14ac:dyDescent="0.3">
      <c r="A210" s="44">
        <v>198</v>
      </c>
      <c r="B210" s="12">
        <f t="shared" si="12"/>
        <v>0</v>
      </c>
      <c r="C210" s="12">
        <f t="shared" si="13"/>
        <v>0</v>
      </c>
      <c r="D210" s="12">
        <f t="shared" si="14"/>
        <v>0</v>
      </c>
      <c r="E210" s="10">
        <f t="shared" si="15"/>
        <v>0</v>
      </c>
    </row>
    <row r="211" spans="1:5" ht="14.25" customHeight="1" x14ac:dyDescent="0.3">
      <c r="A211" s="44">
        <v>199</v>
      </c>
      <c r="B211" s="12">
        <f t="shared" si="12"/>
        <v>0</v>
      </c>
      <c r="C211" s="12">
        <f t="shared" si="13"/>
        <v>0</v>
      </c>
      <c r="D211" s="12">
        <f t="shared" si="14"/>
        <v>0</v>
      </c>
      <c r="E211" s="10">
        <f t="shared" si="15"/>
        <v>0</v>
      </c>
    </row>
    <row r="212" spans="1:5" ht="14.25" customHeight="1" x14ac:dyDescent="0.3">
      <c r="A212" s="44">
        <v>200</v>
      </c>
      <c r="B212" s="12">
        <f t="shared" si="12"/>
        <v>0</v>
      </c>
      <c r="C212" s="12">
        <f t="shared" si="13"/>
        <v>0</v>
      </c>
      <c r="D212" s="12">
        <f t="shared" si="14"/>
        <v>0</v>
      </c>
      <c r="E212" s="10">
        <f t="shared" si="15"/>
        <v>0</v>
      </c>
    </row>
    <row r="213" spans="1:5" ht="14.25" customHeight="1" x14ac:dyDescent="0.3">
      <c r="A213" s="44">
        <v>201</v>
      </c>
      <c r="B213" s="12">
        <f t="shared" si="12"/>
        <v>0</v>
      </c>
      <c r="C213" s="12">
        <f t="shared" si="13"/>
        <v>0</v>
      </c>
      <c r="D213" s="12">
        <f t="shared" si="14"/>
        <v>0</v>
      </c>
      <c r="E213" s="10">
        <f t="shared" si="15"/>
        <v>0</v>
      </c>
    </row>
    <row r="214" spans="1:5" ht="14.25" customHeight="1" x14ac:dyDescent="0.3">
      <c r="A214" s="44">
        <v>202</v>
      </c>
      <c r="B214" s="12">
        <f t="shared" si="12"/>
        <v>0</v>
      </c>
      <c r="C214" s="12">
        <f t="shared" si="13"/>
        <v>0</v>
      </c>
      <c r="D214" s="12">
        <f t="shared" si="14"/>
        <v>0</v>
      </c>
      <c r="E214" s="10">
        <f t="shared" si="15"/>
        <v>0</v>
      </c>
    </row>
    <row r="215" spans="1:5" ht="14.25" customHeight="1" x14ac:dyDescent="0.3">
      <c r="A215" s="44">
        <v>203</v>
      </c>
      <c r="B215" s="12">
        <f t="shared" si="12"/>
        <v>0</v>
      </c>
      <c r="C215" s="12">
        <f t="shared" si="13"/>
        <v>0</v>
      </c>
      <c r="D215" s="12">
        <f t="shared" si="14"/>
        <v>0</v>
      </c>
      <c r="E215" s="10">
        <f t="shared" si="15"/>
        <v>0</v>
      </c>
    </row>
    <row r="216" spans="1:5" ht="14.25" customHeight="1" x14ac:dyDescent="0.3">
      <c r="A216" s="44">
        <v>204</v>
      </c>
      <c r="B216" s="12">
        <f t="shared" si="12"/>
        <v>0</v>
      </c>
      <c r="C216" s="12">
        <f t="shared" si="13"/>
        <v>0</v>
      </c>
      <c r="D216" s="12">
        <f t="shared" si="14"/>
        <v>0</v>
      </c>
      <c r="E216" s="10">
        <f t="shared" si="15"/>
        <v>0</v>
      </c>
    </row>
    <row r="217" spans="1:5" ht="14.25" customHeight="1" x14ac:dyDescent="0.3">
      <c r="A217" s="44">
        <v>205</v>
      </c>
      <c r="B217" s="12">
        <f t="shared" si="12"/>
        <v>0</v>
      </c>
      <c r="C217" s="12">
        <f t="shared" si="13"/>
        <v>0</v>
      </c>
      <c r="D217" s="12">
        <f t="shared" si="14"/>
        <v>0</v>
      </c>
      <c r="E217" s="10">
        <f t="shared" si="15"/>
        <v>0</v>
      </c>
    </row>
    <row r="218" spans="1:5" ht="14.25" customHeight="1" x14ac:dyDescent="0.3">
      <c r="A218" s="44">
        <v>206</v>
      </c>
      <c r="B218" s="12">
        <f t="shared" si="12"/>
        <v>0</v>
      </c>
      <c r="C218" s="12">
        <f t="shared" si="13"/>
        <v>0</v>
      </c>
      <c r="D218" s="12">
        <f t="shared" si="14"/>
        <v>0</v>
      </c>
      <c r="E218" s="10">
        <f t="shared" si="15"/>
        <v>0</v>
      </c>
    </row>
    <row r="219" spans="1:5" ht="14.25" customHeight="1" x14ac:dyDescent="0.3">
      <c r="A219" s="44">
        <v>207</v>
      </c>
      <c r="B219" s="12">
        <f t="shared" si="12"/>
        <v>0</v>
      </c>
      <c r="C219" s="12">
        <f t="shared" si="13"/>
        <v>0</v>
      </c>
      <c r="D219" s="12">
        <f t="shared" si="14"/>
        <v>0</v>
      </c>
      <c r="E219" s="10">
        <f t="shared" si="15"/>
        <v>0</v>
      </c>
    </row>
    <row r="220" spans="1:5" ht="14.25" customHeight="1" x14ac:dyDescent="0.3">
      <c r="A220" s="44">
        <v>208</v>
      </c>
      <c r="B220" s="12">
        <f t="shared" si="12"/>
        <v>0</v>
      </c>
      <c r="C220" s="12">
        <f t="shared" si="13"/>
        <v>0</v>
      </c>
      <c r="D220" s="12">
        <f t="shared" si="14"/>
        <v>0</v>
      </c>
      <c r="E220" s="10">
        <f t="shared" si="15"/>
        <v>0</v>
      </c>
    </row>
    <row r="221" spans="1:5" ht="14.25" customHeight="1" x14ac:dyDescent="0.3">
      <c r="A221" s="44">
        <v>209</v>
      </c>
      <c r="B221" s="12">
        <f t="shared" si="12"/>
        <v>0</v>
      </c>
      <c r="C221" s="12">
        <f t="shared" si="13"/>
        <v>0</v>
      </c>
      <c r="D221" s="12">
        <f t="shared" si="14"/>
        <v>0</v>
      </c>
      <c r="E221" s="10">
        <f t="shared" si="15"/>
        <v>0</v>
      </c>
    </row>
    <row r="222" spans="1:5" ht="14.25" customHeight="1" x14ac:dyDescent="0.3">
      <c r="A222" s="44">
        <v>210</v>
      </c>
      <c r="B222" s="12">
        <f t="shared" si="12"/>
        <v>0</v>
      </c>
      <c r="C222" s="12">
        <f t="shared" si="13"/>
        <v>0</v>
      </c>
      <c r="D222" s="12">
        <f t="shared" si="14"/>
        <v>0</v>
      </c>
      <c r="E222" s="10">
        <f t="shared" si="15"/>
        <v>0</v>
      </c>
    </row>
    <row r="223" spans="1:5" ht="14.25" customHeight="1" x14ac:dyDescent="0.3">
      <c r="A223" s="44">
        <v>211</v>
      </c>
      <c r="B223" s="12">
        <f t="shared" si="12"/>
        <v>0</v>
      </c>
      <c r="C223" s="12">
        <f t="shared" si="13"/>
        <v>0</v>
      </c>
      <c r="D223" s="12">
        <f t="shared" si="14"/>
        <v>0</v>
      </c>
      <c r="E223" s="10">
        <f t="shared" si="15"/>
        <v>0</v>
      </c>
    </row>
    <row r="224" spans="1:5" ht="14.25" customHeight="1" x14ac:dyDescent="0.3">
      <c r="A224" s="44">
        <v>212</v>
      </c>
      <c r="B224" s="12">
        <f t="shared" si="12"/>
        <v>0</v>
      </c>
      <c r="C224" s="12">
        <f t="shared" si="13"/>
        <v>0</v>
      </c>
      <c r="D224" s="12">
        <f t="shared" si="14"/>
        <v>0</v>
      </c>
      <c r="E224" s="10">
        <f t="shared" si="15"/>
        <v>0</v>
      </c>
    </row>
    <row r="225" spans="1:5" ht="14.25" customHeight="1" x14ac:dyDescent="0.3">
      <c r="A225" s="44">
        <v>213</v>
      </c>
      <c r="B225" s="12">
        <f t="shared" si="12"/>
        <v>0</v>
      </c>
      <c r="C225" s="12">
        <f t="shared" si="13"/>
        <v>0</v>
      </c>
      <c r="D225" s="12">
        <f t="shared" si="14"/>
        <v>0</v>
      </c>
      <c r="E225" s="10">
        <f t="shared" si="15"/>
        <v>0</v>
      </c>
    </row>
    <row r="226" spans="1:5" ht="14.25" customHeight="1" x14ac:dyDescent="0.3">
      <c r="A226" s="44">
        <v>214</v>
      </c>
      <c r="B226" s="12">
        <f t="shared" si="12"/>
        <v>0</v>
      </c>
      <c r="C226" s="12">
        <f t="shared" si="13"/>
        <v>0</v>
      </c>
      <c r="D226" s="12">
        <f t="shared" si="14"/>
        <v>0</v>
      </c>
      <c r="E226" s="10">
        <f t="shared" si="15"/>
        <v>0</v>
      </c>
    </row>
    <row r="227" spans="1:5" ht="14.25" customHeight="1" x14ac:dyDescent="0.3">
      <c r="A227" s="44">
        <v>215</v>
      </c>
      <c r="B227" s="12">
        <f t="shared" si="12"/>
        <v>0</v>
      </c>
      <c r="C227" s="12">
        <f t="shared" si="13"/>
        <v>0</v>
      </c>
      <c r="D227" s="12">
        <f t="shared" si="14"/>
        <v>0</v>
      </c>
      <c r="E227" s="10">
        <f t="shared" si="15"/>
        <v>0</v>
      </c>
    </row>
    <row r="228" spans="1:5" ht="14.25" customHeight="1" x14ac:dyDescent="0.3">
      <c r="A228" s="44">
        <v>216</v>
      </c>
      <c r="B228" s="12">
        <f t="shared" si="12"/>
        <v>0</v>
      </c>
      <c r="C228" s="12">
        <f t="shared" si="13"/>
        <v>0</v>
      </c>
      <c r="D228" s="12">
        <f t="shared" si="14"/>
        <v>0</v>
      </c>
      <c r="E228" s="10">
        <f t="shared" si="15"/>
        <v>0</v>
      </c>
    </row>
    <row r="229" spans="1:5" ht="14.25" customHeight="1" x14ac:dyDescent="0.3">
      <c r="A229" s="44">
        <v>217</v>
      </c>
      <c r="B229" s="12">
        <f t="shared" si="12"/>
        <v>0</v>
      </c>
      <c r="C229" s="12">
        <f t="shared" si="13"/>
        <v>0</v>
      </c>
      <c r="D229" s="12">
        <f t="shared" si="14"/>
        <v>0</v>
      </c>
      <c r="E229" s="10">
        <f t="shared" si="15"/>
        <v>0</v>
      </c>
    </row>
    <row r="230" spans="1:5" ht="14.25" customHeight="1" x14ac:dyDescent="0.3">
      <c r="A230" s="44">
        <v>218</v>
      </c>
      <c r="B230" s="12">
        <f t="shared" si="12"/>
        <v>0</v>
      </c>
      <c r="C230" s="12">
        <f t="shared" si="13"/>
        <v>0</v>
      </c>
      <c r="D230" s="12">
        <f t="shared" si="14"/>
        <v>0</v>
      </c>
      <c r="E230" s="10">
        <f t="shared" si="15"/>
        <v>0</v>
      </c>
    </row>
    <row r="231" spans="1:5" ht="14.25" customHeight="1" x14ac:dyDescent="0.3">
      <c r="A231" s="44">
        <v>219</v>
      </c>
      <c r="B231" s="12">
        <f t="shared" si="12"/>
        <v>0</v>
      </c>
      <c r="C231" s="12">
        <f t="shared" si="13"/>
        <v>0</v>
      </c>
      <c r="D231" s="12">
        <f t="shared" si="14"/>
        <v>0</v>
      </c>
      <c r="E231" s="10">
        <f t="shared" si="15"/>
        <v>0</v>
      </c>
    </row>
    <row r="232" spans="1:5" ht="14.25" customHeight="1" x14ac:dyDescent="0.3">
      <c r="A232" s="44">
        <v>220</v>
      </c>
      <c r="B232" s="12">
        <f t="shared" si="12"/>
        <v>0</v>
      </c>
      <c r="C232" s="12">
        <f t="shared" si="13"/>
        <v>0</v>
      </c>
      <c r="D232" s="12">
        <f t="shared" si="14"/>
        <v>0</v>
      </c>
      <c r="E232" s="10">
        <f t="shared" si="15"/>
        <v>0</v>
      </c>
    </row>
    <row r="233" spans="1:5" ht="14.25" customHeight="1" x14ac:dyDescent="0.3">
      <c r="A233" s="44">
        <v>221</v>
      </c>
      <c r="B233" s="12">
        <f t="shared" si="12"/>
        <v>0</v>
      </c>
      <c r="C233" s="12">
        <f t="shared" si="13"/>
        <v>0</v>
      </c>
      <c r="D233" s="12">
        <f t="shared" si="14"/>
        <v>0</v>
      </c>
      <c r="E233" s="10">
        <f t="shared" si="15"/>
        <v>0</v>
      </c>
    </row>
    <row r="234" spans="1:5" ht="14.25" customHeight="1" x14ac:dyDescent="0.3">
      <c r="A234" s="44">
        <v>222</v>
      </c>
      <c r="B234" s="12">
        <f t="shared" si="12"/>
        <v>0</v>
      </c>
      <c r="C234" s="12">
        <f t="shared" si="13"/>
        <v>0</v>
      </c>
      <c r="D234" s="12">
        <f t="shared" si="14"/>
        <v>0</v>
      </c>
      <c r="E234" s="10">
        <f t="shared" si="15"/>
        <v>0</v>
      </c>
    </row>
    <row r="235" spans="1:5" ht="14.25" customHeight="1" x14ac:dyDescent="0.3">
      <c r="A235" s="44">
        <v>223</v>
      </c>
      <c r="B235" s="12">
        <f t="shared" si="12"/>
        <v>0</v>
      </c>
      <c r="C235" s="12">
        <f t="shared" si="13"/>
        <v>0</v>
      </c>
      <c r="D235" s="12">
        <f t="shared" si="14"/>
        <v>0</v>
      </c>
      <c r="E235" s="10">
        <f t="shared" si="15"/>
        <v>0</v>
      </c>
    </row>
    <row r="236" spans="1:5" ht="14.25" customHeight="1" x14ac:dyDescent="0.3">
      <c r="A236" s="44">
        <v>224</v>
      </c>
      <c r="B236" s="12">
        <f t="shared" si="12"/>
        <v>0</v>
      </c>
      <c r="C236" s="12">
        <f t="shared" si="13"/>
        <v>0</v>
      </c>
      <c r="D236" s="12">
        <f t="shared" si="14"/>
        <v>0</v>
      </c>
      <c r="E236" s="10">
        <f t="shared" si="15"/>
        <v>0</v>
      </c>
    </row>
    <row r="237" spans="1:5" ht="14.25" customHeight="1" x14ac:dyDescent="0.3">
      <c r="A237" s="44">
        <v>225</v>
      </c>
      <c r="B237" s="12">
        <f t="shared" si="12"/>
        <v>0</v>
      </c>
      <c r="C237" s="12">
        <f t="shared" si="13"/>
        <v>0</v>
      </c>
      <c r="D237" s="12">
        <f t="shared" si="14"/>
        <v>0</v>
      </c>
      <c r="E237" s="10">
        <f t="shared" si="15"/>
        <v>0</v>
      </c>
    </row>
    <row r="238" spans="1:5" ht="14.25" customHeight="1" x14ac:dyDescent="0.3">
      <c r="A238" s="44">
        <v>226</v>
      </c>
      <c r="B238" s="12">
        <f t="shared" si="12"/>
        <v>0</v>
      </c>
      <c r="C238" s="12">
        <f t="shared" si="13"/>
        <v>0</v>
      </c>
      <c r="D238" s="12">
        <f t="shared" si="14"/>
        <v>0</v>
      </c>
      <c r="E238" s="10">
        <f t="shared" si="15"/>
        <v>0</v>
      </c>
    </row>
    <row r="239" spans="1:5" ht="14.25" customHeight="1" x14ac:dyDescent="0.3">
      <c r="A239" s="44">
        <v>227</v>
      </c>
      <c r="B239" s="12">
        <f t="shared" si="12"/>
        <v>0</v>
      </c>
      <c r="C239" s="12">
        <f t="shared" si="13"/>
        <v>0</v>
      </c>
      <c r="D239" s="12">
        <f t="shared" si="14"/>
        <v>0</v>
      </c>
      <c r="E239" s="10">
        <f t="shared" si="15"/>
        <v>0</v>
      </c>
    </row>
    <row r="240" spans="1:5" ht="14.25" customHeight="1" x14ac:dyDescent="0.3">
      <c r="A240" s="44">
        <v>228</v>
      </c>
      <c r="B240" s="12">
        <f t="shared" si="12"/>
        <v>0</v>
      </c>
      <c r="C240" s="12">
        <f t="shared" si="13"/>
        <v>0</v>
      </c>
      <c r="D240" s="12">
        <f t="shared" si="14"/>
        <v>0</v>
      </c>
      <c r="E240" s="10">
        <f t="shared" si="15"/>
        <v>0</v>
      </c>
    </row>
    <row r="241" spans="1:5" ht="14.25" customHeight="1" x14ac:dyDescent="0.3">
      <c r="A241" s="44">
        <v>229</v>
      </c>
      <c r="B241" s="12">
        <f t="shared" si="12"/>
        <v>0</v>
      </c>
      <c r="C241" s="12">
        <f t="shared" si="13"/>
        <v>0</v>
      </c>
      <c r="D241" s="12">
        <f t="shared" si="14"/>
        <v>0</v>
      </c>
      <c r="E241" s="10">
        <f t="shared" si="15"/>
        <v>0</v>
      </c>
    </row>
    <row r="242" spans="1:5" ht="14.25" customHeight="1" x14ac:dyDescent="0.3">
      <c r="A242" s="44">
        <v>230</v>
      </c>
      <c r="B242" s="12">
        <f t="shared" si="12"/>
        <v>0</v>
      </c>
      <c r="C242" s="12">
        <f t="shared" si="13"/>
        <v>0</v>
      </c>
      <c r="D242" s="12">
        <f t="shared" si="14"/>
        <v>0</v>
      </c>
      <c r="E242" s="10">
        <f t="shared" si="15"/>
        <v>0</v>
      </c>
    </row>
    <row r="243" spans="1:5" ht="14.25" customHeight="1" x14ac:dyDescent="0.3">
      <c r="A243" s="44">
        <v>231</v>
      </c>
      <c r="B243" s="12">
        <f t="shared" si="12"/>
        <v>0</v>
      </c>
      <c r="C243" s="12">
        <f t="shared" si="13"/>
        <v>0</v>
      </c>
      <c r="D243" s="12">
        <f t="shared" si="14"/>
        <v>0</v>
      </c>
      <c r="E243" s="10">
        <f t="shared" si="15"/>
        <v>0</v>
      </c>
    </row>
    <row r="244" spans="1:5" ht="14.25" customHeight="1" x14ac:dyDescent="0.3">
      <c r="A244" s="44">
        <v>232</v>
      </c>
      <c r="B244" s="12">
        <f t="shared" si="12"/>
        <v>0</v>
      </c>
      <c r="C244" s="12">
        <f t="shared" si="13"/>
        <v>0</v>
      </c>
      <c r="D244" s="12">
        <f t="shared" si="14"/>
        <v>0</v>
      </c>
      <c r="E244" s="10">
        <f t="shared" si="15"/>
        <v>0</v>
      </c>
    </row>
    <row r="245" spans="1:5" ht="14.25" customHeight="1" x14ac:dyDescent="0.3">
      <c r="A245" s="44">
        <v>233</v>
      </c>
      <c r="B245" s="12">
        <f t="shared" si="12"/>
        <v>0</v>
      </c>
      <c r="C245" s="12">
        <f t="shared" si="13"/>
        <v>0</v>
      </c>
      <c r="D245" s="12">
        <f t="shared" si="14"/>
        <v>0</v>
      </c>
      <c r="E245" s="10">
        <f t="shared" si="15"/>
        <v>0</v>
      </c>
    </row>
    <row r="246" spans="1:5" ht="14.25" customHeight="1" x14ac:dyDescent="0.3">
      <c r="A246" s="44">
        <v>234</v>
      </c>
      <c r="B246" s="12">
        <f t="shared" si="12"/>
        <v>0</v>
      </c>
      <c r="C246" s="12">
        <f t="shared" si="13"/>
        <v>0</v>
      </c>
      <c r="D246" s="12">
        <f t="shared" si="14"/>
        <v>0</v>
      </c>
      <c r="E246" s="10">
        <f t="shared" si="15"/>
        <v>0</v>
      </c>
    </row>
    <row r="247" spans="1:5" ht="14.25" customHeight="1" x14ac:dyDescent="0.3">
      <c r="A247" s="44">
        <v>235</v>
      </c>
      <c r="B247" s="12">
        <f t="shared" si="12"/>
        <v>0</v>
      </c>
      <c r="C247" s="12">
        <f t="shared" si="13"/>
        <v>0</v>
      </c>
      <c r="D247" s="12">
        <f t="shared" si="14"/>
        <v>0</v>
      </c>
      <c r="E247" s="10">
        <f t="shared" si="15"/>
        <v>0</v>
      </c>
    </row>
    <row r="248" spans="1:5" ht="14.25" customHeight="1" x14ac:dyDescent="0.3">
      <c r="A248" s="44">
        <v>236</v>
      </c>
      <c r="B248" s="12">
        <f t="shared" si="12"/>
        <v>0</v>
      </c>
      <c r="C248" s="12">
        <f t="shared" si="13"/>
        <v>0</v>
      </c>
      <c r="D248" s="12">
        <f t="shared" si="14"/>
        <v>0</v>
      </c>
      <c r="E248" s="10">
        <f t="shared" si="15"/>
        <v>0</v>
      </c>
    </row>
    <row r="249" spans="1:5" ht="14.25" customHeight="1" x14ac:dyDescent="0.3">
      <c r="A249" s="44">
        <v>237</v>
      </c>
      <c r="B249" s="12">
        <f t="shared" si="12"/>
        <v>0</v>
      </c>
      <c r="C249" s="12">
        <f t="shared" si="13"/>
        <v>0</v>
      </c>
      <c r="D249" s="12">
        <f t="shared" si="14"/>
        <v>0</v>
      </c>
      <c r="E249" s="10">
        <f t="shared" si="15"/>
        <v>0</v>
      </c>
    </row>
    <row r="250" spans="1:5" ht="14.25" customHeight="1" x14ac:dyDescent="0.3">
      <c r="A250" s="44">
        <v>238</v>
      </c>
      <c r="B250" s="12">
        <f t="shared" si="12"/>
        <v>0</v>
      </c>
      <c r="C250" s="12">
        <f t="shared" si="13"/>
        <v>0</v>
      </c>
      <c r="D250" s="12">
        <f t="shared" si="14"/>
        <v>0</v>
      </c>
      <c r="E250" s="10">
        <f t="shared" si="15"/>
        <v>0</v>
      </c>
    </row>
    <row r="251" spans="1:5" ht="14.25" customHeight="1" x14ac:dyDescent="0.3">
      <c r="A251" s="44">
        <v>239</v>
      </c>
      <c r="B251" s="12">
        <f t="shared" si="12"/>
        <v>0</v>
      </c>
      <c r="C251" s="12">
        <f t="shared" si="13"/>
        <v>0</v>
      </c>
      <c r="D251" s="12">
        <f t="shared" si="14"/>
        <v>0</v>
      </c>
      <c r="E251" s="10">
        <f t="shared" si="15"/>
        <v>0</v>
      </c>
    </row>
    <row r="252" spans="1:5" ht="14.25" customHeight="1" x14ac:dyDescent="0.3">
      <c r="A252" s="44">
        <v>240</v>
      </c>
      <c r="B252" s="12">
        <f t="shared" si="12"/>
        <v>0</v>
      </c>
      <c r="C252" s="12">
        <f t="shared" si="13"/>
        <v>0</v>
      </c>
      <c r="D252" s="12">
        <f t="shared" si="14"/>
        <v>0</v>
      </c>
      <c r="E252" s="10">
        <f t="shared" si="15"/>
        <v>0</v>
      </c>
    </row>
    <row r="253" spans="1:5" ht="14.25" customHeight="1" x14ac:dyDescent="0.3">
      <c r="A253" s="44">
        <v>241</v>
      </c>
      <c r="B253" s="12">
        <f t="shared" si="12"/>
        <v>0</v>
      </c>
      <c r="C253" s="12">
        <f t="shared" si="13"/>
        <v>0</v>
      </c>
      <c r="D253" s="12">
        <f t="shared" si="14"/>
        <v>0</v>
      </c>
      <c r="E253" s="10">
        <f t="shared" si="15"/>
        <v>0</v>
      </c>
    </row>
    <row r="254" spans="1:5" ht="14.25" customHeight="1" x14ac:dyDescent="0.3">
      <c r="A254" s="44">
        <v>242</v>
      </c>
      <c r="B254" s="12">
        <f t="shared" si="12"/>
        <v>0</v>
      </c>
      <c r="C254" s="12">
        <f t="shared" si="13"/>
        <v>0</v>
      </c>
      <c r="D254" s="12">
        <f t="shared" si="14"/>
        <v>0</v>
      </c>
      <c r="E254" s="10">
        <f t="shared" si="15"/>
        <v>0</v>
      </c>
    </row>
    <row r="255" spans="1:5" ht="14.25" customHeight="1" x14ac:dyDescent="0.3">
      <c r="A255" s="44">
        <v>243</v>
      </c>
      <c r="B255" s="12">
        <f t="shared" si="12"/>
        <v>0</v>
      </c>
      <c r="C255" s="12">
        <f t="shared" si="13"/>
        <v>0</v>
      </c>
      <c r="D255" s="12">
        <f t="shared" si="14"/>
        <v>0</v>
      </c>
      <c r="E255" s="10">
        <f t="shared" si="15"/>
        <v>0</v>
      </c>
    </row>
    <row r="256" spans="1:5" ht="14.25" customHeight="1" x14ac:dyDescent="0.3">
      <c r="A256" s="44">
        <v>244</v>
      </c>
      <c r="B256" s="12">
        <f t="shared" si="12"/>
        <v>0</v>
      </c>
      <c r="C256" s="12">
        <f t="shared" si="13"/>
        <v>0</v>
      </c>
      <c r="D256" s="12">
        <f t="shared" si="14"/>
        <v>0</v>
      </c>
      <c r="E256" s="10">
        <f t="shared" si="15"/>
        <v>0</v>
      </c>
    </row>
    <row r="257" spans="1:5" ht="14.25" customHeight="1" x14ac:dyDescent="0.3">
      <c r="A257" s="44">
        <v>245</v>
      </c>
      <c r="B257" s="12">
        <f t="shared" si="12"/>
        <v>0</v>
      </c>
      <c r="C257" s="12">
        <f t="shared" si="13"/>
        <v>0</v>
      </c>
      <c r="D257" s="12">
        <f t="shared" si="14"/>
        <v>0</v>
      </c>
      <c r="E257" s="10">
        <f t="shared" si="15"/>
        <v>0</v>
      </c>
    </row>
    <row r="258" spans="1:5" ht="14.25" customHeight="1" x14ac:dyDescent="0.3">
      <c r="A258" s="44">
        <v>246</v>
      </c>
      <c r="B258" s="12">
        <f t="shared" si="12"/>
        <v>0</v>
      </c>
      <c r="C258" s="12">
        <f t="shared" si="13"/>
        <v>0</v>
      </c>
      <c r="D258" s="12">
        <f t="shared" si="14"/>
        <v>0</v>
      </c>
      <c r="E258" s="10">
        <f t="shared" si="15"/>
        <v>0</v>
      </c>
    </row>
    <row r="259" spans="1:5" ht="14.25" customHeight="1" x14ac:dyDescent="0.3">
      <c r="A259" s="44">
        <v>247</v>
      </c>
      <c r="B259" s="12">
        <f t="shared" si="12"/>
        <v>0</v>
      </c>
      <c r="C259" s="12">
        <f t="shared" si="13"/>
        <v>0</v>
      </c>
      <c r="D259" s="12">
        <f t="shared" si="14"/>
        <v>0</v>
      </c>
      <c r="E259" s="10">
        <f t="shared" si="15"/>
        <v>0</v>
      </c>
    </row>
    <row r="260" spans="1:5" ht="14.25" customHeight="1" x14ac:dyDescent="0.3">
      <c r="A260" s="44">
        <v>248</v>
      </c>
      <c r="B260" s="12">
        <f t="shared" si="12"/>
        <v>0</v>
      </c>
      <c r="C260" s="12">
        <f t="shared" si="13"/>
        <v>0</v>
      </c>
      <c r="D260" s="12">
        <f t="shared" si="14"/>
        <v>0</v>
      </c>
      <c r="E260" s="10">
        <f t="shared" si="15"/>
        <v>0</v>
      </c>
    </row>
    <row r="261" spans="1:5" ht="14.25" customHeight="1" x14ac:dyDescent="0.3">
      <c r="A261" s="44">
        <v>249</v>
      </c>
      <c r="B261" s="12">
        <f t="shared" si="12"/>
        <v>0</v>
      </c>
      <c r="C261" s="12">
        <f t="shared" si="13"/>
        <v>0</v>
      </c>
      <c r="D261" s="12">
        <f t="shared" si="14"/>
        <v>0</v>
      </c>
      <c r="E261" s="10">
        <f t="shared" si="15"/>
        <v>0</v>
      </c>
    </row>
    <row r="262" spans="1:5" ht="14.25" customHeight="1" x14ac:dyDescent="0.3">
      <c r="A262" s="44">
        <v>250</v>
      </c>
      <c r="B262" s="12">
        <f t="shared" si="12"/>
        <v>0</v>
      </c>
      <c r="C262" s="12">
        <f t="shared" si="13"/>
        <v>0</v>
      </c>
      <c r="D262" s="12">
        <f t="shared" si="14"/>
        <v>0</v>
      </c>
      <c r="E262" s="10">
        <f t="shared" si="15"/>
        <v>0</v>
      </c>
    </row>
    <row r="263" spans="1:5" ht="14.25" customHeight="1" x14ac:dyDescent="0.3">
      <c r="A263" s="44">
        <v>251</v>
      </c>
      <c r="B263" s="12">
        <f t="shared" si="12"/>
        <v>0</v>
      </c>
      <c r="C263" s="12">
        <f t="shared" si="13"/>
        <v>0</v>
      </c>
      <c r="D263" s="12">
        <f t="shared" si="14"/>
        <v>0</v>
      </c>
      <c r="E263" s="10">
        <f t="shared" si="15"/>
        <v>0</v>
      </c>
    </row>
    <row r="264" spans="1:5" ht="14.25" customHeight="1" x14ac:dyDescent="0.3">
      <c r="A264" s="44">
        <v>252</v>
      </c>
      <c r="B264" s="12">
        <f t="shared" si="12"/>
        <v>0</v>
      </c>
      <c r="C264" s="12">
        <f t="shared" si="13"/>
        <v>0</v>
      </c>
      <c r="D264" s="12">
        <f t="shared" si="14"/>
        <v>0</v>
      </c>
      <c r="E264" s="10">
        <f t="shared" si="15"/>
        <v>0</v>
      </c>
    </row>
    <row r="265" spans="1:5" ht="14.25" customHeight="1" x14ac:dyDescent="0.3">
      <c r="A265" s="44">
        <v>253</v>
      </c>
      <c r="B265" s="12">
        <f t="shared" si="12"/>
        <v>0</v>
      </c>
      <c r="C265" s="12">
        <f t="shared" si="13"/>
        <v>0</v>
      </c>
      <c r="D265" s="12">
        <f t="shared" si="14"/>
        <v>0</v>
      </c>
      <c r="E265" s="10">
        <f t="shared" si="15"/>
        <v>0</v>
      </c>
    </row>
    <row r="266" spans="1:5" ht="14.25" customHeight="1" x14ac:dyDescent="0.3">
      <c r="A266" s="44">
        <v>254</v>
      </c>
      <c r="B266" s="12">
        <f t="shared" si="12"/>
        <v>0</v>
      </c>
      <c r="C266" s="12">
        <f t="shared" si="13"/>
        <v>0</v>
      </c>
      <c r="D266" s="12">
        <f t="shared" si="14"/>
        <v>0</v>
      </c>
      <c r="E266" s="10">
        <f t="shared" si="15"/>
        <v>0</v>
      </c>
    </row>
    <row r="267" spans="1:5" ht="14.25" customHeight="1" x14ac:dyDescent="0.3">
      <c r="A267" s="44">
        <v>255</v>
      </c>
      <c r="B267" s="12">
        <f t="shared" si="12"/>
        <v>0</v>
      </c>
      <c r="C267" s="12">
        <f t="shared" si="13"/>
        <v>0</v>
      </c>
      <c r="D267" s="12">
        <f t="shared" si="14"/>
        <v>0</v>
      </c>
      <c r="E267" s="10">
        <f t="shared" si="15"/>
        <v>0</v>
      </c>
    </row>
    <row r="268" spans="1:5" ht="14.25" customHeight="1" x14ac:dyDescent="0.3">
      <c r="A268" s="44">
        <v>256</v>
      </c>
      <c r="B268" s="12">
        <f t="shared" si="12"/>
        <v>0</v>
      </c>
      <c r="C268" s="12">
        <f t="shared" si="13"/>
        <v>0</v>
      </c>
      <c r="D268" s="12">
        <f t="shared" si="14"/>
        <v>0</v>
      </c>
      <c r="E268" s="10">
        <f t="shared" si="15"/>
        <v>0</v>
      </c>
    </row>
    <row r="269" spans="1:5" ht="14.25" customHeight="1" x14ac:dyDescent="0.3">
      <c r="A269" s="44">
        <v>257</v>
      </c>
      <c r="B269" s="12">
        <f t="shared" ref="B269:B332" si="16">IF($B$9&lt;=E268,$B$9,E268+E268*$B$7/$B$8)</f>
        <v>0</v>
      </c>
      <c r="C269" s="12">
        <f t="shared" ref="C269:C332" si="17">IF(B269&gt;0,$B$7/$B$8*E268,0)</f>
        <v>0</v>
      </c>
      <c r="D269" s="12">
        <f t="shared" ref="D269:D332" si="18">IF(B269&gt;0,MIN(B269-C269,E268),0)</f>
        <v>0</v>
      </c>
      <c r="E269" s="10">
        <f t="shared" ref="E269:E332" si="19">IF(ROUND(E268,5)&gt;0,E268-D269,0)</f>
        <v>0</v>
      </c>
    </row>
    <row r="270" spans="1:5" ht="14.25" customHeight="1" x14ac:dyDescent="0.3">
      <c r="A270" s="44">
        <v>258</v>
      </c>
      <c r="B270" s="12">
        <f t="shared" si="16"/>
        <v>0</v>
      </c>
      <c r="C270" s="12">
        <f t="shared" si="17"/>
        <v>0</v>
      </c>
      <c r="D270" s="12">
        <f t="shared" si="18"/>
        <v>0</v>
      </c>
      <c r="E270" s="10">
        <f t="shared" si="19"/>
        <v>0</v>
      </c>
    </row>
    <row r="271" spans="1:5" ht="14.25" customHeight="1" x14ac:dyDescent="0.3">
      <c r="A271" s="44">
        <v>259</v>
      </c>
      <c r="B271" s="12">
        <f t="shared" si="16"/>
        <v>0</v>
      </c>
      <c r="C271" s="12">
        <f t="shared" si="17"/>
        <v>0</v>
      </c>
      <c r="D271" s="12">
        <f t="shared" si="18"/>
        <v>0</v>
      </c>
      <c r="E271" s="10">
        <f t="shared" si="19"/>
        <v>0</v>
      </c>
    </row>
    <row r="272" spans="1:5" ht="14.25" customHeight="1" x14ac:dyDescent="0.3">
      <c r="A272" s="44">
        <v>260</v>
      </c>
      <c r="B272" s="12">
        <f t="shared" si="16"/>
        <v>0</v>
      </c>
      <c r="C272" s="12">
        <f t="shared" si="17"/>
        <v>0</v>
      </c>
      <c r="D272" s="12">
        <f t="shared" si="18"/>
        <v>0</v>
      </c>
      <c r="E272" s="10">
        <f t="shared" si="19"/>
        <v>0</v>
      </c>
    </row>
    <row r="273" spans="1:5" ht="14.25" customHeight="1" x14ac:dyDescent="0.3">
      <c r="A273" s="44">
        <v>261</v>
      </c>
      <c r="B273" s="12">
        <f t="shared" si="16"/>
        <v>0</v>
      </c>
      <c r="C273" s="12">
        <f t="shared" si="17"/>
        <v>0</v>
      </c>
      <c r="D273" s="12">
        <f t="shared" si="18"/>
        <v>0</v>
      </c>
      <c r="E273" s="10">
        <f t="shared" si="19"/>
        <v>0</v>
      </c>
    </row>
    <row r="274" spans="1:5" ht="14.25" customHeight="1" x14ac:dyDescent="0.3">
      <c r="A274" s="44">
        <v>262</v>
      </c>
      <c r="B274" s="12">
        <f t="shared" si="16"/>
        <v>0</v>
      </c>
      <c r="C274" s="12">
        <f t="shared" si="17"/>
        <v>0</v>
      </c>
      <c r="D274" s="12">
        <f t="shared" si="18"/>
        <v>0</v>
      </c>
      <c r="E274" s="10">
        <f t="shared" si="19"/>
        <v>0</v>
      </c>
    </row>
    <row r="275" spans="1:5" ht="14.25" customHeight="1" x14ac:dyDescent="0.3">
      <c r="A275" s="44">
        <v>263</v>
      </c>
      <c r="B275" s="12">
        <f t="shared" si="16"/>
        <v>0</v>
      </c>
      <c r="C275" s="12">
        <f t="shared" si="17"/>
        <v>0</v>
      </c>
      <c r="D275" s="12">
        <f t="shared" si="18"/>
        <v>0</v>
      </c>
      <c r="E275" s="10">
        <f t="shared" si="19"/>
        <v>0</v>
      </c>
    </row>
    <row r="276" spans="1:5" ht="14.25" customHeight="1" x14ac:dyDescent="0.3">
      <c r="A276" s="44">
        <v>264</v>
      </c>
      <c r="B276" s="12">
        <f t="shared" si="16"/>
        <v>0</v>
      </c>
      <c r="C276" s="12">
        <f t="shared" si="17"/>
        <v>0</v>
      </c>
      <c r="D276" s="12">
        <f t="shared" si="18"/>
        <v>0</v>
      </c>
      <c r="E276" s="10">
        <f t="shared" si="19"/>
        <v>0</v>
      </c>
    </row>
    <row r="277" spans="1:5" ht="14.25" customHeight="1" x14ac:dyDescent="0.3">
      <c r="A277" s="44">
        <v>265</v>
      </c>
      <c r="B277" s="12">
        <f t="shared" si="16"/>
        <v>0</v>
      </c>
      <c r="C277" s="12">
        <f t="shared" si="17"/>
        <v>0</v>
      </c>
      <c r="D277" s="12">
        <f t="shared" si="18"/>
        <v>0</v>
      </c>
      <c r="E277" s="10">
        <f t="shared" si="19"/>
        <v>0</v>
      </c>
    </row>
    <row r="278" spans="1:5" ht="14.25" customHeight="1" x14ac:dyDescent="0.3">
      <c r="A278" s="44">
        <v>266</v>
      </c>
      <c r="B278" s="12">
        <f t="shared" si="16"/>
        <v>0</v>
      </c>
      <c r="C278" s="12">
        <f t="shared" si="17"/>
        <v>0</v>
      </c>
      <c r="D278" s="12">
        <f t="shared" si="18"/>
        <v>0</v>
      </c>
      <c r="E278" s="10">
        <f t="shared" si="19"/>
        <v>0</v>
      </c>
    </row>
    <row r="279" spans="1:5" ht="14.25" customHeight="1" x14ac:dyDescent="0.3">
      <c r="A279" s="44">
        <v>267</v>
      </c>
      <c r="B279" s="12">
        <f t="shared" si="16"/>
        <v>0</v>
      </c>
      <c r="C279" s="12">
        <f t="shared" si="17"/>
        <v>0</v>
      </c>
      <c r="D279" s="12">
        <f t="shared" si="18"/>
        <v>0</v>
      </c>
      <c r="E279" s="10">
        <f t="shared" si="19"/>
        <v>0</v>
      </c>
    </row>
    <row r="280" spans="1:5" ht="14.25" customHeight="1" x14ac:dyDescent="0.3">
      <c r="A280" s="44">
        <v>268</v>
      </c>
      <c r="B280" s="12">
        <f t="shared" si="16"/>
        <v>0</v>
      </c>
      <c r="C280" s="12">
        <f t="shared" si="17"/>
        <v>0</v>
      </c>
      <c r="D280" s="12">
        <f t="shared" si="18"/>
        <v>0</v>
      </c>
      <c r="E280" s="10">
        <f t="shared" si="19"/>
        <v>0</v>
      </c>
    </row>
    <row r="281" spans="1:5" ht="14.25" customHeight="1" x14ac:dyDescent="0.3">
      <c r="A281" s="44">
        <v>269</v>
      </c>
      <c r="B281" s="12">
        <f t="shared" si="16"/>
        <v>0</v>
      </c>
      <c r="C281" s="12">
        <f t="shared" si="17"/>
        <v>0</v>
      </c>
      <c r="D281" s="12">
        <f t="shared" si="18"/>
        <v>0</v>
      </c>
      <c r="E281" s="10">
        <f t="shared" si="19"/>
        <v>0</v>
      </c>
    </row>
    <row r="282" spans="1:5" ht="14.25" customHeight="1" x14ac:dyDescent="0.3">
      <c r="A282" s="44">
        <v>270</v>
      </c>
      <c r="B282" s="12">
        <f t="shared" si="16"/>
        <v>0</v>
      </c>
      <c r="C282" s="12">
        <f t="shared" si="17"/>
        <v>0</v>
      </c>
      <c r="D282" s="12">
        <f t="shared" si="18"/>
        <v>0</v>
      </c>
      <c r="E282" s="10">
        <f t="shared" si="19"/>
        <v>0</v>
      </c>
    </row>
    <row r="283" spans="1:5" ht="14.25" customHeight="1" x14ac:dyDescent="0.3">
      <c r="A283" s="44">
        <v>271</v>
      </c>
      <c r="B283" s="12">
        <f t="shared" si="16"/>
        <v>0</v>
      </c>
      <c r="C283" s="12">
        <f t="shared" si="17"/>
        <v>0</v>
      </c>
      <c r="D283" s="12">
        <f t="shared" si="18"/>
        <v>0</v>
      </c>
      <c r="E283" s="10">
        <f t="shared" si="19"/>
        <v>0</v>
      </c>
    </row>
    <row r="284" spans="1:5" ht="14.25" customHeight="1" x14ac:dyDescent="0.3">
      <c r="A284" s="44">
        <v>272</v>
      </c>
      <c r="B284" s="12">
        <f t="shared" si="16"/>
        <v>0</v>
      </c>
      <c r="C284" s="12">
        <f t="shared" si="17"/>
        <v>0</v>
      </c>
      <c r="D284" s="12">
        <f t="shared" si="18"/>
        <v>0</v>
      </c>
      <c r="E284" s="10">
        <f t="shared" si="19"/>
        <v>0</v>
      </c>
    </row>
    <row r="285" spans="1:5" ht="14.25" customHeight="1" x14ac:dyDescent="0.3">
      <c r="A285" s="44">
        <v>273</v>
      </c>
      <c r="B285" s="12">
        <f t="shared" si="16"/>
        <v>0</v>
      </c>
      <c r="C285" s="12">
        <f t="shared" si="17"/>
        <v>0</v>
      </c>
      <c r="D285" s="12">
        <f t="shared" si="18"/>
        <v>0</v>
      </c>
      <c r="E285" s="10">
        <f t="shared" si="19"/>
        <v>0</v>
      </c>
    </row>
    <row r="286" spans="1:5" ht="14.25" customHeight="1" x14ac:dyDescent="0.3">
      <c r="A286" s="44">
        <v>274</v>
      </c>
      <c r="B286" s="12">
        <f t="shared" si="16"/>
        <v>0</v>
      </c>
      <c r="C286" s="12">
        <f t="shared" si="17"/>
        <v>0</v>
      </c>
      <c r="D286" s="12">
        <f t="shared" si="18"/>
        <v>0</v>
      </c>
      <c r="E286" s="10">
        <f t="shared" si="19"/>
        <v>0</v>
      </c>
    </row>
    <row r="287" spans="1:5" ht="14.25" customHeight="1" x14ac:dyDescent="0.3">
      <c r="A287" s="44">
        <v>275</v>
      </c>
      <c r="B287" s="12">
        <f t="shared" si="16"/>
        <v>0</v>
      </c>
      <c r="C287" s="12">
        <f t="shared" si="17"/>
        <v>0</v>
      </c>
      <c r="D287" s="12">
        <f t="shared" si="18"/>
        <v>0</v>
      </c>
      <c r="E287" s="10">
        <f t="shared" si="19"/>
        <v>0</v>
      </c>
    </row>
    <row r="288" spans="1:5" ht="14.25" customHeight="1" x14ac:dyDescent="0.3">
      <c r="A288" s="44">
        <v>276</v>
      </c>
      <c r="B288" s="12">
        <f t="shared" si="16"/>
        <v>0</v>
      </c>
      <c r="C288" s="12">
        <f t="shared" si="17"/>
        <v>0</v>
      </c>
      <c r="D288" s="12">
        <f t="shared" si="18"/>
        <v>0</v>
      </c>
      <c r="E288" s="10">
        <f t="shared" si="19"/>
        <v>0</v>
      </c>
    </row>
    <row r="289" spans="1:5" ht="14.25" customHeight="1" x14ac:dyDescent="0.3">
      <c r="A289" s="44">
        <v>277</v>
      </c>
      <c r="B289" s="12">
        <f t="shared" si="16"/>
        <v>0</v>
      </c>
      <c r="C289" s="12">
        <f t="shared" si="17"/>
        <v>0</v>
      </c>
      <c r="D289" s="12">
        <f t="shared" si="18"/>
        <v>0</v>
      </c>
      <c r="E289" s="10">
        <f t="shared" si="19"/>
        <v>0</v>
      </c>
    </row>
    <row r="290" spans="1:5" ht="14.25" customHeight="1" x14ac:dyDescent="0.3">
      <c r="A290" s="44">
        <v>278</v>
      </c>
      <c r="B290" s="12">
        <f t="shared" si="16"/>
        <v>0</v>
      </c>
      <c r="C290" s="12">
        <f t="shared" si="17"/>
        <v>0</v>
      </c>
      <c r="D290" s="12">
        <f t="shared" si="18"/>
        <v>0</v>
      </c>
      <c r="E290" s="10">
        <f t="shared" si="19"/>
        <v>0</v>
      </c>
    </row>
    <row r="291" spans="1:5" ht="14.25" customHeight="1" x14ac:dyDescent="0.3">
      <c r="A291" s="44">
        <v>279</v>
      </c>
      <c r="B291" s="12">
        <f t="shared" si="16"/>
        <v>0</v>
      </c>
      <c r="C291" s="12">
        <f t="shared" si="17"/>
        <v>0</v>
      </c>
      <c r="D291" s="12">
        <f t="shared" si="18"/>
        <v>0</v>
      </c>
      <c r="E291" s="10">
        <f t="shared" si="19"/>
        <v>0</v>
      </c>
    </row>
    <row r="292" spans="1:5" ht="14.25" customHeight="1" x14ac:dyDescent="0.3">
      <c r="A292" s="44">
        <v>280</v>
      </c>
      <c r="B292" s="12">
        <f t="shared" si="16"/>
        <v>0</v>
      </c>
      <c r="C292" s="12">
        <f t="shared" si="17"/>
        <v>0</v>
      </c>
      <c r="D292" s="12">
        <f t="shared" si="18"/>
        <v>0</v>
      </c>
      <c r="E292" s="10">
        <f t="shared" si="19"/>
        <v>0</v>
      </c>
    </row>
    <row r="293" spans="1:5" ht="14.25" customHeight="1" x14ac:dyDescent="0.3">
      <c r="A293" s="44">
        <v>281</v>
      </c>
      <c r="B293" s="12">
        <f t="shared" si="16"/>
        <v>0</v>
      </c>
      <c r="C293" s="12">
        <f t="shared" si="17"/>
        <v>0</v>
      </c>
      <c r="D293" s="12">
        <f t="shared" si="18"/>
        <v>0</v>
      </c>
      <c r="E293" s="10">
        <f t="shared" si="19"/>
        <v>0</v>
      </c>
    </row>
    <row r="294" spans="1:5" ht="14.25" customHeight="1" x14ac:dyDescent="0.3">
      <c r="A294" s="44">
        <v>282</v>
      </c>
      <c r="B294" s="12">
        <f t="shared" si="16"/>
        <v>0</v>
      </c>
      <c r="C294" s="12">
        <f t="shared" si="17"/>
        <v>0</v>
      </c>
      <c r="D294" s="12">
        <f t="shared" si="18"/>
        <v>0</v>
      </c>
      <c r="E294" s="10">
        <f t="shared" si="19"/>
        <v>0</v>
      </c>
    </row>
    <row r="295" spans="1:5" ht="14.25" customHeight="1" x14ac:dyDescent="0.3">
      <c r="A295" s="44">
        <v>283</v>
      </c>
      <c r="B295" s="12">
        <f t="shared" si="16"/>
        <v>0</v>
      </c>
      <c r="C295" s="12">
        <f t="shared" si="17"/>
        <v>0</v>
      </c>
      <c r="D295" s="12">
        <f t="shared" si="18"/>
        <v>0</v>
      </c>
      <c r="E295" s="10">
        <f t="shared" si="19"/>
        <v>0</v>
      </c>
    </row>
    <row r="296" spans="1:5" ht="14.25" customHeight="1" x14ac:dyDescent="0.3">
      <c r="A296" s="44">
        <v>284</v>
      </c>
      <c r="B296" s="12">
        <f t="shared" si="16"/>
        <v>0</v>
      </c>
      <c r="C296" s="12">
        <f t="shared" si="17"/>
        <v>0</v>
      </c>
      <c r="D296" s="12">
        <f t="shared" si="18"/>
        <v>0</v>
      </c>
      <c r="E296" s="10">
        <f t="shared" si="19"/>
        <v>0</v>
      </c>
    </row>
    <row r="297" spans="1:5" ht="14.25" customHeight="1" x14ac:dyDescent="0.3">
      <c r="A297" s="44">
        <v>285</v>
      </c>
      <c r="B297" s="12">
        <f t="shared" si="16"/>
        <v>0</v>
      </c>
      <c r="C297" s="12">
        <f t="shared" si="17"/>
        <v>0</v>
      </c>
      <c r="D297" s="12">
        <f t="shared" si="18"/>
        <v>0</v>
      </c>
      <c r="E297" s="10">
        <f t="shared" si="19"/>
        <v>0</v>
      </c>
    </row>
    <row r="298" spans="1:5" ht="14.25" customHeight="1" x14ac:dyDescent="0.3">
      <c r="A298" s="44">
        <v>286</v>
      </c>
      <c r="B298" s="12">
        <f t="shared" si="16"/>
        <v>0</v>
      </c>
      <c r="C298" s="12">
        <f t="shared" si="17"/>
        <v>0</v>
      </c>
      <c r="D298" s="12">
        <f t="shared" si="18"/>
        <v>0</v>
      </c>
      <c r="E298" s="10">
        <f t="shared" si="19"/>
        <v>0</v>
      </c>
    </row>
    <row r="299" spans="1:5" ht="14.25" customHeight="1" x14ac:dyDescent="0.3">
      <c r="A299" s="44">
        <v>287</v>
      </c>
      <c r="B299" s="12">
        <f t="shared" si="16"/>
        <v>0</v>
      </c>
      <c r="C299" s="12">
        <f t="shared" si="17"/>
        <v>0</v>
      </c>
      <c r="D299" s="12">
        <f t="shared" si="18"/>
        <v>0</v>
      </c>
      <c r="E299" s="10">
        <f t="shared" si="19"/>
        <v>0</v>
      </c>
    </row>
    <row r="300" spans="1:5" ht="14.25" customHeight="1" x14ac:dyDescent="0.3">
      <c r="A300" s="44">
        <v>288</v>
      </c>
      <c r="B300" s="12">
        <f t="shared" si="16"/>
        <v>0</v>
      </c>
      <c r="C300" s="12">
        <f t="shared" si="17"/>
        <v>0</v>
      </c>
      <c r="D300" s="12">
        <f t="shared" si="18"/>
        <v>0</v>
      </c>
      <c r="E300" s="10">
        <f t="shared" si="19"/>
        <v>0</v>
      </c>
    </row>
    <row r="301" spans="1:5" ht="14.25" customHeight="1" x14ac:dyDescent="0.3">
      <c r="A301" s="44">
        <v>289</v>
      </c>
      <c r="B301" s="12">
        <f t="shared" si="16"/>
        <v>0</v>
      </c>
      <c r="C301" s="12">
        <f t="shared" si="17"/>
        <v>0</v>
      </c>
      <c r="D301" s="12">
        <f t="shared" si="18"/>
        <v>0</v>
      </c>
      <c r="E301" s="10">
        <f t="shared" si="19"/>
        <v>0</v>
      </c>
    </row>
    <row r="302" spans="1:5" ht="14.25" customHeight="1" x14ac:dyDescent="0.3">
      <c r="A302" s="44">
        <v>290</v>
      </c>
      <c r="B302" s="12">
        <f t="shared" si="16"/>
        <v>0</v>
      </c>
      <c r="C302" s="12">
        <f t="shared" si="17"/>
        <v>0</v>
      </c>
      <c r="D302" s="12">
        <f t="shared" si="18"/>
        <v>0</v>
      </c>
      <c r="E302" s="10">
        <f t="shared" si="19"/>
        <v>0</v>
      </c>
    </row>
    <row r="303" spans="1:5" ht="14.25" customHeight="1" x14ac:dyDescent="0.3">
      <c r="A303" s="44">
        <v>291</v>
      </c>
      <c r="B303" s="12">
        <f t="shared" si="16"/>
        <v>0</v>
      </c>
      <c r="C303" s="12">
        <f t="shared" si="17"/>
        <v>0</v>
      </c>
      <c r="D303" s="12">
        <f t="shared" si="18"/>
        <v>0</v>
      </c>
      <c r="E303" s="10">
        <f t="shared" si="19"/>
        <v>0</v>
      </c>
    </row>
    <row r="304" spans="1:5" ht="14.25" customHeight="1" x14ac:dyDescent="0.3">
      <c r="A304" s="44">
        <v>292</v>
      </c>
      <c r="B304" s="12">
        <f t="shared" si="16"/>
        <v>0</v>
      </c>
      <c r="C304" s="12">
        <f t="shared" si="17"/>
        <v>0</v>
      </c>
      <c r="D304" s="12">
        <f t="shared" si="18"/>
        <v>0</v>
      </c>
      <c r="E304" s="10">
        <f t="shared" si="19"/>
        <v>0</v>
      </c>
    </row>
    <row r="305" spans="1:5" ht="14.25" customHeight="1" x14ac:dyDescent="0.3">
      <c r="A305" s="44">
        <v>293</v>
      </c>
      <c r="B305" s="12">
        <f t="shared" si="16"/>
        <v>0</v>
      </c>
      <c r="C305" s="12">
        <f t="shared" si="17"/>
        <v>0</v>
      </c>
      <c r="D305" s="12">
        <f t="shared" si="18"/>
        <v>0</v>
      </c>
      <c r="E305" s="10">
        <f t="shared" si="19"/>
        <v>0</v>
      </c>
    </row>
    <row r="306" spans="1:5" ht="14.25" customHeight="1" x14ac:dyDescent="0.3">
      <c r="A306" s="44">
        <v>294</v>
      </c>
      <c r="B306" s="12">
        <f t="shared" si="16"/>
        <v>0</v>
      </c>
      <c r="C306" s="12">
        <f t="shared" si="17"/>
        <v>0</v>
      </c>
      <c r="D306" s="12">
        <f t="shared" si="18"/>
        <v>0</v>
      </c>
      <c r="E306" s="10">
        <f t="shared" si="19"/>
        <v>0</v>
      </c>
    </row>
    <row r="307" spans="1:5" ht="14.25" customHeight="1" x14ac:dyDescent="0.3">
      <c r="A307" s="44">
        <v>295</v>
      </c>
      <c r="B307" s="12">
        <f t="shared" si="16"/>
        <v>0</v>
      </c>
      <c r="C307" s="12">
        <f t="shared" si="17"/>
        <v>0</v>
      </c>
      <c r="D307" s="12">
        <f t="shared" si="18"/>
        <v>0</v>
      </c>
      <c r="E307" s="10">
        <f t="shared" si="19"/>
        <v>0</v>
      </c>
    </row>
    <row r="308" spans="1:5" ht="14.25" customHeight="1" x14ac:dyDescent="0.3">
      <c r="A308" s="44">
        <v>296</v>
      </c>
      <c r="B308" s="12">
        <f t="shared" si="16"/>
        <v>0</v>
      </c>
      <c r="C308" s="12">
        <f t="shared" si="17"/>
        <v>0</v>
      </c>
      <c r="D308" s="12">
        <f t="shared" si="18"/>
        <v>0</v>
      </c>
      <c r="E308" s="10">
        <f t="shared" si="19"/>
        <v>0</v>
      </c>
    </row>
    <row r="309" spans="1:5" ht="14.25" customHeight="1" x14ac:dyDescent="0.3">
      <c r="A309" s="44">
        <v>297</v>
      </c>
      <c r="B309" s="12">
        <f t="shared" si="16"/>
        <v>0</v>
      </c>
      <c r="C309" s="12">
        <f t="shared" si="17"/>
        <v>0</v>
      </c>
      <c r="D309" s="12">
        <f t="shared" si="18"/>
        <v>0</v>
      </c>
      <c r="E309" s="10">
        <f t="shared" si="19"/>
        <v>0</v>
      </c>
    </row>
    <row r="310" spans="1:5" ht="14.25" customHeight="1" x14ac:dyDescent="0.3">
      <c r="A310" s="44">
        <v>298</v>
      </c>
      <c r="B310" s="12">
        <f t="shared" si="16"/>
        <v>0</v>
      </c>
      <c r="C310" s="12">
        <f t="shared" si="17"/>
        <v>0</v>
      </c>
      <c r="D310" s="12">
        <f t="shared" si="18"/>
        <v>0</v>
      </c>
      <c r="E310" s="10">
        <f t="shared" si="19"/>
        <v>0</v>
      </c>
    </row>
    <row r="311" spans="1:5" ht="14.25" customHeight="1" x14ac:dyDescent="0.3">
      <c r="A311" s="44">
        <v>299</v>
      </c>
      <c r="B311" s="12">
        <f t="shared" si="16"/>
        <v>0</v>
      </c>
      <c r="C311" s="12">
        <f t="shared" si="17"/>
        <v>0</v>
      </c>
      <c r="D311" s="12">
        <f t="shared" si="18"/>
        <v>0</v>
      </c>
      <c r="E311" s="10">
        <f t="shared" si="19"/>
        <v>0</v>
      </c>
    </row>
    <row r="312" spans="1:5" ht="14.25" customHeight="1" x14ac:dyDescent="0.3">
      <c r="A312" s="44">
        <v>300</v>
      </c>
      <c r="B312" s="12">
        <f t="shared" si="16"/>
        <v>0</v>
      </c>
      <c r="C312" s="12">
        <f t="shared" si="17"/>
        <v>0</v>
      </c>
      <c r="D312" s="12">
        <f t="shared" si="18"/>
        <v>0</v>
      </c>
      <c r="E312" s="10">
        <f t="shared" si="19"/>
        <v>0</v>
      </c>
    </row>
    <row r="313" spans="1:5" ht="14.25" customHeight="1" x14ac:dyDescent="0.3">
      <c r="A313" s="44">
        <v>301</v>
      </c>
      <c r="B313" s="12">
        <f t="shared" si="16"/>
        <v>0</v>
      </c>
      <c r="C313" s="12">
        <f t="shared" si="17"/>
        <v>0</v>
      </c>
      <c r="D313" s="12">
        <f t="shared" si="18"/>
        <v>0</v>
      </c>
      <c r="E313" s="10">
        <f t="shared" si="19"/>
        <v>0</v>
      </c>
    </row>
    <row r="314" spans="1:5" ht="14.25" customHeight="1" x14ac:dyDescent="0.3">
      <c r="A314" s="44">
        <v>302</v>
      </c>
      <c r="B314" s="12">
        <f t="shared" si="16"/>
        <v>0</v>
      </c>
      <c r="C314" s="12">
        <f t="shared" si="17"/>
        <v>0</v>
      </c>
      <c r="D314" s="12">
        <f t="shared" si="18"/>
        <v>0</v>
      </c>
      <c r="E314" s="10">
        <f t="shared" si="19"/>
        <v>0</v>
      </c>
    </row>
    <row r="315" spans="1:5" ht="14.25" customHeight="1" x14ac:dyDescent="0.3">
      <c r="A315" s="44">
        <v>303</v>
      </c>
      <c r="B315" s="12">
        <f t="shared" si="16"/>
        <v>0</v>
      </c>
      <c r="C315" s="12">
        <f t="shared" si="17"/>
        <v>0</v>
      </c>
      <c r="D315" s="12">
        <f t="shared" si="18"/>
        <v>0</v>
      </c>
      <c r="E315" s="10">
        <f t="shared" si="19"/>
        <v>0</v>
      </c>
    </row>
    <row r="316" spans="1:5" ht="14.25" customHeight="1" x14ac:dyDescent="0.3">
      <c r="A316" s="44">
        <v>304</v>
      </c>
      <c r="B316" s="12">
        <f t="shared" si="16"/>
        <v>0</v>
      </c>
      <c r="C316" s="12">
        <f t="shared" si="17"/>
        <v>0</v>
      </c>
      <c r="D316" s="12">
        <f t="shared" si="18"/>
        <v>0</v>
      </c>
      <c r="E316" s="10">
        <f t="shared" si="19"/>
        <v>0</v>
      </c>
    </row>
    <row r="317" spans="1:5" ht="14.25" customHeight="1" x14ac:dyDescent="0.3">
      <c r="A317" s="44">
        <v>305</v>
      </c>
      <c r="B317" s="12">
        <f t="shared" si="16"/>
        <v>0</v>
      </c>
      <c r="C317" s="12">
        <f t="shared" si="17"/>
        <v>0</v>
      </c>
      <c r="D317" s="12">
        <f t="shared" si="18"/>
        <v>0</v>
      </c>
      <c r="E317" s="10">
        <f t="shared" si="19"/>
        <v>0</v>
      </c>
    </row>
    <row r="318" spans="1:5" ht="14.25" customHeight="1" x14ac:dyDescent="0.3">
      <c r="A318" s="44">
        <v>306</v>
      </c>
      <c r="B318" s="12">
        <f t="shared" si="16"/>
        <v>0</v>
      </c>
      <c r="C318" s="12">
        <f t="shared" si="17"/>
        <v>0</v>
      </c>
      <c r="D318" s="12">
        <f t="shared" si="18"/>
        <v>0</v>
      </c>
      <c r="E318" s="10">
        <f t="shared" si="19"/>
        <v>0</v>
      </c>
    </row>
    <row r="319" spans="1:5" ht="14.25" customHeight="1" x14ac:dyDescent="0.3">
      <c r="A319" s="44">
        <v>307</v>
      </c>
      <c r="B319" s="12">
        <f t="shared" si="16"/>
        <v>0</v>
      </c>
      <c r="C319" s="12">
        <f t="shared" si="17"/>
        <v>0</v>
      </c>
      <c r="D319" s="12">
        <f t="shared" si="18"/>
        <v>0</v>
      </c>
      <c r="E319" s="10">
        <f t="shared" si="19"/>
        <v>0</v>
      </c>
    </row>
    <row r="320" spans="1:5" ht="14.25" customHeight="1" x14ac:dyDescent="0.3">
      <c r="A320" s="44">
        <v>308</v>
      </c>
      <c r="B320" s="12">
        <f t="shared" si="16"/>
        <v>0</v>
      </c>
      <c r="C320" s="12">
        <f t="shared" si="17"/>
        <v>0</v>
      </c>
      <c r="D320" s="12">
        <f t="shared" si="18"/>
        <v>0</v>
      </c>
      <c r="E320" s="10">
        <f t="shared" si="19"/>
        <v>0</v>
      </c>
    </row>
    <row r="321" spans="1:5" ht="14.25" customHeight="1" x14ac:dyDescent="0.3">
      <c r="A321" s="44">
        <v>309</v>
      </c>
      <c r="B321" s="12">
        <f t="shared" si="16"/>
        <v>0</v>
      </c>
      <c r="C321" s="12">
        <f t="shared" si="17"/>
        <v>0</v>
      </c>
      <c r="D321" s="12">
        <f t="shared" si="18"/>
        <v>0</v>
      </c>
      <c r="E321" s="10">
        <f t="shared" si="19"/>
        <v>0</v>
      </c>
    </row>
    <row r="322" spans="1:5" ht="14.25" customHeight="1" x14ac:dyDescent="0.3">
      <c r="A322" s="44">
        <v>310</v>
      </c>
      <c r="B322" s="12">
        <f t="shared" si="16"/>
        <v>0</v>
      </c>
      <c r="C322" s="12">
        <f t="shared" si="17"/>
        <v>0</v>
      </c>
      <c r="D322" s="12">
        <f t="shared" si="18"/>
        <v>0</v>
      </c>
      <c r="E322" s="10">
        <f t="shared" si="19"/>
        <v>0</v>
      </c>
    </row>
    <row r="323" spans="1:5" ht="14.25" customHeight="1" x14ac:dyDescent="0.3">
      <c r="A323" s="44">
        <v>311</v>
      </c>
      <c r="B323" s="12">
        <f t="shared" si="16"/>
        <v>0</v>
      </c>
      <c r="C323" s="12">
        <f t="shared" si="17"/>
        <v>0</v>
      </c>
      <c r="D323" s="12">
        <f t="shared" si="18"/>
        <v>0</v>
      </c>
      <c r="E323" s="10">
        <f t="shared" si="19"/>
        <v>0</v>
      </c>
    </row>
    <row r="324" spans="1:5" ht="14.25" customHeight="1" x14ac:dyDescent="0.3">
      <c r="A324" s="44">
        <v>312</v>
      </c>
      <c r="B324" s="12">
        <f t="shared" si="16"/>
        <v>0</v>
      </c>
      <c r="C324" s="12">
        <f t="shared" si="17"/>
        <v>0</v>
      </c>
      <c r="D324" s="12">
        <f t="shared" si="18"/>
        <v>0</v>
      </c>
      <c r="E324" s="10">
        <f t="shared" si="19"/>
        <v>0</v>
      </c>
    </row>
    <row r="325" spans="1:5" ht="14.25" customHeight="1" x14ac:dyDescent="0.3">
      <c r="A325" s="44">
        <v>313</v>
      </c>
      <c r="B325" s="12">
        <f t="shared" si="16"/>
        <v>0</v>
      </c>
      <c r="C325" s="12">
        <f t="shared" si="17"/>
        <v>0</v>
      </c>
      <c r="D325" s="12">
        <f t="shared" si="18"/>
        <v>0</v>
      </c>
      <c r="E325" s="10">
        <f t="shared" si="19"/>
        <v>0</v>
      </c>
    </row>
    <row r="326" spans="1:5" ht="14.25" customHeight="1" x14ac:dyDescent="0.3">
      <c r="A326" s="44">
        <v>314</v>
      </c>
      <c r="B326" s="12">
        <f t="shared" si="16"/>
        <v>0</v>
      </c>
      <c r="C326" s="12">
        <f t="shared" si="17"/>
        <v>0</v>
      </c>
      <c r="D326" s="12">
        <f t="shared" si="18"/>
        <v>0</v>
      </c>
      <c r="E326" s="10">
        <f t="shared" si="19"/>
        <v>0</v>
      </c>
    </row>
    <row r="327" spans="1:5" ht="14.25" customHeight="1" x14ac:dyDescent="0.3">
      <c r="A327" s="44">
        <v>315</v>
      </c>
      <c r="B327" s="12">
        <f t="shared" si="16"/>
        <v>0</v>
      </c>
      <c r="C327" s="12">
        <f t="shared" si="17"/>
        <v>0</v>
      </c>
      <c r="D327" s="12">
        <f t="shared" si="18"/>
        <v>0</v>
      </c>
      <c r="E327" s="10">
        <f t="shared" si="19"/>
        <v>0</v>
      </c>
    </row>
    <row r="328" spans="1:5" ht="14.25" customHeight="1" x14ac:dyDescent="0.3">
      <c r="A328" s="44">
        <v>316</v>
      </c>
      <c r="B328" s="12">
        <f t="shared" si="16"/>
        <v>0</v>
      </c>
      <c r="C328" s="12">
        <f t="shared" si="17"/>
        <v>0</v>
      </c>
      <c r="D328" s="12">
        <f t="shared" si="18"/>
        <v>0</v>
      </c>
      <c r="E328" s="10">
        <f t="shared" si="19"/>
        <v>0</v>
      </c>
    </row>
    <row r="329" spans="1:5" ht="14.25" customHeight="1" x14ac:dyDescent="0.3">
      <c r="A329" s="44">
        <v>317</v>
      </c>
      <c r="B329" s="12">
        <f t="shared" si="16"/>
        <v>0</v>
      </c>
      <c r="C329" s="12">
        <f t="shared" si="17"/>
        <v>0</v>
      </c>
      <c r="D329" s="12">
        <f t="shared" si="18"/>
        <v>0</v>
      </c>
      <c r="E329" s="10">
        <f t="shared" si="19"/>
        <v>0</v>
      </c>
    </row>
    <row r="330" spans="1:5" ht="14.25" customHeight="1" x14ac:dyDescent="0.3">
      <c r="A330" s="44">
        <v>318</v>
      </c>
      <c r="B330" s="12">
        <f t="shared" si="16"/>
        <v>0</v>
      </c>
      <c r="C330" s="12">
        <f t="shared" si="17"/>
        <v>0</v>
      </c>
      <c r="D330" s="12">
        <f t="shared" si="18"/>
        <v>0</v>
      </c>
      <c r="E330" s="10">
        <f t="shared" si="19"/>
        <v>0</v>
      </c>
    </row>
    <row r="331" spans="1:5" ht="14.25" customHeight="1" x14ac:dyDescent="0.3">
      <c r="A331" s="44">
        <v>319</v>
      </c>
      <c r="B331" s="12">
        <f t="shared" si="16"/>
        <v>0</v>
      </c>
      <c r="C331" s="12">
        <f t="shared" si="17"/>
        <v>0</v>
      </c>
      <c r="D331" s="12">
        <f t="shared" si="18"/>
        <v>0</v>
      </c>
      <c r="E331" s="10">
        <f t="shared" si="19"/>
        <v>0</v>
      </c>
    </row>
    <row r="332" spans="1:5" ht="14.25" customHeight="1" x14ac:dyDescent="0.3">
      <c r="A332" s="44">
        <v>320</v>
      </c>
      <c r="B332" s="12">
        <f t="shared" si="16"/>
        <v>0</v>
      </c>
      <c r="C332" s="12">
        <f t="shared" si="17"/>
        <v>0</v>
      </c>
      <c r="D332" s="12">
        <f t="shared" si="18"/>
        <v>0</v>
      </c>
      <c r="E332" s="10">
        <f t="shared" si="19"/>
        <v>0</v>
      </c>
    </row>
    <row r="333" spans="1:5" ht="14.25" customHeight="1" x14ac:dyDescent="0.3">
      <c r="A333" s="44">
        <v>321</v>
      </c>
      <c r="B333" s="12">
        <f t="shared" ref="B333:B372" si="20">IF($B$9&lt;=E332,$B$9,E332+E332*$B$7/$B$8)</f>
        <v>0</v>
      </c>
      <c r="C333" s="12">
        <f t="shared" ref="C333:C372" si="21">IF(B333&gt;0,$B$7/$B$8*E332,0)</f>
        <v>0</v>
      </c>
      <c r="D333" s="12">
        <f t="shared" ref="D333:D372" si="22">IF(B333&gt;0,MIN(B333-C333,E332),0)</f>
        <v>0</v>
      </c>
      <c r="E333" s="10">
        <f t="shared" ref="E333:E372" si="23">IF(ROUND(E332,5)&gt;0,E332-D333,0)</f>
        <v>0</v>
      </c>
    </row>
    <row r="334" spans="1:5" ht="14.25" customHeight="1" x14ac:dyDescent="0.3">
      <c r="A334" s="44">
        <v>322</v>
      </c>
      <c r="B334" s="12">
        <f t="shared" si="20"/>
        <v>0</v>
      </c>
      <c r="C334" s="12">
        <f t="shared" si="21"/>
        <v>0</v>
      </c>
      <c r="D334" s="12">
        <f t="shared" si="22"/>
        <v>0</v>
      </c>
      <c r="E334" s="10">
        <f t="shared" si="23"/>
        <v>0</v>
      </c>
    </row>
    <row r="335" spans="1:5" ht="14.25" customHeight="1" x14ac:dyDescent="0.3">
      <c r="A335" s="44">
        <v>323</v>
      </c>
      <c r="B335" s="12">
        <f t="shared" si="20"/>
        <v>0</v>
      </c>
      <c r="C335" s="12">
        <f t="shared" si="21"/>
        <v>0</v>
      </c>
      <c r="D335" s="12">
        <f t="shared" si="22"/>
        <v>0</v>
      </c>
      <c r="E335" s="10">
        <f t="shared" si="23"/>
        <v>0</v>
      </c>
    </row>
    <row r="336" spans="1:5" ht="14.25" customHeight="1" x14ac:dyDescent="0.3">
      <c r="A336" s="44">
        <v>324</v>
      </c>
      <c r="B336" s="12">
        <f t="shared" si="20"/>
        <v>0</v>
      </c>
      <c r="C336" s="12">
        <f t="shared" si="21"/>
        <v>0</v>
      </c>
      <c r="D336" s="12">
        <f t="shared" si="22"/>
        <v>0</v>
      </c>
      <c r="E336" s="10">
        <f t="shared" si="23"/>
        <v>0</v>
      </c>
    </row>
    <row r="337" spans="1:5" ht="14.25" customHeight="1" x14ac:dyDescent="0.3">
      <c r="A337" s="44">
        <v>325</v>
      </c>
      <c r="B337" s="12">
        <f t="shared" si="20"/>
        <v>0</v>
      </c>
      <c r="C337" s="12">
        <f t="shared" si="21"/>
        <v>0</v>
      </c>
      <c r="D337" s="12">
        <f t="shared" si="22"/>
        <v>0</v>
      </c>
      <c r="E337" s="10">
        <f t="shared" si="23"/>
        <v>0</v>
      </c>
    </row>
    <row r="338" spans="1:5" ht="14.25" customHeight="1" x14ac:dyDescent="0.3">
      <c r="A338" s="44">
        <v>326</v>
      </c>
      <c r="B338" s="12">
        <f t="shared" si="20"/>
        <v>0</v>
      </c>
      <c r="C338" s="12">
        <f t="shared" si="21"/>
        <v>0</v>
      </c>
      <c r="D338" s="12">
        <f t="shared" si="22"/>
        <v>0</v>
      </c>
      <c r="E338" s="10">
        <f t="shared" si="23"/>
        <v>0</v>
      </c>
    </row>
    <row r="339" spans="1:5" ht="14.25" customHeight="1" x14ac:dyDescent="0.3">
      <c r="A339" s="44">
        <v>327</v>
      </c>
      <c r="B339" s="12">
        <f t="shared" si="20"/>
        <v>0</v>
      </c>
      <c r="C339" s="12">
        <f t="shared" si="21"/>
        <v>0</v>
      </c>
      <c r="D339" s="12">
        <f t="shared" si="22"/>
        <v>0</v>
      </c>
      <c r="E339" s="10">
        <f t="shared" si="23"/>
        <v>0</v>
      </c>
    </row>
    <row r="340" spans="1:5" ht="14.25" customHeight="1" x14ac:dyDescent="0.3">
      <c r="A340" s="44">
        <v>328</v>
      </c>
      <c r="B340" s="12">
        <f t="shared" si="20"/>
        <v>0</v>
      </c>
      <c r="C340" s="12">
        <f t="shared" si="21"/>
        <v>0</v>
      </c>
      <c r="D340" s="12">
        <f t="shared" si="22"/>
        <v>0</v>
      </c>
      <c r="E340" s="10">
        <f t="shared" si="23"/>
        <v>0</v>
      </c>
    </row>
    <row r="341" spans="1:5" ht="14.25" customHeight="1" x14ac:dyDescent="0.3">
      <c r="A341" s="44">
        <v>329</v>
      </c>
      <c r="B341" s="12">
        <f t="shared" si="20"/>
        <v>0</v>
      </c>
      <c r="C341" s="12">
        <f t="shared" si="21"/>
        <v>0</v>
      </c>
      <c r="D341" s="12">
        <f t="shared" si="22"/>
        <v>0</v>
      </c>
      <c r="E341" s="10">
        <f t="shared" si="23"/>
        <v>0</v>
      </c>
    </row>
    <row r="342" spans="1:5" ht="14.25" customHeight="1" x14ac:dyDescent="0.3">
      <c r="A342" s="44">
        <v>330</v>
      </c>
      <c r="B342" s="12">
        <f t="shared" si="20"/>
        <v>0</v>
      </c>
      <c r="C342" s="12">
        <f t="shared" si="21"/>
        <v>0</v>
      </c>
      <c r="D342" s="12">
        <f t="shared" si="22"/>
        <v>0</v>
      </c>
      <c r="E342" s="10">
        <f t="shared" si="23"/>
        <v>0</v>
      </c>
    </row>
    <row r="343" spans="1:5" ht="14.25" customHeight="1" x14ac:dyDescent="0.3">
      <c r="A343" s="44">
        <v>331</v>
      </c>
      <c r="B343" s="12">
        <f t="shared" si="20"/>
        <v>0</v>
      </c>
      <c r="C343" s="12">
        <f t="shared" si="21"/>
        <v>0</v>
      </c>
      <c r="D343" s="12">
        <f t="shared" si="22"/>
        <v>0</v>
      </c>
      <c r="E343" s="10">
        <f t="shared" si="23"/>
        <v>0</v>
      </c>
    </row>
    <row r="344" spans="1:5" ht="14.25" customHeight="1" x14ac:dyDescent="0.3">
      <c r="A344" s="44">
        <v>332</v>
      </c>
      <c r="B344" s="12">
        <f t="shared" si="20"/>
        <v>0</v>
      </c>
      <c r="C344" s="12">
        <f t="shared" si="21"/>
        <v>0</v>
      </c>
      <c r="D344" s="12">
        <f t="shared" si="22"/>
        <v>0</v>
      </c>
      <c r="E344" s="10">
        <f t="shared" si="23"/>
        <v>0</v>
      </c>
    </row>
    <row r="345" spans="1:5" ht="14.25" customHeight="1" x14ac:dyDescent="0.3">
      <c r="A345" s="44">
        <v>333</v>
      </c>
      <c r="B345" s="12">
        <f t="shared" si="20"/>
        <v>0</v>
      </c>
      <c r="C345" s="12">
        <f t="shared" si="21"/>
        <v>0</v>
      </c>
      <c r="D345" s="12">
        <f t="shared" si="22"/>
        <v>0</v>
      </c>
      <c r="E345" s="10">
        <f t="shared" si="23"/>
        <v>0</v>
      </c>
    </row>
    <row r="346" spans="1:5" ht="14.25" customHeight="1" x14ac:dyDescent="0.3">
      <c r="A346" s="44">
        <v>334</v>
      </c>
      <c r="B346" s="12">
        <f t="shared" si="20"/>
        <v>0</v>
      </c>
      <c r="C346" s="12">
        <f t="shared" si="21"/>
        <v>0</v>
      </c>
      <c r="D346" s="12">
        <f t="shared" si="22"/>
        <v>0</v>
      </c>
      <c r="E346" s="10">
        <f t="shared" si="23"/>
        <v>0</v>
      </c>
    </row>
    <row r="347" spans="1:5" ht="14.25" customHeight="1" x14ac:dyDescent="0.3">
      <c r="A347" s="44">
        <v>335</v>
      </c>
      <c r="B347" s="12">
        <f t="shared" si="20"/>
        <v>0</v>
      </c>
      <c r="C347" s="12">
        <f t="shared" si="21"/>
        <v>0</v>
      </c>
      <c r="D347" s="12">
        <f t="shared" si="22"/>
        <v>0</v>
      </c>
      <c r="E347" s="10">
        <f t="shared" si="23"/>
        <v>0</v>
      </c>
    </row>
    <row r="348" spans="1:5" ht="14.25" customHeight="1" x14ac:dyDescent="0.3">
      <c r="A348" s="44">
        <v>336</v>
      </c>
      <c r="B348" s="12">
        <f t="shared" si="20"/>
        <v>0</v>
      </c>
      <c r="C348" s="12">
        <f t="shared" si="21"/>
        <v>0</v>
      </c>
      <c r="D348" s="12">
        <f t="shared" si="22"/>
        <v>0</v>
      </c>
      <c r="E348" s="10">
        <f t="shared" si="23"/>
        <v>0</v>
      </c>
    </row>
    <row r="349" spans="1:5" ht="14.25" customHeight="1" x14ac:dyDescent="0.3">
      <c r="A349" s="44">
        <v>337</v>
      </c>
      <c r="B349" s="12">
        <f t="shared" si="20"/>
        <v>0</v>
      </c>
      <c r="C349" s="12">
        <f t="shared" si="21"/>
        <v>0</v>
      </c>
      <c r="D349" s="12">
        <f t="shared" si="22"/>
        <v>0</v>
      </c>
      <c r="E349" s="10">
        <f t="shared" si="23"/>
        <v>0</v>
      </c>
    </row>
    <row r="350" spans="1:5" ht="14.25" customHeight="1" x14ac:dyDescent="0.3">
      <c r="A350" s="44">
        <v>338</v>
      </c>
      <c r="B350" s="12">
        <f t="shared" si="20"/>
        <v>0</v>
      </c>
      <c r="C350" s="12">
        <f t="shared" si="21"/>
        <v>0</v>
      </c>
      <c r="D350" s="12">
        <f t="shared" si="22"/>
        <v>0</v>
      </c>
      <c r="E350" s="10">
        <f t="shared" si="23"/>
        <v>0</v>
      </c>
    </row>
    <row r="351" spans="1:5" ht="14.25" customHeight="1" x14ac:dyDescent="0.3">
      <c r="A351" s="44">
        <v>339</v>
      </c>
      <c r="B351" s="12">
        <f t="shared" si="20"/>
        <v>0</v>
      </c>
      <c r="C351" s="12">
        <f t="shared" si="21"/>
        <v>0</v>
      </c>
      <c r="D351" s="12">
        <f t="shared" si="22"/>
        <v>0</v>
      </c>
      <c r="E351" s="10">
        <f t="shared" si="23"/>
        <v>0</v>
      </c>
    </row>
    <row r="352" spans="1:5" ht="14.25" customHeight="1" x14ac:dyDescent="0.3">
      <c r="A352" s="44">
        <v>340</v>
      </c>
      <c r="B352" s="12">
        <f t="shared" si="20"/>
        <v>0</v>
      </c>
      <c r="C352" s="12">
        <f t="shared" si="21"/>
        <v>0</v>
      </c>
      <c r="D352" s="12">
        <f t="shared" si="22"/>
        <v>0</v>
      </c>
      <c r="E352" s="10">
        <f t="shared" si="23"/>
        <v>0</v>
      </c>
    </row>
    <row r="353" spans="1:5" ht="14.25" customHeight="1" x14ac:dyDescent="0.3">
      <c r="A353" s="44">
        <v>341</v>
      </c>
      <c r="B353" s="12">
        <f t="shared" si="20"/>
        <v>0</v>
      </c>
      <c r="C353" s="12">
        <f t="shared" si="21"/>
        <v>0</v>
      </c>
      <c r="D353" s="12">
        <f t="shared" si="22"/>
        <v>0</v>
      </c>
      <c r="E353" s="10">
        <f t="shared" si="23"/>
        <v>0</v>
      </c>
    </row>
    <row r="354" spans="1:5" ht="14.25" customHeight="1" x14ac:dyDescent="0.3">
      <c r="A354" s="44">
        <v>342</v>
      </c>
      <c r="B354" s="12">
        <f t="shared" si="20"/>
        <v>0</v>
      </c>
      <c r="C354" s="12">
        <f t="shared" si="21"/>
        <v>0</v>
      </c>
      <c r="D354" s="12">
        <f t="shared" si="22"/>
        <v>0</v>
      </c>
      <c r="E354" s="10">
        <f t="shared" si="23"/>
        <v>0</v>
      </c>
    </row>
    <row r="355" spans="1:5" ht="14.25" customHeight="1" x14ac:dyDescent="0.3">
      <c r="A355" s="44">
        <v>343</v>
      </c>
      <c r="B355" s="12">
        <f t="shared" si="20"/>
        <v>0</v>
      </c>
      <c r="C355" s="12">
        <f t="shared" si="21"/>
        <v>0</v>
      </c>
      <c r="D355" s="12">
        <f t="shared" si="22"/>
        <v>0</v>
      </c>
      <c r="E355" s="10">
        <f t="shared" si="23"/>
        <v>0</v>
      </c>
    </row>
    <row r="356" spans="1:5" ht="14.25" customHeight="1" x14ac:dyDescent="0.3">
      <c r="A356" s="44">
        <v>344</v>
      </c>
      <c r="B356" s="12">
        <f t="shared" si="20"/>
        <v>0</v>
      </c>
      <c r="C356" s="12">
        <f t="shared" si="21"/>
        <v>0</v>
      </c>
      <c r="D356" s="12">
        <f t="shared" si="22"/>
        <v>0</v>
      </c>
      <c r="E356" s="10">
        <f t="shared" si="23"/>
        <v>0</v>
      </c>
    </row>
    <row r="357" spans="1:5" ht="14.25" customHeight="1" x14ac:dyDescent="0.3">
      <c r="A357" s="44">
        <v>345</v>
      </c>
      <c r="B357" s="12">
        <f t="shared" si="20"/>
        <v>0</v>
      </c>
      <c r="C357" s="12">
        <f t="shared" si="21"/>
        <v>0</v>
      </c>
      <c r="D357" s="12">
        <f t="shared" si="22"/>
        <v>0</v>
      </c>
      <c r="E357" s="10">
        <f t="shared" si="23"/>
        <v>0</v>
      </c>
    </row>
    <row r="358" spans="1:5" ht="14.25" customHeight="1" x14ac:dyDescent="0.3">
      <c r="A358" s="44">
        <v>346</v>
      </c>
      <c r="B358" s="12">
        <f t="shared" si="20"/>
        <v>0</v>
      </c>
      <c r="C358" s="12">
        <f t="shared" si="21"/>
        <v>0</v>
      </c>
      <c r="D358" s="12">
        <f t="shared" si="22"/>
        <v>0</v>
      </c>
      <c r="E358" s="10">
        <f t="shared" si="23"/>
        <v>0</v>
      </c>
    </row>
    <row r="359" spans="1:5" ht="14.25" customHeight="1" x14ac:dyDescent="0.3">
      <c r="A359" s="44">
        <v>347</v>
      </c>
      <c r="B359" s="12">
        <f t="shared" si="20"/>
        <v>0</v>
      </c>
      <c r="C359" s="12">
        <f t="shared" si="21"/>
        <v>0</v>
      </c>
      <c r="D359" s="12">
        <f t="shared" si="22"/>
        <v>0</v>
      </c>
      <c r="E359" s="10">
        <f t="shared" si="23"/>
        <v>0</v>
      </c>
    </row>
    <row r="360" spans="1:5" ht="14.25" customHeight="1" x14ac:dyDescent="0.3">
      <c r="A360" s="44">
        <v>348</v>
      </c>
      <c r="B360" s="12">
        <f t="shared" si="20"/>
        <v>0</v>
      </c>
      <c r="C360" s="12">
        <f t="shared" si="21"/>
        <v>0</v>
      </c>
      <c r="D360" s="12">
        <f t="shared" si="22"/>
        <v>0</v>
      </c>
      <c r="E360" s="10">
        <f t="shared" si="23"/>
        <v>0</v>
      </c>
    </row>
    <row r="361" spans="1:5" ht="14.25" customHeight="1" x14ac:dyDescent="0.3">
      <c r="A361" s="44">
        <v>349</v>
      </c>
      <c r="B361" s="12">
        <f t="shared" si="20"/>
        <v>0</v>
      </c>
      <c r="C361" s="12">
        <f t="shared" si="21"/>
        <v>0</v>
      </c>
      <c r="D361" s="12">
        <f t="shared" si="22"/>
        <v>0</v>
      </c>
      <c r="E361" s="10">
        <f t="shared" si="23"/>
        <v>0</v>
      </c>
    </row>
    <row r="362" spans="1:5" ht="14.25" customHeight="1" x14ac:dyDescent="0.3">
      <c r="A362" s="44">
        <v>350</v>
      </c>
      <c r="B362" s="12">
        <f t="shared" si="20"/>
        <v>0</v>
      </c>
      <c r="C362" s="12">
        <f t="shared" si="21"/>
        <v>0</v>
      </c>
      <c r="D362" s="12">
        <f t="shared" si="22"/>
        <v>0</v>
      </c>
      <c r="E362" s="10">
        <f t="shared" si="23"/>
        <v>0</v>
      </c>
    </row>
    <row r="363" spans="1:5" ht="14.25" customHeight="1" x14ac:dyDescent="0.3">
      <c r="A363" s="44">
        <v>351</v>
      </c>
      <c r="B363" s="12">
        <f t="shared" si="20"/>
        <v>0</v>
      </c>
      <c r="C363" s="12">
        <f t="shared" si="21"/>
        <v>0</v>
      </c>
      <c r="D363" s="12">
        <f t="shared" si="22"/>
        <v>0</v>
      </c>
      <c r="E363" s="10">
        <f t="shared" si="23"/>
        <v>0</v>
      </c>
    </row>
    <row r="364" spans="1:5" ht="14.25" customHeight="1" x14ac:dyDescent="0.3">
      <c r="A364" s="44">
        <v>352</v>
      </c>
      <c r="B364" s="12">
        <f t="shared" si="20"/>
        <v>0</v>
      </c>
      <c r="C364" s="12">
        <f t="shared" si="21"/>
        <v>0</v>
      </c>
      <c r="D364" s="12">
        <f t="shared" si="22"/>
        <v>0</v>
      </c>
      <c r="E364" s="10">
        <f t="shared" si="23"/>
        <v>0</v>
      </c>
    </row>
    <row r="365" spans="1:5" ht="14.25" customHeight="1" x14ac:dyDescent="0.3">
      <c r="A365" s="44">
        <v>353</v>
      </c>
      <c r="B365" s="12">
        <f t="shared" si="20"/>
        <v>0</v>
      </c>
      <c r="C365" s="12">
        <f t="shared" si="21"/>
        <v>0</v>
      </c>
      <c r="D365" s="12">
        <f t="shared" si="22"/>
        <v>0</v>
      </c>
      <c r="E365" s="10">
        <f t="shared" si="23"/>
        <v>0</v>
      </c>
    </row>
    <row r="366" spans="1:5" ht="14.25" customHeight="1" x14ac:dyDescent="0.3">
      <c r="A366" s="44">
        <v>354</v>
      </c>
      <c r="B366" s="12">
        <f t="shared" si="20"/>
        <v>0</v>
      </c>
      <c r="C366" s="12">
        <f t="shared" si="21"/>
        <v>0</v>
      </c>
      <c r="D366" s="12">
        <f t="shared" si="22"/>
        <v>0</v>
      </c>
      <c r="E366" s="10">
        <f t="shared" si="23"/>
        <v>0</v>
      </c>
    </row>
    <row r="367" spans="1:5" ht="14.25" customHeight="1" x14ac:dyDescent="0.3">
      <c r="A367" s="44">
        <v>355</v>
      </c>
      <c r="B367" s="12">
        <f t="shared" si="20"/>
        <v>0</v>
      </c>
      <c r="C367" s="12">
        <f t="shared" si="21"/>
        <v>0</v>
      </c>
      <c r="D367" s="12">
        <f t="shared" si="22"/>
        <v>0</v>
      </c>
      <c r="E367" s="10">
        <f t="shared" si="23"/>
        <v>0</v>
      </c>
    </row>
    <row r="368" spans="1:5" ht="14.25" customHeight="1" x14ac:dyDescent="0.3">
      <c r="A368" s="44">
        <v>356</v>
      </c>
      <c r="B368" s="12">
        <f t="shared" si="20"/>
        <v>0</v>
      </c>
      <c r="C368" s="12">
        <f t="shared" si="21"/>
        <v>0</v>
      </c>
      <c r="D368" s="12">
        <f t="shared" si="22"/>
        <v>0</v>
      </c>
      <c r="E368" s="10">
        <f t="shared" si="23"/>
        <v>0</v>
      </c>
    </row>
    <row r="369" spans="1:5" ht="14.25" customHeight="1" x14ac:dyDescent="0.3">
      <c r="A369" s="44">
        <v>357</v>
      </c>
      <c r="B369" s="12">
        <f t="shared" si="20"/>
        <v>0</v>
      </c>
      <c r="C369" s="12">
        <f t="shared" si="21"/>
        <v>0</v>
      </c>
      <c r="D369" s="12">
        <f t="shared" si="22"/>
        <v>0</v>
      </c>
      <c r="E369" s="10">
        <f t="shared" si="23"/>
        <v>0</v>
      </c>
    </row>
    <row r="370" spans="1:5" ht="14.25" customHeight="1" x14ac:dyDescent="0.3">
      <c r="A370" s="44">
        <v>358</v>
      </c>
      <c r="B370" s="12">
        <f t="shared" si="20"/>
        <v>0</v>
      </c>
      <c r="C370" s="12">
        <f t="shared" si="21"/>
        <v>0</v>
      </c>
      <c r="D370" s="12">
        <f t="shared" si="22"/>
        <v>0</v>
      </c>
      <c r="E370" s="10">
        <f t="shared" si="23"/>
        <v>0</v>
      </c>
    </row>
    <row r="371" spans="1:5" ht="14.25" customHeight="1" x14ac:dyDescent="0.3">
      <c r="A371" s="44">
        <v>359</v>
      </c>
      <c r="B371" s="12">
        <f t="shared" si="20"/>
        <v>0</v>
      </c>
      <c r="C371" s="12">
        <f t="shared" si="21"/>
        <v>0</v>
      </c>
      <c r="D371" s="12">
        <f t="shared" si="22"/>
        <v>0</v>
      </c>
      <c r="E371" s="10">
        <f t="shared" si="23"/>
        <v>0</v>
      </c>
    </row>
    <row r="372" spans="1:5" ht="14.25" customHeight="1" x14ac:dyDescent="0.3">
      <c r="A372" s="44">
        <v>360</v>
      </c>
      <c r="B372" s="12">
        <f t="shared" si="20"/>
        <v>0</v>
      </c>
      <c r="C372" s="12">
        <f t="shared" si="21"/>
        <v>0</v>
      </c>
      <c r="D372" s="12">
        <f t="shared" si="22"/>
        <v>0</v>
      </c>
      <c r="E372" s="10">
        <f t="shared" si="23"/>
        <v>0</v>
      </c>
    </row>
    <row r="373" spans="1:5" ht="14.25" customHeight="1" x14ac:dyDescent="0.3"/>
    <row r="374" spans="1:5" ht="14.25" customHeight="1" x14ac:dyDescent="0.3"/>
    <row r="375" spans="1:5" ht="14.25" customHeight="1" x14ac:dyDescent="0.3"/>
    <row r="376" spans="1:5" ht="14.25" customHeight="1" x14ac:dyDescent="0.3"/>
    <row r="377" spans="1:5" ht="14.25" customHeight="1" x14ac:dyDescent="0.3"/>
    <row r="378" spans="1:5" ht="14.25" customHeight="1" x14ac:dyDescent="0.3"/>
    <row r="379" spans="1:5" ht="14.25" customHeight="1" x14ac:dyDescent="0.3"/>
    <row r="380" spans="1:5" ht="14.25" customHeight="1" x14ac:dyDescent="0.3"/>
    <row r="381" spans="1:5" ht="14.25" customHeight="1" x14ac:dyDescent="0.3"/>
    <row r="382" spans="1:5" ht="14.25" customHeight="1" x14ac:dyDescent="0.3"/>
    <row r="383" spans="1:5" ht="14.25" customHeight="1" x14ac:dyDescent="0.3"/>
    <row r="384" spans="1:5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conditionalFormatting sqref="A13:E372">
    <cfRule type="expression" dxfId="14" priority="13" stopIfTrue="1">
      <formula>ROUND($E12,5)=0</formula>
    </cfRule>
    <cfRule type="expression" dxfId="13" priority="14" stopIfTrue="1">
      <formula>$A13&gt;($B$6*$B$8)</formula>
    </cfRule>
    <cfRule type="expression" dxfId="12" priority="15" stopIfTrue="1">
      <formula>ROUND($E13,5)=0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D51C-5013-45ED-B9E0-391AA2C27CCD}">
  <dimension ref="A1:M1000"/>
  <sheetViews>
    <sheetView zoomScaleNormal="100" workbookViewId="0">
      <selection activeCell="B7" sqref="B7"/>
    </sheetView>
  </sheetViews>
  <sheetFormatPr defaultColWidth="14.44140625" defaultRowHeight="15" customHeight="1" x14ac:dyDescent="0.3"/>
  <cols>
    <col min="1" max="1" width="21.109375" customWidth="1"/>
    <col min="2" max="3" width="13.109375" bestFit="1" customWidth="1"/>
    <col min="4" max="4" width="22.5546875" customWidth="1"/>
    <col min="5" max="5" width="17" customWidth="1"/>
    <col min="6" max="6" width="12.6640625" customWidth="1"/>
    <col min="7" max="8" width="8.6640625" customWidth="1"/>
    <col min="12" max="12" width="15.5546875" bestFit="1" customWidth="1"/>
  </cols>
  <sheetData>
    <row r="1" spans="1:13" ht="14.25" customHeight="1" thickBot="1" x14ac:dyDescent="0.35">
      <c r="A1" s="65" t="s">
        <v>0</v>
      </c>
      <c r="B1" s="66"/>
      <c r="F1" s="1"/>
    </row>
    <row r="2" spans="1:13" ht="14.25" customHeight="1" x14ac:dyDescent="0.3">
      <c r="A2" s="2" t="s">
        <v>1</v>
      </c>
      <c r="B2" s="3">
        <v>10000</v>
      </c>
      <c r="D2" s="4"/>
      <c r="E2" s="5"/>
      <c r="F2" s="1"/>
    </row>
    <row r="3" spans="1:13" ht="14.25" customHeight="1" x14ac:dyDescent="0.3">
      <c r="A3" s="1" t="s">
        <v>3</v>
      </c>
      <c r="B3" s="8">
        <v>0</v>
      </c>
      <c r="D3" s="4" t="s">
        <v>4</v>
      </c>
      <c r="E3" s="9">
        <f>+SUM(C13:C60)</f>
        <v>1944.8203394884192</v>
      </c>
      <c r="F3" s="10"/>
      <c r="M3" s="64"/>
    </row>
    <row r="4" spans="1:13" ht="14.25" customHeight="1" x14ac:dyDescent="0.3">
      <c r="A4" s="1" t="s">
        <v>6</v>
      </c>
      <c r="B4" s="10">
        <f>+B2-B3</f>
        <v>10000</v>
      </c>
      <c r="D4" s="4" t="s">
        <v>7</v>
      </c>
      <c r="E4" s="9">
        <f>+SUM(D13:D60)</f>
        <v>9999.9999999999982</v>
      </c>
      <c r="F4" s="9"/>
    </row>
    <row r="5" spans="1:13" ht="14.25" customHeight="1" x14ac:dyDescent="0.3">
      <c r="A5" s="1" t="s">
        <v>9</v>
      </c>
      <c r="B5" s="24">
        <f>+C5*B2</f>
        <v>0</v>
      </c>
      <c r="C5" s="25">
        <v>0</v>
      </c>
      <c r="D5" s="4"/>
      <c r="E5" s="9"/>
    </row>
    <row r="6" spans="1:13" ht="14.25" customHeight="1" x14ac:dyDescent="0.3">
      <c r="A6" s="1" t="s">
        <v>11</v>
      </c>
      <c r="B6" s="27">
        <v>4</v>
      </c>
      <c r="C6" s="10"/>
      <c r="D6" s="4" t="s">
        <v>12</v>
      </c>
      <c r="E6" s="9">
        <f>SUM(E4:E5)</f>
        <v>9999.9999999999982</v>
      </c>
    </row>
    <row r="7" spans="1:13" ht="14.25" customHeight="1" x14ac:dyDescent="0.3">
      <c r="A7" s="1" t="s">
        <v>14</v>
      </c>
      <c r="B7" s="30">
        <v>0.09</v>
      </c>
      <c r="D7" s="36" t="s">
        <v>15</v>
      </c>
      <c r="E7" s="37">
        <f>SUM(E3:E5)</f>
        <v>11944.820339488417</v>
      </c>
    </row>
    <row r="8" spans="1:13" ht="14.25" customHeight="1" x14ac:dyDescent="0.3">
      <c r="A8" s="1" t="s">
        <v>16</v>
      </c>
      <c r="B8" s="35">
        <v>12</v>
      </c>
      <c r="D8" s="4"/>
      <c r="E8" s="10"/>
      <c r="F8" s="10"/>
      <c r="L8" s="9"/>
    </row>
    <row r="9" spans="1:13" ht="14.25" customHeight="1" x14ac:dyDescent="0.3">
      <c r="A9" s="1" t="s">
        <v>19</v>
      </c>
      <c r="B9" s="62">
        <f>-PMT(B7/B8,(B6*B8),B4,-B5)</f>
        <v>248.85042373934209</v>
      </c>
      <c r="D9" s="4"/>
      <c r="E9" s="10"/>
      <c r="L9" s="9"/>
    </row>
    <row r="10" spans="1:13" ht="14.25" customHeight="1" thickBot="1" x14ac:dyDescent="0.35">
      <c r="B10" s="16"/>
      <c r="C10" s="16"/>
      <c r="L10" s="9"/>
    </row>
    <row r="11" spans="1:13" ht="14.25" customHeight="1" thickBot="1" x14ac:dyDescent="0.35">
      <c r="A11" s="41" t="s">
        <v>23</v>
      </c>
      <c r="B11" s="41" t="s">
        <v>19</v>
      </c>
      <c r="C11" s="41" t="s">
        <v>24</v>
      </c>
      <c r="D11" s="41" t="s">
        <v>25</v>
      </c>
      <c r="E11" s="41" t="s">
        <v>27</v>
      </c>
    </row>
    <row r="12" spans="1:13" ht="14.25" customHeight="1" x14ac:dyDescent="0.3">
      <c r="A12" s="44">
        <v>0</v>
      </c>
      <c r="B12" s="10"/>
      <c r="C12" s="10"/>
      <c r="D12" s="10"/>
      <c r="E12" s="10">
        <f>B4</f>
        <v>10000</v>
      </c>
    </row>
    <row r="13" spans="1:13" ht="14.25" customHeight="1" x14ac:dyDescent="0.3">
      <c r="A13" s="44">
        <v>1</v>
      </c>
      <c r="B13" s="10">
        <f t="shared" ref="B13:B76" si="0">IF($B$9&lt;=E12,$B$9,E12+E12*$B$7/$B$8)</f>
        <v>248.85042373934209</v>
      </c>
      <c r="C13" s="10">
        <f t="shared" ref="C13:C76" si="1">IF(B13&gt;0,$B$7/$B$8*E12,0)</f>
        <v>75</v>
      </c>
      <c r="D13" s="10">
        <f t="shared" ref="D13:D76" si="2">IF(B13&gt;0,MIN(B13-C13,E12),0)</f>
        <v>173.85042373934209</v>
      </c>
      <c r="E13" s="10">
        <f t="shared" ref="E13:E76" si="3">IF(ROUND(E12,5)&gt;0,E12-D13,0)</f>
        <v>9826.1495762606573</v>
      </c>
    </row>
    <row r="14" spans="1:13" ht="14.25" customHeight="1" x14ac:dyDescent="0.3">
      <c r="A14" s="44">
        <v>2</v>
      </c>
      <c r="B14" s="10">
        <f t="shared" si="0"/>
        <v>248.85042373934209</v>
      </c>
      <c r="C14" s="10">
        <f t="shared" si="1"/>
        <v>73.696121821954932</v>
      </c>
      <c r="D14" s="10">
        <f t="shared" si="2"/>
        <v>175.15430191738716</v>
      </c>
      <c r="E14" s="10">
        <f t="shared" si="3"/>
        <v>9650.9952743432696</v>
      </c>
    </row>
    <row r="15" spans="1:13" ht="14.25" customHeight="1" x14ac:dyDescent="0.3">
      <c r="A15" s="44">
        <v>3</v>
      </c>
      <c r="B15" s="10">
        <f t="shared" si="0"/>
        <v>248.85042373934209</v>
      </c>
      <c r="C15" s="10">
        <f t="shared" si="1"/>
        <v>72.382464557574522</v>
      </c>
      <c r="D15" s="10">
        <f t="shared" si="2"/>
        <v>176.46795918176758</v>
      </c>
      <c r="E15" s="10">
        <f t="shared" si="3"/>
        <v>9474.527315161502</v>
      </c>
    </row>
    <row r="16" spans="1:13" ht="14.25" customHeight="1" x14ac:dyDescent="0.3">
      <c r="A16" s="44">
        <v>4</v>
      </c>
      <c r="B16" s="10">
        <f t="shared" si="0"/>
        <v>248.85042373934209</v>
      </c>
      <c r="C16" s="10">
        <f t="shared" si="1"/>
        <v>71.058954863711264</v>
      </c>
      <c r="D16" s="10">
        <f t="shared" si="2"/>
        <v>177.79146887563081</v>
      </c>
      <c r="E16" s="10">
        <f t="shared" si="3"/>
        <v>9296.735846285872</v>
      </c>
    </row>
    <row r="17" spans="1:11" ht="14.25" customHeight="1" x14ac:dyDescent="0.3">
      <c r="A17" s="44">
        <v>5</v>
      </c>
      <c r="B17" s="10">
        <f t="shared" si="0"/>
        <v>248.85042373934209</v>
      </c>
      <c r="C17" s="10">
        <f t="shared" si="1"/>
        <v>69.725518847144031</v>
      </c>
      <c r="D17" s="10">
        <f t="shared" si="2"/>
        <v>179.12490489219806</v>
      </c>
      <c r="E17" s="10">
        <f t="shared" si="3"/>
        <v>9117.6109413936738</v>
      </c>
      <c r="K17" s="63"/>
    </row>
    <row r="18" spans="1:11" ht="14.25" customHeight="1" x14ac:dyDescent="0.3">
      <c r="A18" s="44">
        <v>6</v>
      </c>
      <c r="B18" s="10">
        <f t="shared" si="0"/>
        <v>248.85042373934209</v>
      </c>
      <c r="C18" s="10">
        <f t="shared" si="1"/>
        <v>68.382082060452547</v>
      </c>
      <c r="D18" s="10">
        <f t="shared" si="2"/>
        <v>180.46834167888954</v>
      </c>
      <c r="E18" s="10">
        <f t="shared" si="3"/>
        <v>8937.1425997147835</v>
      </c>
    </row>
    <row r="19" spans="1:11" ht="14.25" customHeight="1" x14ac:dyDescent="0.3">
      <c r="A19" s="44">
        <v>7</v>
      </c>
      <c r="B19" s="10">
        <f t="shared" si="0"/>
        <v>248.85042373934209</v>
      </c>
      <c r="C19" s="10">
        <f t="shared" si="1"/>
        <v>67.028569497860872</v>
      </c>
      <c r="D19" s="10">
        <f t="shared" si="2"/>
        <v>181.82185424148122</v>
      </c>
      <c r="E19" s="10">
        <f t="shared" si="3"/>
        <v>8755.3207454733019</v>
      </c>
    </row>
    <row r="20" spans="1:11" ht="14.25" customHeight="1" x14ac:dyDescent="0.3">
      <c r="A20" s="44">
        <v>8</v>
      </c>
      <c r="B20" s="10">
        <f t="shared" si="0"/>
        <v>248.85042373934209</v>
      </c>
      <c r="C20" s="10">
        <f t="shared" si="1"/>
        <v>65.664905591049759</v>
      </c>
      <c r="D20" s="10">
        <f t="shared" si="2"/>
        <v>183.18551814829232</v>
      </c>
      <c r="E20" s="10">
        <f t="shared" si="3"/>
        <v>8572.1352273250104</v>
      </c>
    </row>
    <row r="21" spans="1:11" ht="14.25" customHeight="1" x14ac:dyDescent="0.3">
      <c r="A21" s="44">
        <v>9</v>
      </c>
      <c r="B21" s="10">
        <f t="shared" si="0"/>
        <v>248.85042373934209</v>
      </c>
      <c r="C21" s="10">
        <f t="shared" si="1"/>
        <v>64.291014204937582</v>
      </c>
      <c r="D21" s="10">
        <f t="shared" si="2"/>
        <v>184.55940953440449</v>
      </c>
      <c r="E21" s="10">
        <f t="shared" si="3"/>
        <v>8387.5758177906064</v>
      </c>
    </row>
    <row r="22" spans="1:11" ht="14.25" customHeight="1" x14ac:dyDescent="0.3">
      <c r="A22" s="44">
        <v>10</v>
      </c>
      <c r="B22" s="10">
        <f t="shared" si="0"/>
        <v>248.85042373934209</v>
      </c>
      <c r="C22" s="10">
        <f t="shared" si="1"/>
        <v>62.906818633429545</v>
      </c>
      <c r="D22" s="10">
        <f t="shared" si="2"/>
        <v>185.94360510591255</v>
      </c>
      <c r="E22" s="10">
        <f t="shared" si="3"/>
        <v>8201.6322126846935</v>
      </c>
    </row>
    <row r="23" spans="1:11" ht="14.25" customHeight="1" x14ac:dyDescent="0.3">
      <c r="A23" s="44">
        <v>11</v>
      </c>
      <c r="B23" s="10">
        <f t="shared" si="0"/>
        <v>248.85042373934209</v>
      </c>
      <c r="C23" s="10">
        <f t="shared" si="1"/>
        <v>61.512241595135201</v>
      </c>
      <c r="D23" s="10">
        <f t="shared" si="2"/>
        <v>187.33818214420688</v>
      </c>
      <c r="E23" s="10">
        <f t="shared" si="3"/>
        <v>8014.2940305404863</v>
      </c>
    </row>
    <row r="24" spans="1:11" ht="14.25" customHeight="1" x14ac:dyDescent="0.3">
      <c r="A24" s="44">
        <v>12</v>
      </c>
      <c r="B24" s="10">
        <f t="shared" si="0"/>
        <v>248.85042373934209</v>
      </c>
      <c r="C24" s="10">
        <f t="shared" si="1"/>
        <v>60.107205229053648</v>
      </c>
      <c r="D24" s="10">
        <f t="shared" si="2"/>
        <v>188.74321851028844</v>
      </c>
      <c r="E24" s="10">
        <f t="shared" si="3"/>
        <v>7825.5508120301984</v>
      </c>
    </row>
    <row r="25" spans="1:11" ht="14.25" customHeight="1" x14ac:dyDescent="0.3">
      <c r="A25" s="44">
        <v>13</v>
      </c>
      <c r="B25" s="10">
        <f t="shared" si="0"/>
        <v>248.85042373934209</v>
      </c>
      <c r="C25" s="10">
        <f t="shared" si="1"/>
        <v>58.691631090226487</v>
      </c>
      <c r="D25" s="10">
        <f t="shared" si="2"/>
        <v>190.15879264911561</v>
      </c>
      <c r="E25" s="10">
        <f t="shared" si="3"/>
        <v>7635.3920193810827</v>
      </c>
    </row>
    <row r="26" spans="1:11" ht="14.25" customHeight="1" x14ac:dyDescent="0.3">
      <c r="A26" s="44">
        <v>14</v>
      </c>
      <c r="B26" s="10">
        <f t="shared" si="0"/>
        <v>248.85042373934209</v>
      </c>
      <c r="C26" s="10">
        <f t="shared" si="1"/>
        <v>57.26544014535812</v>
      </c>
      <c r="D26" s="10">
        <f t="shared" si="2"/>
        <v>191.58498359398396</v>
      </c>
      <c r="E26" s="10">
        <f t="shared" si="3"/>
        <v>7443.8070357870984</v>
      </c>
    </row>
    <row r="27" spans="1:11" ht="14.25" customHeight="1" x14ac:dyDescent="0.3">
      <c r="A27" s="44">
        <v>15</v>
      </c>
      <c r="B27" s="10">
        <f t="shared" si="0"/>
        <v>248.85042373934209</v>
      </c>
      <c r="C27" s="10">
        <f t="shared" si="1"/>
        <v>55.828552768403235</v>
      </c>
      <c r="D27" s="10">
        <f t="shared" si="2"/>
        <v>193.02187097093886</v>
      </c>
      <c r="E27" s="10">
        <f t="shared" si="3"/>
        <v>7250.7851648161595</v>
      </c>
    </row>
    <row r="28" spans="1:11" ht="14.25" customHeight="1" x14ac:dyDescent="0.3">
      <c r="A28" s="44">
        <v>16</v>
      </c>
      <c r="B28" s="10">
        <f t="shared" si="0"/>
        <v>248.85042373934209</v>
      </c>
      <c r="C28" s="10">
        <f t="shared" si="1"/>
        <v>54.380888736121193</v>
      </c>
      <c r="D28" s="10">
        <f t="shared" si="2"/>
        <v>194.4695350032209</v>
      </c>
      <c r="E28" s="10">
        <f t="shared" si="3"/>
        <v>7056.3156298129388</v>
      </c>
    </row>
    <row r="29" spans="1:11" ht="14.25" customHeight="1" x14ac:dyDescent="0.3">
      <c r="A29" s="44">
        <v>17</v>
      </c>
      <c r="B29" s="10">
        <f t="shared" si="0"/>
        <v>248.85042373934209</v>
      </c>
      <c r="C29" s="10">
        <f t="shared" si="1"/>
        <v>52.922367223597043</v>
      </c>
      <c r="D29" s="10">
        <f t="shared" si="2"/>
        <v>195.92805651574506</v>
      </c>
      <c r="E29" s="10">
        <f t="shared" si="3"/>
        <v>6860.3875732971937</v>
      </c>
    </row>
    <row r="30" spans="1:11" ht="14.25" customHeight="1" x14ac:dyDescent="0.3">
      <c r="A30" s="44">
        <v>18</v>
      </c>
      <c r="B30" s="10">
        <f t="shared" si="0"/>
        <v>248.85042373934209</v>
      </c>
      <c r="C30" s="10">
        <f t="shared" si="1"/>
        <v>51.45290679972895</v>
      </c>
      <c r="D30" s="10">
        <f t="shared" si="2"/>
        <v>197.39751693961313</v>
      </c>
      <c r="E30" s="10">
        <f t="shared" si="3"/>
        <v>6662.9900563575802</v>
      </c>
    </row>
    <row r="31" spans="1:11" ht="14.25" customHeight="1" x14ac:dyDescent="0.3">
      <c r="A31" s="44">
        <v>19</v>
      </c>
      <c r="B31" s="10">
        <f t="shared" si="0"/>
        <v>248.85042373934209</v>
      </c>
      <c r="C31" s="10">
        <f t="shared" si="1"/>
        <v>49.972425422681852</v>
      </c>
      <c r="D31" s="10">
        <f t="shared" si="2"/>
        <v>198.87799831666024</v>
      </c>
      <c r="E31" s="10">
        <f t="shared" si="3"/>
        <v>6464.1120580409197</v>
      </c>
    </row>
    <row r="32" spans="1:11" ht="14.25" customHeight="1" x14ac:dyDescent="0.3">
      <c r="A32" s="44">
        <v>20</v>
      </c>
      <c r="B32" s="10">
        <f t="shared" si="0"/>
        <v>248.85042373934209</v>
      </c>
      <c r="C32" s="10">
        <f t="shared" si="1"/>
        <v>48.480840435306895</v>
      </c>
      <c r="D32" s="10">
        <f t="shared" si="2"/>
        <v>200.36958330403519</v>
      </c>
      <c r="E32" s="10">
        <f t="shared" si="3"/>
        <v>6263.7424747368841</v>
      </c>
    </row>
    <row r="33" spans="1:5" ht="14.25" customHeight="1" x14ac:dyDescent="0.3">
      <c r="A33" s="44">
        <v>21</v>
      </c>
      <c r="B33" s="10">
        <f t="shared" si="0"/>
        <v>248.85042373934209</v>
      </c>
      <c r="C33" s="10">
        <f t="shared" si="1"/>
        <v>46.97806856052663</v>
      </c>
      <c r="D33" s="10">
        <f t="shared" si="2"/>
        <v>201.87235517881547</v>
      </c>
      <c r="E33" s="10">
        <f t="shared" si="3"/>
        <v>6061.8701195580688</v>
      </c>
    </row>
    <row r="34" spans="1:5" ht="14.25" customHeight="1" x14ac:dyDescent="0.3">
      <c r="A34" s="44">
        <v>22</v>
      </c>
      <c r="B34" s="10">
        <f t="shared" si="0"/>
        <v>248.85042373934209</v>
      </c>
      <c r="C34" s="10">
        <f t="shared" si="1"/>
        <v>45.464025896685513</v>
      </c>
      <c r="D34" s="10">
        <f t="shared" si="2"/>
        <v>203.38639784265658</v>
      </c>
      <c r="E34" s="10">
        <f t="shared" si="3"/>
        <v>5858.4837217154127</v>
      </c>
    </row>
    <row r="35" spans="1:5" ht="14.25" customHeight="1" x14ac:dyDescent="0.3">
      <c r="A35" s="44">
        <v>23</v>
      </c>
      <c r="B35" s="10">
        <f t="shared" si="0"/>
        <v>248.85042373934209</v>
      </c>
      <c r="C35" s="10">
        <f t="shared" si="1"/>
        <v>43.938627912865591</v>
      </c>
      <c r="D35" s="10">
        <f t="shared" si="2"/>
        <v>204.91179582647649</v>
      </c>
      <c r="E35" s="10">
        <f t="shared" si="3"/>
        <v>5653.5719258889358</v>
      </c>
    </row>
    <row r="36" spans="1:5" ht="14.25" customHeight="1" x14ac:dyDescent="0.3">
      <c r="A36" s="44">
        <v>24</v>
      </c>
      <c r="B36" s="10">
        <f t="shared" si="0"/>
        <v>248.85042373934209</v>
      </c>
      <c r="C36" s="10">
        <f t="shared" si="1"/>
        <v>42.401789444167015</v>
      </c>
      <c r="D36" s="10">
        <f t="shared" si="2"/>
        <v>206.44863429517508</v>
      </c>
      <c r="E36" s="10">
        <f t="shared" si="3"/>
        <v>5447.1232915937608</v>
      </c>
    </row>
    <row r="37" spans="1:5" ht="14.25" customHeight="1" x14ac:dyDescent="0.3">
      <c r="A37" s="44">
        <v>25</v>
      </c>
      <c r="B37" s="10">
        <f t="shared" si="0"/>
        <v>248.85042373934209</v>
      </c>
      <c r="C37" s="10">
        <f t="shared" si="1"/>
        <v>40.853424686953204</v>
      </c>
      <c r="D37" s="10">
        <f t="shared" si="2"/>
        <v>207.9969990523889</v>
      </c>
      <c r="E37" s="10">
        <f t="shared" si="3"/>
        <v>5239.1262925413721</v>
      </c>
    </row>
    <row r="38" spans="1:5" ht="14.25" customHeight="1" x14ac:dyDescent="0.3">
      <c r="A38" s="44">
        <v>26</v>
      </c>
      <c r="B38" s="10">
        <f t="shared" si="0"/>
        <v>248.85042373934209</v>
      </c>
      <c r="C38" s="10">
        <f t="shared" si="1"/>
        <v>39.293447194060292</v>
      </c>
      <c r="D38" s="10">
        <f t="shared" si="2"/>
        <v>209.5569765452818</v>
      </c>
      <c r="E38" s="10">
        <f t="shared" si="3"/>
        <v>5029.5693159960902</v>
      </c>
    </row>
    <row r="39" spans="1:5" ht="14.25" customHeight="1" x14ac:dyDescent="0.3">
      <c r="A39" s="44">
        <v>27</v>
      </c>
      <c r="B39" s="10">
        <f t="shared" si="0"/>
        <v>248.85042373934209</v>
      </c>
      <c r="C39" s="10">
        <f t="shared" si="1"/>
        <v>37.721769869970672</v>
      </c>
      <c r="D39" s="10">
        <f t="shared" si="2"/>
        <v>211.12865386937142</v>
      </c>
      <c r="E39" s="10">
        <f t="shared" si="3"/>
        <v>4818.440662126719</v>
      </c>
    </row>
    <row r="40" spans="1:5" ht="14.25" customHeight="1" x14ac:dyDescent="0.3">
      <c r="A40" s="44">
        <v>28</v>
      </c>
      <c r="B40" s="10">
        <f t="shared" si="0"/>
        <v>248.85042373934209</v>
      </c>
      <c r="C40" s="10">
        <f t="shared" si="1"/>
        <v>36.13830496595039</v>
      </c>
      <c r="D40" s="10">
        <f t="shared" si="2"/>
        <v>212.71211877339169</v>
      </c>
      <c r="E40" s="10">
        <f t="shared" si="3"/>
        <v>4605.728543353327</v>
      </c>
    </row>
    <row r="41" spans="1:5" ht="14.25" customHeight="1" x14ac:dyDescent="0.3">
      <c r="A41" s="44">
        <v>29</v>
      </c>
      <c r="B41" s="10">
        <f t="shared" si="0"/>
        <v>248.85042373934209</v>
      </c>
      <c r="C41" s="10">
        <f t="shared" si="1"/>
        <v>34.542964075149953</v>
      </c>
      <c r="D41" s="10">
        <f t="shared" si="2"/>
        <v>214.30745966419215</v>
      </c>
      <c r="E41" s="10">
        <f t="shared" si="3"/>
        <v>4391.4210836891352</v>
      </c>
    </row>
    <row r="42" spans="1:5" ht="14.25" customHeight="1" x14ac:dyDescent="0.3">
      <c r="A42" s="44">
        <v>30</v>
      </c>
      <c r="B42" s="10">
        <f t="shared" si="0"/>
        <v>248.85042373934209</v>
      </c>
      <c r="C42" s="10">
        <f t="shared" si="1"/>
        <v>32.935658127668511</v>
      </c>
      <c r="D42" s="10">
        <f t="shared" si="2"/>
        <v>215.91476561167357</v>
      </c>
      <c r="E42" s="10">
        <f t="shared" si="3"/>
        <v>4175.5063180774614</v>
      </c>
    </row>
    <row r="43" spans="1:5" ht="14.25" customHeight="1" x14ac:dyDescent="0.3">
      <c r="A43" s="44">
        <v>31</v>
      </c>
      <c r="B43" s="10">
        <f t="shared" si="0"/>
        <v>248.85042373934209</v>
      </c>
      <c r="C43" s="10">
        <f t="shared" si="1"/>
        <v>31.31629738558096</v>
      </c>
      <c r="D43" s="10">
        <f t="shared" si="2"/>
        <v>217.53412635376114</v>
      </c>
      <c r="E43" s="10">
        <f t="shared" si="3"/>
        <v>3957.9721917237002</v>
      </c>
    </row>
    <row r="44" spans="1:5" ht="14.25" customHeight="1" x14ac:dyDescent="0.3">
      <c r="A44" s="44">
        <v>32</v>
      </c>
      <c r="B44" s="10">
        <f t="shared" si="0"/>
        <v>248.85042373934209</v>
      </c>
      <c r="C44" s="10">
        <f t="shared" si="1"/>
        <v>29.68479143792775</v>
      </c>
      <c r="D44" s="10">
        <f t="shared" si="2"/>
        <v>219.16563230141435</v>
      </c>
      <c r="E44" s="10">
        <f t="shared" si="3"/>
        <v>3738.8065594222858</v>
      </c>
    </row>
    <row r="45" spans="1:5" ht="14.25" customHeight="1" x14ac:dyDescent="0.3">
      <c r="A45" s="44">
        <v>33</v>
      </c>
      <c r="B45" s="10">
        <f t="shared" si="0"/>
        <v>248.85042373934209</v>
      </c>
      <c r="C45" s="10">
        <f t="shared" si="1"/>
        <v>28.041049195667142</v>
      </c>
      <c r="D45" s="10">
        <f t="shared" si="2"/>
        <v>220.80937454367495</v>
      </c>
      <c r="E45" s="10">
        <f t="shared" si="3"/>
        <v>3517.9971848786108</v>
      </c>
    </row>
    <row r="46" spans="1:5" ht="14.25" customHeight="1" x14ac:dyDescent="0.3">
      <c r="A46" s="44">
        <v>34</v>
      </c>
      <c r="B46" s="10">
        <f t="shared" si="0"/>
        <v>248.85042373934209</v>
      </c>
      <c r="C46" s="10">
        <f t="shared" si="1"/>
        <v>26.384978886589579</v>
      </c>
      <c r="D46" s="10">
        <f t="shared" si="2"/>
        <v>222.46544485275251</v>
      </c>
      <c r="E46" s="10">
        <f t="shared" si="3"/>
        <v>3295.5317400258582</v>
      </c>
    </row>
    <row r="47" spans="1:5" ht="14.25" customHeight="1" x14ac:dyDescent="0.3">
      <c r="A47" s="44">
        <v>35</v>
      </c>
      <c r="B47" s="10">
        <f t="shared" si="0"/>
        <v>248.85042373934209</v>
      </c>
      <c r="C47" s="10">
        <f t="shared" si="1"/>
        <v>24.716488050193934</v>
      </c>
      <c r="D47" s="10">
        <f t="shared" si="2"/>
        <v>224.13393568914816</v>
      </c>
      <c r="E47" s="10">
        <f t="shared" si="3"/>
        <v>3071.3978043367101</v>
      </c>
    </row>
    <row r="48" spans="1:5" ht="14.25" customHeight="1" x14ac:dyDescent="0.3">
      <c r="A48" s="44">
        <v>36</v>
      </c>
      <c r="B48" s="10">
        <f t="shared" si="0"/>
        <v>248.85042373934209</v>
      </c>
      <c r="C48" s="10">
        <f t="shared" si="1"/>
        <v>23.035483532525326</v>
      </c>
      <c r="D48" s="10">
        <f t="shared" si="2"/>
        <v>225.81494020681677</v>
      </c>
      <c r="E48" s="10">
        <f t="shared" si="3"/>
        <v>2845.5828641298936</v>
      </c>
    </row>
    <row r="49" spans="1:5" ht="14.25" customHeight="1" x14ac:dyDescent="0.3">
      <c r="A49" s="44">
        <v>37</v>
      </c>
      <c r="B49" s="10">
        <f t="shared" si="0"/>
        <v>248.85042373934209</v>
      </c>
      <c r="C49" s="10">
        <f t="shared" si="1"/>
        <v>21.341871480974202</v>
      </c>
      <c r="D49" s="10">
        <f t="shared" si="2"/>
        <v>227.5085522583679</v>
      </c>
      <c r="E49" s="10">
        <f t="shared" si="3"/>
        <v>2618.0743118715254</v>
      </c>
    </row>
    <row r="50" spans="1:5" ht="14.25" customHeight="1" x14ac:dyDescent="0.3">
      <c r="A50" s="44">
        <v>38</v>
      </c>
      <c r="B50" s="10">
        <f t="shared" si="0"/>
        <v>248.85042373934209</v>
      </c>
      <c r="C50" s="10">
        <f t="shared" si="1"/>
        <v>19.635557339036438</v>
      </c>
      <c r="D50" s="10">
        <f t="shared" si="2"/>
        <v>229.21486640030565</v>
      </c>
      <c r="E50" s="10">
        <f t="shared" si="3"/>
        <v>2388.8594454712197</v>
      </c>
    </row>
    <row r="51" spans="1:5" ht="14.25" customHeight="1" x14ac:dyDescent="0.3">
      <c r="A51" s="44">
        <v>39</v>
      </c>
      <c r="B51" s="10">
        <f t="shared" si="0"/>
        <v>248.85042373934209</v>
      </c>
      <c r="C51" s="10">
        <f t="shared" si="1"/>
        <v>17.916445841034147</v>
      </c>
      <c r="D51" s="10">
        <f t="shared" si="2"/>
        <v>230.93397789830794</v>
      </c>
      <c r="E51" s="10">
        <f t="shared" si="3"/>
        <v>2157.9254675729117</v>
      </c>
    </row>
    <row r="52" spans="1:5" ht="14.25" customHeight="1" x14ac:dyDescent="0.3">
      <c r="A52" s="44">
        <v>40</v>
      </c>
      <c r="B52" s="10">
        <f t="shared" si="0"/>
        <v>248.85042373934209</v>
      </c>
      <c r="C52" s="10">
        <f t="shared" si="1"/>
        <v>16.184441006796838</v>
      </c>
      <c r="D52" s="10">
        <f t="shared" si="2"/>
        <v>232.66598273254525</v>
      </c>
      <c r="E52" s="10">
        <f t="shared" si="3"/>
        <v>1925.2594848403664</v>
      </c>
    </row>
    <row r="53" spans="1:5" ht="14.25" customHeight="1" x14ac:dyDescent="0.3">
      <c r="A53" s="44">
        <v>41</v>
      </c>
      <c r="B53" s="10">
        <f t="shared" si="0"/>
        <v>248.85042373934209</v>
      </c>
      <c r="C53" s="10">
        <f t="shared" si="1"/>
        <v>14.439446136302747</v>
      </c>
      <c r="D53" s="10">
        <f t="shared" si="2"/>
        <v>234.41097760303936</v>
      </c>
      <c r="E53" s="10">
        <f t="shared" si="3"/>
        <v>1690.8485072373271</v>
      </c>
    </row>
    <row r="54" spans="1:5" ht="14.25" customHeight="1" x14ac:dyDescent="0.3">
      <c r="A54" s="44">
        <v>42</v>
      </c>
      <c r="B54" s="10">
        <f t="shared" si="0"/>
        <v>248.85042373934209</v>
      </c>
      <c r="C54" s="10">
        <f t="shared" si="1"/>
        <v>12.681363804279952</v>
      </c>
      <c r="D54" s="10">
        <f t="shared" si="2"/>
        <v>236.16905993506214</v>
      </c>
      <c r="E54" s="10">
        <f t="shared" si="3"/>
        <v>1454.6794473022651</v>
      </c>
    </row>
    <row r="55" spans="1:5" ht="14.25" customHeight="1" x14ac:dyDescent="0.3">
      <c r="A55" s="44">
        <v>43</v>
      </c>
      <c r="B55" s="10">
        <f t="shared" si="0"/>
        <v>248.85042373934209</v>
      </c>
      <c r="C55" s="10">
        <f t="shared" si="1"/>
        <v>10.910095854766988</v>
      </c>
      <c r="D55" s="10">
        <f t="shared" si="2"/>
        <v>237.94032788457511</v>
      </c>
      <c r="E55" s="10">
        <f t="shared" si="3"/>
        <v>1216.7391194176901</v>
      </c>
    </row>
    <row r="56" spans="1:5" ht="14.25" customHeight="1" x14ac:dyDescent="0.3">
      <c r="A56" s="44">
        <v>44</v>
      </c>
      <c r="B56" s="10">
        <f t="shared" si="0"/>
        <v>248.85042373934209</v>
      </c>
      <c r="C56" s="10">
        <f t="shared" si="1"/>
        <v>9.1255433956326755</v>
      </c>
      <c r="D56" s="10">
        <f t="shared" si="2"/>
        <v>239.7248803437094</v>
      </c>
      <c r="E56" s="10">
        <f t="shared" si="3"/>
        <v>977.01423907398066</v>
      </c>
    </row>
    <row r="57" spans="1:5" ht="14.25" customHeight="1" x14ac:dyDescent="0.3">
      <c r="A57" s="44">
        <v>45</v>
      </c>
      <c r="B57" s="10">
        <f t="shared" si="0"/>
        <v>248.85042373934209</v>
      </c>
      <c r="C57" s="10">
        <f t="shared" si="1"/>
        <v>7.327606793054855</v>
      </c>
      <c r="D57" s="10">
        <f t="shared" si="2"/>
        <v>241.52281694628724</v>
      </c>
      <c r="E57" s="10">
        <f t="shared" si="3"/>
        <v>735.49142212769345</v>
      </c>
    </row>
    <row r="58" spans="1:5" ht="14.25" customHeight="1" x14ac:dyDescent="0.3">
      <c r="A58" s="44">
        <v>46</v>
      </c>
      <c r="B58" s="10">
        <f t="shared" si="0"/>
        <v>248.85042373934209</v>
      </c>
      <c r="C58" s="10">
        <f t="shared" si="1"/>
        <v>5.5161856659577007</v>
      </c>
      <c r="D58" s="10">
        <f t="shared" si="2"/>
        <v>243.3342380733844</v>
      </c>
      <c r="E58" s="10">
        <f t="shared" si="3"/>
        <v>492.15718405430903</v>
      </c>
    </row>
    <row r="59" spans="1:5" ht="14.25" customHeight="1" x14ac:dyDescent="0.3">
      <c r="A59" s="44">
        <v>47</v>
      </c>
      <c r="B59" s="10">
        <f t="shared" si="0"/>
        <v>248.85042373934209</v>
      </c>
      <c r="C59" s="10">
        <f t="shared" si="1"/>
        <v>3.6911788804073176</v>
      </c>
      <c r="D59" s="10">
        <f t="shared" si="2"/>
        <v>245.15924485893478</v>
      </c>
      <c r="E59" s="10">
        <f t="shared" si="3"/>
        <v>246.99793919537424</v>
      </c>
    </row>
    <row r="60" spans="1:5" ht="14.25" customHeight="1" x14ac:dyDescent="0.3">
      <c r="A60" s="44">
        <v>48</v>
      </c>
      <c r="B60" s="10">
        <f t="shared" si="0"/>
        <v>248.85042373933956</v>
      </c>
      <c r="C60" s="10">
        <f t="shared" si="1"/>
        <v>1.8524845439653068</v>
      </c>
      <c r="D60" s="10">
        <f t="shared" si="2"/>
        <v>246.99793919537424</v>
      </c>
      <c r="E60" s="10">
        <f t="shared" si="3"/>
        <v>0</v>
      </c>
    </row>
    <row r="61" spans="1:5" ht="14.25" customHeight="1" x14ac:dyDescent="0.3">
      <c r="A61" s="44">
        <v>49</v>
      </c>
      <c r="B61" s="10">
        <f t="shared" si="0"/>
        <v>0</v>
      </c>
      <c r="C61" s="10">
        <f t="shared" si="1"/>
        <v>0</v>
      </c>
      <c r="D61" s="10">
        <f t="shared" si="2"/>
        <v>0</v>
      </c>
      <c r="E61" s="10">
        <f t="shared" si="3"/>
        <v>0</v>
      </c>
    </row>
    <row r="62" spans="1:5" ht="14.25" customHeight="1" x14ac:dyDescent="0.3">
      <c r="A62" s="44">
        <v>50</v>
      </c>
      <c r="B62" s="10">
        <f t="shared" si="0"/>
        <v>0</v>
      </c>
      <c r="C62" s="10">
        <f t="shared" si="1"/>
        <v>0</v>
      </c>
      <c r="D62" s="10">
        <f t="shared" si="2"/>
        <v>0</v>
      </c>
      <c r="E62" s="10">
        <f t="shared" si="3"/>
        <v>0</v>
      </c>
    </row>
    <row r="63" spans="1:5" ht="14.25" customHeight="1" x14ac:dyDescent="0.3">
      <c r="A63" s="44">
        <v>51</v>
      </c>
      <c r="B63" s="10">
        <f t="shared" si="0"/>
        <v>0</v>
      </c>
      <c r="C63" s="10">
        <f t="shared" si="1"/>
        <v>0</v>
      </c>
      <c r="D63" s="10">
        <f t="shared" si="2"/>
        <v>0</v>
      </c>
      <c r="E63" s="10">
        <f t="shared" si="3"/>
        <v>0</v>
      </c>
    </row>
    <row r="64" spans="1:5" ht="14.25" customHeight="1" x14ac:dyDescent="0.3">
      <c r="A64" s="44">
        <v>52</v>
      </c>
      <c r="B64" s="10">
        <f t="shared" si="0"/>
        <v>0</v>
      </c>
      <c r="C64" s="10">
        <f t="shared" si="1"/>
        <v>0</v>
      </c>
      <c r="D64" s="10">
        <f t="shared" si="2"/>
        <v>0</v>
      </c>
      <c r="E64" s="10">
        <f t="shared" si="3"/>
        <v>0</v>
      </c>
    </row>
    <row r="65" spans="1:5" ht="14.25" customHeight="1" x14ac:dyDescent="0.3">
      <c r="A65" s="44">
        <v>53</v>
      </c>
      <c r="B65" s="10">
        <f t="shared" si="0"/>
        <v>0</v>
      </c>
      <c r="C65" s="10">
        <f t="shared" si="1"/>
        <v>0</v>
      </c>
      <c r="D65" s="10">
        <f t="shared" si="2"/>
        <v>0</v>
      </c>
      <c r="E65" s="10">
        <f t="shared" si="3"/>
        <v>0</v>
      </c>
    </row>
    <row r="66" spans="1:5" ht="14.25" customHeight="1" x14ac:dyDescent="0.3">
      <c r="A66" s="44">
        <v>54</v>
      </c>
      <c r="B66" s="10">
        <f t="shared" si="0"/>
        <v>0</v>
      </c>
      <c r="C66" s="10">
        <f t="shared" si="1"/>
        <v>0</v>
      </c>
      <c r="D66" s="10">
        <f t="shared" si="2"/>
        <v>0</v>
      </c>
      <c r="E66" s="10">
        <f t="shared" si="3"/>
        <v>0</v>
      </c>
    </row>
    <row r="67" spans="1:5" ht="14.25" customHeight="1" x14ac:dyDescent="0.3">
      <c r="A67" s="44">
        <v>55</v>
      </c>
      <c r="B67" s="10">
        <f t="shared" si="0"/>
        <v>0</v>
      </c>
      <c r="C67" s="10">
        <f t="shared" si="1"/>
        <v>0</v>
      </c>
      <c r="D67" s="10">
        <f t="shared" si="2"/>
        <v>0</v>
      </c>
      <c r="E67" s="10">
        <f t="shared" si="3"/>
        <v>0</v>
      </c>
    </row>
    <row r="68" spans="1:5" ht="14.25" customHeight="1" x14ac:dyDescent="0.3">
      <c r="A68" s="44">
        <v>56</v>
      </c>
      <c r="B68" s="10">
        <f t="shared" si="0"/>
        <v>0</v>
      </c>
      <c r="C68" s="10">
        <f t="shared" si="1"/>
        <v>0</v>
      </c>
      <c r="D68" s="10">
        <f t="shared" si="2"/>
        <v>0</v>
      </c>
      <c r="E68" s="10">
        <f t="shared" si="3"/>
        <v>0</v>
      </c>
    </row>
    <row r="69" spans="1:5" ht="14.25" customHeight="1" x14ac:dyDescent="0.3">
      <c r="A69" s="44">
        <v>57</v>
      </c>
      <c r="B69" s="10">
        <f t="shared" si="0"/>
        <v>0</v>
      </c>
      <c r="C69" s="10">
        <f t="shared" si="1"/>
        <v>0</v>
      </c>
      <c r="D69" s="10">
        <f t="shared" si="2"/>
        <v>0</v>
      </c>
      <c r="E69" s="10">
        <f t="shared" si="3"/>
        <v>0</v>
      </c>
    </row>
    <row r="70" spans="1:5" ht="14.25" customHeight="1" x14ac:dyDescent="0.3">
      <c r="A70" s="44">
        <v>58</v>
      </c>
      <c r="B70" s="10">
        <f t="shared" si="0"/>
        <v>0</v>
      </c>
      <c r="C70" s="10">
        <f t="shared" si="1"/>
        <v>0</v>
      </c>
      <c r="D70" s="10">
        <f t="shared" si="2"/>
        <v>0</v>
      </c>
      <c r="E70" s="10">
        <f t="shared" si="3"/>
        <v>0</v>
      </c>
    </row>
    <row r="71" spans="1:5" ht="14.25" customHeight="1" x14ac:dyDescent="0.3">
      <c r="A71" s="44">
        <v>59</v>
      </c>
      <c r="B71" s="10">
        <f t="shared" si="0"/>
        <v>0</v>
      </c>
      <c r="C71" s="10">
        <f t="shared" si="1"/>
        <v>0</v>
      </c>
      <c r="D71" s="10">
        <f t="shared" si="2"/>
        <v>0</v>
      </c>
      <c r="E71" s="10">
        <f t="shared" si="3"/>
        <v>0</v>
      </c>
    </row>
    <row r="72" spans="1:5" ht="14.25" customHeight="1" x14ac:dyDescent="0.3">
      <c r="A72" s="44">
        <v>60</v>
      </c>
      <c r="B72" s="10">
        <f t="shared" si="0"/>
        <v>0</v>
      </c>
      <c r="C72" s="10">
        <f t="shared" si="1"/>
        <v>0</v>
      </c>
      <c r="D72" s="10">
        <f t="shared" si="2"/>
        <v>0</v>
      </c>
      <c r="E72" s="10">
        <f t="shared" si="3"/>
        <v>0</v>
      </c>
    </row>
    <row r="73" spans="1:5" ht="14.25" customHeight="1" x14ac:dyDescent="0.3">
      <c r="A73" s="44">
        <v>61</v>
      </c>
      <c r="B73" s="10">
        <f t="shared" si="0"/>
        <v>0</v>
      </c>
      <c r="C73" s="10">
        <f t="shared" si="1"/>
        <v>0</v>
      </c>
      <c r="D73" s="10">
        <f t="shared" si="2"/>
        <v>0</v>
      </c>
      <c r="E73" s="10">
        <f t="shared" si="3"/>
        <v>0</v>
      </c>
    </row>
    <row r="74" spans="1:5" ht="14.25" customHeight="1" x14ac:dyDescent="0.3">
      <c r="A74" s="44">
        <v>62</v>
      </c>
      <c r="B74" s="10">
        <f t="shared" si="0"/>
        <v>0</v>
      </c>
      <c r="C74" s="10">
        <f t="shared" si="1"/>
        <v>0</v>
      </c>
      <c r="D74" s="10">
        <f t="shared" si="2"/>
        <v>0</v>
      </c>
      <c r="E74" s="10">
        <f t="shared" si="3"/>
        <v>0</v>
      </c>
    </row>
    <row r="75" spans="1:5" ht="14.25" customHeight="1" x14ac:dyDescent="0.3">
      <c r="A75" s="44">
        <v>63</v>
      </c>
      <c r="B75" s="10">
        <f t="shared" si="0"/>
        <v>0</v>
      </c>
      <c r="C75" s="10">
        <f t="shared" si="1"/>
        <v>0</v>
      </c>
      <c r="D75" s="10">
        <f t="shared" si="2"/>
        <v>0</v>
      </c>
      <c r="E75" s="10">
        <f t="shared" si="3"/>
        <v>0</v>
      </c>
    </row>
    <row r="76" spans="1:5" ht="14.25" customHeight="1" x14ac:dyDescent="0.3">
      <c r="A76" s="44">
        <v>64</v>
      </c>
      <c r="B76" s="10">
        <f t="shared" si="0"/>
        <v>0</v>
      </c>
      <c r="C76" s="10">
        <f t="shared" si="1"/>
        <v>0</v>
      </c>
      <c r="D76" s="10">
        <f t="shared" si="2"/>
        <v>0</v>
      </c>
      <c r="E76" s="10">
        <f t="shared" si="3"/>
        <v>0</v>
      </c>
    </row>
    <row r="77" spans="1:5" ht="14.25" customHeight="1" x14ac:dyDescent="0.3">
      <c r="A77" s="44">
        <v>65</v>
      </c>
      <c r="B77" s="10">
        <f t="shared" ref="B77:B140" si="4">IF($B$9&lt;=E76,$B$9,E76+E76*$B$7/$B$8)</f>
        <v>0</v>
      </c>
      <c r="C77" s="10">
        <f t="shared" ref="C77:C140" si="5">IF(B77&gt;0,$B$7/$B$8*E76,0)</f>
        <v>0</v>
      </c>
      <c r="D77" s="10">
        <f t="shared" ref="D77:D140" si="6">IF(B77&gt;0,MIN(B77-C77,E76),0)</f>
        <v>0</v>
      </c>
      <c r="E77" s="10">
        <f t="shared" ref="E77:E140" si="7">IF(ROUND(E76,5)&gt;0,E76-D77,0)</f>
        <v>0</v>
      </c>
    </row>
    <row r="78" spans="1:5" ht="14.25" customHeight="1" x14ac:dyDescent="0.3">
      <c r="A78" s="44">
        <v>66</v>
      </c>
      <c r="B78" s="10">
        <f t="shared" si="4"/>
        <v>0</v>
      </c>
      <c r="C78" s="10">
        <f t="shared" si="5"/>
        <v>0</v>
      </c>
      <c r="D78" s="10">
        <f t="shared" si="6"/>
        <v>0</v>
      </c>
      <c r="E78" s="10">
        <f t="shared" si="7"/>
        <v>0</v>
      </c>
    </row>
    <row r="79" spans="1:5" ht="14.25" customHeight="1" x14ac:dyDescent="0.3">
      <c r="A79" s="44">
        <v>67</v>
      </c>
      <c r="B79" s="10">
        <f t="shared" si="4"/>
        <v>0</v>
      </c>
      <c r="C79" s="10">
        <f t="shared" si="5"/>
        <v>0</v>
      </c>
      <c r="D79" s="10">
        <f t="shared" si="6"/>
        <v>0</v>
      </c>
      <c r="E79" s="10">
        <f t="shared" si="7"/>
        <v>0</v>
      </c>
    </row>
    <row r="80" spans="1:5" ht="14.25" customHeight="1" x14ac:dyDescent="0.3">
      <c r="A80" s="44">
        <v>68</v>
      </c>
      <c r="B80" s="10">
        <f t="shared" si="4"/>
        <v>0</v>
      </c>
      <c r="C80" s="10">
        <f t="shared" si="5"/>
        <v>0</v>
      </c>
      <c r="D80" s="10">
        <f t="shared" si="6"/>
        <v>0</v>
      </c>
      <c r="E80" s="10">
        <f t="shared" si="7"/>
        <v>0</v>
      </c>
    </row>
    <row r="81" spans="1:5" ht="14.25" customHeight="1" x14ac:dyDescent="0.3">
      <c r="A81" s="44">
        <v>69</v>
      </c>
      <c r="B81" s="10">
        <f t="shared" si="4"/>
        <v>0</v>
      </c>
      <c r="C81" s="10">
        <f t="shared" si="5"/>
        <v>0</v>
      </c>
      <c r="D81" s="10">
        <f t="shared" si="6"/>
        <v>0</v>
      </c>
      <c r="E81" s="10">
        <f t="shared" si="7"/>
        <v>0</v>
      </c>
    </row>
    <row r="82" spans="1:5" ht="14.25" customHeight="1" x14ac:dyDescent="0.3">
      <c r="A82" s="44">
        <v>70</v>
      </c>
      <c r="B82" s="10">
        <f t="shared" si="4"/>
        <v>0</v>
      </c>
      <c r="C82" s="10">
        <f t="shared" si="5"/>
        <v>0</v>
      </c>
      <c r="D82" s="10">
        <f t="shared" si="6"/>
        <v>0</v>
      </c>
      <c r="E82" s="10">
        <f t="shared" si="7"/>
        <v>0</v>
      </c>
    </row>
    <row r="83" spans="1:5" ht="14.25" customHeight="1" x14ac:dyDescent="0.3">
      <c r="A83" s="44">
        <v>71</v>
      </c>
      <c r="B83" s="10">
        <f t="shared" si="4"/>
        <v>0</v>
      </c>
      <c r="C83" s="10">
        <f t="shared" si="5"/>
        <v>0</v>
      </c>
      <c r="D83" s="10">
        <f t="shared" si="6"/>
        <v>0</v>
      </c>
      <c r="E83" s="10">
        <f t="shared" si="7"/>
        <v>0</v>
      </c>
    </row>
    <row r="84" spans="1:5" ht="14.25" customHeight="1" x14ac:dyDescent="0.3">
      <c r="A84" s="44">
        <v>72</v>
      </c>
      <c r="B84" s="10">
        <f t="shared" si="4"/>
        <v>0</v>
      </c>
      <c r="C84" s="10">
        <f t="shared" si="5"/>
        <v>0</v>
      </c>
      <c r="D84" s="10">
        <f t="shared" si="6"/>
        <v>0</v>
      </c>
      <c r="E84" s="10">
        <f t="shared" si="7"/>
        <v>0</v>
      </c>
    </row>
    <row r="85" spans="1:5" ht="14.25" customHeight="1" x14ac:dyDescent="0.3">
      <c r="A85" s="44">
        <v>73</v>
      </c>
      <c r="B85" s="10">
        <f t="shared" si="4"/>
        <v>0</v>
      </c>
      <c r="C85" s="10">
        <f t="shared" si="5"/>
        <v>0</v>
      </c>
      <c r="D85" s="10">
        <f t="shared" si="6"/>
        <v>0</v>
      </c>
      <c r="E85" s="10">
        <f t="shared" si="7"/>
        <v>0</v>
      </c>
    </row>
    <row r="86" spans="1:5" ht="14.25" customHeight="1" x14ac:dyDescent="0.3">
      <c r="A86" s="44">
        <v>74</v>
      </c>
      <c r="B86" s="10">
        <f t="shared" si="4"/>
        <v>0</v>
      </c>
      <c r="C86" s="10">
        <f t="shared" si="5"/>
        <v>0</v>
      </c>
      <c r="D86" s="10">
        <f t="shared" si="6"/>
        <v>0</v>
      </c>
      <c r="E86" s="10">
        <f t="shared" si="7"/>
        <v>0</v>
      </c>
    </row>
    <row r="87" spans="1:5" ht="14.25" customHeight="1" x14ac:dyDescent="0.3">
      <c r="A87" s="44">
        <v>75</v>
      </c>
      <c r="B87" s="10">
        <f t="shared" si="4"/>
        <v>0</v>
      </c>
      <c r="C87" s="10">
        <f t="shared" si="5"/>
        <v>0</v>
      </c>
      <c r="D87" s="10">
        <f t="shared" si="6"/>
        <v>0</v>
      </c>
      <c r="E87" s="10">
        <f t="shared" si="7"/>
        <v>0</v>
      </c>
    </row>
    <row r="88" spans="1:5" ht="14.25" customHeight="1" x14ac:dyDescent="0.3">
      <c r="A88" s="44">
        <v>76</v>
      </c>
      <c r="B88" s="10">
        <f t="shared" si="4"/>
        <v>0</v>
      </c>
      <c r="C88" s="10">
        <f t="shared" si="5"/>
        <v>0</v>
      </c>
      <c r="D88" s="10">
        <f t="shared" si="6"/>
        <v>0</v>
      </c>
      <c r="E88" s="10">
        <f t="shared" si="7"/>
        <v>0</v>
      </c>
    </row>
    <row r="89" spans="1:5" ht="14.25" customHeight="1" x14ac:dyDescent="0.3">
      <c r="A89" s="44">
        <v>77</v>
      </c>
      <c r="B89" s="10">
        <f t="shared" si="4"/>
        <v>0</v>
      </c>
      <c r="C89" s="10">
        <f t="shared" si="5"/>
        <v>0</v>
      </c>
      <c r="D89" s="10">
        <f t="shared" si="6"/>
        <v>0</v>
      </c>
      <c r="E89" s="10">
        <f t="shared" si="7"/>
        <v>0</v>
      </c>
    </row>
    <row r="90" spans="1:5" ht="14.25" customHeight="1" x14ac:dyDescent="0.3">
      <c r="A90" s="44">
        <v>78</v>
      </c>
      <c r="B90" s="10">
        <f t="shared" si="4"/>
        <v>0</v>
      </c>
      <c r="C90" s="10">
        <f t="shared" si="5"/>
        <v>0</v>
      </c>
      <c r="D90" s="10">
        <f t="shared" si="6"/>
        <v>0</v>
      </c>
      <c r="E90" s="10">
        <f t="shared" si="7"/>
        <v>0</v>
      </c>
    </row>
    <row r="91" spans="1:5" ht="14.25" customHeight="1" x14ac:dyDescent="0.3">
      <c r="A91" s="44">
        <v>79</v>
      </c>
      <c r="B91" s="10">
        <f t="shared" si="4"/>
        <v>0</v>
      </c>
      <c r="C91" s="10">
        <f t="shared" si="5"/>
        <v>0</v>
      </c>
      <c r="D91" s="10">
        <f t="shared" si="6"/>
        <v>0</v>
      </c>
      <c r="E91" s="10">
        <f t="shared" si="7"/>
        <v>0</v>
      </c>
    </row>
    <row r="92" spans="1:5" ht="14.25" customHeight="1" x14ac:dyDescent="0.3">
      <c r="A92" s="44">
        <v>80</v>
      </c>
      <c r="B92" s="10">
        <f t="shared" si="4"/>
        <v>0</v>
      </c>
      <c r="C92" s="10">
        <f t="shared" si="5"/>
        <v>0</v>
      </c>
      <c r="D92" s="10">
        <f t="shared" si="6"/>
        <v>0</v>
      </c>
      <c r="E92" s="10">
        <f t="shared" si="7"/>
        <v>0</v>
      </c>
    </row>
    <row r="93" spans="1:5" ht="14.25" customHeight="1" x14ac:dyDescent="0.3">
      <c r="A93" s="44">
        <v>81</v>
      </c>
      <c r="B93" s="10">
        <f t="shared" si="4"/>
        <v>0</v>
      </c>
      <c r="C93" s="10">
        <f t="shared" si="5"/>
        <v>0</v>
      </c>
      <c r="D93" s="10">
        <f t="shared" si="6"/>
        <v>0</v>
      </c>
      <c r="E93" s="10">
        <f t="shared" si="7"/>
        <v>0</v>
      </c>
    </row>
    <row r="94" spans="1:5" ht="14.25" customHeight="1" x14ac:dyDescent="0.3">
      <c r="A94" s="44">
        <v>82</v>
      </c>
      <c r="B94" s="10">
        <f t="shared" si="4"/>
        <v>0</v>
      </c>
      <c r="C94" s="10">
        <f t="shared" si="5"/>
        <v>0</v>
      </c>
      <c r="D94" s="10">
        <f t="shared" si="6"/>
        <v>0</v>
      </c>
      <c r="E94" s="10">
        <f t="shared" si="7"/>
        <v>0</v>
      </c>
    </row>
    <row r="95" spans="1:5" ht="14.25" customHeight="1" x14ac:dyDescent="0.3">
      <c r="A95" s="44">
        <v>83</v>
      </c>
      <c r="B95" s="10">
        <f t="shared" si="4"/>
        <v>0</v>
      </c>
      <c r="C95" s="10">
        <f t="shared" si="5"/>
        <v>0</v>
      </c>
      <c r="D95" s="10">
        <f t="shared" si="6"/>
        <v>0</v>
      </c>
      <c r="E95" s="10">
        <f t="shared" si="7"/>
        <v>0</v>
      </c>
    </row>
    <row r="96" spans="1:5" ht="14.25" customHeight="1" x14ac:dyDescent="0.3">
      <c r="A96" s="44">
        <v>84</v>
      </c>
      <c r="B96" s="10">
        <f t="shared" si="4"/>
        <v>0</v>
      </c>
      <c r="C96" s="10">
        <f t="shared" si="5"/>
        <v>0</v>
      </c>
      <c r="D96" s="10">
        <f t="shared" si="6"/>
        <v>0</v>
      </c>
      <c r="E96" s="10">
        <f t="shared" si="7"/>
        <v>0</v>
      </c>
    </row>
    <row r="97" spans="1:5" ht="14.25" customHeight="1" x14ac:dyDescent="0.3">
      <c r="A97" s="44">
        <v>85</v>
      </c>
      <c r="B97" s="10">
        <f t="shared" si="4"/>
        <v>0</v>
      </c>
      <c r="C97" s="10">
        <f t="shared" si="5"/>
        <v>0</v>
      </c>
      <c r="D97" s="10">
        <f t="shared" si="6"/>
        <v>0</v>
      </c>
      <c r="E97" s="10">
        <f t="shared" si="7"/>
        <v>0</v>
      </c>
    </row>
    <row r="98" spans="1:5" ht="14.25" customHeight="1" x14ac:dyDescent="0.3">
      <c r="A98" s="44">
        <v>86</v>
      </c>
      <c r="B98" s="10">
        <f t="shared" si="4"/>
        <v>0</v>
      </c>
      <c r="C98" s="10">
        <f t="shared" si="5"/>
        <v>0</v>
      </c>
      <c r="D98" s="10">
        <f t="shared" si="6"/>
        <v>0</v>
      </c>
      <c r="E98" s="10">
        <f t="shared" si="7"/>
        <v>0</v>
      </c>
    </row>
    <row r="99" spans="1:5" ht="14.25" customHeight="1" x14ac:dyDescent="0.3">
      <c r="A99" s="44">
        <v>87</v>
      </c>
      <c r="B99" s="10">
        <f t="shared" si="4"/>
        <v>0</v>
      </c>
      <c r="C99" s="10">
        <f t="shared" si="5"/>
        <v>0</v>
      </c>
      <c r="D99" s="10">
        <f t="shared" si="6"/>
        <v>0</v>
      </c>
      <c r="E99" s="10">
        <f t="shared" si="7"/>
        <v>0</v>
      </c>
    </row>
    <row r="100" spans="1:5" ht="14.25" customHeight="1" x14ac:dyDescent="0.3">
      <c r="A100" s="44">
        <v>88</v>
      </c>
      <c r="B100" s="10">
        <f t="shared" si="4"/>
        <v>0</v>
      </c>
      <c r="C100" s="10">
        <f t="shared" si="5"/>
        <v>0</v>
      </c>
      <c r="D100" s="10">
        <f t="shared" si="6"/>
        <v>0</v>
      </c>
      <c r="E100" s="10">
        <f t="shared" si="7"/>
        <v>0</v>
      </c>
    </row>
    <row r="101" spans="1:5" ht="14.25" customHeight="1" x14ac:dyDescent="0.3">
      <c r="A101" s="44">
        <v>89</v>
      </c>
      <c r="B101" s="10">
        <f t="shared" si="4"/>
        <v>0</v>
      </c>
      <c r="C101" s="10">
        <f t="shared" si="5"/>
        <v>0</v>
      </c>
      <c r="D101" s="10">
        <f t="shared" si="6"/>
        <v>0</v>
      </c>
      <c r="E101" s="10">
        <f t="shared" si="7"/>
        <v>0</v>
      </c>
    </row>
    <row r="102" spans="1:5" ht="14.25" customHeight="1" x14ac:dyDescent="0.3">
      <c r="A102" s="44">
        <v>90</v>
      </c>
      <c r="B102" s="10">
        <f t="shared" si="4"/>
        <v>0</v>
      </c>
      <c r="C102" s="10">
        <f t="shared" si="5"/>
        <v>0</v>
      </c>
      <c r="D102" s="10">
        <f t="shared" si="6"/>
        <v>0</v>
      </c>
      <c r="E102" s="10">
        <f t="shared" si="7"/>
        <v>0</v>
      </c>
    </row>
    <row r="103" spans="1:5" ht="14.25" customHeight="1" x14ac:dyDescent="0.3">
      <c r="A103" s="44">
        <v>91</v>
      </c>
      <c r="B103" s="10">
        <f t="shared" si="4"/>
        <v>0</v>
      </c>
      <c r="C103" s="10">
        <f t="shared" si="5"/>
        <v>0</v>
      </c>
      <c r="D103" s="10">
        <f t="shared" si="6"/>
        <v>0</v>
      </c>
      <c r="E103" s="10">
        <f t="shared" si="7"/>
        <v>0</v>
      </c>
    </row>
    <row r="104" spans="1:5" ht="14.25" customHeight="1" x14ac:dyDescent="0.3">
      <c r="A104" s="44">
        <v>92</v>
      </c>
      <c r="B104" s="10">
        <f t="shared" si="4"/>
        <v>0</v>
      </c>
      <c r="C104" s="10">
        <f t="shared" si="5"/>
        <v>0</v>
      </c>
      <c r="D104" s="10">
        <f t="shared" si="6"/>
        <v>0</v>
      </c>
      <c r="E104" s="10">
        <f t="shared" si="7"/>
        <v>0</v>
      </c>
    </row>
    <row r="105" spans="1:5" ht="14.25" customHeight="1" x14ac:dyDescent="0.3">
      <c r="A105" s="44">
        <v>93</v>
      </c>
      <c r="B105" s="10">
        <f t="shared" si="4"/>
        <v>0</v>
      </c>
      <c r="C105" s="10">
        <f t="shared" si="5"/>
        <v>0</v>
      </c>
      <c r="D105" s="10">
        <f t="shared" si="6"/>
        <v>0</v>
      </c>
      <c r="E105" s="10">
        <f t="shared" si="7"/>
        <v>0</v>
      </c>
    </row>
    <row r="106" spans="1:5" ht="14.25" customHeight="1" x14ac:dyDescent="0.3">
      <c r="A106" s="44">
        <v>94</v>
      </c>
      <c r="B106" s="10">
        <f t="shared" si="4"/>
        <v>0</v>
      </c>
      <c r="C106" s="10">
        <f t="shared" si="5"/>
        <v>0</v>
      </c>
      <c r="D106" s="10">
        <f t="shared" si="6"/>
        <v>0</v>
      </c>
      <c r="E106" s="10">
        <f t="shared" si="7"/>
        <v>0</v>
      </c>
    </row>
    <row r="107" spans="1:5" ht="14.25" customHeight="1" x14ac:dyDescent="0.3">
      <c r="A107" s="44">
        <v>95</v>
      </c>
      <c r="B107" s="10">
        <f t="shared" si="4"/>
        <v>0</v>
      </c>
      <c r="C107" s="10">
        <f t="shared" si="5"/>
        <v>0</v>
      </c>
      <c r="D107" s="10">
        <f t="shared" si="6"/>
        <v>0</v>
      </c>
      <c r="E107" s="10">
        <f t="shared" si="7"/>
        <v>0</v>
      </c>
    </row>
    <row r="108" spans="1:5" ht="14.25" customHeight="1" x14ac:dyDescent="0.3">
      <c r="A108" s="44">
        <v>96</v>
      </c>
      <c r="B108" s="10">
        <f t="shared" si="4"/>
        <v>0</v>
      </c>
      <c r="C108" s="10">
        <f t="shared" si="5"/>
        <v>0</v>
      </c>
      <c r="D108" s="10">
        <f t="shared" si="6"/>
        <v>0</v>
      </c>
      <c r="E108" s="10">
        <f t="shared" si="7"/>
        <v>0</v>
      </c>
    </row>
    <row r="109" spans="1:5" ht="14.25" customHeight="1" x14ac:dyDescent="0.3">
      <c r="A109" s="44">
        <v>97</v>
      </c>
      <c r="B109" s="10">
        <f t="shared" si="4"/>
        <v>0</v>
      </c>
      <c r="C109" s="10">
        <f t="shared" si="5"/>
        <v>0</v>
      </c>
      <c r="D109" s="10">
        <f t="shared" si="6"/>
        <v>0</v>
      </c>
      <c r="E109" s="10">
        <f t="shared" si="7"/>
        <v>0</v>
      </c>
    </row>
    <row r="110" spans="1:5" ht="14.25" customHeight="1" x14ac:dyDescent="0.3">
      <c r="A110" s="44">
        <v>98</v>
      </c>
      <c r="B110" s="10">
        <f t="shared" si="4"/>
        <v>0</v>
      </c>
      <c r="C110" s="10">
        <f t="shared" si="5"/>
        <v>0</v>
      </c>
      <c r="D110" s="10">
        <f t="shared" si="6"/>
        <v>0</v>
      </c>
      <c r="E110" s="10">
        <f t="shared" si="7"/>
        <v>0</v>
      </c>
    </row>
    <row r="111" spans="1:5" ht="14.25" customHeight="1" x14ac:dyDescent="0.3">
      <c r="A111" s="44">
        <v>99</v>
      </c>
      <c r="B111" s="10">
        <f t="shared" si="4"/>
        <v>0</v>
      </c>
      <c r="C111" s="10">
        <f t="shared" si="5"/>
        <v>0</v>
      </c>
      <c r="D111" s="10">
        <f t="shared" si="6"/>
        <v>0</v>
      </c>
      <c r="E111" s="10">
        <f t="shared" si="7"/>
        <v>0</v>
      </c>
    </row>
    <row r="112" spans="1:5" ht="14.25" customHeight="1" x14ac:dyDescent="0.3">
      <c r="A112" s="44">
        <v>100</v>
      </c>
      <c r="B112" s="10">
        <f t="shared" si="4"/>
        <v>0</v>
      </c>
      <c r="C112" s="10">
        <f t="shared" si="5"/>
        <v>0</v>
      </c>
      <c r="D112" s="10">
        <f t="shared" si="6"/>
        <v>0</v>
      </c>
      <c r="E112" s="10">
        <f t="shared" si="7"/>
        <v>0</v>
      </c>
    </row>
    <row r="113" spans="1:5" ht="14.25" customHeight="1" x14ac:dyDescent="0.3">
      <c r="A113" s="44">
        <v>101</v>
      </c>
      <c r="B113" s="10">
        <f t="shared" si="4"/>
        <v>0</v>
      </c>
      <c r="C113" s="10">
        <f t="shared" si="5"/>
        <v>0</v>
      </c>
      <c r="D113" s="10">
        <f t="shared" si="6"/>
        <v>0</v>
      </c>
      <c r="E113" s="10">
        <f t="shared" si="7"/>
        <v>0</v>
      </c>
    </row>
    <row r="114" spans="1:5" ht="14.25" customHeight="1" x14ac:dyDescent="0.3">
      <c r="A114" s="44">
        <v>102</v>
      </c>
      <c r="B114" s="10">
        <f t="shared" si="4"/>
        <v>0</v>
      </c>
      <c r="C114" s="10">
        <f t="shared" si="5"/>
        <v>0</v>
      </c>
      <c r="D114" s="10">
        <f t="shared" si="6"/>
        <v>0</v>
      </c>
      <c r="E114" s="10">
        <f t="shared" si="7"/>
        <v>0</v>
      </c>
    </row>
    <row r="115" spans="1:5" ht="14.25" customHeight="1" x14ac:dyDescent="0.3">
      <c r="A115" s="44">
        <v>103</v>
      </c>
      <c r="B115" s="10">
        <f t="shared" si="4"/>
        <v>0</v>
      </c>
      <c r="C115" s="10">
        <f t="shared" si="5"/>
        <v>0</v>
      </c>
      <c r="D115" s="10">
        <f t="shared" si="6"/>
        <v>0</v>
      </c>
      <c r="E115" s="10">
        <f t="shared" si="7"/>
        <v>0</v>
      </c>
    </row>
    <row r="116" spans="1:5" ht="14.25" customHeight="1" x14ac:dyDescent="0.3">
      <c r="A116" s="44">
        <v>104</v>
      </c>
      <c r="B116" s="10">
        <f t="shared" si="4"/>
        <v>0</v>
      </c>
      <c r="C116" s="10">
        <f t="shared" si="5"/>
        <v>0</v>
      </c>
      <c r="D116" s="10">
        <f t="shared" si="6"/>
        <v>0</v>
      </c>
      <c r="E116" s="10">
        <f t="shared" si="7"/>
        <v>0</v>
      </c>
    </row>
    <row r="117" spans="1:5" ht="14.25" customHeight="1" x14ac:dyDescent="0.3">
      <c r="A117" s="44">
        <v>105</v>
      </c>
      <c r="B117" s="10">
        <f t="shared" si="4"/>
        <v>0</v>
      </c>
      <c r="C117" s="10">
        <f t="shared" si="5"/>
        <v>0</v>
      </c>
      <c r="D117" s="10">
        <f t="shared" si="6"/>
        <v>0</v>
      </c>
      <c r="E117" s="10">
        <f t="shared" si="7"/>
        <v>0</v>
      </c>
    </row>
    <row r="118" spans="1:5" ht="14.25" customHeight="1" x14ac:dyDescent="0.3">
      <c r="A118" s="44">
        <v>106</v>
      </c>
      <c r="B118" s="10">
        <f t="shared" si="4"/>
        <v>0</v>
      </c>
      <c r="C118" s="10">
        <f t="shared" si="5"/>
        <v>0</v>
      </c>
      <c r="D118" s="10">
        <f t="shared" si="6"/>
        <v>0</v>
      </c>
      <c r="E118" s="10">
        <f t="shared" si="7"/>
        <v>0</v>
      </c>
    </row>
    <row r="119" spans="1:5" ht="14.25" customHeight="1" x14ac:dyDescent="0.3">
      <c r="A119" s="44">
        <v>107</v>
      </c>
      <c r="B119" s="10">
        <f t="shared" si="4"/>
        <v>0</v>
      </c>
      <c r="C119" s="10">
        <f t="shared" si="5"/>
        <v>0</v>
      </c>
      <c r="D119" s="10">
        <f t="shared" si="6"/>
        <v>0</v>
      </c>
      <c r="E119" s="10">
        <f t="shared" si="7"/>
        <v>0</v>
      </c>
    </row>
    <row r="120" spans="1:5" ht="14.25" customHeight="1" x14ac:dyDescent="0.3">
      <c r="A120" s="44">
        <v>108</v>
      </c>
      <c r="B120" s="10">
        <f t="shared" si="4"/>
        <v>0</v>
      </c>
      <c r="C120" s="10">
        <f t="shared" si="5"/>
        <v>0</v>
      </c>
      <c r="D120" s="10">
        <f t="shared" si="6"/>
        <v>0</v>
      </c>
      <c r="E120" s="10">
        <f t="shared" si="7"/>
        <v>0</v>
      </c>
    </row>
    <row r="121" spans="1:5" ht="14.25" customHeight="1" x14ac:dyDescent="0.3">
      <c r="A121" s="44">
        <v>109</v>
      </c>
      <c r="B121" s="10">
        <f t="shared" si="4"/>
        <v>0</v>
      </c>
      <c r="C121" s="10">
        <f t="shared" si="5"/>
        <v>0</v>
      </c>
      <c r="D121" s="10">
        <f t="shared" si="6"/>
        <v>0</v>
      </c>
      <c r="E121" s="10">
        <f t="shared" si="7"/>
        <v>0</v>
      </c>
    </row>
    <row r="122" spans="1:5" ht="14.25" customHeight="1" x14ac:dyDescent="0.3">
      <c r="A122" s="44">
        <v>110</v>
      </c>
      <c r="B122" s="10">
        <f t="shared" si="4"/>
        <v>0</v>
      </c>
      <c r="C122" s="10">
        <f t="shared" si="5"/>
        <v>0</v>
      </c>
      <c r="D122" s="10">
        <f t="shared" si="6"/>
        <v>0</v>
      </c>
      <c r="E122" s="10">
        <f t="shared" si="7"/>
        <v>0</v>
      </c>
    </row>
    <row r="123" spans="1:5" ht="14.25" customHeight="1" x14ac:dyDescent="0.3">
      <c r="A123" s="44">
        <v>111</v>
      </c>
      <c r="B123" s="10">
        <f t="shared" si="4"/>
        <v>0</v>
      </c>
      <c r="C123" s="10">
        <f t="shared" si="5"/>
        <v>0</v>
      </c>
      <c r="D123" s="10">
        <f t="shared" si="6"/>
        <v>0</v>
      </c>
      <c r="E123" s="10">
        <f t="shared" si="7"/>
        <v>0</v>
      </c>
    </row>
    <row r="124" spans="1:5" ht="14.25" customHeight="1" x14ac:dyDescent="0.3">
      <c r="A124" s="44">
        <v>112</v>
      </c>
      <c r="B124" s="10">
        <f t="shared" si="4"/>
        <v>0</v>
      </c>
      <c r="C124" s="10">
        <f t="shared" si="5"/>
        <v>0</v>
      </c>
      <c r="D124" s="10">
        <f t="shared" si="6"/>
        <v>0</v>
      </c>
      <c r="E124" s="10">
        <f t="shared" si="7"/>
        <v>0</v>
      </c>
    </row>
    <row r="125" spans="1:5" ht="14.25" customHeight="1" x14ac:dyDescent="0.3">
      <c r="A125" s="44">
        <v>113</v>
      </c>
      <c r="B125" s="10">
        <f t="shared" si="4"/>
        <v>0</v>
      </c>
      <c r="C125" s="10">
        <f t="shared" si="5"/>
        <v>0</v>
      </c>
      <c r="D125" s="10">
        <f t="shared" si="6"/>
        <v>0</v>
      </c>
      <c r="E125" s="10">
        <f t="shared" si="7"/>
        <v>0</v>
      </c>
    </row>
    <row r="126" spans="1:5" ht="14.25" customHeight="1" x14ac:dyDescent="0.3">
      <c r="A126" s="44">
        <v>114</v>
      </c>
      <c r="B126" s="10">
        <f t="shared" si="4"/>
        <v>0</v>
      </c>
      <c r="C126" s="10">
        <f t="shared" si="5"/>
        <v>0</v>
      </c>
      <c r="D126" s="10">
        <f t="shared" si="6"/>
        <v>0</v>
      </c>
      <c r="E126" s="10">
        <f t="shared" si="7"/>
        <v>0</v>
      </c>
    </row>
    <row r="127" spans="1:5" ht="14.25" customHeight="1" x14ac:dyDescent="0.3">
      <c r="A127" s="44">
        <v>115</v>
      </c>
      <c r="B127" s="10">
        <f t="shared" si="4"/>
        <v>0</v>
      </c>
      <c r="C127" s="10">
        <f t="shared" si="5"/>
        <v>0</v>
      </c>
      <c r="D127" s="10">
        <f t="shared" si="6"/>
        <v>0</v>
      </c>
      <c r="E127" s="10">
        <f t="shared" si="7"/>
        <v>0</v>
      </c>
    </row>
    <row r="128" spans="1:5" ht="14.25" customHeight="1" x14ac:dyDescent="0.3">
      <c r="A128" s="44">
        <v>116</v>
      </c>
      <c r="B128" s="10">
        <f t="shared" si="4"/>
        <v>0</v>
      </c>
      <c r="C128" s="10">
        <f t="shared" si="5"/>
        <v>0</v>
      </c>
      <c r="D128" s="10">
        <f t="shared" si="6"/>
        <v>0</v>
      </c>
      <c r="E128" s="10">
        <f t="shared" si="7"/>
        <v>0</v>
      </c>
    </row>
    <row r="129" spans="1:5" ht="14.25" customHeight="1" x14ac:dyDescent="0.3">
      <c r="A129" s="44">
        <v>117</v>
      </c>
      <c r="B129" s="10">
        <f t="shared" si="4"/>
        <v>0</v>
      </c>
      <c r="C129" s="10">
        <f t="shared" si="5"/>
        <v>0</v>
      </c>
      <c r="D129" s="10">
        <f t="shared" si="6"/>
        <v>0</v>
      </c>
      <c r="E129" s="10">
        <f t="shared" si="7"/>
        <v>0</v>
      </c>
    </row>
    <row r="130" spans="1:5" ht="14.25" customHeight="1" x14ac:dyDescent="0.3">
      <c r="A130" s="44">
        <v>118</v>
      </c>
      <c r="B130" s="10">
        <f t="shared" si="4"/>
        <v>0</v>
      </c>
      <c r="C130" s="10">
        <f t="shared" si="5"/>
        <v>0</v>
      </c>
      <c r="D130" s="10">
        <f t="shared" si="6"/>
        <v>0</v>
      </c>
      <c r="E130" s="10">
        <f t="shared" si="7"/>
        <v>0</v>
      </c>
    </row>
    <row r="131" spans="1:5" ht="14.25" customHeight="1" x14ac:dyDescent="0.3">
      <c r="A131" s="44">
        <v>119</v>
      </c>
      <c r="B131" s="10">
        <f t="shared" si="4"/>
        <v>0</v>
      </c>
      <c r="C131" s="10">
        <f t="shared" si="5"/>
        <v>0</v>
      </c>
      <c r="D131" s="10">
        <f t="shared" si="6"/>
        <v>0</v>
      </c>
      <c r="E131" s="10">
        <f t="shared" si="7"/>
        <v>0</v>
      </c>
    </row>
    <row r="132" spans="1:5" ht="14.25" customHeight="1" x14ac:dyDescent="0.3">
      <c r="A132" s="44">
        <v>120</v>
      </c>
      <c r="B132" s="10">
        <f t="shared" si="4"/>
        <v>0</v>
      </c>
      <c r="C132" s="10">
        <f t="shared" si="5"/>
        <v>0</v>
      </c>
      <c r="D132" s="10">
        <f t="shared" si="6"/>
        <v>0</v>
      </c>
      <c r="E132" s="10">
        <f t="shared" si="7"/>
        <v>0</v>
      </c>
    </row>
    <row r="133" spans="1:5" ht="14.25" customHeight="1" x14ac:dyDescent="0.3">
      <c r="A133" s="44">
        <v>121</v>
      </c>
      <c r="B133" s="10">
        <f t="shared" si="4"/>
        <v>0</v>
      </c>
      <c r="C133" s="10">
        <f t="shared" si="5"/>
        <v>0</v>
      </c>
      <c r="D133" s="10">
        <f t="shared" si="6"/>
        <v>0</v>
      </c>
      <c r="E133" s="10">
        <f t="shared" si="7"/>
        <v>0</v>
      </c>
    </row>
    <row r="134" spans="1:5" ht="14.25" customHeight="1" x14ac:dyDescent="0.3">
      <c r="A134" s="44">
        <v>122</v>
      </c>
      <c r="B134" s="10">
        <f t="shared" si="4"/>
        <v>0</v>
      </c>
      <c r="C134" s="10">
        <f t="shared" si="5"/>
        <v>0</v>
      </c>
      <c r="D134" s="10">
        <f t="shared" si="6"/>
        <v>0</v>
      </c>
      <c r="E134" s="10">
        <f t="shared" si="7"/>
        <v>0</v>
      </c>
    </row>
    <row r="135" spans="1:5" ht="14.25" customHeight="1" x14ac:dyDescent="0.3">
      <c r="A135" s="44">
        <v>123</v>
      </c>
      <c r="B135" s="10">
        <f t="shared" si="4"/>
        <v>0</v>
      </c>
      <c r="C135" s="10">
        <f t="shared" si="5"/>
        <v>0</v>
      </c>
      <c r="D135" s="10">
        <f t="shared" si="6"/>
        <v>0</v>
      </c>
      <c r="E135" s="10">
        <f t="shared" si="7"/>
        <v>0</v>
      </c>
    </row>
    <row r="136" spans="1:5" ht="14.25" customHeight="1" x14ac:dyDescent="0.3">
      <c r="A136" s="44">
        <v>124</v>
      </c>
      <c r="B136" s="10">
        <f t="shared" si="4"/>
        <v>0</v>
      </c>
      <c r="C136" s="10">
        <f t="shared" si="5"/>
        <v>0</v>
      </c>
      <c r="D136" s="10">
        <f t="shared" si="6"/>
        <v>0</v>
      </c>
      <c r="E136" s="10">
        <f t="shared" si="7"/>
        <v>0</v>
      </c>
    </row>
    <row r="137" spans="1:5" ht="14.25" customHeight="1" x14ac:dyDescent="0.3">
      <c r="A137" s="44">
        <v>125</v>
      </c>
      <c r="B137" s="10">
        <f t="shared" si="4"/>
        <v>0</v>
      </c>
      <c r="C137" s="10">
        <f t="shared" si="5"/>
        <v>0</v>
      </c>
      <c r="D137" s="10">
        <f t="shared" si="6"/>
        <v>0</v>
      </c>
      <c r="E137" s="10">
        <f t="shared" si="7"/>
        <v>0</v>
      </c>
    </row>
    <row r="138" spans="1:5" ht="14.25" customHeight="1" x14ac:dyDescent="0.3">
      <c r="A138" s="44">
        <v>126</v>
      </c>
      <c r="B138" s="10">
        <f t="shared" si="4"/>
        <v>0</v>
      </c>
      <c r="C138" s="10">
        <f t="shared" si="5"/>
        <v>0</v>
      </c>
      <c r="D138" s="10">
        <f t="shared" si="6"/>
        <v>0</v>
      </c>
      <c r="E138" s="10">
        <f t="shared" si="7"/>
        <v>0</v>
      </c>
    </row>
    <row r="139" spans="1:5" ht="14.25" customHeight="1" x14ac:dyDescent="0.3">
      <c r="A139" s="44">
        <v>127</v>
      </c>
      <c r="B139" s="10">
        <f t="shared" si="4"/>
        <v>0</v>
      </c>
      <c r="C139" s="10">
        <f t="shared" si="5"/>
        <v>0</v>
      </c>
      <c r="D139" s="10">
        <f t="shared" si="6"/>
        <v>0</v>
      </c>
      <c r="E139" s="10">
        <f t="shared" si="7"/>
        <v>0</v>
      </c>
    </row>
    <row r="140" spans="1:5" ht="14.25" customHeight="1" x14ac:dyDescent="0.3">
      <c r="A140" s="44">
        <v>128</v>
      </c>
      <c r="B140" s="10">
        <f t="shared" si="4"/>
        <v>0</v>
      </c>
      <c r="C140" s="10">
        <f t="shared" si="5"/>
        <v>0</v>
      </c>
      <c r="D140" s="10">
        <f t="shared" si="6"/>
        <v>0</v>
      </c>
      <c r="E140" s="10">
        <f t="shared" si="7"/>
        <v>0</v>
      </c>
    </row>
    <row r="141" spans="1:5" ht="14.25" customHeight="1" x14ac:dyDescent="0.3">
      <c r="A141" s="44">
        <v>129</v>
      </c>
      <c r="B141" s="10">
        <f t="shared" ref="B141:B204" si="8">IF($B$9&lt;=E140,$B$9,E140+E140*$B$7/$B$8)</f>
        <v>0</v>
      </c>
      <c r="C141" s="10">
        <f t="shared" ref="C141:C204" si="9">IF(B141&gt;0,$B$7/$B$8*E140,0)</f>
        <v>0</v>
      </c>
      <c r="D141" s="10">
        <f t="shared" ref="D141:D204" si="10">IF(B141&gt;0,MIN(B141-C141,E140),0)</f>
        <v>0</v>
      </c>
      <c r="E141" s="10">
        <f t="shared" ref="E141:E204" si="11">IF(ROUND(E140,5)&gt;0,E140-D141,0)</f>
        <v>0</v>
      </c>
    </row>
    <row r="142" spans="1:5" ht="14.25" customHeight="1" x14ac:dyDescent="0.3">
      <c r="A142" s="44">
        <v>130</v>
      </c>
      <c r="B142" s="10">
        <f t="shared" si="8"/>
        <v>0</v>
      </c>
      <c r="C142" s="10">
        <f t="shared" si="9"/>
        <v>0</v>
      </c>
      <c r="D142" s="10">
        <f t="shared" si="10"/>
        <v>0</v>
      </c>
      <c r="E142" s="10">
        <f t="shared" si="11"/>
        <v>0</v>
      </c>
    </row>
    <row r="143" spans="1:5" ht="14.25" customHeight="1" x14ac:dyDescent="0.3">
      <c r="A143" s="44">
        <v>131</v>
      </c>
      <c r="B143" s="10">
        <f t="shared" si="8"/>
        <v>0</v>
      </c>
      <c r="C143" s="10">
        <f t="shared" si="9"/>
        <v>0</v>
      </c>
      <c r="D143" s="10">
        <f t="shared" si="10"/>
        <v>0</v>
      </c>
      <c r="E143" s="10">
        <f t="shared" si="11"/>
        <v>0</v>
      </c>
    </row>
    <row r="144" spans="1:5" ht="14.25" customHeight="1" x14ac:dyDescent="0.3">
      <c r="A144" s="44">
        <v>132</v>
      </c>
      <c r="B144" s="10">
        <f t="shared" si="8"/>
        <v>0</v>
      </c>
      <c r="C144" s="10">
        <f t="shared" si="9"/>
        <v>0</v>
      </c>
      <c r="D144" s="10">
        <f t="shared" si="10"/>
        <v>0</v>
      </c>
      <c r="E144" s="10">
        <f t="shared" si="11"/>
        <v>0</v>
      </c>
    </row>
    <row r="145" spans="1:5" ht="14.25" customHeight="1" x14ac:dyDescent="0.3">
      <c r="A145" s="44">
        <v>133</v>
      </c>
      <c r="B145" s="10">
        <f t="shared" si="8"/>
        <v>0</v>
      </c>
      <c r="C145" s="10">
        <f t="shared" si="9"/>
        <v>0</v>
      </c>
      <c r="D145" s="10">
        <f t="shared" si="10"/>
        <v>0</v>
      </c>
      <c r="E145" s="10">
        <f t="shared" si="11"/>
        <v>0</v>
      </c>
    </row>
    <row r="146" spans="1:5" ht="14.25" customHeight="1" x14ac:dyDescent="0.3">
      <c r="A146" s="44">
        <v>134</v>
      </c>
      <c r="B146" s="10">
        <f t="shared" si="8"/>
        <v>0</v>
      </c>
      <c r="C146" s="10">
        <f t="shared" si="9"/>
        <v>0</v>
      </c>
      <c r="D146" s="10">
        <f t="shared" si="10"/>
        <v>0</v>
      </c>
      <c r="E146" s="10">
        <f t="shared" si="11"/>
        <v>0</v>
      </c>
    </row>
    <row r="147" spans="1:5" ht="14.25" customHeight="1" x14ac:dyDescent="0.3">
      <c r="A147" s="44">
        <v>135</v>
      </c>
      <c r="B147" s="10">
        <f t="shared" si="8"/>
        <v>0</v>
      </c>
      <c r="C147" s="10">
        <f t="shared" si="9"/>
        <v>0</v>
      </c>
      <c r="D147" s="10">
        <f t="shared" si="10"/>
        <v>0</v>
      </c>
      <c r="E147" s="10">
        <f t="shared" si="11"/>
        <v>0</v>
      </c>
    </row>
    <row r="148" spans="1:5" ht="14.25" customHeight="1" x14ac:dyDescent="0.3">
      <c r="A148" s="44">
        <v>136</v>
      </c>
      <c r="B148" s="10">
        <f t="shared" si="8"/>
        <v>0</v>
      </c>
      <c r="C148" s="10">
        <f t="shared" si="9"/>
        <v>0</v>
      </c>
      <c r="D148" s="10">
        <f t="shared" si="10"/>
        <v>0</v>
      </c>
      <c r="E148" s="10">
        <f t="shared" si="11"/>
        <v>0</v>
      </c>
    </row>
    <row r="149" spans="1:5" ht="14.25" customHeight="1" x14ac:dyDescent="0.3">
      <c r="A149" s="44">
        <v>137</v>
      </c>
      <c r="B149" s="10">
        <f t="shared" si="8"/>
        <v>0</v>
      </c>
      <c r="C149" s="10">
        <f t="shared" si="9"/>
        <v>0</v>
      </c>
      <c r="D149" s="10">
        <f t="shared" si="10"/>
        <v>0</v>
      </c>
      <c r="E149" s="10">
        <f t="shared" si="11"/>
        <v>0</v>
      </c>
    </row>
    <row r="150" spans="1:5" ht="14.25" customHeight="1" x14ac:dyDescent="0.3">
      <c r="A150" s="44">
        <v>138</v>
      </c>
      <c r="B150" s="10">
        <f t="shared" si="8"/>
        <v>0</v>
      </c>
      <c r="C150" s="10">
        <f t="shared" si="9"/>
        <v>0</v>
      </c>
      <c r="D150" s="10">
        <f t="shared" si="10"/>
        <v>0</v>
      </c>
      <c r="E150" s="10">
        <f t="shared" si="11"/>
        <v>0</v>
      </c>
    </row>
    <row r="151" spans="1:5" ht="14.25" customHeight="1" x14ac:dyDescent="0.3">
      <c r="A151" s="44">
        <v>139</v>
      </c>
      <c r="B151" s="10">
        <f t="shared" si="8"/>
        <v>0</v>
      </c>
      <c r="C151" s="10">
        <f t="shared" si="9"/>
        <v>0</v>
      </c>
      <c r="D151" s="10">
        <f t="shared" si="10"/>
        <v>0</v>
      </c>
      <c r="E151" s="10">
        <f t="shared" si="11"/>
        <v>0</v>
      </c>
    </row>
    <row r="152" spans="1:5" ht="14.25" customHeight="1" x14ac:dyDescent="0.3">
      <c r="A152" s="44">
        <v>140</v>
      </c>
      <c r="B152" s="10">
        <f t="shared" si="8"/>
        <v>0</v>
      </c>
      <c r="C152" s="10">
        <f t="shared" si="9"/>
        <v>0</v>
      </c>
      <c r="D152" s="10">
        <f t="shared" si="10"/>
        <v>0</v>
      </c>
      <c r="E152" s="10">
        <f t="shared" si="11"/>
        <v>0</v>
      </c>
    </row>
    <row r="153" spans="1:5" ht="14.25" customHeight="1" x14ac:dyDescent="0.3">
      <c r="A153" s="44">
        <v>141</v>
      </c>
      <c r="B153" s="10">
        <f t="shared" si="8"/>
        <v>0</v>
      </c>
      <c r="C153" s="10">
        <f t="shared" si="9"/>
        <v>0</v>
      </c>
      <c r="D153" s="10">
        <f t="shared" si="10"/>
        <v>0</v>
      </c>
      <c r="E153" s="10">
        <f t="shared" si="11"/>
        <v>0</v>
      </c>
    </row>
    <row r="154" spans="1:5" ht="14.25" customHeight="1" x14ac:dyDescent="0.3">
      <c r="A154" s="44">
        <v>142</v>
      </c>
      <c r="B154" s="10">
        <f t="shared" si="8"/>
        <v>0</v>
      </c>
      <c r="C154" s="10">
        <f t="shared" si="9"/>
        <v>0</v>
      </c>
      <c r="D154" s="10">
        <f t="shared" si="10"/>
        <v>0</v>
      </c>
      <c r="E154" s="10">
        <f t="shared" si="11"/>
        <v>0</v>
      </c>
    </row>
    <row r="155" spans="1:5" ht="14.25" customHeight="1" x14ac:dyDescent="0.3">
      <c r="A155" s="44">
        <v>143</v>
      </c>
      <c r="B155" s="10">
        <f t="shared" si="8"/>
        <v>0</v>
      </c>
      <c r="C155" s="10">
        <f t="shared" si="9"/>
        <v>0</v>
      </c>
      <c r="D155" s="10">
        <f t="shared" si="10"/>
        <v>0</v>
      </c>
      <c r="E155" s="10">
        <f t="shared" si="11"/>
        <v>0</v>
      </c>
    </row>
    <row r="156" spans="1:5" ht="14.25" customHeight="1" x14ac:dyDescent="0.3">
      <c r="A156" s="44">
        <v>144</v>
      </c>
      <c r="B156" s="10">
        <f t="shared" si="8"/>
        <v>0</v>
      </c>
      <c r="C156" s="10">
        <f t="shared" si="9"/>
        <v>0</v>
      </c>
      <c r="D156" s="10">
        <f t="shared" si="10"/>
        <v>0</v>
      </c>
      <c r="E156" s="10">
        <f t="shared" si="11"/>
        <v>0</v>
      </c>
    </row>
    <row r="157" spans="1:5" ht="14.25" customHeight="1" x14ac:dyDescent="0.3">
      <c r="A157" s="44">
        <v>145</v>
      </c>
      <c r="B157" s="10">
        <f t="shared" si="8"/>
        <v>0</v>
      </c>
      <c r="C157" s="10">
        <f t="shared" si="9"/>
        <v>0</v>
      </c>
      <c r="D157" s="10">
        <f t="shared" si="10"/>
        <v>0</v>
      </c>
      <c r="E157" s="10">
        <f t="shared" si="11"/>
        <v>0</v>
      </c>
    </row>
    <row r="158" spans="1:5" ht="14.25" customHeight="1" x14ac:dyDescent="0.3">
      <c r="A158" s="44">
        <v>146</v>
      </c>
      <c r="B158" s="10">
        <f t="shared" si="8"/>
        <v>0</v>
      </c>
      <c r="C158" s="10">
        <f t="shared" si="9"/>
        <v>0</v>
      </c>
      <c r="D158" s="10">
        <f t="shared" si="10"/>
        <v>0</v>
      </c>
      <c r="E158" s="10">
        <f t="shared" si="11"/>
        <v>0</v>
      </c>
    </row>
    <row r="159" spans="1:5" ht="14.25" customHeight="1" x14ac:dyDescent="0.3">
      <c r="A159" s="44">
        <v>147</v>
      </c>
      <c r="B159" s="10">
        <f t="shared" si="8"/>
        <v>0</v>
      </c>
      <c r="C159" s="10">
        <f t="shared" si="9"/>
        <v>0</v>
      </c>
      <c r="D159" s="10">
        <f t="shared" si="10"/>
        <v>0</v>
      </c>
      <c r="E159" s="10">
        <f t="shared" si="11"/>
        <v>0</v>
      </c>
    </row>
    <row r="160" spans="1:5" ht="14.25" customHeight="1" x14ac:dyDescent="0.3">
      <c r="A160" s="44">
        <v>148</v>
      </c>
      <c r="B160" s="10">
        <f t="shared" si="8"/>
        <v>0</v>
      </c>
      <c r="C160" s="10">
        <f t="shared" si="9"/>
        <v>0</v>
      </c>
      <c r="D160" s="10">
        <f t="shared" si="10"/>
        <v>0</v>
      </c>
      <c r="E160" s="10">
        <f t="shared" si="11"/>
        <v>0</v>
      </c>
    </row>
    <row r="161" spans="1:5" ht="14.25" customHeight="1" x14ac:dyDescent="0.3">
      <c r="A161" s="44">
        <v>149</v>
      </c>
      <c r="B161" s="10">
        <f t="shared" si="8"/>
        <v>0</v>
      </c>
      <c r="C161" s="10">
        <f t="shared" si="9"/>
        <v>0</v>
      </c>
      <c r="D161" s="10">
        <f t="shared" si="10"/>
        <v>0</v>
      </c>
      <c r="E161" s="10">
        <f t="shared" si="11"/>
        <v>0</v>
      </c>
    </row>
    <row r="162" spans="1:5" ht="14.25" customHeight="1" x14ac:dyDescent="0.3">
      <c r="A162" s="44">
        <v>150</v>
      </c>
      <c r="B162" s="10">
        <f t="shared" si="8"/>
        <v>0</v>
      </c>
      <c r="C162" s="10">
        <f t="shared" si="9"/>
        <v>0</v>
      </c>
      <c r="D162" s="10">
        <f t="shared" si="10"/>
        <v>0</v>
      </c>
      <c r="E162" s="10">
        <f t="shared" si="11"/>
        <v>0</v>
      </c>
    </row>
    <row r="163" spans="1:5" ht="14.25" customHeight="1" x14ac:dyDescent="0.3">
      <c r="A163" s="44">
        <v>151</v>
      </c>
      <c r="B163" s="10">
        <f t="shared" si="8"/>
        <v>0</v>
      </c>
      <c r="C163" s="10">
        <f t="shared" si="9"/>
        <v>0</v>
      </c>
      <c r="D163" s="10">
        <f t="shared" si="10"/>
        <v>0</v>
      </c>
      <c r="E163" s="10">
        <f t="shared" si="11"/>
        <v>0</v>
      </c>
    </row>
    <row r="164" spans="1:5" ht="14.25" customHeight="1" x14ac:dyDescent="0.3">
      <c r="A164" s="44">
        <v>152</v>
      </c>
      <c r="B164" s="10">
        <f t="shared" si="8"/>
        <v>0</v>
      </c>
      <c r="C164" s="10">
        <f t="shared" si="9"/>
        <v>0</v>
      </c>
      <c r="D164" s="10">
        <f t="shared" si="10"/>
        <v>0</v>
      </c>
      <c r="E164" s="10">
        <f t="shared" si="11"/>
        <v>0</v>
      </c>
    </row>
    <row r="165" spans="1:5" ht="14.25" customHeight="1" x14ac:dyDescent="0.3">
      <c r="A165" s="44">
        <v>153</v>
      </c>
      <c r="B165" s="10">
        <f t="shared" si="8"/>
        <v>0</v>
      </c>
      <c r="C165" s="10">
        <f t="shared" si="9"/>
        <v>0</v>
      </c>
      <c r="D165" s="10">
        <f t="shared" si="10"/>
        <v>0</v>
      </c>
      <c r="E165" s="10">
        <f t="shared" si="11"/>
        <v>0</v>
      </c>
    </row>
    <row r="166" spans="1:5" ht="14.25" customHeight="1" x14ac:dyDescent="0.3">
      <c r="A166" s="44">
        <v>154</v>
      </c>
      <c r="B166" s="10">
        <f t="shared" si="8"/>
        <v>0</v>
      </c>
      <c r="C166" s="10">
        <f t="shared" si="9"/>
        <v>0</v>
      </c>
      <c r="D166" s="10">
        <f t="shared" si="10"/>
        <v>0</v>
      </c>
      <c r="E166" s="10">
        <f t="shared" si="11"/>
        <v>0</v>
      </c>
    </row>
    <row r="167" spans="1:5" ht="14.25" customHeight="1" x14ac:dyDescent="0.3">
      <c r="A167" s="44">
        <v>155</v>
      </c>
      <c r="B167" s="10">
        <f t="shared" si="8"/>
        <v>0</v>
      </c>
      <c r="C167" s="10">
        <f t="shared" si="9"/>
        <v>0</v>
      </c>
      <c r="D167" s="10">
        <f t="shared" si="10"/>
        <v>0</v>
      </c>
      <c r="E167" s="10">
        <f t="shared" si="11"/>
        <v>0</v>
      </c>
    </row>
    <row r="168" spans="1:5" ht="14.25" customHeight="1" x14ac:dyDescent="0.3">
      <c r="A168" s="44">
        <v>156</v>
      </c>
      <c r="B168" s="10">
        <f t="shared" si="8"/>
        <v>0</v>
      </c>
      <c r="C168" s="10">
        <f t="shared" si="9"/>
        <v>0</v>
      </c>
      <c r="D168" s="10">
        <f t="shared" si="10"/>
        <v>0</v>
      </c>
      <c r="E168" s="10">
        <f t="shared" si="11"/>
        <v>0</v>
      </c>
    </row>
    <row r="169" spans="1:5" ht="14.25" customHeight="1" x14ac:dyDescent="0.3">
      <c r="A169" s="44">
        <v>157</v>
      </c>
      <c r="B169" s="10">
        <f t="shared" si="8"/>
        <v>0</v>
      </c>
      <c r="C169" s="10">
        <f t="shared" si="9"/>
        <v>0</v>
      </c>
      <c r="D169" s="10">
        <f t="shared" si="10"/>
        <v>0</v>
      </c>
      <c r="E169" s="10">
        <f t="shared" si="11"/>
        <v>0</v>
      </c>
    </row>
    <row r="170" spans="1:5" ht="14.25" customHeight="1" x14ac:dyDescent="0.3">
      <c r="A170" s="44">
        <v>158</v>
      </c>
      <c r="B170" s="12">
        <f t="shared" si="8"/>
        <v>0</v>
      </c>
      <c r="C170" s="12">
        <f t="shared" si="9"/>
        <v>0</v>
      </c>
      <c r="D170" s="12">
        <f t="shared" si="10"/>
        <v>0</v>
      </c>
      <c r="E170" s="10">
        <f t="shared" si="11"/>
        <v>0</v>
      </c>
    </row>
    <row r="171" spans="1:5" ht="14.25" customHeight="1" x14ac:dyDescent="0.3">
      <c r="A171" s="44">
        <v>159</v>
      </c>
      <c r="B171" s="12">
        <f t="shared" si="8"/>
        <v>0</v>
      </c>
      <c r="C171" s="12">
        <f t="shared" si="9"/>
        <v>0</v>
      </c>
      <c r="D171" s="12">
        <f t="shared" si="10"/>
        <v>0</v>
      </c>
      <c r="E171" s="10">
        <f t="shared" si="11"/>
        <v>0</v>
      </c>
    </row>
    <row r="172" spans="1:5" ht="14.25" customHeight="1" x14ac:dyDescent="0.3">
      <c r="A172" s="44">
        <v>160</v>
      </c>
      <c r="B172" s="12">
        <f t="shared" si="8"/>
        <v>0</v>
      </c>
      <c r="C172" s="12">
        <f t="shared" si="9"/>
        <v>0</v>
      </c>
      <c r="D172" s="12">
        <f t="shared" si="10"/>
        <v>0</v>
      </c>
      <c r="E172" s="10">
        <f t="shared" si="11"/>
        <v>0</v>
      </c>
    </row>
    <row r="173" spans="1:5" ht="14.25" customHeight="1" x14ac:dyDescent="0.3">
      <c r="A173" s="44">
        <v>161</v>
      </c>
      <c r="B173" s="12">
        <f t="shared" si="8"/>
        <v>0</v>
      </c>
      <c r="C173" s="12">
        <f t="shared" si="9"/>
        <v>0</v>
      </c>
      <c r="D173" s="12">
        <f t="shared" si="10"/>
        <v>0</v>
      </c>
      <c r="E173" s="10">
        <f t="shared" si="11"/>
        <v>0</v>
      </c>
    </row>
    <row r="174" spans="1:5" ht="14.25" customHeight="1" x14ac:dyDescent="0.3">
      <c r="A174" s="44">
        <v>162</v>
      </c>
      <c r="B174" s="12">
        <f t="shared" si="8"/>
        <v>0</v>
      </c>
      <c r="C174" s="12">
        <f t="shared" si="9"/>
        <v>0</v>
      </c>
      <c r="D174" s="12">
        <f t="shared" si="10"/>
        <v>0</v>
      </c>
      <c r="E174" s="10">
        <f t="shared" si="11"/>
        <v>0</v>
      </c>
    </row>
    <row r="175" spans="1:5" ht="14.25" customHeight="1" x14ac:dyDescent="0.3">
      <c r="A175" s="44">
        <v>163</v>
      </c>
      <c r="B175" s="12">
        <f t="shared" si="8"/>
        <v>0</v>
      </c>
      <c r="C175" s="12">
        <f t="shared" si="9"/>
        <v>0</v>
      </c>
      <c r="D175" s="12">
        <f t="shared" si="10"/>
        <v>0</v>
      </c>
      <c r="E175" s="10">
        <f t="shared" si="11"/>
        <v>0</v>
      </c>
    </row>
    <row r="176" spans="1:5" ht="14.25" customHeight="1" x14ac:dyDescent="0.3">
      <c r="A176" s="44">
        <v>164</v>
      </c>
      <c r="B176" s="12">
        <f t="shared" si="8"/>
        <v>0</v>
      </c>
      <c r="C176" s="12">
        <f t="shared" si="9"/>
        <v>0</v>
      </c>
      <c r="D176" s="12">
        <f t="shared" si="10"/>
        <v>0</v>
      </c>
      <c r="E176" s="10">
        <f t="shared" si="11"/>
        <v>0</v>
      </c>
    </row>
    <row r="177" spans="1:5" ht="14.25" customHeight="1" x14ac:dyDescent="0.3">
      <c r="A177" s="44">
        <v>165</v>
      </c>
      <c r="B177" s="12">
        <f t="shared" si="8"/>
        <v>0</v>
      </c>
      <c r="C177" s="12">
        <f t="shared" si="9"/>
        <v>0</v>
      </c>
      <c r="D177" s="12">
        <f t="shared" si="10"/>
        <v>0</v>
      </c>
      <c r="E177" s="10">
        <f t="shared" si="11"/>
        <v>0</v>
      </c>
    </row>
    <row r="178" spans="1:5" ht="14.25" customHeight="1" x14ac:dyDescent="0.3">
      <c r="A178" s="44">
        <v>166</v>
      </c>
      <c r="B178" s="12">
        <f t="shared" si="8"/>
        <v>0</v>
      </c>
      <c r="C178" s="12">
        <f t="shared" si="9"/>
        <v>0</v>
      </c>
      <c r="D178" s="12">
        <f t="shared" si="10"/>
        <v>0</v>
      </c>
      <c r="E178" s="10">
        <f t="shared" si="11"/>
        <v>0</v>
      </c>
    </row>
    <row r="179" spans="1:5" ht="14.25" customHeight="1" x14ac:dyDescent="0.3">
      <c r="A179" s="44">
        <v>167</v>
      </c>
      <c r="B179" s="12">
        <f t="shared" si="8"/>
        <v>0</v>
      </c>
      <c r="C179" s="12">
        <f t="shared" si="9"/>
        <v>0</v>
      </c>
      <c r="D179" s="12">
        <f t="shared" si="10"/>
        <v>0</v>
      </c>
      <c r="E179" s="10">
        <f t="shared" si="11"/>
        <v>0</v>
      </c>
    </row>
    <row r="180" spans="1:5" ht="14.25" customHeight="1" x14ac:dyDescent="0.3">
      <c r="A180" s="44">
        <v>168</v>
      </c>
      <c r="B180" s="12">
        <f t="shared" si="8"/>
        <v>0</v>
      </c>
      <c r="C180" s="12">
        <f t="shared" si="9"/>
        <v>0</v>
      </c>
      <c r="D180" s="12">
        <f t="shared" si="10"/>
        <v>0</v>
      </c>
      <c r="E180" s="10">
        <f t="shared" si="11"/>
        <v>0</v>
      </c>
    </row>
    <row r="181" spans="1:5" ht="14.25" customHeight="1" x14ac:dyDescent="0.3">
      <c r="A181" s="44">
        <v>169</v>
      </c>
      <c r="B181" s="12">
        <f t="shared" si="8"/>
        <v>0</v>
      </c>
      <c r="C181" s="12">
        <f t="shared" si="9"/>
        <v>0</v>
      </c>
      <c r="D181" s="12">
        <f t="shared" si="10"/>
        <v>0</v>
      </c>
      <c r="E181" s="10">
        <f t="shared" si="11"/>
        <v>0</v>
      </c>
    </row>
    <row r="182" spans="1:5" ht="14.25" customHeight="1" x14ac:dyDescent="0.3">
      <c r="A182" s="44">
        <v>170</v>
      </c>
      <c r="B182" s="12">
        <f t="shared" si="8"/>
        <v>0</v>
      </c>
      <c r="C182" s="12">
        <f t="shared" si="9"/>
        <v>0</v>
      </c>
      <c r="D182" s="12">
        <f t="shared" si="10"/>
        <v>0</v>
      </c>
      <c r="E182" s="10">
        <f t="shared" si="11"/>
        <v>0</v>
      </c>
    </row>
    <row r="183" spans="1:5" ht="14.25" customHeight="1" x14ac:dyDescent="0.3">
      <c r="A183" s="44">
        <v>171</v>
      </c>
      <c r="B183" s="12">
        <f t="shared" si="8"/>
        <v>0</v>
      </c>
      <c r="C183" s="12">
        <f t="shared" si="9"/>
        <v>0</v>
      </c>
      <c r="D183" s="12">
        <f t="shared" si="10"/>
        <v>0</v>
      </c>
      <c r="E183" s="10">
        <f t="shared" si="11"/>
        <v>0</v>
      </c>
    </row>
    <row r="184" spans="1:5" ht="14.25" customHeight="1" x14ac:dyDescent="0.3">
      <c r="A184" s="44">
        <v>172</v>
      </c>
      <c r="B184" s="12">
        <f t="shared" si="8"/>
        <v>0</v>
      </c>
      <c r="C184" s="12">
        <f t="shared" si="9"/>
        <v>0</v>
      </c>
      <c r="D184" s="12">
        <f t="shared" si="10"/>
        <v>0</v>
      </c>
      <c r="E184" s="10">
        <f t="shared" si="11"/>
        <v>0</v>
      </c>
    </row>
    <row r="185" spans="1:5" ht="14.25" customHeight="1" x14ac:dyDescent="0.3">
      <c r="A185" s="44">
        <v>173</v>
      </c>
      <c r="B185" s="12">
        <f t="shared" si="8"/>
        <v>0</v>
      </c>
      <c r="C185" s="12">
        <f t="shared" si="9"/>
        <v>0</v>
      </c>
      <c r="D185" s="12">
        <f t="shared" si="10"/>
        <v>0</v>
      </c>
      <c r="E185" s="10">
        <f t="shared" si="11"/>
        <v>0</v>
      </c>
    </row>
    <row r="186" spans="1:5" ht="14.25" customHeight="1" x14ac:dyDescent="0.3">
      <c r="A186" s="44">
        <v>174</v>
      </c>
      <c r="B186" s="12">
        <f t="shared" si="8"/>
        <v>0</v>
      </c>
      <c r="C186" s="12">
        <f t="shared" si="9"/>
        <v>0</v>
      </c>
      <c r="D186" s="12">
        <f t="shared" si="10"/>
        <v>0</v>
      </c>
      <c r="E186" s="10">
        <f t="shared" si="11"/>
        <v>0</v>
      </c>
    </row>
    <row r="187" spans="1:5" ht="14.25" customHeight="1" x14ac:dyDescent="0.3">
      <c r="A187" s="44">
        <v>175</v>
      </c>
      <c r="B187" s="12">
        <f t="shared" si="8"/>
        <v>0</v>
      </c>
      <c r="C187" s="12">
        <f t="shared" si="9"/>
        <v>0</v>
      </c>
      <c r="D187" s="12">
        <f t="shared" si="10"/>
        <v>0</v>
      </c>
      <c r="E187" s="10">
        <f t="shared" si="11"/>
        <v>0</v>
      </c>
    </row>
    <row r="188" spans="1:5" ht="14.25" customHeight="1" x14ac:dyDescent="0.3">
      <c r="A188" s="44">
        <v>176</v>
      </c>
      <c r="B188" s="12">
        <f t="shared" si="8"/>
        <v>0</v>
      </c>
      <c r="C188" s="12">
        <f t="shared" si="9"/>
        <v>0</v>
      </c>
      <c r="D188" s="12">
        <f t="shared" si="10"/>
        <v>0</v>
      </c>
      <c r="E188" s="10">
        <f t="shared" si="11"/>
        <v>0</v>
      </c>
    </row>
    <row r="189" spans="1:5" ht="14.25" customHeight="1" x14ac:dyDescent="0.3">
      <c r="A189" s="44">
        <v>177</v>
      </c>
      <c r="B189" s="12">
        <f t="shared" si="8"/>
        <v>0</v>
      </c>
      <c r="C189" s="12">
        <f t="shared" si="9"/>
        <v>0</v>
      </c>
      <c r="D189" s="12">
        <f t="shared" si="10"/>
        <v>0</v>
      </c>
      <c r="E189" s="10">
        <f t="shared" si="11"/>
        <v>0</v>
      </c>
    </row>
    <row r="190" spans="1:5" ht="14.25" customHeight="1" x14ac:dyDescent="0.3">
      <c r="A190" s="44">
        <v>178</v>
      </c>
      <c r="B190" s="12">
        <f t="shared" si="8"/>
        <v>0</v>
      </c>
      <c r="C190" s="12">
        <f t="shared" si="9"/>
        <v>0</v>
      </c>
      <c r="D190" s="12">
        <f t="shared" si="10"/>
        <v>0</v>
      </c>
      <c r="E190" s="10">
        <f t="shared" si="11"/>
        <v>0</v>
      </c>
    </row>
    <row r="191" spans="1:5" ht="14.25" customHeight="1" x14ac:dyDescent="0.3">
      <c r="A191" s="44">
        <v>179</v>
      </c>
      <c r="B191" s="12">
        <f t="shared" si="8"/>
        <v>0</v>
      </c>
      <c r="C191" s="12">
        <f t="shared" si="9"/>
        <v>0</v>
      </c>
      <c r="D191" s="12">
        <f t="shared" si="10"/>
        <v>0</v>
      </c>
      <c r="E191" s="10">
        <f t="shared" si="11"/>
        <v>0</v>
      </c>
    </row>
    <row r="192" spans="1:5" ht="14.25" customHeight="1" x14ac:dyDescent="0.3">
      <c r="A192" s="44">
        <v>180</v>
      </c>
      <c r="B192" s="12">
        <f t="shared" si="8"/>
        <v>0</v>
      </c>
      <c r="C192" s="12">
        <f t="shared" si="9"/>
        <v>0</v>
      </c>
      <c r="D192" s="12">
        <f t="shared" si="10"/>
        <v>0</v>
      </c>
      <c r="E192" s="10">
        <f t="shared" si="11"/>
        <v>0</v>
      </c>
    </row>
    <row r="193" spans="1:5" ht="14.25" customHeight="1" x14ac:dyDescent="0.3">
      <c r="A193" s="44">
        <v>181</v>
      </c>
      <c r="B193" s="12">
        <f t="shared" si="8"/>
        <v>0</v>
      </c>
      <c r="C193" s="12">
        <f t="shared" si="9"/>
        <v>0</v>
      </c>
      <c r="D193" s="12">
        <f t="shared" si="10"/>
        <v>0</v>
      </c>
      <c r="E193" s="10">
        <f t="shared" si="11"/>
        <v>0</v>
      </c>
    </row>
    <row r="194" spans="1:5" ht="14.25" customHeight="1" x14ac:dyDescent="0.3">
      <c r="A194" s="44">
        <v>182</v>
      </c>
      <c r="B194" s="12">
        <f t="shared" si="8"/>
        <v>0</v>
      </c>
      <c r="C194" s="12">
        <f t="shared" si="9"/>
        <v>0</v>
      </c>
      <c r="D194" s="12">
        <f t="shared" si="10"/>
        <v>0</v>
      </c>
      <c r="E194" s="10">
        <f t="shared" si="11"/>
        <v>0</v>
      </c>
    </row>
    <row r="195" spans="1:5" ht="14.25" customHeight="1" x14ac:dyDescent="0.3">
      <c r="A195" s="44">
        <v>183</v>
      </c>
      <c r="B195" s="12">
        <f t="shared" si="8"/>
        <v>0</v>
      </c>
      <c r="C195" s="12">
        <f t="shared" si="9"/>
        <v>0</v>
      </c>
      <c r="D195" s="12">
        <f t="shared" si="10"/>
        <v>0</v>
      </c>
      <c r="E195" s="10">
        <f t="shared" si="11"/>
        <v>0</v>
      </c>
    </row>
    <row r="196" spans="1:5" ht="14.25" customHeight="1" x14ac:dyDescent="0.3">
      <c r="A196" s="44">
        <v>184</v>
      </c>
      <c r="B196" s="12">
        <f t="shared" si="8"/>
        <v>0</v>
      </c>
      <c r="C196" s="12">
        <f t="shared" si="9"/>
        <v>0</v>
      </c>
      <c r="D196" s="12">
        <f t="shared" si="10"/>
        <v>0</v>
      </c>
      <c r="E196" s="10">
        <f t="shared" si="11"/>
        <v>0</v>
      </c>
    </row>
    <row r="197" spans="1:5" ht="14.25" customHeight="1" x14ac:dyDescent="0.3">
      <c r="A197" s="44">
        <v>185</v>
      </c>
      <c r="B197" s="12">
        <f t="shared" si="8"/>
        <v>0</v>
      </c>
      <c r="C197" s="12">
        <f t="shared" si="9"/>
        <v>0</v>
      </c>
      <c r="D197" s="12">
        <f t="shared" si="10"/>
        <v>0</v>
      </c>
      <c r="E197" s="10">
        <f t="shared" si="11"/>
        <v>0</v>
      </c>
    </row>
    <row r="198" spans="1:5" ht="14.25" customHeight="1" x14ac:dyDescent="0.3">
      <c r="A198" s="44">
        <v>186</v>
      </c>
      <c r="B198" s="12">
        <f t="shared" si="8"/>
        <v>0</v>
      </c>
      <c r="C198" s="12">
        <f t="shared" si="9"/>
        <v>0</v>
      </c>
      <c r="D198" s="12">
        <f t="shared" si="10"/>
        <v>0</v>
      </c>
      <c r="E198" s="10">
        <f t="shared" si="11"/>
        <v>0</v>
      </c>
    </row>
    <row r="199" spans="1:5" ht="14.25" customHeight="1" x14ac:dyDescent="0.3">
      <c r="A199" s="44">
        <v>187</v>
      </c>
      <c r="B199" s="12">
        <f t="shared" si="8"/>
        <v>0</v>
      </c>
      <c r="C199" s="12">
        <f t="shared" si="9"/>
        <v>0</v>
      </c>
      <c r="D199" s="12">
        <f t="shared" si="10"/>
        <v>0</v>
      </c>
      <c r="E199" s="10">
        <f t="shared" si="11"/>
        <v>0</v>
      </c>
    </row>
    <row r="200" spans="1:5" ht="14.25" customHeight="1" x14ac:dyDescent="0.3">
      <c r="A200" s="44">
        <v>188</v>
      </c>
      <c r="B200" s="12">
        <f t="shared" si="8"/>
        <v>0</v>
      </c>
      <c r="C200" s="12">
        <f t="shared" si="9"/>
        <v>0</v>
      </c>
      <c r="D200" s="12">
        <f t="shared" si="10"/>
        <v>0</v>
      </c>
      <c r="E200" s="10">
        <f t="shared" si="11"/>
        <v>0</v>
      </c>
    </row>
    <row r="201" spans="1:5" ht="14.25" customHeight="1" x14ac:dyDescent="0.3">
      <c r="A201" s="44">
        <v>189</v>
      </c>
      <c r="B201" s="12">
        <f t="shared" si="8"/>
        <v>0</v>
      </c>
      <c r="C201" s="12">
        <f t="shared" si="9"/>
        <v>0</v>
      </c>
      <c r="D201" s="12">
        <f t="shared" si="10"/>
        <v>0</v>
      </c>
      <c r="E201" s="10">
        <f t="shared" si="11"/>
        <v>0</v>
      </c>
    </row>
    <row r="202" spans="1:5" ht="14.25" customHeight="1" x14ac:dyDescent="0.3">
      <c r="A202" s="44">
        <v>190</v>
      </c>
      <c r="B202" s="12">
        <f t="shared" si="8"/>
        <v>0</v>
      </c>
      <c r="C202" s="12">
        <f t="shared" si="9"/>
        <v>0</v>
      </c>
      <c r="D202" s="12">
        <f t="shared" si="10"/>
        <v>0</v>
      </c>
      <c r="E202" s="10">
        <f t="shared" si="11"/>
        <v>0</v>
      </c>
    </row>
    <row r="203" spans="1:5" ht="14.25" customHeight="1" x14ac:dyDescent="0.3">
      <c r="A203" s="44">
        <v>191</v>
      </c>
      <c r="B203" s="12">
        <f t="shared" si="8"/>
        <v>0</v>
      </c>
      <c r="C203" s="12">
        <f t="shared" si="9"/>
        <v>0</v>
      </c>
      <c r="D203" s="12">
        <f t="shared" si="10"/>
        <v>0</v>
      </c>
      <c r="E203" s="10">
        <f t="shared" si="11"/>
        <v>0</v>
      </c>
    </row>
    <row r="204" spans="1:5" ht="14.25" customHeight="1" x14ac:dyDescent="0.3">
      <c r="A204" s="44">
        <v>192</v>
      </c>
      <c r="B204" s="12">
        <f t="shared" si="8"/>
        <v>0</v>
      </c>
      <c r="C204" s="12">
        <f t="shared" si="9"/>
        <v>0</v>
      </c>
      <c r="D204" s="12">
        <f t="shared" si="10"/>
        <v>0</v>
      </c>
      <c r="E204" s="10">
        <f t="shared" si="11"/>
        <v>0</v>
      </c>
    </row>
    <row r="205" spans="1:5" ht="14.25" customHeight="1" x14ac:dyDescent="0.3">
      <c r="A205" s="44">
        <v>193</v>
      </c>
      <c r="B205" s="12">
        <f t="shared" ref="B205:B268" si="12">IF($B$9&lt;=E204,$B$9,E204+E204*$B$7/$B$8)</f>
        <v>0</v>
      </c>
      <c r="C205" s="12">
        <f t="shared" ref="C205:C268" si="13">IF(B205&gt;0,$B$7/$B$8*E204,0)</f>
        <v>0</v>
      </c>
      <c r="D205" s="12">
        <f t="shared" ref="D205:D268" si="14">IF(B205&gt;0,MIN(B205-C205,E204),0)</f>
        <v>0</v>
      </c>
      <c r="E205" s="10">
        <f t="shared" ref="E205:E268" si="15">IF(ROUND(E204,5)&gt;0,E204-D205,0)</f>
        <v>0</v>
      </c>
    </row>
    <row r="206" spans="1:5" ht="14.25" customHeight="1" x14ac:dyDescent="0.3">
      <c r="A206" s="44">
        <v>194</v>
      </c>
      <c r="B206" s="12">
        <f t="shared" si="12"/>
        <v>0</v>
      </c>
      <c r="C206" s="12">
        <f t="shared" si="13"/>
        <v>0</v>
      </c>
      <c r="D206" s="12">
        <f t="shared" si="14"/>
        <v>0</v>
      </c>
      <c r="E206" s="10">
        <f t="shared" si="15"/>
        <v>0</v>
      </c>
    </row>
    <row r="207" spans="1:5" ht="14.25" customHeight="1" x14ac:dyDescent="0.3">
      <c r="A207" s="44">
        <v>195</v>
      </c>
      <c r="B207" s="12">
        <f t="shared" si="12"/>
        <v>0</v>
      </c>
      <c r="C207" s="12">
        <f t="shared" si="13"/>
        <v>0</v>
      </c>
      <c r="D207" s="12">
        <f t="shared" si="14"/>
        <v>0</v>
      </c>
      <c r="E207" s="10">
        <f t="shared" si="15"/>
        <v>0</v>
      </c>
    </row>
    <row r="208" spans="1:5" ht="14.25" customHeight="1" x14ac:dyDescent="0.3">
      <c r="A208" s="44">
        <v>196</v>
      </c>
      <c r="B208" s="12">
        <f t="shared" si="12"/>
        <v>0</v>
      </c>
      <c r="C208" s="12">
        <f t="shared" si="13"/>
        <v>0</v>
      </c>
      <c r="D208" s="12">
        <f t="shared" si="14"/>
        <v>0</v>
      </c>
      <c r="E208" s="10">
        <f t="shared" si="15"/>
        <v>0</v>
      </c>
    </row>
    <row r="209" spans="1:5" ht="14.25" customHeight="1" x14ac:dyDescent="0.3">
      <c r="A209" s="44">
        <v>197</v>
      </c>
      <c r="B209" s="12">
        <f t="shared" si="12"/>
        <v>0</v>
      </c>
      <c r="C209" s="12">
        <f t="shared" si="13"/>
        <v>0</v>
      </c>
      <c r="D209" s="12">
        <f t="shared" si="14"/>
        <v>0</v>
      </c>
      <c r="E209" s="10">
        <f t="shared" si="15"/>
        <v>0</v>
      </c>
    </row>
    <row r="210" spans="1:5" ht="14.25" customHeight="1" x14ac:dyDescent="0.3">
      <c r="A210" s="44">
        <v>198</v>
      </c>
      <c r="B210" s="12">
        <f t="shared" si="12"/>
        <v>0</v>
      </c>
      <c r="C210" s="12">
        <f t="shared" si="13"/>
        <v>0</v>
      </c>
      <c r="D210" s="12">
        <f t="shared" si="14"/>
        <v>0</v>
      </c>
      <c r="E210" s="10">
        <f t="shared" si="15"/>
        <v>0</v>
      </c>
    </row>
    <row r="211" spans="1:5" ht="14.25" customHeight="1" x14ac:dyDescent="0.3">
      <c r="A211" s="44">
        <v>199</v>
      </c>
      <c r="B211" s="12">
        <f t="shared" si="12"/>
        <v>0</v>
      </c>
      <c r="C211" s="12">
        <f t="shared" si="13"/>
        <v>0</v>
      </c>
      <c r="D211" s="12">
        <f t="shared" si="14"/>
        <v>0</v>
      </c>
      <c r="E211" s="10">
        <f t="shared" si="15"/>
        <v>0</v>
      </c>
    </row>
    <row r="212" spans="1:5" ht="14.25" customHeight="1" x14ac:dyDescent="0.3">
      <c r="A212" s="44">
        <v>200</v>
      </c>
      <c r="B212" s="12">
        <f t="shared" si="12"/>
        <v>0</v>
      </c>
      <c r="C212" s="12">
        <f t="shared" si="13"/>
        <v>0</v>
      </c>
      <c r="D212" s="12">
        <f t="shared" si="14"/>
        <v>0</v>
      </c>
      <c r="E212" s="10">
        <f t="shared" si="15"/>
        <v>0</v>
      </c>
    </row>
    <row r="213" spans="1:5" ht="14.25" customHeight="1" x14ac:dyDescent="0.3">
      <c r="A213" s="44">
        <v>201</v>
      </c>
      <c r="B213" s="12">
        <f t="shared" si="12"/>
        <v>0</v>
      </c>
      <c r="C213" s="12">
        <f t="shared" si="13"/>
        <v>0</v>
      </c>
      <c r="D213" s="12">
        <f t="shared" si="14"/>
        <v>0</v>
      </c>
      <c r="E213" s="10">
        <f t="shared" si="15"/>
        <v>0</v>
      </c>
    </row>
    <row r="214" spans="1:5" ht="14.25" customHeight="1" x14ac:dyDescent="0.3">
      <c r="A214" s="44">
        <v>202</v>
      </c>
      <c r="B214" s="12">
        <f t="shared" si="12"/>
        <v>0</v>
      </c>
      <c r="C214" s="12">
        <f t="shared" si="13"/>
        <v>0</v>
      </c>
      <c r="D214" s="12">
        <f t="shared" si="14"/>
        <v>0</v>
      </c>
      <c r="E214" s="10">
        <f t="shared" si="15"/>
        <v>0</v>
      </c>
    </row>
    <row r="215" spans="1:5" ht="14.25" customHeight="1" x14ac:dyDescent="0.3">
      <c r="A215" s="44">
        <v>203</v>
      </c>
      <c r="B215" s="12">
        <f t="shared" si="12"/>
        <v>0</v>
      </c>
      <c r="C215" s="12">
        <f t="shared" si="13"/>
        <v>0</v>
      </c>
      <c r="D215" s="12">
        <f t="shared" si="14"/>
        <v>0</v>
      </c>
      <c r="E215" s="10">
        <f t="shared" si="15"/>
        <v>0</v>
      </c>
    </row>
    <row r="216" spans="1:5" ht="14.25" customHeight="1" x14ac:dyDescent="0.3">
      <c r="A216" s="44">
        <v>204</v>
      </c>
      <c r="B216" s="12">
        <f t="shared" si="12"/>
        <v>0</v>
      </c>
      <c r="C216" s="12">
        <f t="shared" si="13"/>
        <v>0</v>
      </c>
      <c r="D216" s="12">
        <f t="shared" si="14"/>
        <v>0</v>
      </c>
      <c r="E216" s="10">
        <f t="shared" si="15"/>
        <v>0</v>
      </c>
    </row>
    <row r="217" spans="1:5" ht="14.25" customHeight="1" x14ac:dyDescent="0.3">
      <c r="A217" s="44">
        <v>205</v>
      </c>
      <c r="B217" s="12">
        <f t="shared" si="12"/>
        <v>0</v>
      </c>
      <c r="C217" s="12">
        <f t="shared" si="13"/>
        <v>0</v>
      </c>
      <c r="D217" s="12">
        <f t="shared" si="14"/>
        <v>0</v>
      </c>
      <c r="E217" s="10">
        <f t="shared" si="15"/>
        <v>0</v>
      </c>
    </row>
    <row r="218" spans="1:5" ht="14.25" customHeight="1" x14ac:dyDescent="0.3">
      <c r="A218" s="44">
        <v>206</v>
      </c>
      <c r="B218" s="12">
        <f t="shared" si="12"/>
        <v>0</v>
      </c>
      <c r="C218" s="12">
        <f t="shared" si="13"/>
        <v>0</v>
      </c>
      <c r="D218" s="12">
        <f t="shared" si="14"/>
        <v>0</v>
      </c>
      <c r="E218" s="10">
        <f t="shared" si="15"/>
        <v>0</v>
      </c>
    </row>
    <row r="219" spans="1:5" ht="14.25" customHeight="1" x14ac:dyDescent="0.3">
      <c r="A219" s="44">
        <v>207</v>
      </c>
      <c r="B219" s="12">
        <f t="shared" si="12"/>
        <v>0</v>
      </c>
      <c r="C219" s="12">
        <f t="shared" si="13"/>
        <v>0</v>
      </c>
      <c r="D219" s="12">
        <f t="shared" si="14"/>
        <v>0</v>
      </c>
      <c r="E219" s="10">
        <f t="shared" si="15"/>
        <v>0</v>
      </c>
    </row>
    <row r="220" spans="1:5" ht="14.25" customHeight="1" x14ac:dyDescent="0.3">
      <c r="A220" s="44">
        <v>208</v>
      </c>
      <c r="B220" s="12">
        <f t="shared" si="12"/>
        <v>0</v>
      </c>
      <c r="C220" s="12">
        <f t="shared" si="13"/>
        <v>0</v>
      </c>
      <c r="D220" s="12">
        <f t="shared" si="14"/>
        <v>0</v>
      </c>
      <c r="E220" s="10">
        <f t="shared" si="15"/>
        <v>0</v>
      </c>
    </row>
    <row r="221" spans="1:5" ht="14.25" customHeight="1" x14ac:dyDescent="0.3">
      <c r="A221" s="44">
        <v>209</v>
      </c>
      <c r="B221" s="12">
        <f t="shared" si="12"/>
        <v>0</v>
      </c>
      <c r="C221" s="12">
        <f t="shared" si="13"/>
        <v>0</v>
      </c>
      <c r="D221" s="12">
        <f t="shared" si="14"/>
        <v>0</v>
      </c>
      <c r="E221" s="10">
        <f t="shared" si="15"/>
        <v>0</v>
      </c>
    </row>
    <row r="222" spans="1:5" ht="14.25" customHeight="1" x14ac:dyDescent="0.3">
      <c r="A222" s="44">
        <v>210</v>
      </c>
      <c r="B222" s="12">
        <f t="shared" si="12"/>
        <v>0</v>
      </c>
      <c r="C222" s="12">
        <f t="shared" si="13"/>
        <v>0</v>
      </c>
      <c r="D222" s="12">
        <f t="shared" si="14"/>
        <v>0</v>
      </c>
      <c r="E222" s="10">
        <f t="shared" si="15"/>
        <v>0</v>
      </c>
    </row>
    <row r="223" spans="1:5" ht="14.25" customHeight="1" x14ac:dyDescent="0.3">
      <c r="A223" s="44">
        <v>211</v>
      </c>
      <c r="B223" s="12">
        <f t="shared" si="12"/>
        <v>0</v>
      </c>
      <c r="C223" s="12">
        <f t="shared" si="13"/>
        <v>0</v>
      </c>
      <c r="D223" s="12">
        <f t="shared" si="14"/>
        <v>0</v>
      </c>
      <c r="E223" s="10">
        <f t="shared" si="15"/>
        <v>0</v>
      </c>
    </row>
    <row r="224" spans="1:5" ht="14.25" customHeight="1" x14ac:dyDescent="0.3">
      <c r="A224" s="44">
        <v>212</v>
      </c>
      <c r="B224" s="12">
        <f t="shared" si="12"/>
        <v>0</v>
      </c>
      <c r="C224" s="12">
        <f t="shared" si="13"/>
        <v>0</v>
      </c>
      <c r="D224" s="12">
        <f t="shared" si="14"/>
        <v>0</v>
      </c>
      <c r="E224" s="10">
        <f t="shared" si="15"/>
        <v>0</v>
      </c>
    </row>
    <row r="225" spans="1:5" ht="14.25" customHeight="1" x14ac:dyDescent="0.3">
      <c r="A225" s="44">
        <v>213</v>
      </c>
      <c r="B225" s="12">
        <f t="shared" si="12"/>
        <v>0</v>
      </c>
      <c r="C225" s="12">
        <f t="shared" si="13"/>
        <v>0</v>
      </c>
      <c r="D225" s="12">
        <f t="shared" si="14"/>
        <v>0</v>
      </c>
      <c r="E225" s="10">
        <f t="shared" si="15"/>
        <v>0</v>
      </c>
    </row>
    <row r="226" spans="1:5" ht="14.25" customHeight="1" x14ac:dyDescent="0.3">
      <c r="A226" s="44">
        <v>214</v>
      </c>
      <c r="B226" s="12">
        <f t="shared" si="12"/>
        <v>0</v>
      </c>
      <c r="C226" s="12">
        <f t="shared" si="13"/>
        <v>0</v>
      </c>
      <c r="D226" s="12">
        <f t="shared" si="14"/>
        <v>0</v>
      </c>
      <c r="E226" s="10">
        <f t="shared" si="15"/>
        <v>0</v>
      </c>
    </row>
    <row r="227" spans="1:5" ht="14.25" customHeight="1" x14ac:dyDescent="0.3">
      <c r="A227" s="44">
        <v>215</v>
      </c>
      <c r="B227" s="12">
        <f t="shared" si="12"/>
        <v>0</v>
      </c>
      <c r="C227" s="12">
        <f t="shared" si="13"/>
        <v>0</v>
      </c>
      <c r="D227" s="12">
        <f t="shared" si="14"/>
        <v>0</v>
      </c>
      <c r="E227" s="10">
        <f t="shared" si="15"/>
        <v>0</v>
      </c>
    </row>
    <row r="228" spans="1:5" ht="14.25" customHeight="1" x14ac:dyDescent="0.3">
      <c r="A228" s="44">
        <v>216</v>
      </c>
      <c r="B228" s="12">
        <f t="shared" si="12"/>
        <v>0</v>
      </c>
      <c r="C228" s="12">
        <f t="shared" si="13"/>
        <v>0</v>
      </c>
      <c r="D228" s="12">
        <f t="shared" si="14"/>
        <v>0</v>
      </c>
      <c r="E228" s="10">
        <f t="shared" si="15"/>
        <v>0</v>
      </c>
    </row>
    <row r="229" spans="1:5" ht="14.25" customHeight="1" x14ac:dyDescent="0.3">
      <c r="A229" s="44">
        <v>217</v>
      </c>
      <c r="B229" s="12">
        <f t="shared" si="12"/>
        <v>0</v>
      </c>
      <c r="C229" s="12">
        <f t="shared" si="13"/>
        <v>0</v>
      </c>
      <c r="D229" s="12">
        <f t="shared" si="14"/>
        <v>0</v>
      </c>
      <c r="E229" s="10">
        <f t="shared" si="15"/>
        <v>0</v>
      </c>
    </row>
    <row r="230" spans="1:5" ht="14.25" customHeight="1" x14ac:dyDescent="0.3">
      <c r="A230" s="44">
        <v>218</v>
      </c>
      <c r="B230" s="12">
        <f t="shared" si="12"/>
        <v>0</v>
      </c>
      <c r="C230" s="12">
        <f t="shared" si="13"/>
        <v>0</v>
      </c>
      <c r="D230" s="12">
        <f t="shared" si="14"/>
        <v>0</v>
      </c>
      <c r="E230" s="10">
        <f t="shared" si="15"/>
        <v>0</v>
      </c>
    </row>
    <row r="231" spans="1:5" ht="14.25" customHeight="1" x14ac:dyDescent="0.3">
      <c r="A231" s="44">
        <v>219</v>
      </c>
      <c r="B231" s="12">
        <f t="shared" si="12"/>
        <v>0</v>
      </c>
      <c r="C231" s="12">
        <f t="shared" si="13"/>
        <v>0</v>
      </c>
      <c r="D231" s="12">
        <f t="shared" si="14"/>
        <v>0</v>
      </c>
      <c r="E231" s="10">
        <f t="shared" si="15"/>
        <v>0</v>
      </c>
    </row>
    <row r="232" spans="1:5" ht="14.25" customHeight="1" x14ac:dyDescent="0.3">
      <c r="A232" s="44">
        <v>220</v>
      </c>
      <c r="B232" s="12">
        <f t="shared" si="12"/>
        <v>0</v>
      </c>
      <c r="C232" s="12">
        <f t="shared" si="13"/>
        <v>0</v>
      </c>
      <c r="D232" s="12">
        <f t="shared" si="14"/>
        <v>0</v>
      </c>
      <c r="E232" s="10">
        <f t="shared" si="15"/>
        <v>0</v>
      </c>
    </row>
    <row r="233" spans="1:5" ht="14.25" customHeight="1" x14ac:dyDescent="0.3">
      <c r="A233" s="44">
        <v>221</v>
      </c>
      <c r="B233" s="12">
        <f t="shared" si="12"/>
        <v>0</v>
      </c>
      <c r="C233" s="12">
        <f t="shared" si="13"/>
        <v>0</v>
      </c>
      <c r="D233" s="12">
        <f t="shared" si="14"/>
        <v>0</v>
      </c>
      <c r="E233" s="10">
        <f t="shared" si="15"/>
        <v>0</v>
      </c>
    </row>
    <row r="234" spans="1:5" ht="14.25" customHeight="1" x14ac:dyDescent="0.3">
      <c r="A234" s="44">
        <v>222</v>
      </c>
      <c r="B234" s="12">
        <f t="shared" si="12"/>
        <v>0</v>
      </c>
      <c r="C234" s="12">
        <f t="shared" si="13"/>
        <v>0</v>
      </c>
      <c r="D234" s="12">
        <f t="shared" si="14"/>
        <v>0</v>
      </c>
      <c r="E234" s="10">
        <f t="shared" si="15"/>
        <v>0</v>
      </c>
    </row>
    <row r="235" spans="1:5" ht="14.25" customHeight="1" x14ac:dyDescent="0.3">
      <c r="A235" s="44">
        <v>223</v>
      </c>
      <c r="B235" s="12">
        <f t="shared" si="12"/>
        <v>0</v>
      </c>
      <c r="C235" s="12">
        <f t="shared" si="13"/>
        <v>0</v>
      </c>
      <c r="D235" s="12">
        <f t="shared" si="14"/>
        <v>0</v>
      </c>
      <c r="E235" s="10">
        <f t="shared" si="15"/>
        <v>0</v>
      </c>
    </row>
    <row r="236" spans="1:5" ht="14.25" customHeight="1" x14ac:dyDescent="0.3">
      <c r="A236" s="44">
        <v>224</v>
      </c>
      <c r="B236" s="12">
        <f t="shared" si="12"/>
        <v>0</v>
      </c>
      <c r="C236" s="12">
        <f t="shared" si="13"/>
        <v>0</v>
      </c>
      <c r="D236" s="12">
        <f t="shared" si="14"/>
        <v>0</v>
      </c>
      <c r="E236" s="10">
        <f t="shared" si="15"/>
        <v>0</v>
      </c>
    </row>
    <row r="237" spans="1:5" ht="14.25" customHeight="1" x14ac:dyDescent="0.3">
      <c r="A237" s="44">
        <v>225</v>
      </c>
      <c r="B237" s="12">
        <f t="shared" si="12"/>
        <v>0</v>
      </c>
      <c r="C237" s="12">
        <f t="shared" si="13"/>
        <v>0</v>
      </c>
      <c r="D237" s="12">
        <f t="shared" si="14"/>
        <v>0</v>
      </c>
      <c r="E237" s="10">
        <f t="shared" si="15"/>
        <v>0</v>
      </c>
    </row>
    <row r="238" spans="1:5" ht="14.25" customHeight="1" x14ac:dyDescent="0.3">
      <c r="A238" s="44">
        <v>226</v>
      </c>
      <c r="B238" s="12">
        <f t="shared" si="12"/>
        <v>0</v>
      </c>
      <c r="C238" s="12">
        <f t="shared" si="13"/>
        <v>0</v>
      </c>
      <c r="D238" s="12">
        <f t="shared" si="14"/>
        <v>0</v>
      </c>
      <c r="E238" s="10">
        <f t="shared" si="15"/>
        <v>0</v>
      </c>
    </row>
    <row r="239" spans="1:5" ht="14.25" customHeight="1" x14ac:dyDescent="0.3">
      <c r="A239" s="44">
        <v>227</v>
      </c>
      <c r="B239" s="12">
        <f t="shared" si="12"/>
        <v>0</v>
      </c>
      <c r="C239" s="12">
        <f t="shared" si="13"/>
        <v>0</v>
      </c>
      <c r="D239" s="12">
        <f t="shared" si="14"/>
        <v>0</v>
      </c>
      <c r="E239" s="10">
        <f t="shared" si="15"/>
        <v>0</v>
      </c>
    </row>
    <row r="240" spans="1:5" ht="14.25" customHeight="1" x14ac:dyDescent="0.3">
      <c r="A240" s="44">
        <v>228</v>
      </c>
      <c r="B240" s="12">
        <f t="shared" si="12"/>
        <v>0</v>
      </c>
      <c r="C240" s="12">
        <f t="shared" si="13"/>
        <v>0</v>
      </c>
      <c r="D240" s="12">
        <f t="shared" si="14"/>
        <v>0</v>
      </c>
      <c r="E240" s="10">
        <f t="shared" si="15"/>
        <v>0</v>
      </c>
    </row>
    <row r="241" spans="1:5" ht="14.25" customHeight="1" x14ac:dyDescent="0.3">
      <c r="A241" s="44">
        <v>229</v>
      </c>
      <c r="B241" s="12">
        <f t="shared" si="12"/>
        <v>0</v>
      </c>
      <c r="C241" s="12">
        <f t="shared" si="13"/>
        <v>0</v>
      </c>
      <c r="D241" s="12">
        <f t="shared" si="14"/>
        <v>0</v>
      </c>
      <c r="E241" s="10">
        <f t="shared" si="15"/>
        <v>0</v>
      </c>
    </row>
    <row r="242" spans="1:5" ht="14.25" customHeight="1" x14ac:dyDescent="0.3">
      <c r="A242" s="44">
        <v>230</v>
      </c>
      <c r="B242" s="12">
        <f t="shared" si="12"/>
        <v>0</v>
      </c>
      <c r="C242" s="12">
        <f t="shared" si="13"/>
        <v>0</v>
      </c>
      <c r="D242" s="12">
        <f t="shared" si="14"/>
        <v>0</v>
      </c>
      <c r="E242" s="10">
        <f t="shared" si="15"/>
        <v>0</v>
      </c>
    </row>
    <row r="243" spans="1:5" ht="14.25" customHeight="1" x14ac:dyDescent="0.3">
      <c r="A243" s="44">
        <v>231</v>
      </c>
      <c r="B243" s="12">
        <f t="shared" si="12"/>
        <v>0</v>
      </c>
      <c r="C243" s="12">
        <f t="shared" si="13"/>
        <v>0</v>
      </c>
      <c r="D243" s="12">
        <f t="shared" si="14"/>
        <v>0</v>
      </c>
      <c r="E243" s="10">
        <f t="shared" si="15"/>
        <v>0</v>
      </c>
    </row>
    <row r="244" spans="1:5" ht="14.25" customHeight="1" x14ac:dyDescent="0.3">
      <c r="A244" s="44">
        <v>232</v>
      </c>
      <c r="B244" s="12">
        <f t="shared" si="12"/>
        <v>0</v>
      </c>
      <c r="C244" s="12">
        <f t="shared" si="13"/>
        <v>0</v>
      </c>
      <c r="D244" s="12">
        <f t="shared" si="14"/>
        <v>0</v>
      </c>
      <c r="E244" s="10">
        <f t="shared" si="15"/>
        <v>0</v>
      </c>
    </row>
    <row r="245" spans="1:5" ht="14.25" customHeight="1" x14ac:dyDescent="0.3">
      <c r="A245" s="44">
        <v>233</v>
      </c>
      <c r="B245" s="12">
        <f t="shared" si="12"/>
        <v>0</v>
      </c>
      <c r="C245" s="12">
        <f t="shared" si="13"/>
        <v>0</v>
      </c>
      <c r="D245" s="12">
        <f t="shared" si="14"/>
        <v>0</v>
      </c>
      <c r="E245" s="10">
        <f t="shared" si="15"/>
        <v>0</v>
      </c>
    </row>
    <row r="246" spans="1:5" ht="14.25" customHeight="1" x14ac:dyDescent="0.3">
      <c r="A246" s="44">
        <v>234</v>
      </c>
      <c r="B246" s="12">
        <f t="shared" si="12"/>
        <v>0</v>
      </c>
      <c r="C246" s="12">
        <f t="shared" si="13"/>
        <v>0</v>
      </c>
      <c r="D246" s="12">
        <f t="shared" si="14"/>
        <v>0</v>
      </c>
      <c r="E246" s="10">
        <f t="shared" si="15"/>
        <v>0</v>
      </c>
    </row>
    <row r="247" spans="1:5" ht="14.25" customHeight="1" x14ac:dyDescent="0.3">
      <c r="A247" s="44">
        <v>235</v>
      </c>
      <c r="B247" s="12">
        <f t="shared" si="12"/>
        <v>0</v>
      </c>
      <c r="C247" s="12">
        <f t="shared" si="13"/>
        <v>0</v>
      </c>
      <c r="D247" s="12">
        <f t="shared" si="14"/>
        <v>0</v>
      </c>
      <c r="E247" s="10">
        <f t="shared" si="15"/>
        <v>0</v>
      </c>
    </row>
    <row r="248" spans="1:5" ht="14.25" customHeight="1" x14ac:dyDescent="0.3">
      <c r="A248" s="44">
        <v>236</v>
      </c>
      <c r="B248" s="12">
        <f t="shared" si="12"/>
        <v>0</v>
      </c>
      <c r="C248" s="12">
        <f t="shared" si="13"/>
        <v>0</v>
      </c>
      <c r="D248" s="12">
        <f t="shared" si="14"/>
        <v>0</v>
      </c>
      <c r="E248" s="10">
        <f t="shared" si="15"/>
        <v>0</v>
      </c>
    </row>
    <row r="249" spans="1:5" ht="14.25" customHeight="1" x14ac:dyDescent="0.3">
      <c r="A249" s="44">
        <v>237</v>
      </c>
      <c r="B249" s="12">
        <f t="shared" si="12"/>
        <v>0</v>
      </c>
      <c r="C249" s="12">
        <f t="shared" si="13"/>
        <v>0</v>
      </c>
      <c r="D249" s="12">
        <f t="shared" si="14"/>
        <v>0</v>
      </c>
      <c r="E249" s="10">
        <f t="shared" si="15"/>
        <v>0</v>
      </c>
    </row>
    <row r="250" spans="1:5" ht="14.25" customHeight="1" x14ac:dyDescent="0.3">
      <c r="A250" s="44">
        <v>238</v>
      </c>
      <c r="B250" s="12">
        <f t="shared" si="12"/>
        <v>0</v>
      </c>
      <c r="C250" s="12">
        <f t="shared" si="13"/>
        <v>0</v>
      </c>
      <c r="D250" s="12">
        <f t="shared" si="14"/>
        <v>0</v>
      </c>
      <c r="E250" s="10">
        <f t="shared" si="15"/>
        <v>0</v>
      </c>
    </row>
    <row r="251" spans="1:5" ht="14.25" customHeight="1" x14ac:dyDescent="0.3">
      <c r="A251" s="44">
        <v>239</v>
      </c>
      <c r="B251" s="12">
        <f t="shared" si="12"/>
        <v>0</v>
      </c>
      <c r="C251" s="12">
        <f t="shared" si="13"/>
        <v>0</v>
      </c>
      <c r="D251" s="12">
        <f t="shared" si="14"/>
        <v>0</v>
      </c>
      <c r="E251" s="10">
        <f t="shared" si="15"/>
        <v>0</v>
      </c>
    </row>
    <row r="252" spans="1:5" ht="14.25" customHeight="1" x14ac:dyDescent="0.3">
      <c r="A252" s="44">
        <v>240</v>
      </c>
      <c r="B252" s="12">
        <f t="shared" si="12"/>
        <v>0</v>
      </c>
      <c r="C252" s="12">
        <f t="shared" si="13"/>
        <v>0</v>
      </c>
      <c r="D252" s="12">
        <f t="shared" si="14"/>
        <v>0</v>
      </c>
      <c r="E252" s="10">
        <f t="shared" si="15"/>
        <v>0</v>
      </c>
    </row>
    <row r="253" spans="1:5" ht="14.25" customHeight="1" x14ac:dyDescent="0.3">
      <c r="A253" s="44">
        <v>241</v>
      </c>
      <c r="B253" s="12">
        <f t="shared" si="12"/>
        <v>0</v>
      </c>
      <c r="C253" s="12">
        <f t="shared" si="13"/>
        <v>0</v>
      </c>
      <c r="D253" s="12">
        <f t="shared" si="14"/>
        <v>0</v>
      </c>
      <c r="E253" s="10">
        <f t="shared" si="15"/>
        <v>0</v>
      </c>
    </row>
    <row r="254" spans="1:5" ht="14.25" customHeight="1" x14ac:dyDescent="0.3">
      <c r="A254" s="44">
        <v>242</v>
      </c>
      <c r="B254" s="12">
        <f t="shared" si="12"/>
        <v>0</v>
      </c>
      <c r="C254" s="12">
        <f t="shared" si="13"/>
        <v>0</v>
      </c>
      <c r="D254" s="12">
        <f t="shared" si="14"/>
        <v>0</v>
      </c>
      <c r="E254" s="10">
        <f t="shared" si="15"/>
        <v>0</v>
      </c>
    </row>
    <row r="255" spans="1:5" ht="14.25" customHeight="1" x14ac:dyDescent="0.3">
      <c r="A255" s="44">
        <v>243</v>
      </c>
      <c r="B255" s="12">
        <f t="shared" si="12"/>
        <v>0</v>
      </c>
      <c r="C255" s="12">
        <f t="shared" si="13"/>
        <v>0</v>
      </c>
      <c r="D255" s="12">
        <f t="shared" si="14"/>
        <v>0</v>
      </c>
      <c r="E255" s="10">
        <f t="shared" si="15"/>
        <v>0</v>
      </c>
    </row>
    <row r="256" spans="1:5" ht="14.25" customHeight="1" x14ac:dyDescent="0.3">
      <c r="A256" s="44">
        <v>244</v>
      </c>
      <c r="B256" s="12">
        <f t="shared" si="12"/>
        <v>0</v>
      </c>
      <c r="C256" s="12">
        <f t="shared" si="13"/>
        <v>0</v>
      </c>
      <c r="D256" s="12">
        <f t="shared" si="14"/>
        <v>0</v>
      </c>
      <c r="E256" s="10">
        <f t="shared" si="15"/>
        <v>0</v>
      </c>
    </row>
    <row r="257" spans="1:5" ht="14.25" customHeight="1" x14ac:dyDescent="0.3">
      <c r="A257" s="44">
        <v>245</v>
      </c>
      <c r="B257" s="12">
        <f t="shared" si="12"/>
        <v>0</v>
      </c>
      <c r="C257" s="12">
        <f t="shared" si="13"/>
        <v>0</v>
      </c>
      <c r="D257" s="12">
        <f t="shared" si="14"/>
        <v>0</v>
      </c>
      <c r="E257" s="10">
        <f t="shared" si="15"/>
        <v>0</v>
      </c>
    </row>
    <row r="258" spans="1:5" ht="14.25" customHeight="1" x14ac:dyDescent="0.3">
      <c r="A258" s="44">
        <v>246</v>
      </c>
      <c r="B258" s="12">
        <f t="shared" si="12"/>
        <v>0</v>
      </c>
      <c r="C258" s="12">
        <f t="shared" si="13"/>
        <v>0</v>
      </c>
      <c r="D258" s="12">
        <f t="shared" si="14"/>
        <v>0</v>
      </c>
      <c r="E258" s="10">
        <f t="shared" si="15"/>
        <v>0</v>
      </c>
    </row>
    <row r="259" spans="1:5" ht="14.25" customHeight="1" x14ac:dyDescent="0.3">
      <c r="A259" s="44">
        <v>247</v>
      </c>
      <c r="B259" s="12">
        <f t="shared" si="12"/>
        <v>0</v>
      </c>
      <c r="C259" s="12">
        <f t="shared" si="13"/>
        <v>0</v>
      </c>
      <c r="D259" s="12">
        <f t="shared" si="14"/>
        <v>0</v>
      </c>
      <c r="E259" s="10">
        <f t="shared" si="15"/>
        <v>0</v>
      </c>
    </row>
    <row r="260" spans="1:5" ht="14.25" customHeight="1" x14ac:dyDescent="0.3">
      <c r="A260" s="44">
        <v>248</v>
      </c>
      <c r="B260" s="12">
        <f t="shared" si="12"/>
        <v>0</v>
      </c>
      <c r="C260" s="12">
        <f t="shared" si="13"/>
        <v>0</v>
      </c>
      <c r="D260" s="12">
        <f t="shared" si="14"/>
        <v>0</v>
      </c>
      <c r="E260" s="10">
        <f t="shared" si="15"/>
        <v>0</v>
      </c>
    </row>
    <row r="261" spans="1:5" ht="14.25" customHeight="1" x14ac:dyDescent="0.3">
      <c r="A261" s="44">
        <v>249</v>
      </c>
      <c r="B261" s="12">
        <f t="shared" si="12"/>
        <v>0</v>
      </c>
      <c r="C261" s="12">
        <f t="shared" si="13"/>
        <v>0</v>
      </c>
      <c r="D261" s="12">
        <f t="shared" si="14"/>
        <v>0</v>
      </c>
      <c r="E261" s="10">
        <f t="shared" si="15"/>
        <v>0</v>
      </c>
    </row>
    <row r="262" spans="1:5" ht="14.25" customHeight="1" x14ac:dyDescent="0.3">
      <c r="A262" s="44">
        <v>250</v>
      </c>
      <c r="B262" s="12">
        <f t="shared" si="12"/>
        <v>0</v>
      </c>
      <c r="C262" s="12">
        <f t="shared" si="13"/>
        <v>0</v>
      </c>
      <c r="D262" s="12">
        <f t="shared" si="14"/>
        <v>0</v>
      </c>
      <c r="E262" s="10">
        <f t="shared" si="15"/>
        <v>0</v>
      </c>
    </row>
    <row r="263" spans="1:5" ht="14.25" customHeight="1" x14ac:dyDescent="0.3">
      <c r="A263" s="44">
        <v>251</v>
      </c>
      <c r="B263" s="12">
        <f t="shared" si="12"/>
        <v>0</v>
      </c>
      <c r="C263" s="12">
        <f t="shared" si="13"/>
        <v>0</v>
      </c>
      <c r="D263" s="12">
        <f t="shared" si="14"/>
        <v>0</v>
      </c>
      <c r="E263" s="10">
        <f t="shared" si="15"/>
        <v>0</v>
      </c>
    </row>
    <row r="264" spans="1:5" ht="14.25" customHeight="1" x14ac:dyDescent="0.3">
      <c r="A264" s="44">
        <v>252</v>
      </c>
      <c r="B264" s="12">
        <f t="shared" si="12"/>
        <v>0</v>
      </c>
      <c r="C264" s="12">
        <f t="shared" si="13"/>
        <v>0</v>
      </c>
      <c r="D264" s="12">
        <f t="shared" si="14"/>
        <v>0</v>
      </c>
      <c r="E264" s="10">
        <f t="shared" si="15"/>
        <v>0</v>
      </c>
    </row>
    <row r="265" spans="1:5" ht="14.25" customHeight="1" x14ac:dyDescent="0.3">
      <c r="A265" s="44">
        <v>253</v>
      </c>
      <c r="B265" s="12">
        <f t="shared" si="12"/>
        <v>0</v>
      </c>
      <c r="C265" s="12">
        <f t="shared" si="13"/>
        <v>0</v>
      </c>
      <c r="D265" s="12">
        <f t="shared" si="14"/>
        <v>0</v>
      </c>
      <c r="E265" s="10">
        <f t="shared" si="15"/>
        <v>0</v>
      </c>
    </row>
    <row r="266" spans="1:5" ht="14.25" customHeight="1" x14ac:dyDescent="0.3">
      <c r="A266" s="44">
        <v>254</v>
      </c>
      <c r="B266" s="12">
        <f t="shared" si="12"/>
        <v>0</v>
      </c>
      <c r="C266" s="12">
        <f t="shared" si="13"/>
        <v>0</v>
      </c>
      <c r="D266" s="12">
        <f t="shared" si="14"/>
        <v>0</v>
      </c>
      <c r="E266" s="10">
        <f t="shared" si="15"/>
        <v>0</v>
      </c>
    </row>
    <row r="267" spans="1:5" ht="14.25" customHeight="1" x14ac:dyDescent="0.3">
      <c r="A267" s="44">
        <v>255</v>
      </c>
      <c r="B267" s="12">
        <f t="shared" si="12"/>
        <v>0</v>
      </c>
      <c r="C267" s="12">
        <f t="shared" si="13"/>
        <v>0</v>
      </c>
      <c r="D267" s="12">
        <f t="shared" si="14"/>
        <v>0</v>
      </c>
      <c r="E267" s="10">
        <f t="shared" si="15"/>
        <v>0</v>
      </c>
    </row>
    <row r="268" spans="1:5" ht="14.25" customHeight="1" x14ac:dyDescent="0.3">
      <c r="A268" s="44">
        <v>256</v>
      </c>
      <c r="B268" s="12">
        <f t="shared" si="12"/>
        <v>0</v>
      </c>
      <c r="C268" s="12">
        <f t="shared" si="13"/>
        <v>0</v>
      </c>
      <c r="D268" s="12">
        <f t="shared" si="14"/>
        <v>0</v>
      </c>
      <c r="E268" s="10">
        <f t="shared" si="15"/>
        <v>0</v>
      </c>
    </row>
    <row r="269" spans="1:5" ht="14.25" customHeight="1" x14ac:dyDescent="0.3">
      <c r="A269" s="44">
        <v>257</v>
      </c>
      <c r="B269" s="12">
        <f t="shared" ref="B269:B332" si="16">IF($B$9&lt;=E268,$B$9,E268+E268*$B$7/$B$8)</f>
        <v>0</v>
      </c>
      <c r="C269" s="12">
        <f t="shared" ref="C269:C332" si="17">IF(B269&gt;0,$B$7/$B$8*E268,0)</f>
        <v>0</v>
      </c>
      <c r="D269" s="12">
        <f t="shared" ref="D269:D332" si="18">IF(B269&gt;0,MIN(B269-C269,E268),0)</f>
        <v>0</v>
      </c>
      <c r="E269" s="10">
        <f t="shared" ref="E269:E332" si="19">IF(ROUND(E268,5)&gt;0,E268-D269,0)</f>
        <v>0</v>
      </c>
    </row>
    <row r="270" spans="1:5" ht="14.25" customHeight="1" x14ac:dyDescent="0.3">
      <c r="A270" s="44">
        <v>258</v>
      </c>
      <c r="B270" s="12">
        <f t="shared" si="16"/>
        <v>0</v>
      </c>
      <c r="C270" s="12">
        <f t="shared" si="17"/>
        <v>0</v>
      </c>
      <c r="D270" s="12">
        <f t="shared" si="18"/>
        <v>0</v>
      </c>
      <c r="E270" s="10">
        <f t="shared" si="19"/>
        <v>0</v>
      </c>
    </row>
    <row r="271" spans="1:5" ht="14.25" customHeight="1" x14ac:dyDescent="0.3">
      <c r="A271" s="44">
        <v>259</v>
      </c>
      <c r="B271" s="12">
        <f t="shared" si="16"/>
        <v>0</v>
      </c>
      <c r="C271" s="12">
        <f t="shared" si="17"/>
        <v>0</v>
      </c>
      <c r="D271" s="12">
        <f t="shared" si="18"/>
        <v>0</v>
      </c>
      <c r="E271" s="10">
        <f t="shared" si="19"/>
        <v>0</v>
      </c>
    </row>
    <row r="272" spans="1:5" ht="14.25" customHeight="1" x14ac:dyDescent="0.3">
      <c r="A272" s="44">
        <v>260</v>
      </c>
      <c r="B272" s="12">
        <f t="shared" si="16"/>
        <v>0</v>
      </c>
      <c r="C272" s="12">
        <f t="shared" si="17"/>
        <v>0</v>
      </c>
      <c r="D272" s="12">
        <f t="shared" si="18"/>
        <v>0</v>
      </c>
      <c r="E272" s="10">
        <f t="shared" si="19"/>
        <v>0</v>
      </c>
    </row>
    <row r="273" spans="1:5" ht="14.25" customHeight="1" x14ac:dyDescent="0.3">
      <c r="A273" s="44">
        <v>261</v>
      </c>
      <c r="B273" s="12">
        <f t="shared" si="16"/>
        <v>0</v>
      </c>
      <c r="C273" s="12">
        <f t="shared" si="17"/>
        <v>0</v>
      </c>
      <c r="D273" s="12">
        <f t="shared" si="18"/>
        <v>0</v>
      </c>
      <c r="E273" s="10">
        <f t="shared" si="19"/>
        <v>0</v>
      </c>
    </row>
    <row r="274" spans="1:5" ht="14.25" customHeight="1" x14ac:dyDescent="0.3">
      <c r="A274" s="44">
        <v>262</v>
      </c>
      <c r="B274" s="12">
        <f t="shared" si="16"/>
        <v>0</v>
      </c>
      <c r="C274" s="12">
        <f t="shared" si="17"/>
        <v>0</v>
      </c>
      <c r="D274" s="12">
        <f t="shared" si="18"/>
        <v>0</v>
      </c>
      <c r="E274" s="10">
        <f t="shared" si="19"/>
        <v>0</v>
      </c>
    </row>
    <row r="275" spans="1:5" ht="14.25" customHeight="1" x14ac:dyDescent="0.3">
      <c r="A275" s="44">
        <v>263</v>
      </c>
      <c r="B275" s="12">
        <f t="shared" si="16"/>
        <v>0</v>
      </c>
      <c r="C275" s="12">
        <f t="shared" si="17"/>
        <v>0</v>
      </c>
      <c r="D275" s="12">
        <f t="shared" si="18"/>
        <v>0</v>
      </c>
      <c r="E275" s="10">
        <f t="shared" si="19"/>
        <v>0</v>
      </c>
    </row>
    <row r="276" spans="1:5" ht="14.25" customHeight="1" x14ac:dyDescent="0.3">
      <c r="A276" s="44">
        <v>264</v>
      </c>
      <c r="B276" s="12">
        <f t="shared" si="16"/>
        <v>0</v>
      </c>
      <c r="C276" s="12">
        <f t="shared" si="17"/>
        <v>0</v>
      </c>
      <c r="D276" s="12">
        <f t="shared" si="18"/>
        <v>0</v>
      </c>
      <c r="E276" s="10">
        <f t="shared" si="19"/>
        <v>0</v>
      </c>
    </row>
    <row r="277" spans="1:5" ht="14.25" customHeight="1" x14ac:dyDescent="0.3">
      <c r="A277" s="44">
        <v>265</v>
      </c>
      <c r="B277" s="12">
        <f t="shared" si="16"/>
        <v>0</v>
      </c>
      <c r="C277" s="12">
        <f t="shared" si="17"/>
        <v>0</v>
      </c>
      <c r="D277" s="12">
        <f t="shared" si="18"/>
        <v>0</v>
      </c>
      <c r="E277" s="10">
        <f t="shared" si="19"/>
        <v>0</v>
      </c>
    </row>
    <row r="278" spans="1:5" ht="14.25" customHeight="1" x14ac:dyDescent="0.3">
      <c r="A278" s="44">
        <v>266</v>
      </c>
      <c r="B278" s="12">
        <f t="shared" si="16"/>
        <v>0</v>
      </c>
      <c r="C278" s="12">
        <f t="shared" si="17"/>
        <v>0</v>
      </c>
      <c r="D278" s="12">
        <f t="shared" si="18"/>
        <v>0</v>
      </c>
      <c r="E278" s="10">
        <f t="shared" si="19"/>
        <v>0</v>
      </c>
    </row>
    <row r="279" spans="1:5" ht="14.25" customHeight="1" x14ac:dyDescent="0.3">
      <c r="A279" s="44">
        <v>267</v>
      </c>
      <c r="B279" s="12">
        <f t="shared" si="16"/>
        <v>0</v>
      </c>
      <c r="C279" s="12">
        <f t="shared" si="17"/>
        <v>0</v>
      </c>
      <c r="D279" s="12">
        <f t="shared" si="18"/>
        <v>0</v>
      </c>
      <c r="E279" s="10">
        <f t="shared" si="19"/>
        <v>0</v>
      </c>
    </row>
    <row r="280" spans="1:5" ht="14.25" customHeight="1" x14ac:dyDescent="0.3">
      <c r="A280" s="44">
        <v>268</v>
      </c>
      <c r="B280" s="12">
        <f t="shared" si="16"/>
        <v>0</v>
      </c>
      <c r="C280" s="12">
        <f t="shared" si="17"/>
        <v>0</v>
      </c>
      <c r="D280" s="12">
        <f t="shared" si="18"/>
        <v>0</v>
      </c>
      <c r="E280" s="10">
        <f t="shared" si="19"/>
        <v>0</v>
      </c>
    </row>
    <row r="281" spans="1:5" ht="14.25" customHeight="1" x14ac:dyDescent="0.3">
      <c r="A281" s="44">
        <v>269</v>
      </c>
      <c r="B281" s="12">
        <f t="shared" si="16"/>
        <v>0</v>
      </c>
      <c r="C281" s="12">
        <f t="shared" si="17"/>
        <v>0</v>
      </c>
      <c r="D281" s="12">
        <f t="shared" si="18"/>
        <v>0</v>
      </c>
      <c r="E281" s="10">
        <f t="shared" si="19"/>
        <v>0</v>
      </c>
    </row>
    <row r="282" spans="1:5" ht="14.25" customHeight="1" x14ac:dyDescent="0.3">
      <c r="A282" s="44">
        <v>270</v>
      </c>
      <c r="B282" s="12">
        <f t="shared" si="16"/>
        <v>0</v>
      </c>
      <c r="C282" s="12">
        <f t="shared" si="17"/>
        <v>0</v>
      </c>
      <c r="D282" s="12">
        <f t="shared" si="18"/>
        <v>0</v>
      </c>
      <c r="E282" s="10">
        <f t="shared" si="19"/>
        <v>0</v>
      </c>
    </row>
    <row r="283" spans="1:5" ht="14.25" customHeight="1" x14ac:dyDescent="0.3">
      <c r="A283" s="44">
        <v>271</v>
      </c>
      <c r="B283" s="12">
        <f t="shared" si="16"/>
        <v>0</v>
      </c>
      <c r="C283" s="12">
        <f t="shared" si="17"/>
        <v>0</v>
      </c>
      <c r="D283" s="12">
        <f t="shared" si="18"/>
        <v>0</v>
      </c>
      <c r="E283" s="10">
        <f t="shared" si="19"/>
        <v>0</v>
      </c>
    </row>
    <row r="284" spans="1:5" ht="14.25" customHeight="1" x14ac:dyDescent="0.3">
      <c r="A284" s="44">
        <v>272</v>
      </c>
      <c r="B284" s="12">
        <f t="shared" si="16"/>
        <v>0</v>
      </c>
      <c r="C284" s="12">
        <f t="shared" si="17"/>
        <v>0</v>
      </c>
      <c r="D284" s="12">
        <f t="shared" si="18"/>
        <v>0</v>
      </c>
      <c r="E284" s="10">
        <f t="shared" si="19"/>
        <v>0</v>
      </c>
    </row>
    <row r="285" spans="1:5" ht="14.25" customHeight="1" x14ac:dyDescent="0.3">
      <c r="A285" s="44">
        <v>273</v>
      </c>
      <c r="B285" s="12">
        <f t="shared" si="16"/>
        <v>0</v>
      </c>
      <c r="C285" s="12">
        <f t="shared" si="17"/>
        <v>0</v>
      </c>
      <c r="D285" s="12">
        <f t="shared" si="18"/>
        <v>0</v>
      </c>
      <c r="E285" s="10">
        <f t="shared" si="19"/>
        <v>0</v>
      </c>
    </row>
    <row r="286" spans="1:5" ht="14.25" customHeight="1" x14ac:dyDescent="0.3">
      <c r="A286" s="44">
        <v>274</v>
      </c>
      <c r="B286" s="12">
        <f t="shared" si="16"/>
        <v>0</v>
      </c>
      <c r="C286" s="12">
        <f t="shared" si="17"/>
        <v>0</v>
      </c>
      <c r="D286" s="12">
        <f t="shared" si="18"/>
        <v>0</v>
      </c>
      <c r="E286" s="10">
        <f t="shared" si="19"/>
        <v>0</v>
      </c>
    </row>
    <row r="287" spans="1:5" ht="14.25" customHeight="1" x14ac:dyDescent="0.3">
      <c r="A287" s="44">
        <v>275</v>
      </c>
      <c r="B287" s="12">
        <f t="shared" si="16"/>
        <v>0</v>
      </c>
      <c r="C287" s="12">
        <f t="shared" si="17"/>
        <v>0</v>
      </c>
      <c r="D287" s="12">
        <f t="shared" si="18"/>
        <v>0</v>
      </c>
      <c r="E287" s="10">
        <f t="shared" si="19"/>
        <v>0</v>
      </c>
    </row>
    <row r="288" spans="1:5" ht="14.25" customHeight="1" x14ac:dyDescent="0.3">
      <c r="A288" s="44">
        <v>276</v>
      </c>
      <c r="B288" s="12">
        <f t="shared" si="16"/>
        <v>0</v>
      </c>
      <c r="C288" s="12">
        <f t="shared" si="17"/>
        <v>0</v>
      </c>
      <c r="D288" s="12">
        <f t="shared" si="18"/>
        <v>0</v>
      </c>
      <c r="E288" s="10">
        <f t="shared" si="19"/>
        <v>0</v>
      </c>
    </row>
    <row r="289" spans="1:5" ht="14.25" customHeight="1" x14ac:dyDescent="0.3">
      <c r="A289" s="44">
        <v>277</v>
      </c>
      <c r="B289" s="12">
        <f t="shared" si="16"/>
        <v>0</v>
      </c>
      <c r="C289" s="12">
        <f t="shared" si="17"/>
        <v>0</v>
      </c>
      <c r="D289" s="12">
        <f t="shared" si="18"/>
        <v>0</v>
      </c>
      <c r="E289" s="10">
        <f t="shared" si="19"/>
        <v>0</v>
      </c>
    </row>
    <row r="290" spans="1:5" ht="14.25" customHeight="1" x14ac:dyDescent="0.3">
      <c r="A290" s="44">
        <v>278</v>
      </c>
      <c r="B290" s="12">
        <f t="shared" si="16"/>
        <v>0</v>
      </c>
      <c r="C290" s="12">
        <f t="shared" si="17"/>
        <v>0</v>
      </c>
      <c r="D290" s="12">
        <f t="shared" si="18"/>
        <v>0</v>
      </c>
      <c r="E290" s="10">
        <f t="shared" si="19"/>
        <v>0</v>
      </c>
    </row>
    <row r="291" spans="1:5" ht="14.25" customHeight="1" x14ac:dyDescent="0.3">
      <c r="A291" s="44">
        <v>279</v>
      </c>
      <c r="B291" s="12">
        <f t="shared" si="16"/>
        <v>0</v>
      </c>
      <c r="C291" s="12">
        <f t="shared" si="17"/>
        <v>0</v>
      </c>
      <c r="D291" s="12">
        <f t="shared" si="18"/>
        <v>0</v>
      </c>
      <c r="E291" s="10">
        <f t="shared" si="19"/>
        <v>0</v>
      </c>
    </row>
    <row r="292" spans="1:5" ht="14.25" customHeight="1" x14ac:dyDescent="0.3">
      <c r="A292" s="44">
        <v>280</v>
      </c>
      <c r="B292" s="12">
        <f t="shared" si="16"/>
        <v>0</v>
      </c>
      <c r="C292" s="12">
        <f t="shared" si="17"/>
        <v>0</v>
      </c>
      <c r="D292" s="12">
        <f t="shared" si="18"/>
        <v>0</v>
      </c>
      <c r="E292" s="10">
        <f t="shared" si="19"/>
        <v>0</v>
      </c>
    </row>
    <row r="293" spans="1:5" ht="14.25" customHeight="1" x14ac:dyDescent="0.3">
      <c r="A293" s="44">
        <v>281</v>
      </c>
      <c r="B293" s="12">
        <f t="shared" si="16"/>
        <v>0</v>
      </c>
      <c r="C293" s="12">
        <f t="shared" si="17"/>
        <v>0</v>
      </c>
      <c r="D293" s="12">
        <f t="shared" si="18"/>
        <v>0</v>
      </c>
      <c r="E293" s="10">
        <f t="shared" si="19"/>
        <v>0</v>
      </c>
    </row>
    <row r="294" spans="1:5" ht="14.25" customHeight="1" x14ac:dyDescent="0.3">
      <c r="A294" s="44">
        <v>282</v>
      </c>
      <c r="B294" s="12">
        <f t="shared" si="16"/>
        <v>0</v>
      </c>
      <c r="C294" s="12">
        <f t="shared" si="17"/>
        <v>0</v>
      </c>
      <c r="D294" s="12">
        <f t="shared" si="18"/>
        <v>0</v>
      </c>
      <c r="E294" s="10">
        <f t="shared" si="19"/>
        <v>0</v>
      </c>
    </row>
    <row r="295" spans="1:5" ht="14.25" customHeight="1" x14ac:dyDescent="0.3">
      <c r="A295" s="44">
        <v>283</v>
      </c>
      <c r="B295" s="12">
        <f t="shared" si="16"/>
        <v>0</v>
      </c>
      <c r="C295" s="12">
        <f t="shared" si="17"/>
        <v>0</v>
      </c>
      <c r="D295" s="12">
        <f t="shared" si="18"/>
        <v>0</v>
      </c>
      <c r="E295" s="10">
        <f t="shared" si="19"/>
        <v>0</v>
      </c>
    </row>
    <row r="296" spans="1:5" ht="14.25" customHeight="1" x14ac:dyDescent="0.3">
      <c r="A296" s="44">
        <v>284</v>
      </c>
      <c r="B296" s="12">
        <f t="shared" si="16"/>
        <v>0</v>
      </c>
      <c r="C296" s="12">
        <f t="shared" si="17"/>
        <v>0</v>
      </c>
      <c r="D296" s="12">
        <f t="shared" si="18"/>
        <v>0</v>
      </c>
      <c r="E296" s="10">
        <f t="shared" si="19"/>
        <v>0</v>
      </c>
    </row>
    <row r="297" spans="1:5" ht="14.25" customHeight="1" x14ac:dyDescent="0.3">
      <c r="A297" s="44">
        <v>285</v>
      </c>
      <c r="B297" s="12">
        <f t="shared" si="16"/>
        <v>0</v>
      </c>
      <c r="C297" s="12">
        <f t="shared" si="17"/>
        <v>0</v>
      </c>
      <c r="D297" s="12">
        <f t="shared" si="18"/>
        <v>0</v>
      </c>
      <c r="E297" s="10">
        <f t="shared" si="19"/>
        <v>0</v>
      </c>
    </row>
    <row r="298" spans="1:5" ht="14.25" customHeight="1" x14ac:dyDescent="0.3">
      <c r="A298" s="44">
        <v>286</v>
      </c>
      <c r="B298" s="12">
        <f t="shared" si="16"/>
        <v>0</v>
      </c>
      <c r="C298" s="12">
        <f t="shared" si="17"/>
        <v>0</v>
      </c>
      <c r="D298" s="12">
        <f t="shared" si="18"/>
        <v>0</v>
      </c>
      <c r="E298" s="10">
        <f t="shared" si="19"/>
        <v>0</v>
      </c>
    </row>
    <row r="299" spans="1:5" ht="14.25" customHeight="1" x14ac:dyDescent="0.3">
      <c r="A299" s="44">
        <v>287</v>
      </c>
      <c r="B299" s="12">
        <f t="shared" si="16"/>
        <v>0</v>
      </c>
      <c r="C299" s="12">
        <f t="shared" si="17"/>
        <v>0</v>
      </c>
      <c r="D299" s="12">
        <f t="shared" si="18"/>
        <v>0</v>
      </c>
      <c r="E299" s="10">
        <f t="shared" si="19"/>
        <v>0</v>
      </c>
    </row>
    <row r="300" spans="1:5" ht="14.25" customHeight="1" x14ac:dyDescent="0.3">
      <c r="A300" s="44">
        <v>288</v>
      </c>
      <c r="B300" s="12">
        <f t="shared" si="16"/>
        <v>0</v>
      </c>
      <c r="C300" s="12">
        <f t="shared" si="17"/>
        <v>0</v>
      </c>
      <c r="D300" s="12">
        <f t="shared" si="18"/>
        <v>0</v>
      </c>
      <c r="E300" s="10">
        <f t="shared" si="19"/>
        <v>0</v>
      </c>
    </row>
    <row r="301" spans="1:5" ht="14.25" customHeight="1" x14ac:dyDescent="0.3">
      <c r="A301" s="44">
        <v>289</v>
      </c>
      <c r="B301" s="12">
        <f t="shared" si="16"/>
        <v>0</v>
      </c>
      <c r="C301" s="12">
        <f t="shared" si="17"/>
        <v>0</v>
      </c>
      <c r="D301" s="12">
        <f t="shared" si="18"/>
        <v>0</v>
      </c>
      <c r="E301" s="10">
        <f t="shared" si="19"/>
        <v>0</v>
      </c>
    </row>
    <row r="302" spans="1:5" ht="14.25" customHeight="1" x14ac:dyDescent="0.3">
      <c r="A302" s="44">
        <v>290</v>
      </c>
      <c r="B302" s="12">
        <f t="shared" si="16"/>
        <v>0</v>
      </c>
      <c r="C302" s="12">
        <f t="shared" si="17"/>
        <v>0</v>
      </c>
      <c r="D302" s="12">
        <f t="shared" si="18"/>
        <v>0</v>
      </c>
      <c r="E302" s="10">
        <f t="shared" si="19"/>
        <v>0</v>
      </c>
    </row>
    <row r="303" spans="1:5" ht="14.25" customHeight="1" x14ac:dyDescent="0.3">
      <c r="A303" s="44">
        <v>291</v>
      </c>
      <c r="B303" s="12">
        <f t="shared" si="16"/>
        <v>0</v>
      </c>
      <c r="C303" s="12">
        <f t="shared" si="17"/>
        <v>0</v>
      </c>
      <c r="D303" s="12">
        <f t="shared" si="18"/>
        <v>0</v>
      </c>
      <c r="E303" s="10">
        <f t="shared" si="19"/>
        <v>0</v>
      </c>
    </row>
    <row r="304" spans="1:5" ht="14.25" customHeight="1" x14ac:dyDescent="0.3">
      <c r="A304" s="44">
        <v>292</v>
      </c>
      <c r="B304" s="12">
        <f t="shared" si="16"/>
        <v>0</v>
      </c>
      <c r="C304" s="12">
        <f t="shared" si="17"/>
        <v>0</v>
      </c>
      <c r="D304" s="12">
        <f t="shared" si="18"/>
        <v>0</v>
      </c>
      <c r="E304" s="10">
        <f t="shared" si="19"/>
        <v>0</v>
      </c>
    </row>
    <row r="305" spans="1:5" ht="14.25" customHeight="1" x14ac:dyDescent="0.3">
      <c r="A305" s="44">
        <v>293</v>
      </c>
      <c r="B305" s="12">
        <f t="shared" si="16"/>
        <v>0</v>
      </c>
      <c r="C305" s="12">
        <f t="shared" si="17"/>
        <v>0</v>
      </c>
      <c r="D305" s="12">
        <f t="shared" si="18"/>
        <v>0</v>
      </c>
      <c r="E305" s="10">
        <f t="shared" si="19"/>
        <v>0</v>
      </c>
    </row>
    <row r="306" spans="1:5" ht="14.25" customHeight="1" x14ac:dyDescent="0.3">
      <c r="A306" s="44">
        <v>294</v>
      </c>
      <c r="B306" s="12">
        <f t="shared" si="16"/>
        <v>0</v>
      </c>
      <c r="C306" s="12">
        <f t="shared" si="17"/>
        <v>0</v>
      </c>
      <c r="D306" s="12">
        <f t="shared" si="18"/>
        <v>0</v>
      </c>
      <c r="E306" s="10">
        <f t="shared" si="19"/>
        <v>0</v>
      </c>
    </row>
    <row r="307" spans="1:5" ht="14.25" customHeight="1" x14ac:dyDescent="0.3">
      <c r="A307" s="44">
        <v>295</v>
      </c>
      <c r="B307" s="12">
        <f t="shared" si="16"/>
        <v>0</v>
      </c>
      <c r="C307" s="12">
        <f t="shared" si="17"/>
        <v>0</v>
      </c>
      <c r="D307" s="12">
        <f t="shared" si="18"/>
        <v>0</v>
      </c>
      <c r="E307" s="10">
        <f t="shared" si="19"/>
        <v>0</v>
      </c>
    </row>
    <row r="308" spans="1:5" ht="14.25" customHeight="1" x14ac:dyDescent="0.3">
      <c r="A308" s="44">
        <v>296</v>
      </c>
      <c r="B308" s="12">
        <f t="shared" si="16"/>
        <v>0</v>
      </c>
      <c r="C308" s="12">
        <f t="shared" si="17"/>
        <v>0</v>
      </c>
      <c r="D308" s="12">
        <f t="shared" si="18"/>
        <v>0</v>
      </c>
      <c r="E308" s="10">
        <f t="shared" si="19"/>
        <v>0</v>
      </c>
    </row>
    <row r="309" spans="1:5" ht="14.25" customHeight="1" x14ac:dyDescent="0.3">
      <c r="A309" s="44">
        <v>297</v>
      </c>
      <c r="B309" s="12">
        <f t="shared" si="16"/>
        <v>0</v>
      </c>
      <c r="C309" s="12">
        <f t="shared" si="17"/>
        <v>0</v>
      </c>
      <c r="D309" s="12">
        <f t="shared" si="18"/>
        <v>0</v>
      </c>
      <c r="E309" s="10">
        <f t="shared" si="19"/>
        <v>0</v>
      </c>
    </row>
    <row r="310" spans="1:5" ht="14.25" customHeight="1" x14ac:dyDescent="0.3">
      <c r="A310" s="44">
        <v>298</v>
      </c>
      <c r="B310" s="12">
        <f t="shared" si="16"/>
        <v>0</v>
      </c>
      <c r="C310" s="12">
        <f t="shared" si="17"/>
        <v>0</v>
      </c>
      <c r="D310" s="12">
        <f t="shared" si="18"/>
        <v>0</v>
      </c>
      <c r="E310" s="10">
        <f t="shared" si="19"/>
        <v>0</v>
      </c>
    </row>
    <row r="311" spans="1:5" ht="14.25" customHeight="1" x14ac:dyDescent="0.3">
      <c r="A311" s="44">
        <v>299</v>
      </c>
      <c r="B311" s="12">
        <f t="shared" si="16"/>
        <v>0</v>
      </c>
      <c r="C311" s="12">
        <f t="shared" si="17"/>
        <v>0</v>
      </c>
      <c r="D311" s="12">
        <f t="shared" si="18"/>
        <v>0</v>
      </c>
      <c r="E311" s="10">
        <f t="shared" si="19"/>
        <v>0</v>
      </c>
    </row>
    <row r="312" spans="1:5" ht="14.25" customHeight="1" x14ac:dyDescent="0.3">
      <c r="A312" s="44">
        <v>300</v>
      </c>
      <c r="B312" s="12">
        <f t="shared" si="16"/>
        <v>0</v>
      </c>
      <c r="C312" s="12">
        <f t="shared" si="17"/>
        <v>0</v>
      </c>
      <c r="D312" s="12">
        <f t="shared" si="18"/>
        <v>0</v>
      </c>
      <c r="E312" s="10">
        <f t="shared" si="19"/>
        <v>0</v>
      </c>
    </row>
    <row r="313" spans="1:5" ht="14.25" customHeight="1" x14ac:dyDescent="0.3">
      <c r="A313" s="44">
        <v>301</v>
      </c>
      <c r="B313" s="12">
        <f t="shared" si="16"/>
        <v>0</v>
      </c>
      <c r="C313" s="12">
        <f t="shared" si="17"/>
        <v>0</v>
      </c>
      <c r="D313" s="12">
        <f t="shared" si="18"/>
        <v>0</v>
      </c>
      <c r="E313" s="10">
        <f t="shared" si="19"/>
        <v>0</v>
      </c>
    </row>
    <row r="314" spans="1:5" ht="14.25" customHeight="1" x14ac:dyDescent="0.3">
      <c r="A314" s="44">
        <v>302</v>
      </c>
      <c r="B314" s="12">
        <f t="shared" si="16"/>
        <v>0</v>
      </c>
      <c r="C314" s="12">
        <f t="shared" si="17"/>
        <v>0</v>
      </c>
      <c r="D314" s="12">
        <f t="shared" si="18"/>
        <v>0</v>
      </c>
      <c r="E314" s="10">
        <f t="shared" si="19"/>
        <v>0</v>
      </c>
    </row>
    <row r="315" spans="1:5" ht="14.25" customHeight="1" x14ac:dyDescent="0.3">
      <c r="A315" s="44">
        <v>303</v>
      </c>
      <c r="B315" s="12">
        <f t="shared" si="16"/>
        <v>0</v>
      </c>
      <c r="C315" s="12">
        <f t="shared" si="17"/>
        <v>0</v>
      </c>
      <c r="D315" s="12">
        <f t="shared" si="18"/>
        <v>0</v>
      </c>
      <c r="E315" s="10">
        <f t="shared" si="19"/>
        <v>0</v>
      </c>
    </row>
    <row r="316" spans="1:5" ht="14.25" customHeight="1" x14ac:dyDescent="0.3">
      <c r="A316" s="44">
        <v>304</v>
      </c>
      <c r="B316" s="12">
        <f t="shared" si="16"/>
        <v>0</v>
      </c>
      <c r="C316" s="12">
        <f t="shared" si="17"/>
        <v>0</v>
      </c>
      <c r="D316" s="12">
        <f t="shared" si="18"/>
        <v>0</v>
      </c>
      <c r="E316" s="10">
        <f t="shared" si="19"/>
        <v>0</v>
      </c>
    </row>
    <row r="317" spans="1:5" ht="14.25" customHeight="1" x14ac:dyDescent="0.3">
      <c r="A317" s="44">
        <v>305</v>
      </c>
      <c r="B317" s="12">
        <f t="shared" si="16"/>
        <v>0</v>
      </c>
      <c r="C317" s="12">
        <f t="shared" si="17"/>
        <v>0</v>
      </c>
      <c r="D317" s="12">
        <f t="shared" si="18"/>
        <v>0</v>
      </c>
      <c r="E317" s="10">
        <f t="shared" si="19"/>
        <v>0</v>
      </c>
    </row>
    <row r="318" spans="1:5" ht="14.25" customHeight="1" x14ac:dyDescent="0.3">
      <c r="A318" s="44">
        <v>306</v>
      </c>
      <c r="B318" s="12">
        <f t="shared" si="16"/>
        <v>0</v>
      </c>
      <c r="C318" s="12">
        <f t="shared" si="17"/>
        <v>0</v>
      </c>
      <c r="D318" s="12">
        <f t="shared" si="18"/>
        <v>0</v>
      </c>
      <c r="E318" s="10">
        <f t="shared" si="19"/>
        <v>0</v>
      </c>
    </row>
    <row r="319" spans="1:5" ht="14.25" customHeight="1" x14ac:dyDescent="0.3">
      <c r="A319" s="44">
        <v>307</v>
      </c>
      <c r="B319" s="12">
        <f t="shared" si="16"/>
        <v>0</v>
      </c>
      <c r="C319" s="12">
        <f t="shared" si="17"/>
        <v>0</v>
      </c>
      <c r="D319" s="12">
        <f t="shared" si="18"/>
        <v>0</v>
      </c>
      <c r="E319" s="10">
        <f t="shared" si="19"/>
        <v>0</v>
      </c>
    </row>
    <row r="320" spans="1:5" ht="14.25" customHeight="1" x14ac:dyDescent="0.3">
      <c r="A320" s="44">
        <v>308</v>
      </c>
      <c r="B320" s="12">
        <f t="shared" si="16"/>
        <v>0</v>
      </c>
      <c r="C320" s="12">
        <f t="shared" si="17"/>
        <v>0</v>
      </c>
      <c r="D320" s="12">
        <f t="shared" si="18"/>
        <v>0</v>
      </c>
      <c r="E320" s="10">
        <f t="shared" si="19"/>
        <v>0</v>
      </c>
    </row>
    <row r="321" spans="1:5" ht="14.25" customHeight="1" x14ac:dyDescent="0.3">
      <c r="A321" s="44">
        <v>309</v>
      </c>
      <c r="B321" s="12">
        <f t="shared" si="16"/>
        <v>0</v>
      </c>
      <c r="C321" s="12">
        <f t="shared" si="17"/>
        <v>0</v>
      </c>
      <c r="D321" s="12">
        <f t="shared" si="18"/>
        <v>0</v>
      </c>
      <c r="E321" s="10">
        <f t="shared" si="19"/>
        <v>0</v>
      </c>
    </row>
    <row r="322" spans="1:5" ht="14.25" customHeight="1" x14ac:dyDescent="0.3">
      <c r="A322" s="44">
        <v>310</v>
      </c>
      <c r="B322" s="12">
        <f t="shared" si="16"/>
        <v>0</v>
      </c>
      <c r="C322" s="12">
        <f t="shared" si="17"/>
        <v>0</v>
      </c>
      <c r="D322" s="12">
        <f t="shared" si="18"/>
        <v>0</v>
      </c>
      <c r="E322" s="10">
        <f t="shared" si="19"/>
        <v>0</v>
      </c>
    </row>
    <row r="323" spans="1:5" ht="14.25" customHeight="1" x14ac:dyDescent="0.3">
      <c r="A323" s="44">
        <v>311</v>
      </c>
      <c r="B323" s="12">
        <f t="shared" si="16"/>
        <v>0</v>
      </c>
      <c r="C323" s="12">
        <f t="shared" si="17"/>
        <v>0</v>
      </c>
      <c r="D323" s="12">
        <f t="shared" si="18"/>
        <v>0</v>
      </c>
      <c r="E323" s="10">
        <f t="shared" si="19"/>
        <v>0</v>
      </c>
    </row>
    <row r="324" spans="1:5" ht="14.25" customHeight="1" x14ac:dyDescent="0.3">
      <c r="A324" s="44">
        <v>312</v>
      </c>
      <c r="B324" s="12">
        <f t="shared" si="16"/>
        <v>0</v>
      </c>
      <c r="C324" s="12">
        <f t="shared" si="17"/>
        <v>0</v>
      </c>
      <c r="D324" s="12">
        <f t="shared" si="18"/>
        <v>0</v>
      </c>
      <c r="E324" s="10">
        <f t="shared" si="19"/>
        <v>0</v>
      </c>
    </row>
    <row r="325" spans="1:5" ht="14.25" customHeight="1" x14ac:dyDescent="0.3">
      <c r="A325" s="44">
        <v>313</v>
      </c>
      <c r="B325" s="12">
        <f t="shared" si="16"/>
        <v>0</v>
      </c>
      <c r="C325" s="12">
        <f t="shared" si="17"/>
        <v>0</v>
      </c>
      <c r="D325" s="12">
        <f t="shared" si="18"/>
        <v>0</v>
      </c>
      <c r="E325" s="10">
        <f t="shared" si="19"/>
        <v>0</v>
      </c>
    </row>
    <row r="326" spans="1:5" ht="14.25" customHeight="1" x14ac:dyDescent="0.3">
      <c r="A326" s="44">
        <v>314</v>
      </c>
      <c r="B326" s="12">
        <f t="shared" si="16"/>
        <v>0</v>
      </c>
      <c r="C326" s="12">
        <f t="shared" si="17"/>
        <v>0</v>
      </c>
      <c r="D326" s="12">
        <f t="shared" si="18"/>
        <v>0</v>
      </c>
      <c r="E326" s="10">
        <f t="shared" si="19"/>
        <v>0</v>
      </c>
    </row>
    <row r="327" spans="1:5" ht="14.25" customHeight="1" x14ac:dyDescent="0.3">
      <c r="A327" s="44">
        <v>315</v>
      </c>
      <c r="B327" s="12">
        <f t="shared" si="16"/>
        <v>0</v>
      </c>
      <c r="C327" s="12">
        <f t="shared" si="17"/>
        <v>0</v>
      </c>
      <c r="D327" s="12">
        <f t="shared" si="18"/>
        <v>0</v>
      </c>
      <c r="E327" s="10">
        <f t="shared" si="19"/>
        <v>0</v>
      </c>
    </row>
    <row r="328" spans="1:5" ht="14.25" customHeight="1" x14ac:dyDescent="0.3">
      <c r="A328" s="44">
        <v>316</v>
      </c>
      <c r="B328" s="12">
        <f t="shared" si="16"/>
        <v>0</v>
      </c>
      <c r="C328" s="12">
        <f t="shared" si="17"/>
        <v>0</v>
      </c>
      <c r="D328" s="12">
        <f t="shared" si="18"/>
        <v>0</v>
      </c>
      <c r="E328" s="10">
        <f t="shared" si="19"/>
        <v>0</v>
      </c>
    </row>
    <row r="329" spans="1:5" ht="14.25" customHeight="1" x14ac:dyDescent="0.3">
      <c r="A329" s="44">
        <v>317</v>
      </c>
      <c r="B329" s="12">
        <f t="shared" si="16"/>
        <v>0</v>
      </c>
      <c r="C329" s="12">
        <f t="shared" si="17"/>
        <v>0</v>
      </c>
      <c r="D329" s="12">
        <f t="shared" si="18"/>
        <v>0</v>
      </c>
      <c r="E329" s="10">
        <f t="shared" si="19"/>
        <v>0</v>
      </c>
    </row>
    <row r="330" spans="1:5" ht="14.25" customHeight="1" x14ac:dyDescent="0.3">
      <c r="A330" s="44">
        <v>318</v>
      </c>
      <c r="B330" s="12">
        <f t="shared" si="16"/>
        <v>0</v>
      </c>
      <c r="C330" s="12">
        <f t="shared" si="17"/>
        <v>0</v>
      </c>
      <c r="D330" s="12">
        <f t="shared" si="18"/>
        <v>0</v>
      </c>
      <c r="E330" s="10">
        <f t="shared" si="19"/>
        <v>0</v>
      </c>
    </row>
    <row r="331" spans="1:5" ht="14.25" customHeight="1" x14ac:dyDescent="0.3">
      <c r="A331" s="44">
        <v>319</v>
      </c>
      <c r="B331" s="12">
        <f t="shared" si="16"/>
        <v>0</v>
      </c>
      <c r="C331" s="12">
        <f t="shared" si="17"/>
        <v>0</v>
      </c>
      <c r="D331" s="12">
        <f t="shared" si="18"/>
        <v>0</v>
      </c>
      <c r="E331" s="10">
        <f t="shared" si="19"/>
        <v>0</v>
      </c>
    </row>
    <row r="332" spans="1:5" ht="14.25" customHeight="1" x14ac:dyDescent="0.3">
      <c r="A332" s="44">
        <v>320</v>
      </c>
      <c r="B332" s="12">
        <f t="shared" si="16"/>
        <v>0</v>
      </c>
      <c r="C332" s="12">
        <f t="shared" si="17"/>
        <v>0</v>
      </c>
      <c r="D332" s="12">
        <f t="shared" si="18"/>
        <v>0</v>
      </c>
      <c r="E332" s="10">
        <f t="shared" si="19"/>
        <v>0</v>
      </c>
    </row>
    <row r="333" spans="1:5" ht="14.25" customHeight="1" x14ac:dyDescent="0.3">
      <c r="A333" s="44">
        <v>321</v>
      </c>
      <c r="B333" s="12">
        <f t="shared" ref="B333:B372" si="20">IF($B$9&lt;=E332,$B$9,E332+E332*$B$7/$B$8)</f>
        <v>0</v>
      </c>
      <c r="C333" s="12">
        <f t="shared" ref="C333:C372" si="21">IF(B333&gt;0,$B$7/$B$8*E332,0)</f>
        <v>0</v>
      </c>
      <c r="D333" s="12">
        <f t="shared" ref="D333:D372" si="22">IF(B333&gt;0,MIN(B333-C333,E332),0)</f>
        <v>0</v>
      </c>
      <c r="E333" s="10">
        <f t="shared" ref="E333:E372" si="23">IF(ROUND(E332,5)&gt;0,E332-D333,0)</f>
        <v>0</v>
      </c>
    </row>
    <row r="334" spans="1:5" ht="14.25" customHeight="1" x14ac:dyDescent="0.3">
      <c r="A334" s="44">
        <v>322</v>
      </c>
      <c r="B334" s="12">
        <f t="shared" si="20"/>
        <v>0</v>
      </c>
      <c r="C334" s="12">
        <f t="shared" si="21"/>
        <v>0</v>
      </c>
      <c r="D334" s="12">
        <f t="shared" si="22"/>
        <v>0</v>
      </c>
      <c r="E334" s="10">
        <f t="shared" si="23"/>
        <v>0</v>
      </c>
    </row>
    <row r="335" spans="1:5" ht="14.25" customHeight="1" x14ac:dyDescent="0.3">
      <c r="A335" s="44">
        <v>323</v>
      </c>
      <c r="B335" s="12">
        <f t="shared" si="20"/>
        <v>0</v>
      </c>
      <c r="C335" s="12">
        <f t="shared" si="21"/>
        <v>0</v>
      </c>
      <c r="D335" s="12">
        <f t="shared" si="22"/>
        <v>0</v>
      </c>
      <c r="E335" s="10">
        <f t="shared" si="23"/>
        <v>0</v>
      </c>
    </row>
    <row r="336" spans="1:5" ht="14.25" customHeight="1" x14ac:dyDescent="0.3">
      <c r="A336" s="44">
        <v>324</v>
      </c>
      <c r="B336" s="12">
        <f t="shared" si="20"/>
        <v>0</v>
      </c>
      <c r="C336" s="12">
        <f t="shared" si="21"/>
        <v>0</v>
      </c>
      <c r="D336" s="12">
        <f t="shared" si="22"/>
        <v>0</v>
      </c>
      <c r="E336" s="10">
        <f t="shared" si="23"/>
        <v>0</v>
      </c>
    </row>
    <row r="337" spans="1:5" ht="14.25" customHeight="1" x14ac:dyDescent="0.3">
      <c r="A337" s="44">
        <v>325</v>
      </c>
      <c r="B337" s="12">
        <f t="shared" si="20"/>
        <v>0</v>
      </c>
      <c r="C337" s="12">
        <f t="shared" si="21"/>
        <v>0</v>
      </c>
      <c r="D337" s="12">
        <f t="shared" si="22"/>
        <v>0</v>
      </c>
      <c r="E337" s="10">
        <f t="shared" si="23"/>
        <v>0</v>
      </c>
    </row>
    <row r="338" spans="1:5" ht="14.25" customHeight="1" x14ac:dyDescent="0.3">
      <c r="A338" s="44">
        <v>326</v>
      </c>
      <c r="B338" s="12">
        <f t="shared" si="20"/>
        <v>0</v>
      </c>
      <c r="C338" s="12">
        <f t="shared" si="21"/>
        <v>0</v>
      </c>
      <c r="D338" s="12">
        <f t="shared" si="22"/>
        <v>0</v>
      </c>
      <c r="E338" s="10">
        <f t="shared" si="23"/>
        <v>0</v>
      </c>
    </row>
    <row r="339" spans="1:5" ht="14.25" customHeight="1" x14ac:dyDescent="0.3">
      <c r="A339" s="44">
        <v>327</v>
      </c>
      <c r="B339" s="12">
        <f t="shared" si="20"/>
        <v>0</v>
      </c>
      <c r="C339" s="12">
        <f t="shared" si="21"/>
        <v>0</v>
      </c>
      <c r="D339" s="12">
        <f t="shared" si="22"/>
        <v>0</v>
      </c>
      <c r="E339" s="10">
        <f t="shared" si="23"/>
        <v>0</v>
      </c>
    </row>
    <row r="340" spans="1:5" ht="14.25" customHeight="1" x14ac:dyDescent="0.3">
      <c r="A340" s="44">
        <v>328</v>
      </c>
      <c r="B340" s="12">
        <f t="shared" si="20"/>
        <v>0</v>
      </c>
      <c r="C340" s="12">
        <f t="shared" si="21"/>
        <v>0</v>
      </c>
      <c r="D340" s="12">
        <f t="shared" si="22"/>
        <v>0</v>
      </c>
      <c r="E340" s="10">
        <f t="shared" si="23"/>
        <v>0</v>
      </c>
    </row>
    <row r="341" spans="1:5" ht="14.25" customHeight="1" x14ac:dyDescent="0.3">
      <c r="A341" s="44">
        <v>329</v>
      </c>
      <c r="B341" s="12">
        <f t="shared" si="20"/>
        <v>0</v>
      </c>
      <c r="C341" s="12">
        <f t="shared" si="21"/>
        <v>0</v>
      </c>
      <c r="D341" s="12">
        <f t="shared" si="22"/>
        <v>0</v>
      </c>
      <c r="E341" s="10">
        <f t="shared" si="23"/>
        <v>0</v>
      </c>
    </row>
    <row r="342" spans="1:5" ht="14.25" customHeight="1" x14ac:dyDescent="0.3">
      <c r="A342" s="44">
        <v>330</v>
      </c>
      <c r="B342" s="12">
        <f t="shared" si="20"/>
        <v>0</v>
      </c>
      <c r="C342" s="12">
        <f t="shared" si="21"/>
        <v>0</v>
      </c>
      <c r="D342" s="12">
        <f t="shared" si="22"/>
        <v>0</v>
      </c>
      <c r="E342" s="10">
        <f t="shared" si="23"/>
        <v>0</v>
      </c>
    </row>
    <row r="343" spans="1:5" ht="14.25" customHeight="1" x14ac:dyDescent="0.3">
      <c r="A343" s="44">
        <v>331</v>
      </c>
      <c r="B343" s="12">
        <f t="shared" si="20"/>
        <v>0</v>
      </c>
      <c r="C343" s="12">
        <f t="shared" si="21"/>
        <v>0</v>
      </c>
      <c r="D343" s="12">
        <f t="shared" si="22"/>
        <v>0</v>
      </c>
      <c r="E343" s="10">
        <f t="shared" si="23"/>
        <v>0</v>
      </c>
    </row>
    <row r="344" spans="1:5" ht="14.25" customHeight="1" x14ac:dyDescent="0.3">
      <c r="A344" s="44">
        <v>332</v>
      </c>
      <c r="B344" s="12">
        <f t="shared" si="20"/>
        <v>0</v>
      </c>
      <c r="C344" s="12">
        <f t="shared" si="21"/>
        <v>0</v>
      </c>
      <c r="D344" s="12">
        <f t="shared" si="22"/>
        <v>0</v>
      </c>
      <c r="E344" s="10">
        <f t="shared" si="23"/>
        <v>0</v>
      </c>
    </row>
    <row r="345" spans="1:5" ht="14.25" customHeight="1" x14ac:dyDescent="0.3">
      <c r="A345" s="44">
        <v>333</v>
      </c>
      <c r="B345" s="12">
        <f t="shared" si="20"/>
        <v>0</v>
      </c>
      <c r="C345" s="12">
        <f t="shared" si="21"/>
        <v>0</v>
      </c>
      <c r="D345" s="12">
        <f t="shared" si="22"/>
        <v>0</v>
      </c>
      <c r="E345" s="10">
        <f t="shared" si="23"/>
        <v>0</v>
      </c>
    </row>
    <row r="346" spans="1:5" ht="14.25" customHeight="1" x14ac:dyDescent="0.3">
      <c r="A346" s="44">
        <v>334</v>
      </c>
      <c r="B346" s="12">
        <f t="shared" si="20"/>
        <v>0</v>
      </c>
      <c r="C346" s="12">
        <f t="shared" si="21"/>
        <v>0</v>
      </c>
      <c r="D346" s="12">
        <f t="shared" si="22"/>
        <v>0</v>
      </c>
      <c r="E346" s="10">
        <f t="shared" si="23"/>
        <v>0</v>
      </c>
    </row>
    <row r="347" spans="1:5" ht="14.25" customHeight="1" x14ac:dyDescent="0.3">
      <c r="A347" s="44">
        <v>335</v>
      </c>
      <c r="B347" s="12">
        <f t="shared" si="20"/>
        <v>0</v>
      </c>
      <c r="C347" s="12">
        <f t="shared" si="21"/>
        <v>0</v>
      </c>
      <c r="D347" s="12">
        <f t="shared" si="22"/>
        <v>0</v>
      </c>
      <c r="E347" s="10">
        <f t="shared" si="23"/>
        <v>0</v>
      </c>
    </row>
    <row r="348" spans="1:5" ht="14.25" customHeight="1" x14ac:dyDescent="0.3">
      <c r="A348" s="44">
        <v>336</v>
      </c>
      <c r="B348" s="12">
        <f t="shared" si="20"/>
        <v>0</v>
      </c>
      <c r="C348" s="12">
        <f t="shared" si="21"/>
        <v>0</v>
      </c>
      <c r="D348" s="12">
        <f t="shared" si="22"/>
        <v>0</v>
      </c>
      <c r="E348" s="10">
        <f t="shared" si="23"/>
        <v>0</v>
      </c>
    </row>
    <row r="349" spans="1:5" ht="14.25" customHeight="1" x14ac:dyDescent="0.3">
      <c r="A349" s="44">
        <v>337</v>
      </c>
      <c r="B349" s="12">
        <f t="shared" si="20"/>
        <v>0</v>
      </c>
      <c r="C349" s="12">
        <f t="shared" si="21"/>
        <v>0</v>
      </c>
      <c r="D349" s="12">
        <f t="shared" si="22"/>
        <v>0</v>
      </c>
      <c r="E349" s="10">
        <f t="shared" si="23"/>
        <v>0</v>
      </c>
    </row>
    <row r="350" spans="1:5" ht="14.25" customHeight="1" x14ac:dyDescent="0.3">
      <c r="A350" s="44">
        <v>338</v>
      </c>
      <c r="B350" s="12">
        <f t="shared" si="20"/>
        <v>0</v>
      </c>
      <c r="C350" s="12">
        <f t="shared" si="21"/>
        <v>0</v>
      </c>
      <c r="D350" s="12">
        <f t="shared" si="22"/>
        <v>0</v>
      </c>
      <c r="E350" s="10">
        <f t="shared" si="23"/>
        <v>0</v>
      </c>
    </row>
    <row r="351" spans="1:5" ht="14.25" customHeight="1" x14ac:dyDescent="0.3">
      <c r="A351" s="44">
        <v>339</v>
      </c>
      <c r="B351" s="12">
        <f t="shared" si="20"/>
        <v>0</v>
      </c>
      <c r="C351" s="12">
        <f t="shared" si="21"/>
        <v>0</v>
      </c>
      <c r="D351" s="12">
        <f t="shared" si="22"/>
        <v>0</v>
      </c>
      <c r="E351" s="10">
        <f t="shared" si="23"/>
        <v>0</v>
      </c>
    </row>
    <row r="352" spans="1:5" ht="14.25" customHeight="1" x14ac:dyDescent="0.3">
      <c r="A352" s="44">
        <v>340</v>
      </c>
      <c r="B352" s="12">
        <f t="shared" si="20"/>
        <v>0</v>
      </c>
      <c r="C352" s="12">
        <f t="shared" si="21"/>
        <v>0</v>
      </c>
      <c r="D352" s="12">
        <f t="shared" si="22"/>
        <v>0</v>
      </c>
      <c r="E352" s="10">
        <f t="shared" si="23"/>
        <v>0</v>
      </c>
    </row>
    <row r="353" spans="1:5" ht="14.25" customHeight="1" x14ac:dyDescent="0.3">
      <c r="A353" s="44">
        <v>341</v>
      </c>
      <c r="B353" s="12">
        <f t="shared" si="20"/>
        <v>0</v>
      </c>
      <c r="C353" s="12">
        <f t="shared" si="21"/>
        <v>0</v>
      </c>
      <c r="D353" s="12">
        <f t="shared" si="22"/>
        <v>0</v>
      </c>
      <c r="E353" s="10">
        <f t="shared" si="23"/>
        <v>0</v>
      </c>
    </row>
    <row r="354" spans="1:5" ht="14.25" customHeight="1" x14ac:dyDescent="0.3">
      <c r="A354" s="44">
        <v>342</v>
      </c>
      <c r="B354" s="12">
        <f t="shared" si="20"/>
        <v>0</v>
      </c>
      <c r="C354" s="12">
        <f t="shared" si="21"/>
        <v>0</v>
      </c>
      <c r="D354" s="12">
        <f t="shared" si="22"/>
        <v>0</v>
      </c>
      <c r="E354" s="10">
        <f t="shared" si="23"/>
        <v>0</v>
      </c>
    </row>
    <row r="355" spans="1:5" ht="14.25" customHeight="1" x14ac:dyDescent="0.3">
      <c r="A355" s="44">
        <v>343</v>
      </c>
      <c r="B355" s="12">
        <f t="shared" si="20"/>
        <v>0</v>
      </c>
      <c r="C355" s="12">
        <f t="shared" si="21"/>
        <v>0</v>
      </c>
      <c r="D355" s="12">
        <f t="shared" si="22"/>
        <v>0</v>
      </c>
      <c r="E355" s="10">
        <f t="shared" si="23"/>
        <v>0</v>
      </c>
    </row>
    <row r="356" spans="1:5" ht="14.25" customHeight="1" x14ac:dyDescent="0.3">
      <c r="A356" s="44">
        <v>344</v>
      </c>
      <c r="B356" s="12">
        <f t="shared" si="20"/>
        <v>0</v>
      </c>
      <c r="C356" s="12">
        <f t="shared" si="21"/>
        <v>0</v>
      </c>
      <c r="D356" s="12">
        <f t="shared" si="22"/>
        <v>0</v>
      </c>
      <c r="E356" s="10">
        <f t="shared" si="23"/>
        <v>0</v>
      </c>
    </row>
    <row r="357" spans="1:5" ht="14.25" customHeight="1" x14ac:dyDescent="0.3">
      <c r="A357" s="44">
        <v>345</v>
      </c>
      <c r="B357" s="12">
        <f t="shared" si="20"/>
        <v>0</v>
      </c>
      <c r="C357" s="12">
        <f t="shared" si="21"/>
        <v>0</v>
      </c>
      <c r="D357" s="12">
        <f t="shared" si="22"/>
        <v>0</v>
      </c>
      <c r="E357" s="10">
        <f t="shared" si="23"/>
        <v>0</v>
      </c>
    </row>
    <row r="358" spans="1:5" ht="14.25" customHeight="1" x14ac:dyDescent="0.3">
      <c r="A358" s="44">
        <v>346</v>
      </c>
      <c r="B358" s="12">
        <f t="shared" si="20"/>
        <v>0</v>
      </c>
      <c r="C358" s="12">
        <f t="shared" si="21"/>
        <v>0</v>
      </c>
      <c r="D358" s="12">
        <f t="shared" si="22"/>
        <v>0</v>
      </c>
      <c r="E358" s="10">
        <f t="shared" si="23"/>
        <v>0</v>
      </c>
    </row>
    <row r="359" spans="1:5" ht="14.25" customHeight="1" x14ac:dyDescent="0.3">
      <c r="A359" s="44">
        <v>347</v>
      </c>
      <c r="B359" s="12">
        <f t="shared" si="20"/>
        <v>0</v>
      </c>
      <c r="C359" s="12">
        <f t="shared" si="21"/>
        <v>0</v>
      </c>
      <c r="D359" s="12">
        <f t="shared" si="22"/>
        <v>0</v>
      </c>
      <c r="E359" s="10">
        <f t="shared" si="23"/>
        <v>0</v>
      </c>
    </row>
    <row r="360" spans="1:5" ht="14.25" customHeight="1" x14ac:dyDescent="0.3">
      <c r="A360" s="44">
        <v>348</v>
      </c>
      <c r="B360" s="12">
        <f t="shared" si="20"/>
        <v>0</v>
      </c>
      <c r="C360" s="12">
        <f t="shared" si="21"/>
        <v>0</v>
      </c>
      <c r="D360" s="12">
        <f t="shared" si="22"/>
        <v>0</v>
      </c>
      <c r="E360" s="10">
        <f t="shared" si="23"/>
        <v>0</v>
      </c>
    </row>
    <row r="361" spans="1:5" ht="14.25" customHeight="1" x14ac:dyDescent="0.3">
      <c r="A361" s="44">
        <v>349</v>
      </c>
      <c r="B361" s="12">
        <f t="shared" si="20"/>
        <v>0</v>
      </c>
      <c r="C361" s="12">
        <f t="shared" si="21"/>
        <v>0</v>
      </c>
      <c r="D361" s="12">
        <f t="shared" si="22"/>
        <v>0</v>
      </c>
      <c r="E361" s="10">
        <f t="shared" si="23"/>
        <v>0</v>
      </c>
    </row>
    <row r="362" spans="1:5" ht="14.25" customHeight="1" x14ac:dyDescent="0.3">
      <c r="A362" s="44">
        <v>350</v>
      </c>
      <c r="B362" s="12">
        <f t="shared" si="20"/>
        <v>0</v>
      </c>
      <c r="C362" s="12">
        <f t="shared" si="21"/>
        <v>0</v>
      </c>
      <c r="D362" s="12">
        <f t="shared" si="22"/>
        <v>0</v>
      </c>
      <c r="E362" s="10">
        <f t="shared" si="23"/>
        <v>0</v>
      </c>
    </row>
    <row r="363" spans="1:5" ht="14.25" customHeight="1" x14ac:dyDescent="0.3">
      <c r="A363" s="44">
        <v>351</v>
      </c>
      <c r="B363" s="12">
        <f t="shared" si="20"/>
        <v>0</v>
      </c>
      <c r="C363" s="12">
        <f t="shared" si="21"/>
        <v>0</v>
      </c>
      <c r="D363" s="12">
        <f t="shared" si="22"/>
        <v>0</v>
      </c>
      <c r="E363" s="10">
        <f t="shared" si="23"/>
        <v>0</v>
      </c>
    </row>
    <row r="364" spans="1:5" ht="14.25" customHeight="1" x14ac:dyDescent="0.3">
      <c r="A364" s="44">
        <v>352</v>
      </c>
      <c r="B364" s="12">
        <f t="shared" si="20"/>
        <v>0</v>
      </c>
      <c r="C364" s="12">
        <f t="shared" si="21"/>
        <v>0</v>
      </c>
      <c r="D364" s="12">
        <f t="shared" si="22"/>
        <v>0</v>
      </c>
      <c r="E364" s="10">
        <f t="shared" si="23"/>
        <v>0</v>
      </c>
    </row>
    <row r="365" spans="1:5" ht="14.25" customHeight="1" x14ac:dyDescent="0.3">
      <c r="A365" s="44">
        <v>353</v>
      </c>
      <c r="B365" s="12">
        <f t="shared" si="20"/>
        <v>0</v>
      </c>
      <c r="C365" s="12">
        <f t="shared" si="21"/>
        <v>0</v>
      </c>
      <c r="D365" s="12">
        <f t="shared" si="22"/>
        <v>0</v>
      </c>
      <c r="E365" s="10">
        <f t="shared" si="23"/>
        <v>0</v>
      </c>
    </row>
    <row r="366" spans="1:5" ht="14.25" customHeight="1" x14ac:dyDescent="0.3">
      <c r="A366" s="44">
        <v>354</v>
      </c>
      <c r="B366" s="12">
        <f t="shared" si="20"/>
        <v>0</v>
      </c>
      <c r="C366" s="12">
        <f t="shared" si="21"/>
        <v>0</v>
      </c>
      <c r="D366" s="12">
        <f t="shared" si="22"/>
        <v>0</v>
      </c>
      <c r="E366" s="10">
        <f t="shared" si="23"/>
        <v>0</v>
      </c>
    </row>
    <row r="367" spans="1:5" ht="14.25" customHeight="1" x14ac:dyDescent="0.3">
      <c r="A367" s="44">
        <v>355</v>
      </c>
      <c r="B367" s="12">
        <f t="shared" si="20"/>
        <v>0</v>
      </c>
      <c r="C367" s="12">
        <f t="shared" si="21"/>
        <v>0</v>
      </c>
      <c r="D367" s="12">
        <f t="shared" si="22"/>
        <v>0</v>
      </c>
      <c r="E367" s="10">
        <f t="shared" si="23"/>
        <v>0</v>
      </c>
    </row>
    <row r="368" spans="1:5" ht="14.25" customHeight="1" x14ac:dyDescent="0.3">
      <c r="A368" s="44">
        <v>356</v>
      </c>
      <c r="B368" s="12">
        <f t="shared" si="20"/>
        <v>0</v>
      </c>
      <c r="C368" s="12">
        <f t="shared" si="21"/>
        <v>0</v>
      </c>
      <c r="D368" s="12">
        <f t="shared" si="22"/>
        <v>0</v>
      </c>
      <c r="E368" s="10">
        <f t="shared" si="23"/>
        <v>0</v>
      </c>
    </row>
    <row r="369" spans="1:5" ht="14.25" customHeight="1" x14ac:dyDescent="0.3">
      <c r="A369" s="44">
        <v>357</v>
      </c>
      <c r="B369" s="12">
        <f t="shared" si="20"/>
        <v>0</v>
      </c>
      <c r="C369" s="12">
        <f t="shared" si="21"/>
        <v>0</v>
      </c>
      <c r="D369" s="12">
        <f t="shared" si="22"/>
        <v>0</v>
      </c>
      <c r="E369" s="10">
        <f t="shared" si="23"/>
        <v>0</v>
      </c>
    </row>
    <row r="370" spans="1:5" ht="14.25" customHeight="1" x14ac:dyDescent="0.3">
      <c r="A370" s="44">
        <v>358</v>
      </c>
      <c r="B370" s="12">
        <f t="shared" si="20"/>
        <v>0</v>
      </c>
      <c r="C370" s="12">
        <f t="shared" si="21"/>
        <v>0</v>
      </c>
      <c r="D370" s="12">
        <f t="shared" si="22"/>
        <v>0</v>
      </c>
      <c r="E370" s="10">
        <f t="shared" si="23"/>
        <v>0</v>
      </c>
    </row>
    <row r="371" spans="1:5" ht="14.25" customHeight="1" x14ac:dyDescent="0.3">
      <c r="A371" s="44">
        <v>359</v>
      </c>
      <c r="B371" s="12">
        <f t="shared" si="20"/>
        <v>0</v>
      </c>
      <c r="C371" s="12">
        <f t="shared" si="21"/>
        <v>0</v>
      </c>
      <c r="D371" s="12">
        <f t="shared" si="22"/>
        <v>0</v>
      </c>
      <c r="E371" s="10">
        <f t="shared" si="23"/>
        <v>0</v>
      </c>
    </row>
    <row r="372" spans="1:5" ht="14.25" customHeight="1" x14ac:dyDescent="0.3">
      <c r="A372" s="44">
        <v>360</v>
      </c>
      <c r="B372" s="12">
        <f t="shared" si="20"/>
        <v>0</v>
      </c>
      <c r="C372" s="12">
        <f t="shared" si="21"/>
        <v>0</v>
      </c>
      <c r="D372" s="12">
        <f t="shared" si="22"/>
        <v>0</v>
      </c>
      <c r="E372" s="10">
        <f t="shared" si="23"/>
        <v>0</v>
      </c>
    </row>
    <row r="373" spans="1:5" ht="14.25" customHeight="1" x14ac:dyDescent="0.3"/>
    <row r="374" spans="1:5" ht="14.25" customHeight="1" x14ac:dyDescent="0.3"/>
    <row r="375" spans="1:5" ht="14.25" customHeight="1" x14ac:dyDescent="0.3"/>
    <row r="376" spans="1:5" ht="14.25" customHeight="1" x14ac:dyDescent="0.3"/>
    <row r="377" spans="1:5" ht="14.25" customHeight="1" x14ac:dyDescent="0.3"/>
    <row r="378" spans="1:5" ht="14.25" customHeight="1" x14ac:dyDescent="0.3"/>
    <row r="379" spans="1:5" ht="14.25" customHeight="1" x14ac:dyDescent="0.3"/>
    <row r="380" spans="1:5" ht="14.25" customHeight="1" x14ac:dyDescent="0.3"/>
    <row r="381" spans="1:5" ht="14.25" customHeight="1" x14ac:dyDescent="0.3"/>
    <row r="382" spans="1:5" ht="14.25" customHeight="1" x14ac:dyDescent="0.3"/>
    <row r="383" spans="1:5" ht="14.25" customHeight="1" x14ac:dyDescent="0.3"/>
    <row r="384" spans="1:5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conditionalFormatting sqref="A13:E372">
    <cfRule type="expression" dxfId="11" priority="1" stopIfTrue="1">
      <formula>ROUND($E12,5)=0</formula>
    </cfRule>
    <cfRule type="expression" dxfId="10" priority="2" stopIfTrue="1">
      <formula>$A13&gt;($B$6*$B$8)</formula>
    </cfRule>
    <cfRule type="expression" dxfId="9" priority="3" stopIfTrue="1">
      <formula>ROUND($E13,5)=0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01BD-1695-43AA-B96E-4E4DAC325971}">
  <dimension ref="A1:H1000"/>
  <sheetViews>
    <sheetView tabSelected="1" zoomScale="90" zoomScaleNormal="90" workbookViewId="0">
      <selection activeCell="G16" sqref="G16"/>
    </sheetView>
  </sheetViews>
  <sheetFormatPr defaultColWidth="14.44140625" defaultRowHeight="15" customHeight="1" x14ac:dyDescent="0.3"/>
  <cols>
    <col min="1" max="1" width="21.109375" customWidth="1"/>
    <col min="2" max="3" width="13.109375" bestFit="1" customWidth="1"/>
    <col min="4" max="4" width="22.5546875" customWidth="1"/>
    <col min="5" max="5" width="17" customWidth="1"/>
    <col min="6" max="6" width="12.6640625" customWidth="1"/>
    <col min="7" max="7" width="8.6640625" customWidth="1"/>
    <col min="8" max="8" width="9.109375" bestFit="1" customWidth="1"/>
  </cols>
  <sheetData>
    <row r="1" spans="1:8" ht="14.25" customHeight="1" thickBot="1" x14ac:dyDescent="0.35">
      <c r="A1" s="65" t="s">
        <v>0</v>
      </c>
      <c r="B1" s="66"/>
      <c r="F1" s="1"/>
    </row>
    <row r="2" spans="1:8" ht="14.25" customHeight="1" x14ac:dyDescent="0.3">
      <c r="A2" s="2" t="s">
        <v>1</v>
      </c>
      <c r="B2" s="3">
        <v>10000</v>
      </c>
      <c r="D2" s="4"/>
      <c r="E2" s="5"/>
      <c r="F2" s="1"/>
    </row>
    <row r="3" spans="1:8" ht="14.25" customHeight="1" x14ac:dyDescent="0.3">
      <c r="A3" s="1" t="s">
        <v>3</v>
      </c>
      <c r="B3" s="8">
        <v>0</v>
      </c>
      <c r="D3" s="4" t="s">
        <v>4</v>
      </c>
      <c r="E3" s="9">
        <f>+SUM(C13:C60)</f>
        <v>1494.1974379725959</v>
      </c>
      <c r="F3" s="10"/>
    </row>
    <row r="4" spans="1:8" ht="14.25" customHeight="1" x14ac:dyDescent="0.3">
      <c r="A4" s="1" t="s">
        <v>6</v>
      </c>
      <c r="B4" s="10">
        <f>+B2-B3</f>
        <v>10000</v>
      </c>
      <c r="D4" s="4" t="s">
        <v>7</v>
      </c>
      <c r="E4" s="9">
        <f>+SUM(D13:D60)</f>
        <v>10000.000000000002</v>
      </c>
      <c r="F4" s="9"/>
    </row>
    <row r="5" spans="1:8" ht="14.25" customHeight="1" x14ac:dyDescent="0.3">
      <c r="A5" s="1" t="s">
        <v>9</v>
      </c>
      <c r="B5" s="24">
        <f>+C5*B2</f>
        <v>0</v>
      </c>
      <c r="C5" s="25">
        <v>0</v>
      </c>
      <c r="D5" s="4"/>
      <c r="E5" s="9"/>
    </row>
    <row r="6" spans="1:8" ht="14.25" customHeight="1" x14ac:dyDescent="0.3">
      <c r="A6" s="1" t="s">
        <v>11</v>
      </c>
      <c r="B6" s="27">
        <v>4</v>
      </c>
      <c r="C6" s="10"/>
      <c r="D6" s="4" t="s">
        <v>12</v>
      </c>
      <c r="E6" s="9">
        <f>SUM(E4:E5)</f>
        <v>10000.000000000002</v>
      </c>
    </row>
    <row r="7" spans="1:8" ht="14.25" customHeight="1" x14ac:dyDescent="0.3">
      <c r="A7" s="1" t="s">
        <v>14</v>
      </c>
      <c r="B7" s="30">
        <v>7.0000000000000007E-2</v>
      </c>
      <c r="D7" s="36" t="s">
        <v>15</v>
      </c>
      <c r="E7" s="37">
        <f>SUM(E3:E5)</f>
        <v>11494.197437972598</v>
      </c>
    </row>
    <row r="8" spans="1:8" ht="14.25" customHeight="1" x14ac:dyDescent="0.3">
      <c r="A8" s="1" t="s">
        <v>16</v>
      </c>
      <c r="B8" s="35">
        <v>12</v>
      </c>
      <c r="D8" s="4"/>
      <c r="E8" s="10"/>
      <c r="F8" s="10"/>
    </row>
    <row r="9" spans="1:8" ht="14.25" customHeight="1" x14ac:dyDescent="0.3">
      <c r="A9" s="1" t="s">
        <v>19</v>
      </c>
      <c r="B9" s="62">
        <f>-PMT(B7/B8,(B6*B8),B4,-B5)</f>
        <v>239.46244662442905</v>
      </c>
      <c r="D9" s="4"/>
      <c r="E9" s="10"/>
    </row>
    <row r="10" spans="1:8" ht="14.25" customHeight="1" thickBot="1" x14ac:dyDescent="0.35">
      <c r="B10" s="16"/>
      <c r="C10" s="16"/>
    </row>
    <row r="11" spans="1:8" ht="14.25" customHeight="1" thickBot="1" x14ac:dyDescent="0.35">
      <c r="A11" s="41" t="s">
        <v>23</v>
      </c>
      <c r="B11" s="41" t="s">
        <v>19</v>
      </c>
      <c r="C11" s="41" t="s">
        <v>24</v>
      </c>
      <c r="D11" s="41" t="s">
        <v>25</v>
      </c>
      <c r="E11" s="41" t="s">
        <v>27</v>
      </c>
    </row>
    <row r="12" spans="1:8" ht="14.25" customHeight="1" x14ac:dyDescent="0.3">
      <c r="A12" s="44">
        <v>0</v>
      </c>
      <c r="B12" s="10"/>
      <c r="C12" s="10"/>
      <c r="D12" s="10"/>
      <c r="E12" s="10">
        <f>B4</f>
        <v>10000</v>
      </c>
    </row>
    <row r="13" spans="1:8" ht="14.25" customHeight="1" x14ac:dyDescent="0.3">
      <c r="A13" s="44">
        <v>1</v>
      </c>
      <c r="B13" s="10">
        <f t="shared" ref="B13:B76" si="0">IF($B$9&lt;=E12,$B$9,E12+E12*$B$7/$B$8)</f>
        <v>239.46244662442905</v>
      </c>
      <c r="C13" s="10">
        <f t="shared" ref="C13:C76" si="1">IF(B13&gt;0,$B$7/$B$8*E12,0)</f>
        <v>58.333333333333336</v>
      </c>
      <c r="D13" s="10">
        <f t="shared" ref="D13:D76" si="2">IF(B13&gt;0,MIN(B13-C13,E12),0)</f>
        <v>181.12911329109571</v>
      </c>
      <c r="E13" s="10">
        <f t="shared" ref="E13:E76" si="3">IF(ROUND(E12,5)&gt;0,E12-D13,0)</f>
        <v>9818.8708867089044</v>
      </c>
    </row>
    <row r="14" spans="1:8" ht="14.25" customHeight="1" x14ac:dyDescent="0.3">
      <c r="A14" s="44">
        <v>2</v>
      </c>
      <c r="B14" s="10">
        <f t="shared" si="0"/>
        <v>239.46244662442905</v>
      </c>
      <c r="C14" s="10">
        <f t="shared" si="1"/>
        <v>57.276746839135278</v>
      </c>
      <c r="D14" s="10">
        <f t="shared" si="2"/>
        <v>182.18569978529376</v>
      </c>
      <c r="E14" s="10">
        <f t="shared" si="3"/>
        <v>9636.6851869236107</v>
      </c>
    </row>
    <row r="15" spans="1:8" ht="14.25" customHeight="1" x14ac:dyDescent="0.3">
      <c r="A15" s="44">
        <v>3</v>
      </c>
      <c r="B15" s="10">
        <f t="shared" si="0"/>
        <v>239.46244662442905</v>
      </c>
      <c r="C15" s="10">
        <f t="shared" si="1"/>
        <v>56.213996923721062</v>
      </c>
      <c r="D15" s="10">
        <f t="shared" si="2"/>
        <v>183.24844970070799</v>
      </c>
      <c r="E15" s="10">
        <f t="shared" si="3"/>
        <v>9453.4367372229026</v>
      </c>
    </row>
    <row r="16" spans="1:8" ht="14.25" customHeight="1" x14ac:dyDescent="0.3">
      <c r="A16" s="44">
        <v>4</v>
      </c>
      <c r="B16" s="10">
        <f t="shared" si="0"/>
        <v>239.46244662442905</v>
      </c>
      <c r="C16" s="10">
        <f t="shared" si="1"/>
        <v>55.145047633800267</v>
      </c>
      <c r="D16" s="10">
        <f t="shared" si="2"/>
        <v>184.31739899062879</v>
      </c>
      <c r="E16" s="10">
        <f t="shared" si="3"/>
        <v>9269.1193382322745</v>
      </c>
      <c r="H16" s="67"/>
    </row>
    <row r="17" spans="1:8" ht="14.25" customHeight="1" x14ac:dyDescent="0.3">
      <c r="A17" s="44">
        <v>5</v>
      </c>
      <c r="B17" s="10">
        <f t="shared" si="0"/>
        <v>239.46244662442905</v>
      </c>
      <c r="C17" s="10">
        <f t="shared" si="1"/>
        <v>54.069862806354934</v>
      </c>
      <c r="D17" s="10">
        <f t="shared" si="2"/>
        <v>185.39258381807412</v>
      </c>
      <c r="E17" s="10">
        <f t="shared" si="3"/>
        <v>9083.7267544141996</v>
      </c>
      <c r="H17" s="67"/>
    </row>
    <row r="18" spans="1:8" ht="14.25" customHeight="1" x14ac:dyDescent="0.3">
      <c r="A18" s="44">
        <v>6</v>
      </c>
      <c r="B18" s="10">
        <f t="shared" si="0"/>
        <v>239.46244662442905</v>
      </c>
      <c r="C18" s="10">
        <f t="shared" si="1"/>
        <v>52.988406067416165</v>
      </c>
      <c r="D18" s="10">
        <f t="shared" si="2"/>
        <v>186.47404055701287</v>
      </c>
      <c r="E18" s="10">
        <f t="shared" si="3"/>
        <v>8897.2527138571859</v>
      </c>
      <c r="H18" s="67"/>
    </row>
    <row r="19" spans="1:8" ht="14.25" customHeight="1" x14ac:dyDescent="0.3">
      <c r="A19" s="44">
        <v>7</v>
      </c>
      <c r="B19" s="10">
        <f t="shared" si="0"/>
        <v>239.46244662442905</v>
      </c>
      <c r="C19" s="10">
        <f t="shared" si="1"/>
        <v>51.900640830833588</v>
      </c>
      <c r="D19" s="10">
        <f t="shared" si="2"/>
        <v>187.56180579359545</v>
      </c>
      <c r="E19" s="10">
        <f t="shared" si="3"/>
        <v>8709.6909080635905</v>
      </c>
    </row>
    <row r="20" spans="1:8" ht="14.25" customHeight="1" x14ac:dyDescent="0.3">
      <c r="A20" s="44">
        <v>8</v>
      </c>
      <c r="B20" s="10">
        <f t="shared" si="0"/>
        <v>239.46244662442905</v>
      </c>
      <c r="C20" s="10">
        <f t="shared" si="1"/>
        <v>50.806530297037611</v>
      </c>
      <c r="D20" s="10">
        <f t="shared" si="2"/>
        <v>188.65591632739142</v>
      </c>
      <c r="E20" s="10">
        <f t="shared" si="3"/>
        <v>8521.0349917362</v>
      </c>
    </row>
    <row r="21" spans="1:8" ht="14.25" customHeight="1" x14ac:dyDescent="0.3">
      <c r="A21" s="44">
        <v>9</v>
      </c>
      <c r="B21" s="10">
        <f t="shared" si="0"/>
        <v>239.46244662442905</v>
      </c>
      <c r="C21" s="10">
        <f t="shared" si="1"/>
        <v>49.706037451794501</v>
      </c>
      <c r="D21" s="10">
        <f t="shared" si="2"/>
        <v>189.75640917263456</v>
      </c>
      <c r="E21" s="10">
        <f t="shared" si="3"/>
        <v>8331.2785825635656</v>
      </c>
    </row>
    <row r="22" spans="1:8" ht="14.25" customHeight="1" x14ac:dyDescent="0.3">
      <c r="A22" s="44">
        <v>10</v>
      </c>
      <c r="B22" s="10">
        <f t="shared" si="0"/>
        <v>239.46244662442905</v>
      </c>
      <c r="C22" s="10">
        <f t="shared" si="1"/>
        <v>48.599125064954137</v>
      </c>
      <c r="D22" s="10">
        <f t="shared" si="2"/>
        <v>190.86332155947491</v>
      </c>
      <c r="E22" s="10">
        <f t="shared" si="3"/>
        <v>8140.415261004091</v>
      </c>
    </row>
    <row r="23" spans="1:8" ht="14.25" customHeight="1" x14ac:dyDescent="0.3">
      <c r="A23" s="44">
        <v>11</v>
      </c>
      <c r="B23" s="10">
        <f t="shared" si="0"/>
        <v>239.46244662442905</v>
      </c>
      <c r="C23" s="10">
        <f t="shared" si="1"/>
        <v>47.485755689190533</v>
      </c>
      <c r="D23" s="10">
        <f t="shared" si="2"/>
        <v>191.97669093523851</v>
      </c>
      <c r="E23" s="10">
        <f t="shared" si="3"/>
        <v>7948.4385700688526</v>
      </c>
    </row>
    <row r="24" spans="1:8" ht="14.25" customHeight="1" x14ac:dyDescent="0.3">
      <c r="A24" s="44">
        <v>12</v>
      </c>
      <c r="B24" s="10">
        <f t="shared" si="0"/>
        <v>239.46244662442905</v>
      </c>
      <c r="C24" s="10">
        <f t="shared" si="1"/>
        <v>46.365891658734974</v>
      </c>
      <c r="D24" s="10">
        <f t="shared" si="2"/>
        <v>193.09655496569408</v>
      </c>
      <c r="E24" s="10">
        <f t="shared" si="3"/>
        <v>7755.3420151031587</v>
      </c>
    </row>
    <row r="25" spans="1:8" ht="14.25" customHeight="1" x14ac:dyDescent="0.3">
      <c r="A25" s="44">
        <v>13</v>
      </c>
      <c r="B25" s="10">
        <f t="shared" si="0"/>
        <v>239.46244662442905</v>
      </c>
      <c r="C25" s="10">
        <f t="shared" si="1"/>
        <v>45.239495088101762</v>
      </c>
      <c r="D25" s="10">
        <f t="shared" si="2"/>
        <v>194.22295153632729</v>
      </c>
      <c r="E25" s="10">
        <f t="shared" si="3"/>
        <v>7561.1190635668318</v>
      </c>
    </row>
    <row r="26" spans="1:8" ht="14.25" customHeight="1" x14ac:dyDescent="0.3">
      <c r="A26" s="44">
        <v>14</v>
      </c>
      <c r="B26" s="10">
        <f t="shared" si="0"/>
        <v>239.46244662442905</v>
      </c>
      <c r="C26" s="10">
        <f t="shared" si="1"/>
        <v>44.106527870806524</v>
      </c>
      <c r="D26" s="10">
        <f t="shared" si="2"/>
        <v>195.35591875362252</v>
      </c>
      <c r="E26" s="10">
        <f t="shared" si="3"/>
        <v>7365.7631448132088</v>
      </c>
    </row>
    <row r="27" spans="1:8" ht="14.25" customHeight="1" x14ac:dyDescent="0.3">
      <c r="A27" s="44">
        <v>15</v>
      </c>
      <c r="B27" s="10">
        <f t="shared" si="0"/>
        <v>239.46244662442905</v>
      </c>
      <c r="C27" s="10">
        <f t="shared" si="1"/>
        <v>42.966951678077052</v>
      </c>
      <c r="D27" s="10">
        <f t="shared" si="2"/>
        <v>196.49549494635198</v>
      </c>
      <c r="E27" s="10">
        <f t="shared" si="3"/>
        <v>7169.267649866857</v>
      </c>
    </row>
    <row r="28" spans="1:8" ht="14.25" customHeight="1" x14ac:dyDescent="0.3">
      <c r="A28" s="44">
        <v>16</v>
      </c>
      <c r="B28" s="10">
        <f t="shared" si="0"/>
        <v>239.46244662442905</v>
      </c>
      <c r="C28" s="10">
        <f t="shared" si="1"/>
        <v>41.82072795755667</v>
      </c>
      <c r="D28" s="10">
        <f t="shared" si="2"/>
        <v>197.64171866687238</v>
      </c>
      <c r="E28" s="10">
        <f t="shared" si="3"/>
        <v>6971.6259311999847</v>
      </c>
    </row>
    <row r="29" spans="1:8" ht="14.25" customHeight="1" x14ac:dyDescent="0.3">
      <c r="A29" s="44">
        <v>17</v>
      </c>
      <c r="B29" s="10">
        <f t="shared" si="0"/>
        <v>239.46244662442905</v>
      </c>
      <c r="C29" s="10">
        <f t="shared" si="1"/>
        <v>40.667817931999913</v>
      </c>
      <c r="D29" s="10">
        <f t="shared" si="2"/>
        <v>198.79462869242914</v>
      </c>
      <c r="E29" s="10">
        <f t="shared" si="3"/>
        <v>6772.8313025075558</v>
      </c>
    </row>
    <row r="30" spans="1:8" ht="14.25" customHeight="1" x14ac:dyDescent="0.3">
      <c r="A30" s="44">
        <v>18</v>
      </c>
      <c r="B30" s="10">
        <f t="shared" si="0"/>
        <v>239.46244662442905</v>
      </c>
      <c r="C30" s="10">
        <f t="shared" si="1"/>
        <v>39.508182597960747</v>
      </c>
      <c r="D30" s="10">
        <f t="shared" si="2"/>
        <v>199.95426402646831</v>
      </c>
      <c r="E30" s="10">
        <f t="shared" si="3"/>
        <v>6572.8770384810878</v>
      </c>
    </row>
    <row r="31" spans="1:8" ht="14.25" customHeight="1" x14ac:dyDescent="0.3">
      <c r="A31" s="44">
        <v>19</v>
      </c>
      <c r="B31" s="10">
        <f t="shared" si="0"/>
        <v>239.46244662442905</v>
      </c>
      <c r="C31" s="10">
        <f t="shared" si="1"/>
        <v>38.341782724473013</v>
      </c>
      <c r="D31" s="10">
        <f t="shared" si="2"/>
        <v>201.12066389995604</v>
      </c>
      <c r="E31" s="10">
        <f t="shared" si="3"/>
        <v>6371.7563745811321</v>
      </c>
    </row>
    <row r="32" spans="1:8" ht="14.25" customHeight="1" x14ac:dyDescent="0.3">
      <c r="A32" s="44">
        <v>20</v>
      </c>
      <c r="B32" s="10">
        <f t="shared" si="0"/>
        <v>239.46244662442905</v>
      </c>
      <c r="C32" s="10">
        <f t="shared" si="1"/>
        <v>37.168578851723275</v>
      </c>
      <c r="D32" s="10">
        <f t="shared" si="2"/>
        <v>202.29386777270577</v>
      </c>
      <c r="E32" s="10">
        <f t="shared" si="3"/>
        <v>6169.462506808426</v>
      </c>
    </row>
    <row r="33" spans="1:5" ht="14.25" customHeight="1" x14ac:dyDescent="0.3">
      <c r="A33" s="44">
        <v>21</v>
      </c>
      <c r="B33" s="10">
        <f t="shared" si="0"/>
        <v>239.46244662442905</v>
      </c>
      <c r="C33" s="10">
        <f t="shared" si="1"/>
        <v>35.988531289715823</v>
      </c>
      <c r="D33" s="10">
        <f t="shared" si="2"/>
        <v>203.47391533471324</v>
      </c>
      <c r="E33" s="10">
        <f t="shared" si="3"/>
        <v>5965.9885914737124</v>
      </c>
    </row>
    <row r="34" spans="1:5" ht="14.25" customHeight="1" x14ac:dyDescent="0.3">
      <c r="A34" s="44">
        <v>22</v>
      </c>
      <c r="B34" s="10">
        <f t="shared" si="0"/>
        <v>239.46244662442905</v>
      </c>
      <c r="C34" s="10">
        <f t="shared" si="1"/>
        <v>34.80160011692999</v>
      </c>
      <c r="D34" s="10">
        <f t="shared" si="2"/>
        <v>204.66084650749906</v>
      </c>
      <c r="E34" s="10">
        <f t="shared" si="3"/>
        <v>5761.3277449662137</v>
      </c>
    </row>
    <row r="35" spans="1:5" ht="14.25" customHeight="1" x14ac:dyDescent="0.3">
      <c r="A35" s="44">
        <v>23</v>
      </c>
      <c r="B35" s="10">
        <f t="shared" si="0"/>
        <v>239.46244662442905</v>
      </c>
      <c r="C35" s="10">
        <f t="shared" si="1"/>
        <v>33.60774517896958</v>
      </c>
      <c r="D35" s="10">
        <f t="shared" si="2"/>
        <v>205.85470144545945</v>
      </c>
      <c r="E35" s="10">
        <f t="shared" si="3"/>
        <v>5555.4730435207539</v>
      </c>
    </row>
    <row r="36" spans="1:5" ht="14.25" customHeight="1" x14ac:dyDescent="0.3">
      <c r="A36" s="44">
        <v>24</v>
      </c>
      <c r="B36" s="10">
        <f t="shared" si="0"/>
        <v>239.46244662442905</v>
      </c>
      <c r="C36" s="10">
        <f t="shared" si="1"/>
        <v>32.406926087204397</v>
      </c>
      <c r="D36" s="10">
        <f t="shared" si="2"/>
        <v>207.05552053722465</v>
      </c>
      <c r="E36" s="10">
        <f t="shared" si="3"/>
        <v>5348.4175229835291</v>
      </c>
    </row>
    <row r="37" spans="1:5" ht="14.25" customHeight="1" x14ac:dyDescent="0.3">
      <c r="A37" s="44">
        <v>25</v>
      </c>
      <c r="B37" s="10">
        <f t="shared" si="0"/>
        <v>239.46244662442905</v>
      </c>
      <c r="C37" s="10">
        <f t="shared" si="1"/>
        <v>31.199102217403922</v>
      </c>
      <c r="D37" s="10">
        <f t="shared" si="2"/>
        <v>208.26334440702513</v>
      </c>
      <c r="E37" s="10">
        <f t="shared" si="3"/>
        <v>5140.1541785765039</v>
      </c>
    </row>
    <row r="38" spans="1:5" ht="14.25" customHeight="1" x14ac:dyDescent="0.3">
      <c r="A38" s="44">
        <v>26</v>
      </c>
      <c r="B38" s="10">
        <f t="shared" si="0"/>
        <v>239.46244662442905</v>
      </c>
      <c r="C38" s="10">
        <f t="shared" si="1"/>
        <v>29.984232708362942</v>
      </c>
      <c r="D38" s="10">
        <f t="shared" si="2"/>
        <v>209.4782139160661</v>
      </c>
      <c r="E38" s="10">
        <f t="shared" si="3"/>
        <v>4930.6759646604378</v>
      </c>
    </row>
    <row r="39" spans="1:5" ht="14.25" customHeight="1" x14ac:dyDescent="0.3">
      <c r="A39" s="44">
        <v>27</v>
      </c>
      <c r="B39" s="10">
        <f t="shared" si="0"/>
        <v>239.46244662442905</v>
      </c>
      <c r="C39" s="10">
        <f t="shared" si="1"/>
        <v>28.762276460519221</v>
      </c>
      <c r="D39" s="10">
        <f t="shared" si="2"/>
        <v>210.70017016390983</v>
      </c>
      <c r="E39" s="10">
        <f t="shared" si="3"/>
        <v>4719.9757944965277</v>
      </c>
    </row>
    <row r="40" spans="1:5" ht="14.25" customHeight="1" x14ac:dyDescent="0.3">
      <c r="A40" s="44">
        <v>28</v>
      </c>
      <c r="B40" s="10">
        <f t="shared" si="0"/>
        <v>239.46244662442905</v>
      </c>
      <c r="C40" s="10">
        <f t="shared" si="1"/>
        <v>27.53319213456308</v>
      </c>
      <c r="D40" s="10">
        <f t="shared" si="2"/>
        <v>211.92925448986597</v>
      </c>
      <c r="E40" s="10">
        <f t="shared" si="3"/>
        <v>4508.0465400066614</v>
      </c>
    </row>
    <row r="41" spans="1:5" ht="14.25" customHeight="1" x14ac:dyDescent="0.3">
      <c r="A41" s="44">
        <v>29</v>
      </c>
      <c r="B41" s="10">
        <f t="shared" si="0"/>
        <v>239.46244662442905</v>
      </c>
      <c r="C41" s="10">
        <f t="shared" si="1"/>
        <v>26.296938150038859</v>
      </c>
      <c r="D41" s="10">
        <f t="shared" si="2"/>
        <v>213.16550847439018</v>
      </c>
      <c r="E41" s="10">
        <f t="shared" si="3"/>
        <v>4294.8810315322717</v>
      </c>
    </row>
    <row r="42" spans="1:5" ht="14.25" customHeight="1" x14ac:dyDescent="0.3">
      <c r="A42" s="44">
        <v>30</v>
      </c>
      <c r="B42" s="10">
        <f t="shared" si="0"/>
        <v>239.46244662442905</v>
      </c>
      <c r="C42" s="10">
        <f t="shared" si="1"/>
        <v>25.053472683938253</v>
      </c>
      <c r="D42" s="10">
        <f t="shared" si="2"/>
        <v>214.4089739404908</v>
      </c>
      <c r="E42" s="10">
        <f t="shared" si="3"/>
        <v>4080.4720575917809</v>
      </c>
    </row>
    <row r="43" spans="1:5" ht="14.25" customHeight="1" x14ac:dyDescent="0.3">
      <c r="A43" s="44">
        <v>31</v>
      </c>
      <c r="B43" s="10">
        <f t="shared" si="0"/>
        <v>239.46244662442905</v>
      </c>
      <c r="C43" s="10">
        <f t="shared" si="1"/>
        <v>23.802753669285391</v>
      </c>
      <c r="D43" s="10">
        <f t="shared" si="2"/>
        <v>215.65969295514367</v>
      </c>
      <c r="E43" s="10">
        <f t="shared" si="3"/>
        <v>3864.8123646366371</v>
      </c>
    </row>
    <row r="44" spans="1:5" ht="14.25" customHeight="1" x14ac:dyDescent="0.3">
      <c r="A44" s="44">
        <v>32</v>
      </c>
      <c r="B44" s="10">
        <f t="shared" si="0"/>
        <v>239.46244662442905</v>
      </c>
      <c r="C44" s="10">
        <f t="shared" si="1"/>
        <v>22.544738793713716</v>
      </c>
      <c r="D44" s="10">
        <f t="shared" si="2"/>
        <v>216.91770783071533</v>
      </c>
      <c r="E44" s="10">
        <f t="shared" si="3"/>
        <v>3647.8946568059218</v>
      </c>
    </row>
    <row r="45" spans="1:5" ht="14.25" customHeight="1" x14ac:dyDescent="0.3">
      <c r="A45" s="44">
        <v>33</v>
      </c>
      <c r="B45" s="10">
        <f t="shared" si="0"/>
        <v>239.46244662442905</v>
      </c>
      <c r="C45" s="10">
        <f t="shared" si="1"/>
        <v>21.279385498034546</v>
      </c>
      <c r="D45" s="10">
        <f t="shared" si="2"/>
        <v>218.18306112639451</v>
      </c>
      <c r="E45" s="10">
        <f t="shared" si="3"/>
        <v>3429.7115956795274</v>
      </c>
    </row>
    <row r="46" spans="1:5" ht="14.25" customHeight="1" x14ac:dyDescent="0.3">
      <c r="A46" s="44">
        <v>34</v>
      </c>
      <c r="B46" s="10">
        <f t="shared" si="0"/>
        <v>239.46244662442905</v>
      </c>
      <c r="C46" s="10">
        <f t="shared" si="1"/>
        <v>20.006650974797243</v>
      </c>
      <c r="D46" s="10">
        <f t="shared" si="2"/>
        <v>219.4557956496318</v>
      </c>
      <c r="E46" s="10">
        <f t="shared" si="3"/>
        <v>3210.2558000298955</v>
      </c>
    </row>
    <row r="47" spans="1:5" ht="14.25" customHeight="1" x14ac:dyDescent="0.3">
      <c r="A47" s="44">
        <v>35</v>
      </c>
      <c r="B47" s="10">
        <f t="shared" si="0"/>
        <v>239.46244662442905</v>
      </c>
      <c r="C47" s="10">
        <f t="shared" si="1"/>
        <v>18.726492166841059</v>
      </c>
      <c r="D47" s="10">
        <f t="shared" si="2"/>
        <v>220.73595445758798</v>
      </c>
      <c r="E47" s="10">
        <f t="shared" si="3"/>
        <v>2989.5198455723075</v>
      </c>
    </row>
    <row r="48" spans="1:5" ht="14.25" customHeight="1" x14ac:dyDescent="0.3">
      <c r="A48" s="44">
        <v>36</v>
      </c>
      <c r="B48" s="10">
        <f t="shared" si="0"/>
        <v>239.46244662442905</v>
      </c>
      <c r="C48" s="10">
        <f t="shared" si="1"/>
        <v>17.438865765838461</v>
      </c>
      <c r="D48" s="10">
        <f t="shared" si="2"/>
        <v>222.02358085859058</v>
      </c>
      <c r="E48" s="10">
        <f t="shared" si="3"/>
        <v>2767.4962647137168</v>
      </c>
    </row>
    <row r="49" spans="1:5" ht="14.25" customHeight="1" x14ac:dyDescent="0.3">
      <c r="A49" s="44">
        <v>37</v>
      </c>
      <c r="B49" s="10">
        <f t="shared" si="0"/>
        <v>239.46244662442905</v>
      </c>
      <c r="C49" s="10">
        <f t="shared" si="1"/>
        <v>16.143728210830016</v>
      </c>
      <c r="D49" s="10">
        <f t="shared" si="2"/>
        <v>223.31871841359904</v>
      </c>
      <c r="E49" s="10">
        <f t="shared" si="3"/>
        <v>2544.1775463001177</v>
      </c>
    </row>
    <row r="50" spans="1:5" ht="14.25" customHeight="1" x14ac:dyDescent="0.3">
      <c r="A50" s="44">
        <v>38</v>
      </c>
      <c r="B50" s="10">
        <f t="shared" si="0"/>
        <v>239.46244662442905</v>
      </c>
      <c r="C50" s="10">
        <f t="shared" si="1"/>
        <v>14.841035686750686</v>
      </c>
      <c r="D50" s="10">
        <f t="shared" si="2"/>
        <v>224.62141093767838</v>
      </c>
      <c r="E50" s="10">
        <f t="shared" si="3"/>
        <v>2319.5561353624394</v>
      </c>
    </row>
    <row r="51" spans="1:5" ht="14.25" customHeight="1" x14ac:dyDescent="0.3">
      <c r="A51" s="44">
        <v>39</v>
      </c>
      <c r="B51" s="10">
        <f t="shared" si="0"/>
        <v>239.46244662442905</v>
      </c>
      <c r="C51" s="10">
        <f t="shared" si="1"/>
        <v>13.530744122947564</v>
      </c>
      <c r="D51" s="10">
        <f t="shared" si="2"/>
        <v>225.93170250148148</v>
      </c>
      <c r="E51" s="10">
        <f t="shared" si="3"/>
        <v>2093.6244328609578</v>
      </c>
    </row>
    <row r="52" spans="1:5" ht="14.25" customHeight="1" x14ac:dyDescent="0.3">
      <c r="A52" s="44">
        <v>40</v>
      </c>
      <c r="B52" s="10">
        <f t="shared" si="0"/>
        <v>239.46244662442905</v>
      </c>
      <c r="C52" s="10">
        <f t="shared" si="1"/>
        <v>12.212809191688921</v>
      </c>
      <c r="D52" s="10">
        <f t="shared" si="2"/>
        <v>227.24963743274012</v>
      </c>
      <c r="E52" s="10">
        <f t="shared" si="3"/>
        <v>1866.3747954282176</v>
      </c>
    </row>
    <row r="53" spans="1:5" ht="14.25" customHeight="1" x14ac:dyDescent="0.3">
      <c r="A53" s="44">
        <v>41</v>
      </c>
      <c r="B53" s="10">
        <f t="shared" si="0"/>
        <v>239.46244662442905</v>
      </c>
      <c r="C53" s="10">
        <f t="shared" si="1"/>
        <v>10.887186306664603</v>
      </c>
      <c r="D53" s="10">
        <f t="shared" si="2"/>
        <v>228.57526031776445</v>
      </c>
      <c r="E53" s="10">
        <f t="shared" si="3"/>
        <v>1637.7995351104532</v>
      </c>
    </row>
    <row r="54" spans="1:5" ht="14.25" customHeight="1" x14ac:dyDescent="0.3">
      <c r="A54" s="44">
        <v>42</v>
      </c>
      <c r="B54" s="10">
        <f t="shared" si="0"/>
        <v>239.46244662442905</v>
      </c>
      <c r="C54" s="10">
        <f t="shared" si="1"/>
        <v>9.5538306214776441</v>
      </c>
      <c r="D54" s="10">
        <f t="shared" si="2"/>
        <v>229.90861600295142</v>
      </c>
      <c r="E54" s="10">
        <f t="shared" si="3"/>
        <v>1407.8909191075018</v>
      </c>
    </row>
    <row r="55" spans="1:5" ht="14.25" customHeight="1" x14ac:dyDescent="0.3">
      <c r="A55" s="44">
        <v>43</v>
      </c>
      <c r="B55" s="10">
        <f t="shared" si="0"/>
        <v>239.46244662442905</v>
      </c>
      <c r="C55" s="10">
        <f t="shared" si="1"/>
        <v>8.2126970281270939</v>
      </c>
      <c r="D55" s="10">
        <f t="shared" si="2"/>
        <v>231.24974959630197</v>
      </c>
      <c r="E55" s="10">
        <f t="shared" si="3"/>
        <v>1176.6411695111997</v>
      </c>
    </row>
    <row r="56" spans="1:5" ht="14.25" customHeight="1" x14ac:dyDescent="0.3">
      <c r="A56" s="44">
        <v>44</v>
      </c>
      <c r="B56" s="10">
        <f t="shared" si="0"/>
        <v>239.46244662442905</v>
      </c>
      <c r="C56" s="10">
        <f t="shared" si="1"/>
        <v>6.8637401554819988</v>
      </c>
      <c r="D56" s="10">
        <f t="shared" si="2"/>
        <v>232.59870646894706</v>
      </c>
      <c r="E56" s="10">
        <f t="shared" si="3"/>
        <v>944.04246304225262</v>
      </c>
    </row>
    <row r="57" spans="1:5" ht="14.25" customHeight="1" x14ac:dyDescent="0.3">
      <c r="A57" s="44">
        <v>45</v>
      </c>
      <c r="B57" s="10">
        <f t="shared" si="0"/>
        <v>239.46244662442905</v>
      </c>
      <c r="C57" s="10">
        <f t="shared" si="1"/>
        <v>5.5069143677464742</v>
      </c>
      <c r="D57" s="10">
        <f t="shared" si="2"/>
        <v>233.95553225668257</v>
      </c>
      <c r="E57" s="10">
        <f t="shared" si="3"/>
        <v>710.08693078557008</v>
      </c>
    </row>
    <row r="58" spans="1:5" ht="14.25" customHeight="1" x14ac:dyDescent="0.3">
      <c r="A58" s="44">
        <v>46</v>
      </c>
      <c r="B58" s="10">
        <f t="shared" si="0"/>
        <v>239.46244662442905</v>
      </c>
      <c r="C58" s="10">
        <f t="shared" si="1"/>
        <v>4.1421737629158253</v>
      </c>
      <c r="D58" s="10">
        <f t="shared" si="2"/>
        <v>235.32027286151322</v>
      </c>
      <c r="E58" s="10">
        <f t="shared" si="3"/>
        <v>474.76665792405686</v>
      </c>
    </row>
    <row r="59" spans="1:5" ht="14.25" customHeight="1" x14ac:dyDescent="0.3">
      <c r="A59" s="44">
        <v>47</v>
      </c>
      <c r="B59" s="10">
        <f t="shared" si="0"/>
        <v>239.46244662442905</v>
      </c>
      <c r="C59" s="10">
        <f t="shared" si="1"/>
        <v>2.769472171223665</v>
      </c>
      <c r="D59" s="10">
        <f t="shared" si="2"/>
        <v>236.69297445320538</v>
      </c>
      <c r="E59" s="10">
        <f t="shared" si="3"/>
        <v>238.07368347085148</v>
      </c>
    </row>
    <row r="60" spans="1:5" ht="14.25" customHeight="1" x14ac:dyDescent="0.3">
      <c r="A60" s="44">
        <v>48</v>
      </c>
      <c r="B60" s="10">
        <f t="shared" si="0"/>
        <v>239.46244662443144</v>
      </c>
      <c r="C60" s="10">
        <f t="shared" si="1"/>
        <v>1.3887631535799669</v>
      </c>
      <c r="D60" s="10">
        <f t="shared" si="2"/>
        <v>238.07368347085148</v>
      </c>
      <c r="E60" s="10">
        <f t="shared" si="3"/>
        <v>0</v>
      </c>
    </row>
    <row r="61" spans="1:5" ht="14.25" customHeight="1" x14ac:dyDescent="0.3">
      <c r="A61" s="44">
        <v>49</v>
      </c>
      <c r="B61" s="10">
        <f t="shared" si="0"/>
        <v>0</v>
      </c>
      <c r="C61" s="10">
        <f t="shared" si="1"/>
        <v>0</v>
      </c>
      <c r="D61" s="10">
        <f t="shared" si="2"/>
        <v>0</v>
      </c>
      <c r="E61" s="10">
        <f t="shared" si="3"/>
        <v>0</v>
      </c>
    </row>
    <row r="62" spans="1:5" ht="14.25" customHeight="1" x14ac:dyDescent="0.3">
      <c r="A62" s="44">
        <v>50</v>
      </c>
      <c r="B62" s="10">
        <f t="shared" si="0"/>
        <v>0</v>
      </c>
      <c r="C62" s="10">
        <f t="shared" si="1"/>
        <v>0</v>
      </c>
      <c r="D62" s="10">
        <f t="shared" si="2"/>
        <v>0</v>
      </c>
      <c r="E62" s="10">
        <f t="shared" si="3"/>
        <v>0</v>
      </c>
    </row>
    <row r="63" spans="1:5" ht="14.25" customHeight="1" x14ac:dyDescent="0.3">
      <c r="A63" s="44">
        <v>51</v>
      </c>
      <c r="B63" s="10">
        <f t="shared" si="0"/>
        <v>0</v>
      </c>
      <c r="C63" s="10">
        <f t="shared" si="1"/>
        <v>0</v>
      </c>
      <c r="D63" s="10">
        <f t="shared" si="2"/>
        <v>0</v>
      </c>
      <c r="E63" s="10">
        <f t="shared" si="3"/>
        <v>0</v>
      </c>
    </row>
    <row r="64" spans="1:5" ht="14.25" customHeight="1" x14ac:dyDescent="0.3">
      <c r="A64" s="44">
        <v>52</v>
      </c>
      <c r="B64" s="10">
        <f t="shared" si="0"/>
        <v>0</v>
      </c>
      <c r="C64" s="10">
        <f t="shared" si="1"/>
        <v>0</v>
      </c>
      <c r="D64" s="10">
        <f t="shared" si="2"/>
        <v>0</v>
      </c>
      <c r="E64" s="10">
        <f t="shared" si="3"/>
        <v>0</v>
      </c>
    </row>
    <row r="65" spans="1:5" ht="14.25" customHeight="1" x14ac:dyDescent="0.3">
      <c r="A65" s="44">
        <v>53</v>
      </c>
      <c r="B65" s="10">
        <f t="shared" si="0"/>
        <v>0</v>
      </c>
      <c r="C65" s="10">
        <f t="shared" si="1"/>
        <v>0</v>
      </c>
      <c r="D65" s="10">
        <f t="shared" si="2"/>
        <v>0</v>
      </c>
      <c r="E65" s="10">
        <f t="shared" si="3"/>
        <v>0</v>
      </c>
    </row>
    <row r="66" spans="1:5" ht="14.25" customHeight="1" x14ac:dyDescent="0.3">
      <c r="A66" s="44">
        <v>54</v>
      </c>
      <c r="B66" s="10">
        <f t="shared" si="0"/>
        <v>0</v>
      </c>
      <c r="C66" s="10">
        <f t="shared" si="1"/>
        <v>0</v>
      </c>
      <c r="D66" s="10">
        <f t="shared" si="2"/>
        <v>0</v>
      </c>
      <c r="E66" s="10">
        <f t="shared" si="3"/>
        <v>0</v>
      </c>
    </row>
    <row r="67" spans="1:5" ht="14.25" customHeight="1" x14ac:dyDescent="0.3">
      <c r="A67" s="44">
        <v>55</v>
      </c>
      <c r="B67" s="10">
        <f t="shared" si="0"/>
        <v>0</v>
      </c>
      <c r="C67" s="10">
        <f t="shared" si="1"/>
        <v>0</v>
      </c>
      <c r="D67" s="10">
        <f t="shared" si="2"/>
        <v>0</v>
      </c>
      <c r="E67" s="10">
        <f t="shared" si="3"/>
        <v>0</v>
      </c>
    </row>
    <row r="68" spans="1:5" ht="14.25" customHeight="1" x14ac:dyDescent="0.3">
      <c r="A68" s="44">
        <v>56</v>
      </c>
      <c r="B68" s="10">
        <f t="shared" si="0"/>
        <v>0</v>
      </c>
      <c r="C68" s="10">
        <f t="shared" si="1"/>
        <v>0</v>
      </c>
      <c r="D68" s="10">
        <f t="shared" si="2"/>
        <v>0</v>
      </c>
      <c r="E68" s="10">
        <f t="shared" si="3"/>
        <v>0</v>
      </c>
    </row>
    <row r="69" spans="1:5" ht="14.25" customHeight="1" x14ac:dyDescent="0.3">
      <c r="A69" s="44">
        <v>57</v>
      </c>
      <c r="B69" s="10">
        <f t="shared" si="0"/>
        <v>0</v>
      </c>
      <c r="C69" s="10">
        <f t="shared" si="1"/>
        <v>0</v>
      </c>
      <c r="D69" s="10">
        <f t="shared" si="2"/>
        <v>0</v>
      </c>
      <c r="E69" s="10">
        <f t="shared" si="3"/>
        <v>0</v>
      </c>
    </row>
    <row r="70" spans="1:5" ht="14.25" customHeight="1" x14ac:dyDescent="0.3">
      <c r="A70" s="44">
        <v>58</v>
      </c>
      <c r="B70" s="10">
        <f t="shared" si="0"/>
        <v>0</v>
      </c>
      <c r="C70" s="10">
        <f t="shared" si="1"/>
        <v>0</v>
      </c>
      <c r="D70" s="10">
        <f t="shared" si="2"/>
        <v>0</v>
      </c>
      <c r="E70" s="10">
        <f t="shared" si="3"/>
        <v>0</v>
      </c>
    </row>
    <row r="71" spans="1:5" ht="14.25" customHeight="1" x14ac:dyDescent="0.3">
      <c r="A71" s="44">
        <v>59</v>
      </c>
      <c r="B71" s="10">
        <f t="shared" si="0"/>
        <v>0</v>
      </c>
      <c r="C71" s="10">
        <f t="shared" si="1"/>
        <v>0</v>
      </c>
      <c r="D71" s="10">
        <f t="shared" si="2"/>
        <v>0</v>
      </c>
      <c r="E71" s="10">
        <f t="shared" si="3"/>
        <v>0</v>
      </c>
    </row>
    <row r="72" spans="1:5" ht="14.25" customHeight="1" x14ac:dyDescent="0.3">
      <c r="A72" s="44">
        <v>60</v>
      </c>
      <c r="B72" s="10">
        <f t="shared" si="0"/>
        <v>0</v>
      </c>
      <c r="C72" s="10">
        <f t="shared" si="1"/>
        <v>0</v>
      </c>
      <c r="D72" s="10">
        <f t="shared" si="2"/>
        <v>0</v>
      </c>
      <c r="E72" s="10">
        <f t="shared" si="3"/>
        <v>0</v>
      </c>
    </row>
    <row r="73" spans="1:5" ht="14.25" customHeight="1" x14ac:dyDescent="0.3">
      <c r="A73" s="44">
        <v>61</v>
      </c>
      <c r="B73" s="10">
        <f t="shared" si="0"/>
        <v>0</v>
      </c>
      <c r="C73" s="10">
        <f t="shared" si="1"/>
        <v>0</v>
      </c>
      <c r="D73" s="10">
        <f t="shared" si="2"/>
        <v>0</v>
      </c>
      <c r="E73" s="10">
        <f t="shared" si="3"/>
        <v>0</v>
      </c>
    </row>
    <row r="74" spans="1:5" ht="14.25" customHeight="1" x14ac:dyDescent="0.3">
      <c r="A74" s="44">
        <v>62</v>
      </c>
      <c r="B74" s="10">
        <f t="shared" si="0"/>
        <v>0</v>
      </c>
      <c r="C74" s="10">
        <f t="shared" si="1"/>
        <v>0</v>
      </c>
      <c r="D74" s="10">
        <f t="shared" si="2"/>
        <v>0</v>
      </c>
      <c r="E74" s="10">
        <f t="shared" si="3"/>
        <v>0</v>
      </c>
    </row>
    <row r="75" spans="1:5" ht="14.25" customHeight="1" x14ac:dyDescent="0.3">
      <c r="A75" s="44">
        <v>63</v>
      </c>
      <c r="B75" s="10">
        <f t="shared" si="0"/>
        <v>0</v>
      </c>
      <c r="C75" s="10">
        <f t="shared" si="1"/>
        <v>0</v>
      </c>
      <c r="D75" s="10">
        <f t="shared" si="2"/>
        <v>0</v>
      </c>
      <c r="E75" s="10">
        <f t="shared" si="3"/>
        <v>0</v>
      </c>
    </row>
    <row r="76" spans="1:5" ht="14.25" customHeight="1" x14ac:dyDescent="0.3">
      <c r="A76" s="44">
        <v>64</v>
      </c>
      <c r="B76" s="10">
        <f t="shared" si="0"/>
        <v>0</v>
      </c>
      <c r="C76" s="10">
        <f t="shared" si="1"/>
        <v>0</v>
      </c>
      <c r="D76" s="10">
        <f t="shared" si="2"/>
        <v>0</v>
      </c>
      <c r="E76" s="10">
        <f t="shared" si="3"/>
        <v>0</v>
      </c>
    </row>
    <row r="77" spans="1:5" ht="14.25" customHeight="1" x14ac:dyDescent="0.3">
      <c r="A77" s="44">
        <v>65</v>
      </c>
      <c r="B77" s="10">
        <f t="shared" ref="B77:B140" si="4">IF($B$9&lt;=E76,$B$9,E76+E76*$B$7/$B$8)</f>
        <v>0</v>
      </c>
      <c r="C77" s="10">
        <f t="shared" ref="C77:C140" si="5">IF(B77&gt;0,$B$7/$B$8*E76,0)</f>
        <v>0</v>
      </c>
      <c r="D77" s="10">
        <f t="shared" ref="D77:D140" si="6">IF(B77&gt;0,MIN(B77-C77,E76),0)</f>
        <v>0</v>
      </c>
      <c r="E77" s="10">
        <f t="shared" ref="E77:E140" si="7">IF(ROUND(E76,5)&gt;0,E76-D77,0)</f>
        <v>0</v>
      </c>
    </row>
    <row r="78" spans="1:5" ht="14.25" customHeight="1" x14ac:dyDescent="0.3">
      <c r="A78" s="44">
        <v>66</v>
      </c>
      <c r="B78" s="10">
        <f t="shared" si="4"/>
        <v>0</v>
      </c>
      <c r="C78" s="10">
        <f t="shared" si="5"/>
        <v>0</v>
      </c>
      <c r="D78" s="10">
        <f t="shared" si="6"/>
        <v>0</v>
      </c>
      <c r="E78" s="10">
        <f t="shared" si="7"/>
        <v>0</v>
      </c>
    </row>
    <row r="79" spans="1:5" ht="14.25" customHeight="1" x14ac:dyDescent="0.3">
      <c r="A79" s="44">
        <v>67</v>
      </c>
      <c r="B79" s="10">
        <f t="shared" si="4"/>
        <v>0</v>
      </c>
      <c r="C79" s="10">
        <f t="shared" si="5"/>
        <v>0</v>
      </c>
      <c r="D79" s="10">
        <f t="shared" si="6"/>
        <v>0</v>
      </c>
      <c r="E79" s="10">
        <f t="shared" si="7"/>
        <v>0</v>
      </c>
    </row>
    <row r="80" spans="1:5" ht="14.25" customHeight="1" x14ac:dyDescent="0.3">
      <c r="A80" s="44">
        <v>68</v>
      </c>
      <c r="B80" s="10">
        <f t="shared" si="4"/>
        <v>0</v>
      </c>
      <c r="C80" s="10">
        <f t="shared" si="5"/>
        <v>0</v>
      </c>
      <c r="D80" s="10">
        <f t="shared" si="6"/>
        <v>0</v>
      </c>
      <c r="E80" s="10">
        <f t="shared" si="7"/>
        <v>0</v>
      </c>
    </row>
    <row r="81" spans="1:5" ht="14.25" customHeight="1" x14ac:dyDescent="0.3">
      <c r="A81" s="44">
        <v>69</v>
      </c>
      <c r="B81" s="10">
        <f t="shared" si="4"/>
        <v>0</v>
      </c>
      <c r="C81" s="10">
        <f t="shared" si="5"/>
        <v>0</v>
      </c>
      <c r="D81" s="10">
        <f t="shared" si="6"/>
        <v>0</v>
      </c>
      <c r="E81" s="10">
        <f t="shared" si="7"/>
        <v>0</v>
      </c>
    </row>
    <row r="82" spans="1:5" ht="14.25" customHeight="1" x14ac:dyDescent="0.3">
      <c r="A82" s="44">
        <v>70</v>
      </c>
      <c r="B82" s="10">
        <f t="shared" si="4"/>
        <v>0</v>
      </c>
      <c r="C82" s="10">
        <f t="shared" si="5"/>
        <v>0</v>
      </c>
      <c r="D82" s="10">
        <f t="shared" si="6"/>
        <v>0</v>
      </c>
      <c r="E82" s="10">
        <f t="shared" si="7"/>
        <v>0</v>
      </c>
    </row>
    <row r="83" spans="1:5" ht="14.25" customHeight="1" x14ac:dyDescent="0.3">
      <c r="A83" s="44">
        <v>71</v>
      </c>
      <c r="B83" s="10">
        <f t="shared" si="4"/>
        <v>0</v>
      </c>
      <c r="C83" s="10">
        <f t="shared" si="5"/>
        <v>0</v>
      </c>
      <c r="D83" s="10">
        <f t="shared" si="6"/>
        <v>0</v>
      </c>
      <c r="E83" s="10">
        <f t="shared" si="7"/>
        <v>0</v>
      </c>
    </row>
    <row r="84" spans="1:5" ht="14.25" customHeight="1" x14ac:dyDescent="0.3">
      <c r="A84" s="44">
        <v>72</v>
      </c>
      <c r="B84" s="10">
        <f t="shared" si="4"/>
        <v>0</v>
      </c>
      <c r="C84" s="10">
        <f t="shared" si="5"/>
        <v>0</v>
      </c>
      <c r="D84" s="10">
        <f t="shared" si="6"/>
        <v>0</v>
      </c>
      <c r="E84" s="10">
        <f t="shared" si="7"/>
        <v>0</v>
      </c>
    </row>
    <row r="85" spans="1:5" ht="14.25" customHeight="1" x14ac:dyDescent="0.3">
      <c r="A85" s="44">
        <v>73</v>
      </c>
      <c r="B85" s="10">
        <f t="shared" si="4"/>
        <v>0</v>
      </c>
      <c r="C85" s="10">
        <f t="shared" si="5"/>
        <v>0</v>
      </c>
      <c r="D85" s="10">
        <f t="shared" si="6"/>
        <v>0</v>
      </c>
      <c r="E85" s="10">
        <f t="shared" si="7"/>
        <v>0</v>
      </c>
    </row>
    <row r="86" spans="1:5" ht="14.25" customHeight="1" x14ac:dyDescent="0.3">
      <c r="A86" s="44">
        <v>74</v>
      </c>
      <c r="B86" s="10">
        <f t="shared" si="4"/>
        <v>0</v>
      </c>
      <c r="C86" s="10">
        <f t="shared" si="5"/>
        <v>0</v>
      </c>
      <c r="D86" s="10">
        <f t="shared" si="6"/>
        <v>0</v>
      </c>
      <c r="E86" s="10">
        <f t="shared" si="7"/>
        <v>0</v>
      </c>
    </row>
    <row r="87" spans="1:5" ht="14.25" customHeight="1" x14ac:dyDescent="0.3">
      <c r="A87" s="44">
        <v>75</v>
      </c>
      <c r="B87" s="10">
        <f t="shared" si="4"/>
        <v>0</v>
      </c>
      <c r="C87" s="10">
        <f t="shared" si="5"/>
        <v>0</v>
      </c>
      <c r="D87" s="10">
        <f t="shared" si="6"/>
        <v>0</v>
      </c>
      <c r="E87" s="10">
        <f t="shared" si="7"/>
        <v>0</v>
      </c>
    </row>
    <row r="88" spans="1:5" ht="14.25" customHeight="1" x14ac:dyDescent="0.3">
      <c r="A88" s="44">
        <v>76</v>
      </c>
      <c r="B88" s="10">
        <f t="shared" si="4"/>
        <v>0</v>
      </c>
      <c r="C88" s="10">
        <f t="shared" si="5"/>
        <v>0</v>
      </c>
      <c r="D88" s="10">
        <f t="shared" si="6"/>
        <v>0</v>
      </c>
      <c r="E88" s="10">
        <f t="shared" si="7"/>
        <v>0</v>
      </c>
    </row>
    <row r="89" spans="1:5" ht="14.25" customHeight="1" x14ac:dyDescent="0.3">
      <c r="A89" s="44">
        <v>77</v>
      </c>
      <c r="B89" s="10">
        <f t="shared" si="4"/>
        <v>0</v>
      </c>
      <c r="C89" s="10">
        <f t="shared" si="5"/>
        <v>0</v>
      </c>
      <c r="D89" s="10">
        <f t="shared" si="6"/>
        <v>0</v>
      </c>
      <c r="E89" s="10">
        <f t="shared" si="7"/>
        <v>0</v>
      </c>
    </row>
    <row r="90" spans="1:5" ht="14.25" customHeight="1" x14ac:dyDescent="0.3">
      <c r="A90" s="44">
        <v>78</v>
      </c>
      <c r="B90" s="10">
        <f t="shared" si="4"/>
        <v>0</v>
      </c>
      <c r="C90" s="10">
        <f t="shared" si="5"/>
        <v>0</v>
      </c>
      <c r="D90" s="10">
        <f t="shared" si="6"/>
        <v>0</v>
      </c>
      <c r="E90" s="10">
        <f t="shared" si="7"/>
        <v>0</v>
      </c>
    </row>
    <row r="91" spans="1:5" ht="14.25" customHeight="1" x14ac:dyDescent="0.3">
      <c r="A91" s="44">
        <v>79</v>
      </c>
      <c r="B91" s="10">
        <f t="shared" si="4"/>
        <v>0</v>
      </c>
      <c r="C91" s="10">
        <f t="shared" si="5"/>
        <v>0</v>
      </c>
      <c r="D91" s="10">
        <f t="shared" si="6"/>
        <v>0</v>
      </c>
      <c r="E91" s="10">
        <f t="shared" si="7"/>
        <v>0</v>
      </c>
    </row>
    <row r="92" spans="1:5" ht="14.25" customHeight="1" x14ac:dyDescent="0.3">
      <c r="A92" s="44">
        <v>80</v>
      </c>
      <c r="B92" s="10">
        <f t="shared" si="4"/>
        <v>0</v>
      </c>
      <c r="C92" s="10">
        <f t="shared" si="5"/>
        <v>0</v>
      </c>
      <c r="D92" s="10">
        <f t="shared" si="6"/>
        <v>0</v>
      </c>
      <c r="E92" s="10">
        <f t="shared" si="7"/>
        <v>0</v>
      </c>
    </row>
    <row r="93" spans="1:5" ht="14.25" customHeight="1" x14ac:dyDescent="0.3">
      <c r="A93" s="44">
        <v>81</v>
      </c>
      <c r="B93" s="10">
        <f t="shared" si="4"/>
        <v>0</v>
      </c>
      <c r="C93" s="10">
        <f t="shared" si="5"/>
        <v>0</v>
      </c>
      <c r="D93" s="10">
        <f t="shared" si="6"/>
        <v>0</v>
      </c>
      <c r="E93" s="10">
        <f t="shared" si="7"/>
        <v>0</v>
      </c>
    </row>
    <row r="94" spans="1:5" ht="14.25" customHeight="1" x14ac:dyDescent="0.3">
      <c r="A94" s="44">
        <v>82</v>
      </c>
      <c r="B94" s="10">
        <f t="shared" si="4"/>
        <v>0</v>
      </c>
      <c r="C94" s="10">
        <f t="shared" si="5"/>
        <v>0</v>
      </c>
      <c r="D94" s="10">
        <f t="shared" si="6"/>
        <v>0</v>
      </c>
      <c r="E94" s="10">
        <f t="shared" si="7"/>
        <v>0</v>
      </c>
    </row>
    <row r="95" spans="1:5" ht="14.25" customHeight="1" x14ac:dyDescent="0.3">
      <c r="A95" s="44">
        <v>83</v>
      </c>
      <c r="B95" s="10">
        <f t="shared" si="4"/>
        <v>0</v>
      </c>
      <c r="C95" s="10">
        <f t="shared" si="5"/>
        <v>0</v>
      </c>
      <c r="D95" s="10">
        <f t="shared" si="6"/>
        <v>0</v>
      </c>
      <c r="E95" s="10">
        <f t="shared" si="7"/>
        <v>0</v>
      </c>
    </row>
    <row r="96" spans="1:5" ht="14.25" customHeight="1" x14ac:dyDescent="0.3">
      <c r="A96" s="44">
        <v>84</v>
      </c>
      <c r="B96" s="10">
        <f t="shared" si="4"/>
        <v>0</v>
      </c>
      <c r="C96" s="10">
        <f t="shared" si="5"/>
        <v>0</v>
      </c>
      <c r="D96" s="10">
        <f t="shared" si="6"/>
        <v>0</v>
      </c>
      <c r="E96" s="10">
        <f t="shared" si="7"/>
        <v>0</v>
      </c>
    </row>
    <row r="97" spans="1:5" ht="14.25" customHeight="1" x14ac:dyDescent="0.3">
      <c r="A97" s="44">
        <v>85</v>
      </c>
      <c r="B97" s="10">
        <f t="shared" si="4"/>
        <v>0</v>
      </c>
      <c r="C97" s="10">
        <f t="shared" si="5"/>
        <v>0</v>
      </c>
      <c r="D97" s="10">
        <f t="shared" si="6"/>
        <v>0</v>
      </c>
      <c r="E97" s="10">
        <f t="shared" si="7"/>
        <v>0</v>
      </c>
    </row>
    <row r="98" spans="1:5" ht="14.25" customHeight="1" x14ac:dyDescent="0.3">
      <c r="A98" s="44">
        <v>86</v>
      </c>
      <c r="B98" s="10">
        <f t="shared" si="4"/>
        <v>0</v>
      </c>
      <c r="C98" s="10">
        <f t="shared" si="5"/>
        <v>0</v>
      </c>
      <c r="D98" s="10">
        <f t="shared" si="6"/>
        <v>0</v>
      </c>
      <c r="E98" s="10">
        <f t="shared" si="7"/>
        <v>0</v>
      </c>
    </row>
    <row r="99" spans="1:5" ht="14.25" customHeight="1" x14ac:dyDescent="0.3">
      <c r="A99" s="44">
        <v>87</v>
      </c>
      <c r="B99" s="10">
        <f t="shared" si="4"/>
        <v>0</v>
      </c>
      <c r="C99" s="10">
        <f t="shared" si="5"/>
        <v>0</v>
      </c>
      <c r="D99" s="10">
        <f t="shared" si="6"/>
        <v>0</v>
      </c>
      <c r="E99" s="10">
        <f t="shared" si="7"/>
        <v>0</v>
      </c>
    </row>
    <row r="100" spans="1:5" ht="14.25" customHeight="1" x14ac:dyDescent="0.3">
      <c r="A100" s="44">
        <v>88</v>
      </c>
      <c r="B100" s="10">
        <f t="shared" si="4"/>
        <v>0</v>
      </c>
      <c r="C100" s="10">
        <f t="shared" si="5"/>
        <v>0</v>
      </c>
      <c r="D100" s="10">
        <f t="shared" si="6"/>
        <v>0</v>
      </c>
      <c r="E100" s="10">
        <f t="shared" si="7"/>
        <v>0</v>
      </c>
    </row>
    <row r="101" spans="1:5" ht="14.25" customHeight="1" x14ac:dyDescent="0.3">
      <c r="A101" s="44">
        <v>89</v>
      </c>
      <c r="B101" s="10">
        <f t="shared" si="4"/>
        <v>0</v>
      </c>
      <c r="C101" s="10">
        <f t="shared" si="5"/>
        <v>0</v>
      </c>
      <c r="D101" s="10">
        <f t="shared" si="6"/>
        <v>0</v>
      </c>
      <c r="E101" s="10">
        <f t="shared" si="7"/>
        <v>0</v>
      </c>
    </row>
    <row r="102" spans="1:5" ht="14.25" customHeight="1" x14ac:dyDescent="0.3">
      <c r="A102" s="44">
        <v>90</v>
      </c>
      <c r="B102" s="10">
        <f t="shared" si="4"/>
        <v>0</v>
      </c>
      <c r="C102" s="10">
        <f t="shared" si="5"/>
        <v>0</v>
      </c>
      <c r="D102" s="10">
        <f t="shared" si="6"/>
        <v>0</v>
      </c>
      <c r="E102" s="10">
        <f t="shared" si="7"/>
        <v>0</v>
      </c>
    </row>
    <row r="103" spans="1:5" ht="14.25" customHeight="1" x14ac:dyDescent="0.3">
      <c r="A103" s="44">
        <v>91</v>
      </c>
      <c r="B103" s="10">
        <f t="shared" si="4"/>
        <v>0</v>
      </c>
      <c r="C103" s="10">
        <f t="shared" si="5"/>
        <v>0</v>
      </c>
      <c r="D103" s="10">
        <f t="shared" si="6"/>
        <v>0</v>
      </c>
      <c r="E103" s="10">
        <f t="shared" si="7"/>
        <v>0</v>
      </c>
    </row>
    <row r="104" spans="1:5" ht="14.25" customHeight="1" x14ac:dyDescent="0.3">
      <c r="A104" s="44">
        <v>92</v>
      </c>
      <c r="B104" s="10">
        <f t="shared" si="4"/>
        <v>0</v>
      </c>
      <c r="C104" s="10">
        <f t="shared" si="5"/>
        <v>0</v>
      </c>
      <c r="D104" s="10">
        <f t="shared" si="6"/>
        <v>0</v>
      </c>
      <c r="E104" s="10">
        <f t="shared" si="7"/>
        <v>0</v>
      </c>
    </row>
    <row r="105" spans="1:5" ht="14.25" customHeight="1" x14ac:dyDescent="0.3">
      <c r="A105" s="44">
        <v>93</v>
      </c>
      <c r="B105" s="10">
        <f t="shared" si="4"/>
        <v>0</v>
      </c>
      <c r="C105" s="10">
        <f t="shared" si="5"/>
        <v>0</v>
      </c>
      <c r="D105" s="10">
        <f t="shared" si="6"/>
        <v>0</v>
      </c>
      <c r="E105" s="10">
        <f t="shared" si="7"/>
        <v>0</v>
      </c>
    </row>
    <row r="106" spans="1:5" ht="14.25" customHeight="1" x14ac:dyDescent="0.3">
      <c r="A106" s="44">
        <v>94</v>
      </c>
      <c r="B106" s="10">
        <f t="shared" si="4"/>
        <v>0</v>
      </c>
      <c r="C106" s="10">
        <f t="shared" si="5"/>
        <v>0</v>
      </c>
      <c r="D106" s="10">
        <f t="shared" si="6"/>
        <v>0</v>
      </c>
      <c r="E106" s="10">
        <f t="shared" si="7"/>
        <v>0</v>
      </c>
    </row>
    <row r="107" spans="1:5" ht="14.25" customHeight="1" x14ac:dyDescent="0.3">
      <c r="A107" s="44">
        <v>95</v>
      </c>
      <c r="B107" s="10">
        <f t="shared" si="4"/>
        <v>0</v>
      </c>
      <c r="C107" s="10">
        <f t="shared" si="5"/>
        <v>0</v>
      </c>
      <c r="D107" s="10">
        <f t="shared" si="6"/>
        <v>0</v>
      </c>
      <c r="E107" s="10">
        <f t="shared" si="7"/>
        <v>0</v>
      </c>
    </row>
    <row r="108" spans="1:5" ht="14.25" customHeight="1" x14ac:dyDescent="0.3">
      <c r="A108" s="44">
        <v>96</v>
      </c>
      <c r="B108" s="10">
        <f t="shared" si="4"/>
        <v>0</v>
      </c>
      <c r="C108" s="10">
        <f t="shared" si="5"/>
        <v>0</v>
      </c>
      <c r="D108" s="10">
        <f t="shared" si="6"/>
        <v>0</v>
      </c>
      <c r="E108" s="10">
        <f t="shared" si="7"/>
        <v>0</v>
      </c>
    </row>
    <row r="109" spans="1:5" ht="14.25" customHeight="1" x14ac:dyDescent="0.3">
      <c r="A109" s="44">
        <v>97</v>
      </c>
      <c r="B109" s="10">
        <f t="shared" si="4"/>
        <v>0</v>
      </c>
      <c r="C109" s="10">
        <f t="shared" si="5"/>
        <v>0</v>
      </c>
      <c r="D109" s="10">
        <f t="shared" si="6"/>
        <v>0</v>
      </c>
      <c r="E109" s="10">
        <f t="shared" si="7"/>
        <v>0</v>
      </c>
    </row>
    <row r="110" spans="1:5" ht="14.25" customHeight="1" x14ac:dyDescent="0.3">
      <c r="A110" s="44">
        <v>98</v>
      </c>
      <c r="B110" s="10">
        <f t="shared" si="4"/>
        <v>0</v>
      </c>
      <c r="C110" s="10">
        <f t="shared" si="5"/>
        <v>0</v>
      </c>
      <c r="D110" s="10">
        <f t="shared" si="6"/>
        <v>0</v>
      </c>
      <c r="E110" s="10">
        <f t="shared" si="7"/>
        <v>0</v>
      </c>
    </row>
    <row r="111" spans="1:5" ht="14.25" customHeight="1" x14ac:dyDescent="0.3">
      <c r="A111" s="44">
        <v>99</v>
      </c>
      <c r="B111" s="10">
        <f t="shared" si="4"/>
        <v>0</v>
      </c>
      <c r="C111" s="10">
        <f t="shared" si="5"/>
        <v>0</v>
      </c>
      <c r="D111" s="10">
        <f t="shared" si="6"/>
        <v>0</v>
      </c>
      <c r="E111" s="10">
        <f t="shared" si="7"/>
        <v>0</v>
      </c>
    </row>
    <row r="112" spans="1:5" ht="14.25" customHeight="1" x14ac:dyDescent="0.3">
      <c r="A112" s="44">
        <v>100</v>
      </c>
      <c r="B112" s="10">
        <f t="shared" si="4"/>
        <v>0</v>
      </c>
      <c r="C112" s="10">
        <f t="shared" si="5"/>
        <v>0</v>
      </c>
      <c r="D112" s="10">
        <f t="shared" si="6"/>
        <v>0</v>
      </c>
      <c r="E112" s="10">
        <f t="shared" si="7"/>
        <v>0</v>
      </c>
    </row>
    <row r="113" spans="1:5" ht="14.25" customHeight="1" x14ac:dyDescent="0.3">
      <c r="A113" s="44">
        <v>101</v>
      </c>
      <c r="B113" s="10">
        <f t="shared" si="4"/>
        <v>0</v>
      </c>
      <c r="C113" s="10">
        <f t="shared" si="5"/>
        <v>0</v>
      </c>
      <c r="D113" s="10">
        <f t="shared" si="6"/>
        <v>0</v>
      </c>
      <c r="E113" s="10">
        <f t="shared" si="7"/>
        <v>0</v>
      </c>
    </row>
    <row r="114" spans="1:5" ht="14.25" customHeight="1" x14ac:dyDescent="0.3">
      <c r="A114" s="44">
        <v>102</v>
      </c>
      <c r="B114" s="10">
        <f t="shared" si="4"/>
        <v>0</v>
      </c>
      <c r="C114" s="10">
        <f t="shared" si="5"/>
        <v>0</v>
      </c>
      <c r="D114" s="10">
        <f t="shared" si="6"/>
        <v>0</v>
      </c>
      <c r="E114" s="10">
        <f t="shared" si="7"/>
        <v>0</v>
      </c>
    </row>
    <row r="115" spans="1:5" ht="14.25" customHeight="1" x14ac:dyDescent="0.3">
      <c r="A115" s="44">
        <v>103</v>
      </c>
      <c r="B115" s="10">
        <f t="shared" si="4"/>
        <v>0</v>
      </c>
      <c r="C115" s="10">
        <f t="shared" si="5"/>
        <v>0</v>
      </c>
      <c r="D115" s="10">
        <f t="shared" si="6"/>
        <v>0</v>
      </c>
      <c r="E115" s="10">
        <f t="shared" si="7"/>
        <v>0</v>
      </c>
    </row>
    <row r="116" spans="1:5" ht="14.25" customHeight="1" x14ac:dyDescent="0.3">
      <c r="A116" s="44">
        <v>104</v>
      </c>
      <c r="B116" s="10">
        <f t="shared" si="4"/>
        <v>0</v>
      </c>
      <c r="C116" s="10">
        <f t="shared" si="5"/>
        <v>0</v>
      </c>
      <c r="D116" s="10">
        <f t="shared" si="6"/>
        <v>0</v>
      </c>
      <c r="E116" s="10">
        <f t="shared" si="7"/>
        <v>0</v>
      </c>
    </row>
    <row r="117" spans="1:5" ht="14.25" customHeight="1" x14ac:dyDescent="0.3">
      <c r="A117" s="44">
        <v>105</v>
      </c>
      <c r="B117" s="10">
        <f t="shared" si="4"/>
        <v>0</v>
      </c>
      <c r="C117" s="10">
        <f t="shared" si="5"/>
        <v>0</v>
      </c>
      <c r="D117" s="10">
        <f t="shared" si="6"/>
        <v>0</v>
      </c>
      <c r="E117" s="10">
        <f t="shared" si="7"/>
        <v>0</v>
      </c>
    </row>
    <row r="118" spans="1:5" ht="14.25" customHeight="1" x14ac:dyDescent="0.3">
      <c r="A118" s="44">
        <v>106</v>
      </c>
      <c r="B118" s="10">
        <f t="shared" si="4"/>
        <v>0</v>
      </c>
      <c r="C118" s="10">
        <f t="shared" si="5"/>
        <v>0</v>
      </c>
      <c r="D118" s="10">
        <f t="shared" si="6"/>
        <v>0</v>
      </c>
      <c r="E118" s="10">
        <f t="shared" si="7"/>
        <v>0</v>
      </c>
    </row>
    <row r="119" spans="1:5" ht="14.25" customHeight="1" x14ac:dyDescent="0.3">
      <c r="A119" s="44">
        <v>107</v>
      </c>
      <c r="B119" s="10">
        <f t="shared" si="4"/>
        <v>0</v>
      </c>
      <c r="C119" s="10">
        <f t="shared" si="5"/>
        <v>0</v>
      </c>
      <c r="D119" s="10">
        <f t="shared" si="6"/>
        <v>0</v>
      </c>
      <c r="E119" s="10">
        <f t="shared" si="7"/>
        <v>0</v>
      </c>
    </row>
    <row r="120" spans="1:5" ht="14.25" customHeight="1" x14ac:dyDescent="0.3">
      <c r="A120" s="44">
        <v>108</v>
      </c>
      <c r="B120" s="10">
        <f t="shared" si="4"/>
        <v>0</v>
      </c>
      <c r="C120" s="10">
        <f t="shared" si="5"/>
        <v>0</v>
      </c>
      <c r="D120" s="10">
        <f t="shared" si="6"/>
        <v>0</v>
      </c>
      <c r="E120" s="10">
        <f t="shared" si="7"/>
        <v>0</v>
      </c>
    </row>
    <row r="121" spans="1:5" ht="14.25" customHeight="1" x14ac:dyDescent="0.3">
      <c r="A121" s="44">
        <v>109</v>
      </c>
      <c r="B121" s="10">
        <f t="shared" si="4"/>
        <v>0</v>
      </c>
      <c r="C121" s="10">
        <f t="shared" si="5"/>
        <v>0</v>
      </c>
      <c r="D121" s="10">
        <f t="shared" si="6"/>
        <v>0</v>
      </c>
      <c r="E121" s="10">
        <f t="shared" si="7"/>
        <v>0</v>
      </c>
    </row>
    <row r="122" spans="1:5" ht="14.25" customHeight="1" x14ac:dyDescent="0.3">
      <c r="A122" s="44">
        <v>110</v>
      </c>
      <c r="B122" s="10">
        <f t="shared" si="4"/>
        <v>0</v>
      </c>
      <c r="C122" s="10">
        <f t="shared" si="5"/>
        <v>0</v>
      </c>
      <c r="D122" s="10">
        <f t="shared" si="6"/>
        <v>0</v>
      </c>
      <c r="E122" s="10">
        <f t="shared" si="7"/>
        <v>0</v>
      </c>
    </row>
    <row r="123" spans="1:5" ht="14.25" customHeight="1" x14ac:dyDescent="0.3">
      <c r="A123" s="44">
        <v>111</v>
      </c>
      <c r="B123" s="10">
        <f t="shared" si="4"/>
        <v>0</v>
      </c>
      <c r="C123" s="10">
        <f t="shared" si="5"/>
        <v>0</v>
      </c>
      <c r="D123" s="10">
        <f t="shared" si="6"/>
        <v>0</v>
      </c>
      <c r="E123" s="10">
        <f t="shared" si="7"/>
        <v>0</v>
      </c>
    </row>
    <row r="124" spans="1:5" ht="14.25" customHeight="1" x14ac:dyDescent="0.3">
      <c r="A124" s="44">
        <v>112</v>
      </c>
      <c r="B124" s="10">
        <f t="shared" si="4"/>
        <v>0</v>
      </c>
      <c r="C124" s="10">
        <f t="shared" si="5"/>
        <v>0</v>
      </c>
      <c r="D124" s="10">
        <f t="shared" si="6"/>
        <v>0</v>
      </c>
      <c r="E124" s="10">
        <f t="shared" si="7"/>
        <v>0</v>
      </c>
    </row>
    <row r="125" spans="1:5" ht="14.25" customHeight="1" x14ac:dyDescent="0.3">
      <c r="A125" s="44">
        <v>113</v>
      </c>
      <c r="B125" s="10">
        <f t="shared" si="4"/>
        <v>0</v>
      </c>
      <c r="C125" s="10">
        <f t="shared" si="5"/>
        <v>0</v>
      </c>
      <c r="D125" s="10">
        <f t="shared" si="6"/>
        <v>0</v>
      </c>
      <c r="E125" s="10">
        <f t="shared" si="7"/>
        <v>0</v>
      </c>
    </row>
    <row r="126" spans="1:5" ht="14.25" customHeight="1" x14ac:dyDescent="0.3">
      <c r="A126" s="44">
        <v>114</v>
      </c>
      <c r="B126" s="10">
        <f t="shared" si="4"/>
        <v>0</v>
      </c>
      <c r="C126" s="10">
        <f t="shared" si="5"/>
        <v>0</v>
      </c>
      <c r="D126" s="10">
        <f t="shared" si="6"/>
        <v>0</v>
      </c>
      <c r="E126" s="10">
        <f t="shared" si="7"/>
        <v>0</v>
      </c>
    </row>
    <row r="127" spans="1:5" ht="14.25" customHeight="1" x14ac:dyDescent="0.3">
      <c r="A127" s="44">
        <v>115</v>
      </c>
      <c r="B127" s="10">
        <f t="shared" si="4"/>
        <v>0</v>
      </c>
      <c r="C127" s="10">
        <f t="shared" si="5"/>
        <v>0</v>
      </c>
      <c r="D127" s="10">
        <f t="shared" si="6"/>
        <v>0</v>
      </c>
      <c r="E127" s="10">
        <f t="shared" si="7"/>
        <v>0</v>
      </c>
    </row>
    <row r="128" spans="1:5" ht="14.25" customHeight="1" x14ac:dyDescent="0.3">
      <c r="A128" s="44">
        <v>116</v>
      </c>
      <c r="B128" s="10">
        <f t="shared" si="4"/>
        <v>0</v>
      </c>
      <c r="C128" s="10">
        <f t="shared" si="5"/>
        <v>0</v>
      </c>
      <c r="D128" s="10">
        <f t="shared" si="6"/>
        <v>0</v>
      </c>
      <c r="E128" s="10">
        <f t="shared" si="7"/>
        <v>0</v>
      </c>
    </row>
    <row r="129" spans="1:5" ht="14.25" customHeight="1" x14ac:dyDescent="0.3">
      <c r="A129" s="44">
        <v>117</v>
      </c>
      <c r="B129" s="10">
        <f t="shared" si="4"/>
        <v>0</v>
      </c>
      <c r="C129" s="10">
        <f t="shared" si="5"/>
        <v>0</v>
      </c>
      <c r="D129" s="10">
        <f t="shared" si="6"/>
        <v>0</v>
      </c>
      <c r="E129" s="10">
        <f t="shared" si="7"/>
        <v>0</v>
      </c>
    </row>
    <row r="130" spans="1:5" ht="14.25" customHeight="1" x14ac:dyDescent="0.3">
      <c r="A130" s="44">
        <v>118</v>
      </c>
      <c r="B130" s="10">
        <f t="shared" si="4"/>
        <v>0</v>
      </c>
      <c r="C130" s="10">
        <f t="shared" si="5"/>
        <v>0</v>
      </c>
      <c r="D130" s="10">
        <f t="shared" si="6"/>
        <v>0</v>
      </c>
      <c r="E130" s="10">
        <f t="shared" si="7"/>
        <v>0</v>
      </c>
    </row>
    <row r="131" spans="1:5" ht="14.25" customHeight="1" x14ac:dyDescent="0.3">
      <c r="A131" s="44">
        <v>119</v>
      </c>
      <c r="B131" s="10">
        <f t="shared" si="4"/>
        <v>0</v>
      </c>
      <c r="C131" s="10">
        <f t="shared" si="5"/>
        <v>0</v>
      </c>
      <c r="D131" s="10">
        <f t="shared" si="6"/>
        <v>0</v>
      </c>
      <c r="E131" s="10">
        <f t="shared" si="7"/>
        <v>0</v>
      </c>
    </row>
    <row r="132" spans="1:5" ht="14.25" customHeight="1" x14ac:dyDescent="0.3">
      <c r="A132" s="44">
        <v>120</v>
      </c>
      <c r="B132" s="10">
        <f t="shared" si="4"/>
        <v>0</v>
      </c>
      <c r="C132" s="10">
        <f t="shared" si="5"/>
        <v>0</v>
      </c>
      <c r="D132" s="10">
        <f t="shared" si="6"/>
        <v>0</v>
      </c>
      <c r="E132" s="10">
        <f t="shared" si="7"/>
        <v>0</v>
      </c>
    </row>
    <row r="133" spans="1:5" ht="14.25" customHeight="1" x14ac:dyDescent="0.3">
      <c r="A133" s="44">
        <v>121</v>
      </c>
      <c r="B133" s="10">
        <f t="shared" si="4"/>
        <v>0</v>
      </c>
      <c r="C133" s="10">
        <f t="shared" si="5"/>
        <v>0</v>
      </c>
      <c r="D133" s="10">
        <f t="shared" si="6"/>
        <v>0</v>
      </c>
      <c r="E133" s="10">
        <f t="shared" si="7"/>
        <v>0</v>
      </c>
    </row>
    <row r="134" spans="1:5" ht="14.25" customHeight="1" x14ac:dyDescent="0.3">
      <c r="A134" s="44">
        <v>122</v>
      </c>
      <c r="B134" s="10">
        <f t="shared" si="4"/>
        <v>0</v>
      </c>
      <c r="C134" s="10">
        <f t="shared" si="5"/>
        <v>0</v>
      </c>
      <c r="D134" s="10">
        <f t="shared" si="6"/>
        <v>0</v>
      </c>
      <c r="E134" s="10">
        <f t="shared" si="7"/>
        <v>0</v>
      </c>
    </row>
    <row r="135" spans="1:5" ht="14.25" customHeight="1" x14ac:dyDescent="0.3">
      <c r="A135" s="44">
        <v>123</v>
      </c>
      <c r="B135" s="10">
        <f t="shared" si="4"/>
        <v>0</v>
      </c>
      <c r="C135" s="10">
        <f t="shared" si="5"/>
        <v>0</v>
      </c>
      <c r="D135" s="10">
        <f t="shared" si="6"/>
        <v>0</v>
      </c>
      <c r="E135" s="10">
        <f t="shared" si="7"/>
        <v>0</v>
      </c>
    </row>
    <row r="136" spans="1:5" ht="14.25" customHeight="1" x14ac:dyDescent="0.3">
      <c r="A136" s="44">
        <v>124</v>
      </c>
      <c r="B136" s="10">
        <f t="shared" si="4"/>
        <v>0</v>
      </c>
      <c r="C136" s="10">
        <f t="shared" si="5"/>
        <v>0</v>
      </c>
      <c r="D136" s="10">
        <f t="shared" si="6"/>
        <v>0</v>
      </c>
      <c r="E136" s="10">
        <f t="shared" si="7"/>
        <v>0</v>
      </c>
    </row>
    <row r="137" spans="1:5" ht="14.25" customHeight="1" x14ac:dyDescent="0.3">
      <c r="A137" s="44">
        <v>125</v>
      </c>
      <c r="B137" s="10">
        <f t="shared" si="4"/>
        <v>0</v>
      </c>
      <c r="C137" s="10">
        <f t="shared" si="5"/>
        <v>0</v>
      </c>
      <c r="D137" s="10">
        <f t="shared" si="6"/>
        <v>0</v>
      </c>
      <c r="E137" s="10">
        <f t="shared" si="7"/>
        <v>0</v>
      </c>
    </row>
    <row r="138" spans="1:5" ht="14.25" customHeight="1" x14ac:dyDescent="0.3">
      <c r="A138" s="44">
        <v>126</v>
      </c>
      <c r="B138" s="10">
        <f t="shared" si="4"/>
        <v>0</v>
      </c>
      <c r="C138" s="10">
        <f t="shared" si="5"/>
        <v>0</v>
      </c>
      <c r="D138" s="10">
        <f t="shared" si="6"/>
        <v>0</v>
      </c>
      <c r="E138" s="10">
        <f t="shared" si="7"/>
        <v>0</v>
      </c>
    </row>
    <row r="139" spans="1:5" ht="14.25" customHeight="1" x14ac:dyDescent="0.3">
      <c r="A139" s="44">
        <v>127</v>
      </c>
      <c r="B139" s="10">
        <f t="shared" si="4"/>
        <v>0</v>
      </c>
      <c r="C139" s="10">
        <f t="shared" si="5"/>
        <v>0</v>
      </c>
      <c r="D139" s="10">
        <f t="shared" si="6"/>
        <v>0</v>
      </c>
      <c r="E139" s="10">
        <f t="shared" si="7"/>
        <v>0</v>
      </c>
    </row>
    <row r="140" spans="1:5" ht="14.25" customHeight="1" x14ac:dyDescent="0.3">
      <c r="A140" s="44">
        <v>128</v>
      </c>
      <c r="B140" s="10">
        <f t="shared" si="4"/>
        <v>0</v>
      </c>
      <c r="C140" s="10">
        <f t="shared" si="5"/>
        <v>0</v>
      </c>
      <c r="D140" s="10">
        <f t="shared" si="6"/>
        <v>0</v>
      </c>
      <c r="E140" s="10">
        <f t="shared" si="7"/>
        <v>0</v>
      </c>
    </row>
    <row r="141" spans="1:5" ht="14.25" customHeight="1" x14ac:dyDescent="0.3">
      <c r="A141" s="44">
        <v>129</v>
      </c>
      <c r="B141" s="10">
        <f t="shared" ref="B141:B204" si="8">IF($B$9&lt;=E140,$B$9,E140+E140*$B$7/$B$8)</f>
        <v>0</v>
      </c>
      <c r="C141" s="10">
        <f t="shared" ref="C141:C204" si="9">IF(B141&gt;0,$B$7/$B$8*E140,0)</f>
        <v>0</v>
      </c>
      <c r="D141" s="10">
        <f t="shared" ref="D141:D204" si="10">IF(B141&gt;0,MIN(B141-C141,E140),0)</f>
        <v>0</v>
      </c>
      <c r="E141" s="10">
        <f t="shared" ref="E141:E204" si="11">IF(ROUND(E140,5)&gt;0,E140-D141,0)</f>
        <v>0</v>
      </c>
    </row>
    <row r="142" spans="1:5" ht="14.25" customHeight="1" x14ac:dyDescent="0.3">
      <c r="A142" s="44">
        <v>130</v>
      </c>
      <c r="B142" s="10">
        <f t="shared" si="8"/>
        <v>0</v>
      </c>
      <c r="C142" s="10">
        <f t="shared" si="9"/>
        <v>0</v>
      </c>
      <c r="D142" s="10">
        <f t="shared" si="10"/>
        <v>0</v>
      </c>
      <c r="E142" s="10">
        <f t="shared" si="11"/>
        <v>0</v>
      </c>
    </row>
    <row r="143" spans="1:5" ht="14.25" customHeight="1" x14ac:dyDescent="0.3">
      <c r="A143" s="44">
        <v>131</v>
      </c>
      <c r="B143" s="10">
        <f t="shared" si="8"/>
        <v>0</v>
      </c>
      <c r="C143" s="10">
        <f t="shared" si="9"/>
        <v>0</v>
      </c>
      <c r="D143" s="10">
        <f t="shared" si="10"/>
        <v>0</v>
      </c>
      <c r="E143" s="10">
        <f t="shared" si="11"/>
        <v>0</v>
      </c>
    </row>
    <row r="144" spans="1:5" ht="14.25" customHeight="1" x14ac:dyDescent="0.3">
      <c r="A144" s="44">
        <v>132</v>
      </c>
      <c r="B144" s="10">
        <f t="shared" si="8"/>
        <v>0</v>
      </c>
      <c r="C144" s="10">
        <f t="shared" si="9"/>
        <v>0</v>
      </c>
      <c r="D144" s="10">
        <f t="shared" si="10"/>
        <v>0</v>
      </c>
      <c r="E144" s="10">
        <f t="shared" si="11"/>
        <v>0</v>
      </c>
    </row>
    <row r="145" spans="1:5" ht="14.25" customHeight="1" x14ac:dyDescent="0.3">
      <c r="A145" s="44">
        <v>133</v>
      </c>
      <c r="B145" s="10">
        <f t="shared" si="8"/>
        <v>0</v>
      </c>
      <c r="C145" s="10">
        <f t="shared" si="9"/>
        <v>0</v>
      </c>
      <c r="D145" s="10">
        <f t="shared" si="10"/>
        <v>0</v>
      </c>
      <c r="E145" s="10">
        <f t="shared" si="11"/>
        <v>0</v>
      </c>
    </row>
    <row r="146" spans="1:5" ht="14.25" customHeight="1" x14ac:dyDescent="0.3">
      <c r="A146" s="44">
        <v>134</v>
      </c>
      <c r="B146" s="10">
        <f t="shared" si="8"/>
        <v>0</v>
      </c>
      <c r="C146" s="10">
        <f t="shared" si="9"/>
        <v>0</v>
      </c>
      <c r="D146" s="10">
        <f t="shared" si="10"/>
        <v>0</v>
      </c>
      <c r="E146" s="10">
        <f t="shared" si="11"/>
        <v>0</v>
      </c>
    </row>
    <row r="147" spans="1:5" ht="14.25" customHeight="1" x14ac:dyDescent="0.3">
      <c r="A147" s="44">
        <v>135</v>
      </c>
      <c r="B147" s="10">
        <f t="shared" si="8"/>
        <v>0</v>
      </c>
      <c r="C147" s="10">
        <f t="shared" si="9"/>
        <v>0</v>
      </c>
      <c r="D147" s="10">
        <f t="shared" si="10"/>
        <v>0</v>
      </c>
      <c r="E147" s="10">
        <f t="shared" si="11"/>
        <v>0</v>
      </c>
    </row>
    <row r="148" spans="1:5" ht="14.25" customHeight="1" x14ac:dyDescent="0.3">
      <c r="A148" s="44">
        <v>136</v>
      </c>
      <c r="B148" s="10">
        <f t="shared" si="8"/>
        <v>0</v>
      </c>
      <c r="C148" s="10">
        <f t="shared" si="9"/>
        <v>0</v>
      </c>
      <c r="D148" s="10">
        <f t="shared" si="10"/>
        <v>0</v>
      </c>
      <c r="E148" s="10">
        <f t="shared" si="11"/>
        <v>0</v>
      </c>
    </row>
    <row r="149" spans="1:5" ht="14.25" customHeight="1" x14ac:dyDescent="0.3">
      <c r="A149" s="44">
        <v>137</v>
      </c>
      <c r="B149" s="10">
        <f t="shared" si="8"/>
        <v>0</v>
      </c>
      <c r="C149" s="10">
        <f t="shared" si="9"/>
        <v>0</v>
      </c>
      <c r="D149" s="10">
        <f t="shared" si="10"/>
        <v>0</v>
      </c>
      <c r="E149" s="10">
        <f t="shared" si="11"/>
        <v>0</v>
      </c>
    </row>
    <row r="150" spans="1:5" ht="14.25" customHeight="1" x14ac:dyDescent="0.3">
      <c r="A150" s="44">
        <v>138</v>
      </c>
      <c r="B150" s="10">
        <f t="shared" si="8"/>
        <v>0</v>
      </c>
      <c r="C150" s="10">
        <f t="shared" si="9"/>
        <v>0</v>
      </c>
      <c r="D150" s="10">
        <f t="shared" si="10"/>
        <v>0</v>
      </c>
      <c r="E150" s="10">
        <f t="shared" si="11"/>
        <v>0</v>
      </c>
    </row>
    <row r="151" spans="1:5" ht="14.25" customHeight="1" x14ac:dyDescent="0.3">
      <c r="A151" s="44">
        <v>139</v>
      </c>
      <c r="B151" s="10">
        <f t="shared" si="8"/>
        <v>0</v>
      </c>
      <c r="C151" s="10">
        <f t="shared" si="9"/>
        <v>0</v>
      </c>
      <c r="D151" s="10">
        <f t="shared" si="10"/>
        <v>0</v>
      </c>
      <c r="E151" s="10">
        <f t="shared" si="11"/>
        <v>0</v>
      </c>
    </row>
    <row r="152" spans="1:5" ht="14.25" customHeight="1" x14ac:dyDescent="0.3">
      <c r="A152" s="44">
        <v>140</v>
      </c>
      <c r="B152" s="10">
        <f t="shared" si="8"/>
        <v>0</v>
      </c>
      <c r="C152" s="10">
        <f t="shared" si="9"/>
        <v>0</v>
      </c>
      <c r="D152" s="10">
        <f t="shared" si="10"/>
        <v>0</v>
      </c>
      <c r="E152" s="10">
        <f t="shared" si="11"/>
        <v>0</v>
      </c>
    </row>
    <row r="153" spans="1:5" ht="14.25" customHeight="1" x14ac:dyDescent="0.3">
      <c r="A153" s="44">
        <v>141</v>
      </c>
      <c r="B153" s="10">
        <f t="shared" si="8"/>
        <v>0</v>
      </c>
      <c r="C153" s="10">
        <f t="shared" si="9"/>
        <v>0</v>
      </c>
      <c r="D153" s="10">
        <f t="shared" si="10"/>
        <v>0</v>
      </c>
      <c r="E153" s="10">
        <f t="shared" si="11"/>
        <v>0</v>
      </c>
    </row>
    <row r="154" spans="1:5" ht="14.25" customHeight="1" x14ac:dyDescent="0.3">
      <c r="A154" s="44">
        <v>142</v>
      </c>
      <c r="B154" s="10">
        <f t="shared" si="8"/>
        <v>0</v>
      </c>
      <c r="C154" s="10">
        <f t="shared" si="9"/>
        <v>0</v>
      </c>
      <c r="D154" s="10">
        <f t="shared" si="10"/>
        <v>0</v>
      </c>
      <c r="E154" s="10">
        <f t="shared" si="11"/>
        <v>0</v>
      </c>
    </row>
    <row r="155" spans="1:5" ht="14.25" customHeight="1" x14ac:dyDescent="0.3">
      <c r="A155" s="44">
        <v>143</v>
      </c>
      <c r="B155" s="10">
        <f t="shared" si="8"/>
        <v>0</v>
      </c>
      <c r="C155" s="10">
        <f t="shared" si="9"/>
        <v>0</v>
      </c>
      <c r="D155" s="10">
        <f t="shared" si="10"/>
        <v>0</v>
      </c>
      <c r="E155" s="10">
        <f t="shared" si="11"/>
        <v>0</v>
      </c>
    </row>
    <row r="156" spans="1:5" ht="14.25" customHeight="1" x14ac:dyDescent="0.3">
      <c r="A156" s="44">
        <v>144</v>
      </c>
      <c r="B156" s="10">
        <f t="shared" si="8"/>
        <v>0</v>
      </c>
      <c r="C156" s="10">
        <f t="shared" si="9"/>
        <v>0</v>
      </c>
      <c r="D156" s="10">
        <f t="shared" si="10"/>
        <v>0</v>
      </c>
      <c r="E156" s="10">
        <f t="shared" si="11"/>
        <v>0</v>
      </c>
    </row>
    <row r="157" spans="1:5" ht="14.25" customHeight="1" x14ac:dyDescent="0.3">
      <c r="A157" s="44">
        <v>145</v>
      </c>
      <c r="B157" s="10">
        <f t="shared" si="8"/>
        <v>0</v>
      </c>
      <c r="C157" s="10">
        <f t="shared" si="9"/>
        <v>0</v>
      </c>
      <c r="D157" s="10">
        <f t="shared" si="10"/>
        <v>0</v>
      </c>
      <c r="E157" s="10">
        <f t="shared" si="11"/>
        <v>0</v>
      </c>
    </row>
    <row r="158" spans="1:5" ht="14.25" customHeight="1" x14ac:dyDescent="0.3">
      <c r="A158" s="44">
        <v>146</v>
      </c>
      <c r="B158" s="10">
        <f t="shared" si="8"/>
        <v>0</v>
      </c>
      <c r="C158" s="10">
        <f t="shared" si="9"/>
        <v>0</v>
      </c>
      <c r="D158" s="10">
        <f t="shared" si="10"/>
        <v>0</v>
      </c>
      <c r="E158" s="10">
        <f t="shared" si="11"/>
        <v>0</v>
      </c>
    </row>
    <row r="159" spans="1:5" ht="14.25" customHeight="1" x14ac:dyDescent="0.3">
      <c r="A159" s="44">
        <v>147</v>
      </c>
      <c r="B159" s="10">
        <f t="shared" si="8"/>
        <v>0</v>
      </c>
      <c r="C159" s="10">
        <f t="shared" si="9"/>
        <v>0</v>
      </c>
      <c r="D159" s="10">
        <f t="shared" si="10"/>
        <v>0</v>
      </c>
      <c r="E159" s="10">
        <f t="shared" si="11"/>
        <v>0</v>
      </c>
    </row>
    <row r="160" spans="1:5" ht="14.25" customHeight="1" x14ac:dyDescent="0.3">
      <c r="A160" s="44">
        <v>148</v>
      </c>
      <c r="B160" s="10">
        <f t="shared" si="8"/>
        <v>0</v>
      </c>
      <c r="C160" s="10">
        <f t="shared" si="9"/>
        <v>0</v>
      </c>
      <c r="D160" s="10">
        <f t="shared" si="10"/>
        <v>0</v>
      </c>
      <c r="E160" s="10">
        <f t="shared" si="11"/>
        <v>0</v>
      </c>
    </row>
    <row r="161" spans="1:5" ht="14.25" customHeight="1" x14ac:dyDescent="0.3">
      <c r="A161" s="44">
        <v>149</v>
      </c>
      <c r="B161" s="10">
        <f t="shared" si="8"/>
        <v>0</v>
      </c>
      <c r="C161" s="10">
        <f t="shared" si="9"/>
        <v>0</v>
      </c>
      <c r="D161" s="10">
        <f t="shared" si="10"/>
        <v>0</v>
      </c>
      <c r="E161" s="10">
        <f t="shared" si="11"/>
        <v>0</v>
      </c>
    </row>
    <row r="162" spans="1:5" ht="14.25" customHeight="1" x14ac:dyDescent="0.3">
      <c r="A162" s="44">
        <v>150</v>
      </c>
      <c r="B162" s="10">
        <f t="shared" si="8"/>
        <v>0</v>
      </c>
      <c r="C162" s="10">
        <f t="shared" si="9"/>
        <v>0</v>
      </c>
      <c r="D162" s="10">
        <f t="shared" si="10"/>
        <v>0</v>
      </c>
      <c r="E162" s="10">
        <f t="shared" si="11"/>
        <v>0</v>
      </c>
    </row>
    <row r="163" spans="1:5" ht="14.25" customHeight="1" x14ac:dyDescent="0.3">
      <c r="A163" s="44">
        <v>151</v>
      </c>
      <c r="B163" s="10">
        <f t="shared" si="8"/>
        <v>0</v>
      </c>
      <c r="C163" s="10">
        <f t="shared" si="9"/>
        <v>0</v>
      </c>
      <c r="D163" s="10">
        <f t="shared" si="10"/>
        <v>0</v>
      </c>
      <c r="E163" s="10">
        <f t="shared" si="11"/>
        <v>0</v>
      </c>
    </row>
    <row r="164" spans="1:5" ht="14.25" customHeight="1" x14ac:dyDescent="0.3">
      <c r="A164" s="44">
        <v>152</v>
      </c>
      <c r="B164" s="10">
        <f t="shared" si="8"/>
        <v>0</v>
      </c>
      <c r="C164" s="10">
        <f t="shared" si="9"/>
        <v>0</v>
      </c>
      <c r="D164" s="10">
        <f t="shared" si="10"/>
        <v>0</v>
      </c>
      <c r="E164" s="10">
        <f t="shared" si="11"/>
        <v>0</v>
      </c>
    </row>
    <row r="165" spans="1:5" ht="14.25" customHeight="1" x14ac:dyDescent="0.3">
      <c r="A165" s="44">
        <v>153</v>
      </c>
      <c r="B165" s="10">
        <f t="shared" si="8"/>
        <v>0</v>
      </c>
      <c r="C165" s="10">
        <f t="shared" si="9"/>
        <v>0</v>
      </c>
      <c r="D165" s="10">
        <f t="shared" si="10"/>
        <v>0</v>
      </c>
      <c r="E165" s="10">
        <f t="shared" si="11"/>
        <v>0</v>
      </c>
    </row>
    <row r="166" spans="1:5" ht="14.25" customHeight="1" x14ac:dyDescent="0.3">
      <c r="A166" s="44">
        <v>154</v>
      </c>
      <c r="B166" s="10">
        <f t="shared" si="8"/>
        <v>0</v>
      </c>
      <c r="C166" s="10">
        <f t="shared" si="9"/>
        <v>0</v>
      </c>
      <c r="D166" s="10">
        <f t="shared" si="10"/>
        <v>0</v>
      </c>
      <c r="E166" s="10">
        <f t="shared" si="11"/>
        <v>0</v>
      </c>
    </row>
    <row r="167" spans="1:5" ht="14.25" customHeight="1" x14ac:dyDescent="0.3">
      <c r="A167" s="44">
        <v>155</v>
      </c>
      <c r="B167" s="10">
        <f t="shared" si="8"/>
        <v>0</v>
      </c>
      <c r="C167" s="10">
        <f t="shared" si="9"/>
        <v>0</v>
      </c>
      <c r="D167" s="10">
        <f t="shared" si="10"/>
        <v>0</v>
      </c>
      <c r="E167" s="10">
        <f t="shared" si="11"/>
        <v>0</v>
      </c>
    </row>
    <row r="168" spans="1:5" ht="14.25" customHeight="1" x14ac:dyDescent="0.3">
      <c r="A168" s="44">
        <v>156</v>
      </c>
      <c r="B168" s="10">
        <f t="shared" si="8"/>
        <v>0</v>
      </c>
      <c r="C168" s="10">
        <f t="shared" si="9"/>
        <v>0</v>
      </c>
      <c r="D168" s="10">
        <f t="shared" si="10"/>
        <v>0</v>
      </c>
      <c r="E168" s="10">
        <f t="shared" si="11"/>
        <v>0</v>
      </c>
    </row>
    <row r="169" spans="1:5" ht="14.25" customHeight="1" x14ac:dyDescent="0.3">
      <c r="A169" s="44">
        <v>157</v>
      </c>
      <c r="B169" s="10">
        <f t="shared" si="8"/>
        <v>0</v>
      </c>
      <c r="C169" s="10">
        <f t="shared" si="9"/>
        <v>0</v>
      </c>
      <c r="D169" s="10">
        <f t="shared" si="10"/>
        <v>0</v>
      </c>
      <c r="E169" s="10">
        <f t="shared" si="11"/>
        <v>0</v>
      </c>
    </row>
    <row r="170" spans="1:5" ht="14.25" customHeight="1" x14ac:dyDescent="0.3">
      <c r="A170" s="44">
        <v>158</v>
      </c>
      <c r="B170" s="12">
        <f t="shared" si="8"/>
        <v>0</v>
      </c>
      <c r="C170" s="12">
        <f t="shared" si="9"/>
        <v>0</v>
      </c>
      <c r="D170" s="12">
        <f t="shared" si="10"/>
        <v>0</v>
      </c>
      <c r="E170" s="10">
        <f t="shared" si="11"/>
        <v>0</v>
      </c>
    </row>
    <row r="171" spans="1:5" ht="14.25" customHeight="1" x14ac:dyDescent="0.3">
      <c r="A171" s="44">
        <v>159</v>
      </c>
      <c r="B171" s="12">
        <f t="shared" si="8"/>
        <v>0</v>
      </c>
      <c r="C171" s="12">
        <f t="shared" si="9"/>
        <v>0</v>
      </c>
      <c r="D171" s="12">
        <f t="shared" si="10"/>
        <v>0</v>
      </c>
      <c r="E171" s="10">
        <f t="shared" si="11"/>
        <v>0</v>
      </c>
    </row>
    <row r="172" spans="1:5" ht="14.25" customHeight="1" x14ac:dyDescent="0.3">
      <c r="A172" s="44">
        <v>160</v>
      </c>
      <c r="B172" s="12">
        <f t="shared" si="8"/>
        <v>0</v>
      </c>
      <c r="C172" s="12">
        <f t="shared" si="9"/>
        <v>0</v>
      </c>
      <c r="D172" s="12">
        <f t="shared" si="10"/>
        <v>0</v>
      </c>
      <c r="E172" s="10">
        <f t="shared" si="11"/>
        <v>0</v>
      </c>
    </row>
    <row r="173" spans="1:5" ht="14.25" customHeight="1" x14ac:dyDescent="0.3">
      <c r="A173" s="44">
        <v>161</v>
      </c>
      <c r="B173" s="12">
        <f t="shared" si="8"/>
        <v>0</v>
      </c>
      <c r="C173" s="12">
        <f t="shared" si="9"/>
        <v>0</v>
      </c>
      <c r="D173" s="12">
        <f t="shared" si="10"/>
        <v>0</v>
      </c>
      <c r="E173" s="10">
        <f t="shared" si="11"/>
        <v>0</v>
      </c>
    </row>
    <row r="174" spans="1:5" ht="14.25" customHeight="1" x14ac:dyDescent="0.3">
      <c r="A174" s="44">
        <v>162</v>
      </c>
      <c r="B174" s="12">
        <f t="shared" si="8"/>
        <v>0</v>
      </c>
      <c r="C174" s="12">
        <f t="shared" si="9"/>
        <v>0</v>
      </c>
      <c r="D174" s="12">
        <f t="shared" si="10"/>
        <v>0</v>
      </c>
      <c r="E174" s="10">
        <f t="shared" si="11"/>
        <v>0</v>
      </c>
    </row>
    <row r="175" spans="1:5" ht="14.25" customHeight="1" x14ac:dyDescent="0.3">
      <c r="A175" s="44">
        <v>163</v>
      </c>
      <c r="B175" s="12">
        <f t="shared" si="8"/>
        <v>0</v>
      </c>
      <c r="C175" s="12">
        <f t="shared" si="9"/>
        <v>0</v>
      </c>
      <c r="D175" s="12">
        <f t="shared" si="10"/>
        <v>0</v>
      </c>
      <c r="E175" s="10">
        <f t="shared" si="11"/>
        <v>0</v>
      </c>
    </row>
    <row r="176" spans="1:5" ht="14.25" customHeight="1" x14ac:dyDescent="0.3">
      <c r="A176" s="44">
        <v>164</v>
      </c>
      <c r="B176" s="12">
        <f t="shared" si="8"/>
        <v>0</v>
      </c>
      <c r="C176" s="12">
        <f t="shared" si="9"/>
        <v>0</v>
      </c>
      <c r="D176" s="12">
        <f t="shared" si="10"/>
        <v>0</v>
      </c>
      <c r="E176" s="10">
        <f t="shared" si="11"/>
        <v>0</v>
      </c>
    </row>
    <row r="177" spans="1:5" ht="14.25" customHeight="1" x14ac:dyDescent="0.3">
      <c r="A177" s="44">
        <v>165</v>
      </c>
      <c r="B177" s="12">
        <f t="shared" si="8"/>
        <v>0</v>
      </c>
      <c r="C177" s="12">
        <f t="shared" si="9"/>
        <v>0</v>
      </c>
      <c r="D177" s="12">
        <f t="shared" si="10"/>
        <v>0</v>
      </c>
      <c r="E177" s="10">
        <f t="shared" si="11"/>
        <v>0</v>
      </c>
    </row>
    <row r="178" spans="1:5" ht="14.25" customHeight="1" x14ac:dyDescent="0.3">
      <c r="A178" s="44">
        <v>166</v>
      </c>
      <c r="B178" s="12">
        <f t="shared" si="8"/>
        <v>0</v>
      </c>
      <c r="C178" s="12">
        <f t="shared" si="9"/>
        <v>0</v>
      </c>
      <c r="D178" s="12">
        <f t="shared" si="10"/>
        <v>0</v>
      </c>
      <c r="E178" s="10">
        <f t="shared" si="11"/>
        <v>0</v>
      </c>
    </row>
    <row r="179" spans="1:5" ht="14.25" customHeight="1" x14ac:dyDescent="0.3">
      <c r="A179" s="44">
        <v>167</v>
      </c>
      <c r="B179" s="12">
        <f t="shared" si="8"/>
        <v>0</v>
      </c>
      <c r="C179" s="12">
        <f t="shared" si="9"/>
        <v>0</v>
      </c>
      <c r="D179" s="12">
        <f t="shared" si="10"/>
        <v>0</v>
      </c>
      <c r="E179" s="10">
        <f t="shared" si="11"/>
        <v>0</v>
      </c>
    </row>
    <row r="180" spans="1:5" ht="14.25" customHeight="1" x14ac:dyDescent="0.3">
      <c r="A180" s="44">
        <v>168</v>
      </c>
      <c r="B180" s="12">
        <f t="shared" si="8"/>
        <v>0</v>
      </c>
      <c r="C180" s="12">
        <f t="shared" si="9"/>
        <v>0</v>
      </c>
      <c r="D180" s="12">
        <f t="shared" si="10"/>
        <v>0</v>
      </c>
      <c r="E180" s="10">
        <f t="shared" si="11"/>
        <v>0</v>
      </c>
    </row>
    <row r="181" spans="1:5" ht="14.25" customHeight="1" x14ac:dyDescent="0.3">
      <c r="A181" s="44">
        <v>169</v>
      </c>
      <c r="B181" s="12">
        <f t="shared" si="8"/>
        <v>0</v>
      </c>
      <c r="C181" s="12">
        <f t="shared" si="9"/>
        <v>0</v>
      </c>
      <c r="D181" s="12">
        <f t="shared" si="10"/>
        <v>0</v>
      </c>
      <c r="E181" s="10">
        <f t="shared" si="11"/>
        <v>0</v>
      </c>
    </row>
    <row r="182" spans="1:5" ht="14.25" customHeight="1" x14ac:dyDescent="0.3">
      <c r="A182" s="44">
        <v>170</v>
      </c>
      <c r="B182" s="12">
        <f t="shared" si="8"/>
        <v>0</v>
      </c>
      <c r="C182" s="12">
        <f t="shared" si="9"/>
        <v>0</v>
      </c>
      <c r="D182" s="12">
        <f t="shared" si="10"/>
        <v>0</v>
      </c>
      <c r="E182" s="10">
        <f t="shared" si="11"/>
        <v>0</v>
      </c>
    </row>
    <row r="183" spans="1:5" ht="14.25" customHeight="1" x14ac:dyDescent="0.3">
      <c r="A183" s="44">
        <v>171</v>
      </c>
      <c r="B183" s="12">
        <f t="shared" si="8"/>
        <v>0</v>
      </c>
      <c r="C183" s="12">
        <f t="shared" si="9"/>
        <v>0</v>
      </c>
      <c r="D183" s="12">
        <f t="shared" si="10"/>
        <v>0</v>
      </c>
      <c r="E183" s="10">
        <f t="shared" si="11"/>
        <v>0</v>
      </c>
    </row>
    <row r="184" spans="1:5" ht="14.25" customHeight="1" x14ac:dyDescent="0.3">
      <c r="A184" s="44">
        <v>172</v>
      </c>
      <c r="B184" s="12">
        <f t="shared" si="8"/>
        <v>0</v>
      </c>
      <c r="C184" s="12">
        <f t="shared" si="9"/>
        <v>0</v>
      </c>
      <c r="D184" s="12">
        <f t="shared" si="10"/>
        <v>0</v>
      </c>
      <c r="E184" s="10">
        <f t="shared" si="11"/>
        <v>0</v>
      </c>
    </row>
    <row r="185" spans="1:5" ht="14.25" customHeight="1" x14ac:dyDescent="0.3">
      <c r="A185" s="44">
        <v>173</v>
      </c>
      <c r="B185" s="12">
        <f t="shared" si="8"/>
        <v>0</v>
      </c>
      <c r="C185" s="12">
        <f t="shared" si="9"/>
        <v>0</v>
      </c>
      <c r="D185" s="12">
        <f t="shared" si="10"/>
        <v>0</v>
      </c>
      <c r="E185" s="10">
        <f t="shared" si="11"/>
        <v>0</v>
      </c>
    </row>
    <row r="186" spans="1:5" ht="14.25" customHeight="1" x14ac:dyDescent="0.3">
      <c r="A186" s="44">
        <v>174</v>
      </c>
      <c r="B186" s="12">
        <f t="shared" si="8"/>
        <v>0</v>
      </c>
      <c r="C186" s="12">
        <f t="shared" si="9"/>
        <v>0</v>
      </c>
      <c r="D186" s="12">
        <f t="shared" si="10"/>
        <v>0</v>
      </c>
      <c r="E186" s="10">
        <f t="shared" si="11"/>
        <v>0</v>
      </c>
    </row>
    <row r="187" spans="1:5" ht="14.25" customHeight="1" x14ac:dyDescent="0.3">
      <c r="A187" s="44">
        <v>175</v>
      </c>
      <c r="B187" s="12">
        <f t="shared" si="8"/>
        <v>0</v>
      </c>
      <c r="C187" s="12">
        <f t="shared" si="9"/>
        <v>0</v>
      </c>
      <c r="D187" s="12">
        <f t="shared" si="10"/>
        <v>0</v>
      </c>
      <c r="E187" s="10">
        <f t="shared" si="11"/>
        <v>0</v>
      </c>
    </row>
    <row r="188" spans="1:5" ht="14.25" customHeight="1" x14ac:dyDescent="0.3">
      <c r="A188" s="44">
        <v>176</v>
      </c>
      <c r="B188" s="12">
        <f t="shared" si="8"/>
        <v>0</v>
      </c>
      <c r="C188" s="12">
        <f t="shared" si="9"/>
        <v>0</v>
      </c>
      <c r="D188" s="12">
        <f t="shared" si="10"/>
        <v>0</v>
      </c>
      <c r="E188" s="10">
        <f t="shared" si="11"/>
        <v>0</v>
      </c>
    </row>
    <row r="189" spans="1:5" ht="14.25" customHeight="1" x14ac:dyDescent="0.3">
      <c r="A189" s="44">
        <v>177</v>
      </c>
      <c r="B189" s="12">
        <f t="shared" si="8"/>
        <v>0</v>
      </c>
      <c r="C189" s="12">
        <f t="shared" si="9"/>
        <v>0</v>
      </c>
      <c r="D189" s="12">
        <f t="shared" si="10"/>
        <v>0</v>
      </c>
      <c r="E189" s="10">
        <f t="shared" si="11"/>
        <v>0</v>
      </c>
    </row>
    <row r="190" spans="1:5" ht="14.25" customHeight="1" x14ac:dyDescent="0.3">
      <c r="A190" s="44">
        <v>178</v>
      </c>
      <c r="B190" s="12">
        <f t="shared" si="8"/>
        <v>0</v>
      </c>
      <c r="C190" s="12">
        <f t="shared" si="9"/>
        <v>0</v>
      </c>
      <c r="D190" s="12">
        <f t="shared" si="10"/>
        <v>0</v>
      </c>
      <c r="E190" s="10">
        <f t="shared" si="11"/>
        <v>0</v>
      </c>
    </row>
    <row r="191" spans="1:5" ht="14.25" customHeight="1" x14ac:dyDescent="0.3">
      <c r="A191" s="44">
        <v>179</v>
      </c>
      <c r="B191" s="12">
        <f t="shared" si="8"/>
        <v>0</v>
      </c>
      <c r="C191" s="12">
        <f t="shared" si="9"/>
        <v>0</v>
      </c>
      <c r="D191" s="12">
        <f t="shared" si="10"/>
        <v>0</v>
      </c>
      <c r="E191" s="10">
        <f t="shared" si="11"/>
        <v>0</v>
      </c>
    </row>
    <row r="192" spans="1:5" ht="14.25" customHeight="1" x14ac:dyDescent="0.3">
      <c r="A192" s="44">
        <v>180</v>
      </c>
      <c r="B192" s="12">
        <f t="shared" si="8"/>
        <v>0</v>
      </c>
      <c r="C192" s="12">
        <f t="shared" si="9"/>
        <v>0</v>
      </c>
      <c r="D192" s="12">
        <f t="shared" si="10"/>
        <v>0</v>
      </c>
      <c r="E192" s="10">
        <f t="shared" si="11"/>
        <v>0</v>
      </c>
    </row>
    <row r="193" spans="1:5" ht="14.25" customHeight="1" x14ac:dyDescent="0.3">
      <c r="A193" s="44">
        <v>181</v>
      </c>
      <c r="B193" s="12">
        <f t="shared" si="8"/>
        <v>0</v>
      </c>
      <c r="C193" s="12">
        <f t="shared" si="9"/>
        <v>0</v>
      </c>
      <c r="D193" s="12">
        <f t="shared" si="10"/>
        <v>0</v>
      </c>
      <c r="E193" s="10">
        <f t="shared" si="11"/>
        <v>0</v>
      </c>
    </row>
    <row r="194" spans="1:5" ht="14.25" customHeight="1" x14ac:dyDescent="0.3">
      <c r="A194" s="44">
        <v>182</v>
      </c>
      <c r="B194" s="12">
        <f t="shared" si="8"/>
        <v>0</v>
      </c>
      <c r="C194" s="12">
        <f t="shared" si="9"/>
        <v>0</v>
      </c>
      <c r="D194" s="12">
        <f t="shared" si="10"/>
        <v>0</v>
      </c>
      <c r="E194" s="10">
        <f t="shared" si="11"/>
        <v>0</v>
      </c>
    </row>
    <row r="195" spans="1:5" ht="14.25" customHeight="1" x14ac:dyDescent="0.3">
      <c r="A195" s="44">
        <v>183</v>
      </c>
      <c r="B195" s="12">
        <f t="shared" si="8"/>
        <v>0</v>
      </c>
      <c r="C195" s="12">
        <f t="shared" si="9"/>
        <v>0</v>
      </c>
      <c r="D195" s="12">
        <f t="shared" si="10"/>
        <v>0</v>
      </c>
      <c r="E195" s="10">
        <f t="shared" si="11"/>
        <v>0</v>
      </c>
    </row>
    <row r="196" spans="1:5" ht="14.25" customHeight="1" x14ac:dyDescent="0.3">
      <c r="A196" s="44">
        <v>184</v>
      </c>
      <c r="B196" s="12">
        <f t="shared" si="8"/>
        <v>0</v>
      </c>
      <c r="C196" s="12">
        <f t="shared" si="9"/>
        <v>0</v>
      </c>
      <c r="D196" s="12">
        <f t="shared" si="10"/>
        <v>0</v>
      </c>
      <c r="E196" s="10">
        <f t="shared" si="11"/>
        <v>0</v>
      </c>
    </row>
    <row r="197" spans="1:5" ht="14.25" customHeight="1" x14ac:dyDescent="0.3">
      <c r="A197" s="44">
        <v>185</v>
      </c>
      <c r="B197" s="12">
        <f t="shared" si="8"/>
        <v>0</v>
      </c>
      <c r="C197" s="12">
        <f t="shared" si="9"/>
        <v>0</v>
      </c>
      <c r="D197" s="12">
        <f t="shared" si="10"/>
        <v>0</v>
      </c>
      <c r="E197" s="10">
        <f t="shared" si="11"/>
        <v>0</v>
      </c>
    </row>
    <row r="198" spans="1:5" ht="14.25" customHeight="1" x14ac:dyDescent="0.3">
      <c r="A198" s="44">
        <v>186</v>
      </c>
      <c r="B198" s="12">
        <f t="shared" si="8"/>
        <v>0</v>
      </c>
      <c r="C198" s="12">
        <f t="shared" si="9"/>
        <v>0</v>
      </c>
      <c r="D198" s="12">
        <f t="shared" si="10"/>
        <v>0</v>
      </c>
      <c r="E198" s="10">
        <f t="shared" si="11"/>
        <v>0</v>
      </c>
    </row>
    <row r="199" spans="1:5" ht="14.25" customHeight="1" x14ac:dyDescent="0.3">
      <c r="A199" s="44">
        <v>187</v>
      </c>
      <c r="B199" s="12">
        <f t="shared" si="8"/>
        <v>0</v>
      </c>
      <c r="C199" s="12">
        <f t="shared" si="9"/>
        <v>0</v>
      </c>
      <c r="D199" s="12">
        <f t="shared" si="10"/>
        <v>0</v>
      </c>
      <c r="E199" s="10">
        <f t="shared" si="11"/>
        <v>0</v>
      </c>
    </row>
    <row r="200" spans="1:5" ht="14.25" customHeight="1" x14ac:dyDescent="0.3">
      <c r="A200" s="44">
        <v>188</v>
      </c>
      <c r="B200" s="12">
        <f t="shared" si="8"/>
        <v>0</v>
      </c>
      <c r="C200" s="12">
        <f t="shared" si="9"/>
        <v>0</v>
      </c>
      <c r="D200" s="12">
        <f t="shared" si="10"/>
        <v>0</v>
      </c>
      <c r="E200" s="10">
        <f t="shared" si="11"/>
        <v>0</v>
      </c>
    </row>
    <row r="201" spans="1:5" ht="14.25" customHeight="1" x14ac:dyDescent="0.3">
      <c r="A201" s="44">
        <v>189</v>
      </c>
      <c r="B201" s="12">
        <f t="shared" si="8"/>
        <v>0</v>
      </c>
      <c r="C201" s="12">
        <f t="shared" si="9"/>
        <v>0</v>
      </c>
      <c r="D201" s="12">
        <f t="shared" si="10"/>
        <v>0</v>
      </c>
      <c r="E201" s="10">
        <f t="shared" si="11"/>
        <v>0</v>
      </c>
    </row>
    <row r="202" spans="1:5" ht="14.25" customHeight="1" x14ac:dyDescent="0.3">
      <c r="A202" s="44">
        <v>190</v>
      </c>
      <c r="B202" s="12">
        <f t="shared" si="8"/>
        <v>0</v>
      </c>
      <c r="C202" s="12">
        <f t="shared" si="9"/>
        <v>0</v>
      </c>
      <c r="D202" s="12">
        <f t="shared" si="10"/>
        <v>0</v>
      </c>
      <c r="E202" s="10">
        <f t="shared" si="11"/>
        <v>0</v>
      </c>
    </row>
    <row r="203" spans="1:5" ht="14.25" customHeight="1" x14ac:dyDescent="0.3">
      <c r="A203" s="44">
        <v>191</v>
      </c>
      <c r="B203" s="12">
        <f t="shared" si="8"/>
        <v>0</v>
      </c>
      <c r="C203" s="12">
        <f t="shared" si="9"/>
        <v>0</v>
      </c>
      <c r="D203" s="12">
        <f t="shared" si="10"/>
        <v>0</v>
      </c>
      <c r="E203" s="10">
        <f t="shared" si="11"/>
        <v>0</v>
      </c>
    </row>
    <row r="204" spans="1:5" ht="14.25" customHeight="1" x14ac:dyDescent="0.3">
      <c r="A204" s="44">
        <v>192</v>
      </c>
      <c r="B204" s="12">
        <f t="shared" si="8"/>
        <v>0</v>
      </c>
      <c r="C204" s="12">
        <f t="shared" si="9"/>
        <v>0</v>
      </c>
      <c r="D204" s="12">
        <f t="shared" si="10"/>
        <v>0</v>
      </c>
      <c r="E204" s="10">
        <f t="shared" si="11"/>
        <v>0</v>
      </c>
    </row>
    <row r="205" spans="1:5" ht="14.25" customHeight="1" x14ac:dyDescent="0.3">
      <c r="A205" s="44">
        <v>193</v>
      </c>
      <c r="B205" s="12">
        <f t="shared" ref="B205:B268" si="12">IF($B$9&lt;=E204,$B$9,E204+E204*$B$7/$B$8)</f>
        <v>0</v>
      </c>
      <c r="C205" s="12">
        <f t="shared" ref="C205:C268" si="13">IF(B205&gt;0,$B$7/$B$8*E204,0)</f>
        <v>0</v>
      </c>
      <c r="D205" s="12">
        <f t="shared" ref="D205:D268" si="14">IF(B205&gt;0,MIN(B205-C205,E204),0)</f>
        <v>0</v>
      </c>
      <c r="E205" s="10">
        <f t="shared" ref="E205:E268" si="15">IF(ROUND(E204,5)&gt;0,E204-D205,0)</f>
        <v>0</v>
      </c>
    </row>
    <row r="206" spans="1:5" ht="14.25" customHeight="1" x14ac:dyDescent="0.3">
      <c r="A206" s="44">
        <v>194</v>
      </c>
      <c r="B206" s="12">
        <f t="shared" si="12"/>
        <v>0</v>
      </c>
      <c r="C206" s="12">
        <f t="shared" si="13"/>
        <v>0</v>
      </c>
      <c r="D206" s="12">
        <f t="shared" si="14"/>
        <v>0</v>
      </c>
      <c r="E206" s="10">
        <f t="shared" si="15"/>
        <v>0</v>
      </c>
    </row>
    <row r="207" spans="1:5" ht="14.25" customHeight="1" x14ac:dyDescent="0.3">
      <c r="A207" s="44">
        <v>195</v>
      </c>
      <c r="B207" s="12">
        <f t="shared" si="12"/>
        <v>0</v>
      </c>
      <c r="C207" s="12">
        <f t="shared" si="13"/>
        <v>0</v>
      </c>
      <c r="D207" s="12">
        <f t="shared" si="14"/>
        <v>0</v>
      </c>
      <c r="E207" s="10">
        <f t="shared" si="15"/>
        <v>0</v>
      </c>
    </row>
    <row r="208" spans="1:5" ht="14.25" customHeight="1" x14ac:dyDescent="0.3">
      <c r="A208" s="44">
        <v>196</v>
      </c>
      <c r="B208" s="12">
        <f t="shared" si="12"/>
        <v>0</v>
      </c>
      <c r="C208" s="12">
        <f t="shared" si="13"/>
        <v>0</v>
      </c>
      <c r="D208" s="12">
        <f t="shared" si="14"/>
        <v>0</v>
      </c>
      <c r="E208" s="10">
        <f t="shared" si="15"/>
        <v>0</v>
      </c>
    </row>
    <row r="209" spans="1:5" ht="14.25" customHeight="1" x14ac:dyDescent="0.3">
      <c r="A209" s="44">
        <v>197</v>
      </c>
      <c r="B209" s="12">
        <f t="shared" si="12"/>
        <v>0</v>
      </c>
      <c r="C209" s="12">
        <f t="shared" si="13"/>
        <v>0</v>
      </c>
      <c r="D209" s="12">
        <f t="shared" si="14"/>
        <v>0</v>
      </c>
      <c r="E209" s="10">
        <f t="shared" si="15"/>
        <v>0</v>
      </c>
    </row>
    <row r="210" spans="1:5" ht="14.25" customHeight="1" x14ac:dyDescent="0.3">
      <c r="A210" s="44">
        <v>198</v>
      </c>
      <c r="B210" s="12">
        <f t="shared" si="12"/>
        <v>0</v>
      </c>
      <c r="C210" s="12">
        <f t="shared" si="13"/>
        <v>0</v>
      </c>
      <c r="D210" s="12">
        <f t="shared" si="14"/>
        <v>0</v>
      </c>
      <c r="E210" s="10">
        <f t="shared" si="15"/>
        <v>0</v>
      </c>
    </row>
    <row r="211" spans="1:5" ht="14.25" customHeight="1" x14ac:dyDescent="0.3">
      <c r="A211" s="44">
        <v>199</v>
      </c>
      <c r="B211" s="12">
        <f t="shared" si="12"/>
        <v>0</v>
      </c>
      <c r="C211" s="12">
        <f t="shared" si="13"/>
        <v>0</v>
      </c>
      <c r="D211" s="12">
        <f t="shared" si="14"/>
        <v>0</v>
      </c>
      <c r="E211" s="10">
        <f t="shared" si="15"/>
        <v>0</v>
      </c>
    </row>
    <row r="212" spans="1:5" ht="14.25" customHeight="1" x14ac:dyDescent="0.3">
      <c r="A212" s="44">
        <v>200</v>
      </c>
      <c r="B212" s="12">
        <f t="shared" si="12"/>
        <v>0</v>
      </c>
      <c r="C212" s="12">
        <f t="shared" si="13"/>
        <v>0</v>
      </c>
      <c r="D212" s="12">
        <f t="shared" si="14"/>
        <v>0</v>
      </c>
      <c r="E212" s="10">
        <f t="shared" si="15"/>
        <v>0</v>
      </c>
    </row>
    <row r="213" spans="1:5" ht="14.25" customHeight="1" x14ac:dyDescent="0.3">
      <c r="A213" s="44">
        <v>201</v>
      </c>
      <c r="B213" s="12">
        <f t="shared" si="12"/>
        <v>0</v>
      </c>
      <c r="C213" s="12">
        <f t="shared" si="13"/>
        <v>0</v>
      </c>
      <c r="D213" s="12">
        <f t="shared" si="14"/>
        <v>0</v>
      </c>
      <c r="E213" s="10">
        <f t="shared" si="15"/>
        <v>0</v>
      </c>
    </row>
    <row r="214" spans="1:5" ht="14.25" customHeight="1" x14ac:dyDescent="0.3">
      <c r="A214" s="44">
        <v>202</v>
      </c>
      <c r="B214" s="12">
        <f t="shared" si="12"/>
        <v>0</v>
      </c>
      <c r="C214" s="12">
        <f t="shared" si="13"/>
        <v>0</v>
      </c>
      <c r="D214" s="12">
        <f t="shared" si="14"/>
        <v>0</v>
      </c>
      <c r="E214" s="10">
        <f t="shared" si="15"/>
        <v>0</v>
      </c>
    </row>
    <row r="215" spans="1:5" ht="14.25" customHeight="1" x14ac:dyDescent="0.3">
      <c r="A215" s="44">
        <v>203</v>
      </c>
      <c r="B215" s="12">
        <f t="shared" si="12"/>
        <v>0</v>
      </c>
      <c r="C215" s="12">
        <f t="shared" si="13"/>
        <v>0</v>
      </c>
      <c r="D215" s="12">
        <f t="shared" si="14"/>
        <v>0</v>
      </c>
      <c r="E215" s="10">
        <f t="shared" si="15"/>
        <v>0</v>
      </c>
    </row>
    <row r="216" spans="1:5" ht="14.25" customHeight="1" x14ac:dyDescent="0.3">
      <c r="A216" s="44">
        <v>204</v>
      </c>
      <c r="B216" s="12">
        <f t="shared" si="12"/>
        <v>0</v>
      </c>
      <c r="C216" s="12">
        <f t="shared" si="13"/>
        <v>0</v>
      </c>
      <c r="D216" s="12">
        <f t="shared" si="14"/>
        <v>0</v>
      </c>
      <c r="E216" s="10">
        <f t="shared" si="15"/>
        <v>0</v>
      </c>
    </row>
    <row r="217" spans="1:5" ht="14.25" customHeight="1" x14ac:dyDescent="0.3">
      <c r="A217" s="44">
        <v>205</v>
      </c>
      <c r="B217" s="12">
        <f t="shared" si="12"/>
        <v>0</v>
      </c>
      <c r="C217" s="12">
        <f t="shared" si="13"/>
        <v>0</v>
      </c>
      <c r="D217" s="12">
        <f t="shared" si="14"/>
        <v>0</v>
      </c>
      <c r="E217" s="10">
        <f t="shared" si="15"/>
        <v>0</v>
      </c>
    </row>
    <row r="218" spans="1:5" ht="14.25" customHeight="1" x14ac:dyDescent="0.3">
      <c r="A218" s="44">
        <v>206</v>
      </c>
      <c r="B218" s="12">
        <f t="shared" si="12"/>
        <v>0</v>
      </c>
      <c r="C218" s="12">
        <f t="shared" si="13"/>
        <v>0</v>
      </c>
      <c r="D218" s="12">
        <f t="shared" si="14"/>
        <v>0</v>
      </c>
      <c r="E218" s="10">
        <f t="shared" si="15"/>
        <v>0</v>
      </c>
    </row>
    <row r="219" spans="1:5" ht="14.25" customHeight="1" x14ac:dyDescent="0.3">
      <c r="A219" s="44">
        <v>207</v>
      </c>
      <c r="B219" s="12">
        <f t="shared" si="12"/>
        <v>0</v>
      </c>
      <c r="C219" s="12">
        <f t="shared" si="13"/>
        <v>0</v>
      </c>
      <c r="D219" s="12">
        <f t="shared" si="14"/>
        <v>0</v>
      </c>
      <c r="E219" s="10">
        <f t="shared" si="15"/>
        <v>0</v>
      </c>
    </row>
    <row r="220" spans="1:5" ht="14.25" customHeight="1" x14ac:dyDescent="0.3">
      <c r="A220" s="44">
        <v>208</v>
      </c>
      <c r="B220" s="12">
        <f t="shared" si="12"/>
        <v>0</v>
      </c>
      <c r="C220" s="12">
        <f t="shared" si="13"/>
        <v>0</v>
      </c>
      <c r="D220" s="12">
        <f t="shared" si="14"/>
        <v>0</v>
      </c>
      <c r="E220" s="10">
        <f t="shared" si="15"/>
        <v>0</v>
      </c>
    </row>
    <row r="221" spans="1:5" ht="14.25" customHeight="1" x14ac:dyDescent="0.3">
      <c r="A221" s="44">
        <v>209</v>
      </c>
      <c r="B221" s="12">
        <f t="shared" si="12"/>
        <v>0</v>
      </c>
      <c r="C221" s="12">
        <f t="shared" si="13"/>
        <v>0</v>
      </c>
      <c r="D221" s="12">
        <f t="shared" si="14"/>
        <v>0</v>
      </c>
      <c r="E221" s="10">
        <f t="shared" si="15"/>
        <v>0</v>
      </c>
    </row>
    <row r="222" spans="1:5" ht="14.25" customHeight="1" x14ac:dyDescent="0.3">
      <c r="A222" s="44">
        <v>210</v>
      </c>
      <c r="B222" s="12">
        <f t="shared" si="12"/>
        <v>0</v>
      </c>
      <c r="C222" s="12">
        <f t="shared" si="13"/>
        <v>0</v>
      </c>
      <c r="D222" s="12">
        <f t="shared" si="14"/>
        <v>0</v>
      </c>
      <c r="E222" s="10">
        <f t="shared" si="15"/>
        <v>0</v>
      </c>
    </row>
    <row r="223" spans="1:5" ht="14.25" customHeight="1" x14ac:dyDescent="0.3">
      <c r="A223" s="44">
        <v>211</v>
      </c>
      <c r="B223" s="12">
        <f t="shared" si="12"/>
        <v>0</v>
      </c>
      <c r="C223" s="12">
        <f t="shared" si="13"/>
        <v>0</v>
      </c>
      <c r="D223" s="12">
        <f t="shared" si="14"/>
        <v>0</v>
      </c>
      <c r="E223" s="10">
        <f t="shared" si="15"/>
        <v>0</v>
      </c>
    </row>
    <row r="224" spans="1:5" ht="14.25" customHeight="1" x14ac:dyDescent="0.3">
      <c r="A224" s="44">
        <v>212</v>
      </c>
      <c r="B224" s="12">
        <f t="shared" si="12"/>
        <v>0</v>
      </c>
      <c r="C224" s="12">
        <f t="shared" si="13"/>
        <v>0</v>
      </c>
      <c r="D224" s="12">
        <f t="shared" si="14"/>
        <v>0</v>
      </c>
      <c r="E224" s="10">
        <f t="shared" si="15"/>
        <v>0</v>
      </c>
    </row>
    <row r="225" spans="1:5" ht="14.25" customHeight="1" x14ac:dyDescent="0.3">
      <c r="A225" s="44">
        <v>213</v>
      </c>
      <c r="B225" s="12">
        <f t="shared" si="12"/>
        <v>0</v>
      </c>
      <c r="C225" s="12">
        <f t="shared" si="13"/>
        <v>0</v>
      </c>
      <c r="D225" s="12">
        <f t="shared" si="14"/>
        <v>0</v>
      </c>
      <c r="E225" s="10">
        <f t="shared" si="15"/>
        <v>0</v>
      </c>
    </row>
    <row r="226" spans="1:5" ht="14.25" customHeight="1" x14ac:dyDescent="0.3">
      <c r="A226" s="44">
        <v>214</v>
      </c>
      <c r="B226" s="12">
        <f t="shared" si="12"/>
        <v>0</v>
      </c>
      <c r="C226" s="12">
        <f t="shared" si="13"/>
        <v>0</v>
      </c>
      <c r="D226" s="12">
        <f t="shared" si="14"/>
        <v>0</v>
      </c>
      <c r="E226" s="10">
        <f t="shared" si="15"/>
        <v>0</v>
      </c>
    </row>
    <row r="227" spans="1:5" ht="14.25" customHeight="1" x14ac:dyDescent="0.3">
      <c r="A227" s="44">
        <v>215</v>
      </c>
      <c r="B227" s="12">
        <f t="shared" si="12"/>
        <v>0</v>
      </c>
      <c r="C227" s="12">
        <f t="shared" si="13"/>
        <v>0</v>
      </c>
      <c r="D227" s="12">
        <f t="shared" si="14"/>
        <v>0</v>
      </c>
      <c r="E227" s="10">
        <f t="shared" si="15"/>
        <v>0</v>
      </c>
    </row>
    <row r="228" spans="1:5" ht="14.25" customHeight="1" x14ac:dyDescent="0.3">
      <c r="A228" s="44">
        <v>216</v>
      </c>
      <c r="B228" s="12">
        <f t="shared" si="12"/>
        <v>0</v>
      </c>
      <c r="C228" s="12">
        <f t="shared" si="13"/>
        <v>0</v>
      </c>
      <c r="D228" s="12">
        <f t="shared" si="14"/>
        <v>0</v>
      </c>
      <c r="E228" s="10">
        <f t="shared" si="15"/>
        <v>0</v>
      </c>
    </row>
    <row r="229" spans="1:5" ht="14.25" customHeight="1" x14ac:dyDescent="0.3">
      <c r="A229" s="44">
        <v>217</v>
      </c>
      <c r="B229" s="12">
        <f t="shared" si="12"/>
        <v>0</v>
      </c>
      <c r="C229" s="12">
        <f t="shared" si="13"/>
        <v>0</v>
      </c>
      <c r="D229" s="12">
        <f t="shared" si="14"/>
        <v>0</v>
      </c>
      <c r="E229" s="10">
        <f t="shared" si="15"/>
        <v>0</v>
      </c>
    </row>
    <row r="230" spans="1:5" ht="14.25" customHeight="1" x14ac:dyDescent="0.3">
      <c r="A230" s="44">
        <v>218</v>
      </c>
      <c r="B230" s="12">
        <f t="shared" si="12"/>
        <v>0</v>
      </c>
      <c r="C230" s="12">
        <f t="shared" si="13"/>
        <v>0</v>
      </c>
      <c r="D230" s="12">
        <f t="shared" si="14"/>
        <v>0</v>
      </c>
      <c r="E230" s="10">
        <f t="shared" si="15"/>
        <v>0</v>
      </c>
    </row>
    <row r="231" spans="1:5" ht="14.25" customHeight="1" x14ac:dyDescent="0.3">
      <c r="A231" s="44">
        <v>219</v>
      </c>
      <c r="B231" s="12">
        <f t="shared" si="12"/>
        <v>0</v>
      </c>
      <c r="C231" s="12">
        <f t="shared" si="13"/>
        <v>0</v>
      </c>
      <c r="D231" s="12">
        <f t="shared" si="14"/>
        <v>0</v>
      </c>
      <c r="E231" s="10">
        <f t="shared" si="15"/>
        <v>0</v>
      </c>
    </row>
    <row r="232" spans="1:5" ht="14.25" customHeight="1" x14ac:dyDescent="0.3">
      <c r="A232" s="44">
        <v>220</v>
      </c>
      <c r="B232" s="12">
        <f t="shared" si="12"/>
        <v>0</v>
      </c>
      <c r="C232" s="12">
        <f t="shared" si="13"/>
        <v>0</v>
      </c>
      <c r="D232" s="12">
        <f t="shared" si="14"/>
        <v>0</v>
      </c>
      <c r="E232" s="10">
        <f t="shared" si="15"/>
        <v>0</v>
      </c>
    </row>
    <row r="233" spans="1:5" ht="14.25" customHeight="1" x14ac:dyDescent="0.3">
      <c r="A233" s="44">
        <v>221</v>
      </c>
      <c r="B233" s="12">
        <f t="shared" si="12"/>
        <v>0</v>
      </c>
      <c r="C233" s="12">
        <f t="shared" si="13"/>
        <v>0</v>
      </c>
      <c r="D233" s="12">
        <f t="shared" si="14"/>
        <v>0</v>
      </c>
      <c r="E233" s="10">
        <f t="shared" si="15"/>
        <v>0</v>
      </c>
    </row>
    <row r="234" spans="1:5" ht="14.25" customHeight="1" x14ac:dyDescent="0.3">
      <c r="A234" s="44">
        <v>222</v>
      </c>
      <c r="B234" s="12">
        <f t="shared" si="12"/>
        <v>0</v>
      </c>
      <c r="C234" s="12">
        <f t="shared" si="13"/>
        <v>0</v>
      </c>
      <c r="D234" s="12">
        <f t="shared" si="14"/>
        <v>0</v>
      </c>
      <c r="E234" s="10">
        <f t="shared" si="15"/>
        <v>0</v>
      </c>
    </row>
    <row r="235" spans="1:5" ht="14.25" customHeight="1" x14ac:dyDescent="0.3">
      <c r="A235" s="44">
        <v>223</v>
      </c>
      <c r="B235" s="12">
        <f t="shared" si="12"/>
        <v>0</v>
      </c>
      <c r="C235" s="12">
        <f t="shared" si="13"/>
        <v>0</v>
      </c>
      <c r="D235" s="12">
        <f t="shared" si="14"/>
        <v>0</v>
      </c>
      <c r="E235" s="10">
        <f t="shared" si="15"/>
        <v>0</v>
      </c>
    </row>
    <row r="236" spans="1:5" ht="14.25" customHeight="1" x14ac:dyDescent="0.3">
      <c r="A236" s="44">
        <v>224</v>
      </c>
      <c r="B236" s="12">
        <f t="shared" si="12"/>
        <v>0</v>
      </c>
      <c r="C236" s="12">
        <f t="shared" si="13"/>
        <v>0</v>
      </c>
      <c r="D236" s="12">
        <f t="shared" si="14"/>
        <v>0</v>
      </c>
      <c r="E236" s="10">
        <f t="shared" si="15"/>
        <v>0</v>
      </c>
    </row>
    <row r="237" spans="1:5" ht="14.25" customHeight="1" x14ac:dyDescent="0.3">
      <c r="A237" s="44">
        <v>225</v>
      </c>
      <c r="B237" s="12">
        <f t="shared" si="12"/>
        <v>0</v>
      </c>
      <c r="C237" s="12">
        <f t="shared" si="13"/>
        <v>0</v>
      </c>
      <c r="D237" s="12">
        <f t="shared" si="14"/>
        <v>0</v>
      </c>
      <c r="E237" s="10">
        <f t="shared" si="15"/>
        <v>0</v>
      </c>
    </row>
    <row r="238" spans="1:5" ht="14.25" customHeight="1" x14ac:dyDescent="0.3">
      <c r="A238" s="44">
        <v>226</v>
      </c>
      <c r="B238" s="12">
        <f t="shared" si="12"/>
        <v>0</v>
      </c>
      <c r="C238" s="12">
        <f t="shared" si="13"/>
        <v>0</v>
      </c>
      <c r="D238" s="12">
        <f t="shared" si="14"/>
        <v>0</v>
      </c>
      <c r="E238" s="10">
        <f t="shared" si="15"/>
        <v>0</v>
      </c>
    </row>
    <row r="239" spans="1:5" ht="14.25" customHeight="1" x14ac:dyDescent="0.3">
      <c r="A239" s="44">
        <v>227</v>
      </c>
      <c r="B239" s="12">
        <f t="shared" si="12"/>
        <v>0</v>
      </c>
      <c r="C239" s="12">
        <f t="shared" si="13"/>
        <v>0</v>
      </c>
      <c r="D239" s="12">
        <f t="shared" si="14"/>
        <v>0</v>
      </c>
      <c r="E239" s="10">
        <f t="shared" si="15"/>
        <v>0</v>
      </c>
    </row>
    <row r="240" spans="1:5" ht="14.25" customHeight="1" x14ac:dyDescent="0.3">
      <c r="A240" s="44">
        <v>228</v>
      </c>
      <c r="B240" s="12">
        <f t="shared" si="12"/>
        <v>0</v>
      </c>
      <c r="C240" s="12">
        <f t="shared" si="13"/>
        <v>0</v>
      </c>
      <c r="D240" s="12">
        <f t="shared" si="14"/>
        <v>0</v>
      </c>
      <c r="E240" s="10">
        <f t="shared" si="15"/>
        <v>0</v>
      </c>
    </row>
    <row r="241" spans="1:5" ht="14.25" customHeight="1" x14ac:dyDescent="0.3">
      <c r="A241" s="44">
        <v>229</v>
      </c>
      <c r="B241" s="12">
        <f t="shared" si="12"/>
        <v>0</v>
      </c>
      <c r="C241" s="12">
        <f t="shared" si="13"/>
        <v>0</v>
      </c>
      <c r="D241" s="12">
        <f t="shared" si="14"/>
        <v>0</v>
      </c>
      <c r="E241" s="10">
        <f t="shared" si="15"/>
        <v>0</v>
      </c>
    </row>
    <row r="242" spans="1:5" ht="14.25" customHeight="1" x14ac:dyDescent="0.3">
      <c r="A242" s="44">
        <v>230</v>
      </c>
      <c r="B242" s="12">
        <f t="shared" si="12"/>
        <v>0</v>
      </c>
      <c r="C242" s="12">
        <f t="shared" si="13"/>
        <v>0</v>
      </c>
      <c r="D242" s="12">
        <f t="shared" si="14"/>
        <v>0</v>
      </c>
      <c r="E242" s="10">
        <f t="shared" si="15"/>
        <v>0</v>
      </c>
    </row>
    <row r="243" spans="1:5" ht="14.25" customHeight="1" x14ac:dyDescent="0.3">
      <c r="A243" s="44">
        <v>231</v>
      </c>
      <c r="B243" s="12">
        <f t="shared" si="12"/>
        <v>0</v>
      </c>
      <c r="C243" s="12">
        <f t="shared" si="13"/>
        <v>0</v>
      </c>
      <c r="D243" s="12">
        <f t="shared" si="14"/>
        <v>0</v>
      </c>
      <c r="E243" s="10">
        <f t="shared" si="15"/>
        <v>0</v>
      </c>
    </row>
    <row r="244" spans="1:5" ht="14.25" customHeight="1" x14ac:dyDescent="0.3">
      <c r="A244" s="44">
        <v>232</v>
      </c>
      <c r="B244" s="12">
        <f t="shared" si="12"/>
        <v>0</v>
      </c>
      <c r="C244" s="12">
        <f t="shared" si="13"/>
        <v>0</v>
      </c>
      <c r="D244" s="12">
        <f t="shared" si="14"/>
        <v>0</v>
      </c>
      <c r="E244" s="10">
        <f t="shared" si="15"/>
        <v>0</v>
      </c>
    </row>
    <row r="245" spans="1:5" ht="14.25" customHeight="1" x14ac:dyDescent="0.3">
      <c r="A245" s="44">
        <v>233</v>
      </c>
      <c r="B245" s="12">
        <f t="shared" si="12"/>
        <v>0</v>
      </c>
      <c r="C245" s="12">
        <f t="shared" si="13"/>
        <v>0</v>
      </c>
      <c r="D245" s="12">
        <f t="shared" si="14"/>
        <v>0</v>
      </c>
      <c r="E245" s="10">
        <f t="shared" si="15"/>
        <v>0</v>
      </c>
    </row>
    <row r="246" spans="1:5" ht="14.25" customHeight="1" x14ac:dyDescent="0.3">
      <c r="A246" s="44">
        <v>234</v>
      </c>
      <c r="B246" s="12">
        <f t="shared" si="12"/>
        <v>0</v>
      </c>
      <c r="C246" s="12">
        <f t="shared" si="13"/>
        <v>0</v>
      </c>
      <c r="D246" s="12">
        <f t="shared" si="14"/>
        <v>0</v>
      </c>
      <c r="E246" s="10">
        <f t="shared" si="15"/>
        <v>0</v>
      </c>
    </row>
    <row r="247" spans="1:5" ht="14.25" customHeight="1" x14ac:dyDescent="0.3">
      <c r="A247" s="44">
        <v>235</v>
      </c>
      <c r="B247" s="12">
        <f t="shared" si="12"/>
        <v>0</v>
      </c>
      <c r="C247" s="12">
        <f t="shared" si="13"/>
        <v>0</v>
      </c>
      <c r="D247" s="12">
        <f t="shared" si="14"/>
        <v>0</v>
      </c>
      <c r="E247" s="10">
        <f t="shared" si="15"/>
        <v>0</v>
      </c>
    </row>
    <row r="248" spans="1:5" ht="14.25" customHeight="1" x14ac:dyDescent="0.3">
      <c r="A248" s="44">
        <v>236</v>
      </c>
      <c r="B248" s="12">
        <f t="shared" si="12"/>
        <v>0</v>
      </c>
      <c r="C248" s="12">
        <f t="shared" si="13"/>
        <v>0</v>
      </c>
      <c r="D248" s="12">
        <f t="shared" si="14"/>
        <v>0</v>
      </c>
      <c r="E248" s="10">
        <f t="shared" si="15"/>
        <v>0</v>
      </c>
    </row>
    <row r="249" spans="1:5" ht="14.25" customHeight="1" x14ac:dyDescent="0.3">
      <c r="A249" s="44">
        <v>237</v>
      </c>
      <c r="B249" s="12">
        <f t="shared" si="12"/>
        <v>0</v>
      </c>
      <c r="C249" s="12">
        <f t="shared" si="13"/>
        <v>0</v>
      </c>
      <c r="D249" s="12">
        <f t="shared" si="14"/>
        <v>0</v>
      </c>
      <c r="E249" s="10">
        <f t="shared" si="15"/>
        <v>0</v>
      </c>
    </row>
    <row r="250" spans="1:5" ht="14.25" customHeight="1" x14ac:dyDescent="0.3">
      <c r="A250" s="44">
        <v>238</v>
      </c>
      <c r="B250" s="12">
        <f t="shared" si="12"/>
        <v>0</v>
      </c>
      <c r="C250" s="12">
        <f t="shared" si="13"/>
        <v>0</v>
      </c>
      <c r="D250" s="12">
        <f t="shared" si="14"/>
        <v>0</v>
      </c>
      <c r="E250" s="10">
        <f t="shared" si="15"/>
        <v>0</v>
      </c>
    </row>
    <row r="251" spans="1:5" ht="14.25" customHeight="1" x14ac:dyDescent="0.3">
      <c r="A251" s="44">
        <v>239</v>
      </c>
      <c r="B251" s="12">
        <f t="shared" si="12"/>
        <v>0</v>
      </c>
      <c r="C251" s="12">
        <f t="shared" si="13"/>
        <v>0</v>
      </c>
      <c r="D251" s="12">
        <f t="shared" si="14"/>
        <v>0</v>
      </c>
      <c r="E251" s="10">
        <f t="shared" si="15"/>
        <v>0</v>
      </c>
    </row>
    <row r="252" spans="1:5" ht="14.25" customHeight="1" x14ac:dyDescent="0.3">
      <c r="A252" s="44">
        <v>240</v>
      </c>
      <c r="B252" s="12">
        <f t="shared" si="12"/>
        <v>0</v>
      </c>
      <c r="C252" s="12">
        <f t="shared" si="13"/>
        <v>0</v>
      </c>
      <c r="D252" s="12">
        <f t="shared" si="14"/>
        <v>0</v>
      </c>
      <c r="E252" s="10">
        <f t="shared" si="15"/>
        <v>0</v>
      </c>
    </row>
    <row r="253" spans="1:5" ht="14.25" customHeight="1" x14ac:dyDescent="0.3">
      <c r="A253" s="44">
        <v>241</v>
      </c>
      <c r="B253" s="12">
        <f t="shared" si="12"/>
        <v>0</v>
      </c>
      <c r="C253" s="12">
        <f t="shared" si="13"/>
        <v>0</v>
      </c>
      <c r="D253" s="12">
        <f t="shared" si="14"/>
        <v>0</v>
      </c>
      <c r="E253" s="10">
        <f t="shared" si="15"/>
        <v>0</v>
      </c>
    </row>
    <row r="254" spans="1:5" ht="14.25" customHeight="1" x14ac:dyDescent="0.3">
      <c r="A254" s="44">
        <v>242</v>
      </c>
      <c r="B254" s="12">
        <f t="shared" si="12"/>
        <v>0</v>
      </c>
      <c r="C254" s="12">
        <f t="shared" si="13"/>
        <v>0</v>
      </c>
      <c r="D254" s="12">
        <f t="shared" si="14"/>
        <v>0</v>
      </c>
      <c r="E254" s="10">
        <f t="shared" si="15"/>
        <v>0</v>
      </c>
    </row>
    <row r="255" spans="1:5" ht="14.25" customHeight="1" x14ac:dyDescent="0.3">
      <c r="A255" s="44">
        <v>243</v>
      </c>
      <c r="B255" s="12">
        <f t="shared" si="12"/>
        <v>0</v>
      </c>
      <c r="C255" s="12">
        <f t="shared" si="13"/>
        <v>0</v>
      </c>
      <c r="D255" s="12">
        <f t="shared" si="14"/>
        <v>0</v>
      </c>
      <c r="E255" s="10">
        <f t="shared" si="15"/>
        <v>0</v>
      </c>
    </row>
    <row r="256" spans="1:5" ht="14.25" customHeight="1" x14ac:dyDescent="0.3">
      <c r="A256" s="44">
        <v>244</v>
      </c>
      <c r="B256" s="12">
        <f t="shared" si="12"/>
        <v>0</v>
      </c>
      <c r="C256" s="12">
        <f t="shared" si="13"/>
        <v>0</v>
      </c>
      <c r="D256" s="12">
        <f t="shared" si="14"/>
        <v>0</v>
      </c>
      <c r="E256" s="10">
        <f t="shared" si="15"/>
        <v>0</v>
      </c>
    </row>
    <row r="257" spans="1:5" ht="14.25" customHeight="1" x14ac:dyDescent="0.3">
      <c r="A257" s="44">
        <v>245</v>
      </c>
      <c r="B257" s="12">
        <f t="shared" si="12"/>
        <v>0</v>
      </c>
      <c r="C257" s="12">
        <f t="shared" si="13"/>
        <v>0</v>
      </c>
      <c r="D257" s="12">
        <f t="shared" si="14"/>
        <v>0</v>
      </c>
      <c r="E257" s="10">
        <f t="shared" si="15"/>
        <v>0</v>
      </c>
    </row>
    <row r="258" spans="1:5" ht="14.25" customHeight="1" x14ac:dyDescent="0.3">
      <c r="A258" s="44">
        <v>246</v>
      </c>
      <c r="B258" s="12">
        <f t="shared" si="12"/>
        <v>0</v>
      </c>
      <c r="C258" s="12">
        <f t="shared" si="13"/>
        <v>0</v>
      </c>
      <c r="D258" s="12">
        <f t="shared" si="14"/>
        <v>0</v>
      </c>
      <c r="E258" s="10">
        <f t="shared" si="15"/>
        <v>0</v>
      </c>
    </row>
    <row r="259" spans="1:5" ht="14.25" customHeight="1" x14ac:dyDescent="0.3">
      <c r="A259" s="44">
        <v>247</v>
      </c>
      <c r="B259" s="12">
        <f t="shared" si="12"/>
        <v>0</v>
      </c>
      <c r="C259" s="12">
        <f t="shared" si="13"/>
        <v>0</v>
      </c>
      <c r="D259" s="12">
        <f t="shared" si="14"/>
        <v>0</v>
      </c>
      <c r="E259" s="10">
        <f t="shared" si="15"/>
        <v>0</v>
      </c>
    </row>
    <row r="260" spans="1:5" ht="14.25" customHeight="1" x14ac:dyDescent="0.3">
      <c r="A260" s="44">
        <v>248</v>
      </c>
      <c r="B260" s="12">
        <f t="shared" si="12"/>
        <v>0</v>
      </c>
      <c r="C260" s="12">
        <f t="shared" si="13"/>
        <v>0</v>
      </c>
      <c r="D260" s="12">
        <f t="shared" si="14"/>
        <v>0</v>
      </c>
      <c r="E260" s="10">
        <f t="shared" si="15"/>
        <v>0</v>
      </c>
    </row>
    <row r="261" spans="1:5" ht="14.25" customHeight="1" x14ac:dyDescent="0.3">
      <c r="A261" s="44">
        <v>249</v>
      </c>
      <c r="B261" s="12">
        <f t="shared" si="12"/>
        <v>0</v>
      </c>
      <c r="C261" s="12">
        <f t="shared" si="13"/>
        <v>0</v>
      </c>
      <c r="D261" s="12">
        <f t="shared" si="14"/>
        <v>0</v>
      </c>
      <c r="E261" s="10">
        <f t="shared" si="15"/>
        <v>0</v>
      </c>
    </row>
    <row r="262" spans="1:5" ht="14.25" customHeight="1" x14ac:dyDescent="0.3">
      <c r="A262" s="44">
        <v>250</v>
      </c>
      <c r="B262" s="12">
        <f t="shared" si="12"/>
        <v>0</v>
      </c>
      <c r="C262" s="12">
        <f t="shared" si="13"/>
        <v>0</v>
      </c>
      <c r="D262" s="12">
        <f t="shared" si="14"/>
        <v>0</v>
      </c>
      <c r="E262" s="10">
        <f t="shared" si="15"/>
        <v>0</v>
      </c>
    </row>
    <row r="263" spans="1:5" ht="14.25" customHeight="1" x14ac:dyDescent="0.3">
      <c r="A263" s="44">
        <v>251</v>
      </c>
      <c r="B263" s="12">
        <f t="shared" si="12"/>
        <v>0</v>
      </c>
      <c r="C263" s="12">
        <f t="shared" si="13"/>
        <v>0</v>
      </c>
      <c r="D263" s="12">
        <f t="shared" si="14"/>
        <v>0</v>
      </c>
      <c r="E263" s="10">
        <f t="shared" si="15"/>
        <v>0</v>
      </c>
    </row>
    <row r="264" spans="1:5" ht="14.25" customHeight="1" x14ac:dyDescent="0.3">
      <c r="A264" s="44">
        <v>252</v>
      </c>
      <c r="B264" s="12">
        <f t="shared" si="12"/>
        <v>0</v>
      </c>
      <c r="C264" s="12">
        <f t="shared" si="13"/>
        <v>0</v>
      </c>
      <c r="D264" s="12">
        <f t="shared" si="14"/>
        <v>0</v>
      </c>
      <c r="E264" s="10">
        <f t="shared" si="15"/>
        <v>0</v>
      </c>
    </row>
    <row r="265" spans="1:5" ht="14.25" customHeight="1" x14ac:dyDescent="0.3">
      <c r="A265" s="44">
        <v>253</v>
      </c>
      <c r="B265" s="12">
        <f t="shared" si="12"/>
        <v>0</v>
      </c>
      <c r="C265" s="12">
        <f t="shared" si="13"/>
        <v>0</v>
      </c>
      <c r="D265" s="12">
        <f t="shared" si="14"/>
        <v>0</v>
      </c>
      <c r="E265" s="10">
        <f t="shared" si="15"/>
        <v>0</v>
      </c>
    </row>
    <row r="266" spans="1:5" ht="14.25" customHeight="1" x14ac:dyDescent="0.3">
      <c r="A266" s="44">
        <v>254</v>
      </c>
      <c r="B266" s="12">
        <f t="shared" si="12"/>
        <v>0</v>
      </c>
      <c r="C266" s="12">
        <f t="shared" si="13"/>
        <v>0</v>
      </c>
      <c r="D266" s="12">
        <f t="shared" si="14"/>
        <v>0</v>
      </c>
      <c r="E266" s="10">
        <f t="shared" si="15"/>
        <v>0</v>
      </c>
    </row>
    <row r="267" spans="1:5" ht="14.25" customHeight="1" x14ac:dyDescent="0.3">
      <c r="A267" s="44">
        <v>255</v>
      </c>
      <c r="B267" s="12">
        <f t="shared" si="12"/>
        <v>0</v>
      </c>
      <c r="C267" s="12">
        <f t="shared" si="13"/>
        <v>0</v>
      </c>
      <c r="D267" s="12">
        <f t="shared" si="14"/>
        <v>0</v>
      </c>
      <c r="E267" s="10">
        <f t="shared" si="15"/>
        <v>0</v>
      </c>
    </row>
    <row r="268" spans="1:5" ht="14.25" customHeight="1" x14ac:dyDescent="0.3">
      <c r="A268" s="44">
        <v>256</v>
      </c>
      <c r="B268" s="12">
        <f t="shared" si="12"/>
        <v>0</v>
      </c>
      <c r="C268" s="12">
        <f t="shared" si="13"/>
        <v>0</v>
      </c>
      <c r="D268" s="12">
        <f t="shared" si="14"/>
        <v>0</v>
      </c>
      <c r="E268" s="10">
        <f t="shared" si="15"/>
        <v>0</v>
      </c>
    </row>
    <row r="269" spans="1:5" ht="14.25" customHeight="1" x14ac:dyDescent="0.3">
      <c r="A269" s="44">
        <v>257</v>
      </c>
      <c r="B269" s="12">
        <f t="shared" ref="B269:B332" si="16">IF($B$9&lt;=E268,$B$9,E268+E268*$B$7/$B$8)</f>
        <v>0</v>
      </c>
      <c r="C269" s="12">
        <f t="shared" ref="C269:C332" si="17">IF(B269&gt;0,$B$7/$B$8*E268,0)</f>
        <v>0</v>
      </c>
      <c r="D269" s="12">
        <f t="shared" ref="D269:D332" si="18">IF(B269&gt;0,MIN(B269-C269,E268),0)</f>
        <v>0</v>
      </c>
      <c r="E269" s="10">
        <f t="shared" ref="E269:E332" si="19">IF(ROUND(E268,5)&gt;0,E268-D269,0)</f>
        <v>0</v>
      </c>
    </row>
    <row r="270" spans="1:5" ht="14.25" customHeight="1" x14ac:dyDescent="0.3">
      <c r="A270" s="44">
        <v>258</v>
      </c>
      <c r="B270" s="12">
        <f t="shared" si="16"/>
        <v>0</v>
      </c>
      <c r="C270" s="12">
        <f t="shared" si="17"/>
        <v>0</v>
      </c>
      <c r="D270" s="12">
        <f t="shared" si="18"/>
        <v>0</v>
      </c>
      <c r="E270" s="10">
        <f t="shared" si="19"/>
        <v>0</v>
      </c>
    </row>
    <row r="271" spans="1:5" ht="14.25" customHeight="1" x14ac:dyDescent="0.3">
      <c r="A271" s="44">
        <v>259</v>
      </c>
      <c r="B271" s="12">
        <f t="shared" si="16"/>
        <v>0</v>
      </c>
      <c r="C271" s="12">
        <f t="shared" si="17"/>
        <v>0</v>
      </c>
      <c r="D271" s="12">
        <f t="shared" si="18"/>
        <v>0</v>
      </c>
      <c r="E271" s="10">
        <f t="shared" si="19"/>
        <v>0</v>
      </c>
    </row>
    <row r="272" spans="1:5" ht="14.25" customHeight="1" x14ac:dyDescent="0.3">
      <c r="A272" s="44">
        <v>260</v>
      </c>
      <c r="B272" s="12">
        <f t="shared" si="16"/>
        <v>0</v>
      </c>
      <c r="C272" s="12">
        <f t="shared" si="17"/>
        <v>0</v>
      </c>
      <c r="D272" s="12">
        <f t="shared" si="18"/>
        <v>0</v>
      </c>
      <c r="E272" s="10">
        <f t="shared" si="19"/>
        <v>0</v>
      </c>
    </row>
    <row r="273" spans="1:5" ht="14.25" customHeight="1" x14ac:dyDescent="0.3">
      <c r="A273" s="44">
        <v>261</v>
      </c>
      <c r="B273" s="12">
        <f t="shared" si="16"/>
        <v>0</v>
      </c>
      <c r="C273" s="12">
        <f t="shared" si="17"/>
        <v>0</v>
      </c>
      <c r="D273" s="12">
        <f t="shared" si="18"/>
        <v>0</v>
      </c>
      <c r="E273" s="10">
        <f t="shared" si="19"/>
        <v>0</v>
      </c>
    </row>
    <row r="274" spans="1:5" ht="14.25" customHeight="1" x14ac:dyDescent="0.3">
      <c r="A274" s="44">
        <v>262</v>
      </c>
      <c r="B274" s="12">
        <f t="shared" si="16"/>
        <v>0</v>
      </c>
      <c r="C274" s="12">
        <f t="shared" si="17"/>
        <v>0</v>
      </c>
      <c r="D274" s="12">
        <f t="shared" si="18"/>
        <v>0</v>
      </c>
      <c r="E274" s="10">
        <f t="shared" si="19"/>
        <v>0</v>
      </c>
    </row>
    <row r="275" spans="1:5" ht="14.25" customHeight="1" x14ac:dyDescent="0.3">
      <c r="A275" s="44">
        <v>263</v>
      </c>
      <c r="B275" s="12">
        <f t="shared" si="16"/>
        <v>0</v>
      </c>
      <c r="C275" s="12">
        <f t="shared" si="17"/>
        <v>0</v>
      </c>
      <c r="D275" s="12">
        <f t="shared" si="18"/>
        <v>0</v>
      </c>
      <c r="E275" s="10">
        <f t="shared" si="19"/>
        <v>0</v>
      </c>
    </row>
    <row r="276" spans="1:5" ht="14.25" customHeight="1" x14ac:dyDescent="0.3">
      <c r="A276" s="44">
        <v>264</v>
      </c>
      <c r="B276" s="12">
        <f t="shared" si="16"/>
        <v>0</v>
      </c>
      <c r="C276" s="12">
        <f t="shared" si="17"/>
        <v>0</v>
      </c>
      <c r="D276" s="12">
        <f t="shared" si="18"/>
        <v>0</v>
      </c>
      <c r="E276" s="10">
        <f t="shared" si="19"/>
        <v>0</v>
      </c>
    </row>
    <row r="277" spans="1:5" ht="14.25" customHeight="1" x14ac:dyDescent="0.3">
      <c r="A277" s="44">
        <v>265</v>
      </c>
      <c r="B277" s="12">
        <f t="shared" si="16"/>
        <v>0</v>
      </c>
      <c r="C277" s="12">
        <f t="shared" si="17"/>
        <v>0</v>
      </c>
      <c r="D277" s="12">
        <f t="shared" si="18"/>
        <v>0</v>
      </c>
      <c r="E277" s="10">
        <f t="shared" si="19"/>
        <v>0</v>
      </c>
    </row>
    <row r="278" spans="1:5" ht="14.25" customHeight="1" x14ac:dyDescent="0.3">
      <c r="A278" s="44">
        <v>266</v>
      </c>
      <c r="B278" s="12">
        <f t="shared" si="16"/>
        <v>0</v>
      </c>
      <c r="C278" s="12">
        <f t="shared" si="17"/>
        <v>0</v>
      </c>
      <c r="D278" s="12">
        <f t="shared" si="18"/>
        <v>0</v>
      </c>
      <c r="E278" s="10">
        <f t="shared" si="19"/>
        <v>0</v>
      </c>
    </row>
    <row r="279" spans="1:5" ht="14.25" customHeight="1" x14ac:dyDescent="0.3">
      <c r="A279" s="44">
        <v>267</v>
      </c>
      <c r="B279" s="12">
        <f t="shared" si="16"/>
        <v>0</v>
      </c>
      <c r="C279" s="12">
        <f t="shared" si="17"/>
        <v>0</v>
      </c>
      <c r="D279" s="12">
        <f t="shared" si="18"/>
        <v>0</v>
      </c>
      <c r="E279" s="10">
        <f t="shared" si="19"/>
        <v>0</v>
      </c>
    </row>
    <row r="280" spans="1:5" ht="14.25" customHeight="1" x14ac:dyDescent="0.3">
      <c r="A280" s="44">
        <v>268</v>
      </c>
      <c r="B280" s="12">
        <f t="shared" si="16"/>
        <v>0</v>
      </c>
      <c r="C280" s="12">
        <f t="shared" si="17"/>
        <v>0</v>
      </c>
      <c r="D280" s="12">
        <f t="shared" si="18"/>
        <v>0</v>
      </c>
      <c r="E280" s="10">
        <f t="shared" si="19"/>
        <v>0</v>
      </c>
    </row>
    <row r="281" spans="1:5" ht="14.25" customHeight="1" x14ac:dyDescent="0.3">
      <c r="A281" s="44">
        <v>269</v>
      </c>
      <c r="B281" s="12">
        <f t="shared" si="16"/>
        <v>0</v>
      </c>
      <c r="C281" s="12">
        <f t="shared" si="17"/>
        <v>0</v>
      </c>
      <c r="D281" s="12">
        <f t="shared" si="18"/>
        <v>0</v>
      </c>
      <c r="E281" s="10">
        <f t="shared" si="19"/>
        <v>0</v>
      </c>
    </row>
    <row r="282" spans="1:5" ht="14.25" customHeight="1" x14ac:dyDescent="0.3">
      <c r="A282" s="44">
        <v>270</v>
      </c>
      <c r="B282" s="12">
        <f t="shared" si="16"/>
        <v>0</v>
      </c>
      <c r="C282" s="12">
        <f t="shared" si="17"/>
        <v>0</v>
      </c>
      <c r="D282" s="12">
        <f t="shared" si="18"/>
        <v>0</v>
      </c>
      <c r="E282" s="10">
        <f t="shared" si="19"/>
        <v>0</v>
      </c>
    </row>
    <row r="283" spans="1:5" ht="14.25" customHeight="1" x14ac:dyDescent="0.3">
      <c r="A283" s="44">
        <v>271</v>
      </c>
      <c r="B283" s="12">
        <f t="shared" si="16"/>
        <v>0</v>
      </c>
      <c r="C283" s="12">
        <f t="shared" si="17"/>
        <v>0</v>
      </c>
      <c r="D283" s="12">
        <f t="shared" si="18"/>
        <v>0</v>
      </c>
      <c r="E283" s="10">
        <f t="shared" si="19"/>
        <v>0</v>
      </c>
    </row>
    <row r="284" spans="1:5" ht="14.25" customHeight="1" x14ac:dyDescent="0.3">
      <c r="A284" s="44">
        <v>272</v>
      </c>
      <c r="B284" s="12">
        <f t="shared" si="16"/>
        <v>0</v>
      </c>
      <c r="C284" s="12">
        <f t="shared" si="17"/>
        <v>0</v>
      </c>
      <c r="D284" s="12">
        <f t="shared" si="18"/>
        <v>0</v>
      </c>
      <c r="E284" s="10">
        <f t="shared" si="19"/>
        <v>0</v>
      </c>
    </row>
    <row r="285" spans="1:5" ht="14.25" customHeight="1" x14ac:dyDescent="0.3">
      <c r="A285" s="44">
        <v>273</v>
      </c>
      <c r="B285" s="12">
        <f t="shared" si="16"/>
        <v>0</v>
      </c>
      <c r="C285" s="12">
        <f t="shared" si="17"/>
        <v>0</v>
      </c>
      <c r="D285" s="12">
        <f t="shared" si="18"/>
        <v>0</v>
      </c>
      <c r="E285" s="10">
        <f t="shared" si="19"/>
        <v>0</v>
      </c>
    </row>
    <row r="286" spans="1:5" ht="14.25" customHeight="1" x14ac:dyDescent="0.3">
      <c r="A286" s="44">
        <v>274</v>
      </c>
      <c r="B286" s="12">
        <f t="shared" si="16"/>
        <v>0</v>
      </c>
      <c r="C286" s="12">
        <f t="shared" si="17"/>
        <v>0</v>
      </c>
      <c r="D286" s="12">
        <f t="shared" si="18"/>
        <v>0</v>
      </c>
      <c r="E286" s="10">
        <f t="shared" si="19"/>
        <v>0</v>
      </c>
    </row>
    <row r="287" spans="1:5" ht="14.25" customHeight="1" x14ac:dyDescent="0.3">
      <c r="A287" s="44">
        <v>275</v>
      </c>
      <c r="B287" s="12">
        <f t="shared" si="16"/>
        <v>0</v>
      </c>
      <c r="C287" s="12">
        <f t="shared" si="17"/>
        <v>0</v>
      </c>
      <c r="D287" s="12">
        <f t="shared" si="18"/>
        <v>0</v>
      </c>
      <c r="E287" s="10">
        <f t="shared" si="19"/>
        <v>0</v>
      </c>
    </row>
    <row r="288" spans="1:5" ht="14.25" customHeight="1" x14ac:dyDescent="0.3">
      <c r="A288" s="44">
        <v>276</v>
      </c>
      <c r="B288" s="12">
        <f t="shared" si="16"/>
        <v>0</v>
      </c>
      <c r="C288" s="12">
        <f t="shared" si="17"/>
        <v>0</v>
      </c>
      <c r="D288" s="12">
        <f t="shared" si="18"/>
        <v>0</v>
      </c>
      <c r="E288" s="10">
        <f t="shared" si="19"/>
        <v>0</v>
      </c>
    </row>
    <row r="289" spans="1:5" ht="14.25" customHeight="1" x14ac:dyDescent="0.3">
      <c r="A289" s="44">
        <v>277</v>
      </c>
      <c r="B289" s="12">
        <f t="shared" si="16"/>
        <v>0</v>
      </c>
      <c r="C289" s="12">
        <f t="shared" si="17"/>
        <v>0</v>
      </c>
      <c r="D289" s="12">
        <f t="shared" si="18"/>
        <v>0</v>
      </c>
      <c r="E289" s="10">
        <f t="shared" si="19"/>
        <v>0</v>
      </c>
    </row>
    <row r="290" spans="1:5" ht="14.25" customHeight="1" x14ac:dyDescent="0.3">
      <c r="A290" s="44">
        <v>278</v>
      </c>
      <c r="B290" s="12">
        <f t="shared" si="16"/>
        <v>0</v>
      </c>
      <c r="C290" s="12">
        <f t="shared" si="17"/>
        <v>0</v>
      </c>
      <c r="D290" s="12">
        <f t="shared" si="18"/>
        <v>0</v>
      </c>
      <c r="E290" s="10">
        <f t="shared" si="19"/>
        <v>0</v>
      </c>
    </row>
    <row r="291" spans="1:5" ht="14.25" customHeight="1" x14ac:dyDescent="0.3">
      <c r="A291" s="44">
        <v>279</v>
      </c>
      <c r="B291" s="12">
        <f t="shared" si="16"/>
        <v>0</v>
      </c>
      <c r="C291" s="12">
        <f t="shared" si="17"/>
        <v>0</v>
      </c>
      <c r="D291" s="12">
        <f t="shared" si="18"/>
        <v>0</v>
      </c>
      <c r="E291" s="10">
        <f t="shared" si="19"/>
        <v>0</v>
      </c>
    </row>
    <row r="292" spans="1:5" ht="14.25" customHeight="1" x14ac:dyDescent="0.3">
      <c r="A292" s="44">
        <v>280</v>
      </c>
      <c r="B292" s="12">
        <f t="shared" si="16"/>
        <v>0</v>
      </c>
      <c r="C292" s="12">
        <f t="shared" si="17"/>
        <v>0</v>
      </c>
      <c r="D292" s="12">
        <f t="shared" si="18"/>
        <v>0</v>
      </c>
      <c r="E292" s="10">
        <f t="shared" si="19"/>
        <v>0</v>
      </c>
    </row>
    <row r="293" spans="1:5" ht="14.25" customHeight="1" x14ac:dyDescent="0.3">
      <c r="A293" s="44">
        <v>281</v>
      </c>
      <c r="B293" s="12">
        <f t="shared" si="16"/>
        <v>0</v>
      </c>
      <c r="C293" s="12">
        <f t="shared" si="17"/>
        <v>0</v>
      </c>
      <c r="D293" s="12">
        <f t="shared" si="18"/>
        <v>0</v>
      </c>
      <c r="E293" s="10">
        <f t="shared" si="19"/>
        <v>0</v>
      </c>
    </row>
    <row r="294" spans="1:5" ht="14.25" customHeight="1" x14ac:dyDescent="0.3">
      <c r="A294" s="44">
        <v>282</v>
      </c>
      <c r="B294" s="12">
        <f t="shared" si="16"/>
        <v>0</v>
      </c>
      <c r="C294" s="12">
        <f t="shared" si="17"/>
        <v>0</v>
      </c>
      <c r="D294" s="12">
        <f t="shared" si="18"/>
        <v>0</v>
      </c>
      <c r="E294" s="10">
        <f t="shared" si="19"/>
        <v>0</v>
      </c>
    </row>
    <row r="295" spans="1:5" ht="14.25" customHeight="1" x14ac:dyDescent="0.3">
      <c r="A295" s="44">
        <v>283</v>
      </c>
      <c r="B295" s="12">
        <f t="shared" si="16"/>
        <v>0</v>
      </c>
      <c r="C295" s="12">
        <f t="shared" si="17"/>
        <v>0</v>
      </c>
      <c r="D295" s="12">
        <f t="shared" si="18"/>
        <v>0</v>
      </c>
      <c r="E295" s="10">
        <f t="shared" si="19"/>
        <v>0</v>
      </c>
    </row>
    <row r="296" spans="1:5" ht="14.25" customHeight="1" x14ac:dyDescent="0.3">
      <c r="A296" s="44">
        <v>284</v>
      </c>
      <c r="B296" s="12">
        <f t="shared" si="16"/>
        <v>0</v>
      </c>
      <c r="C296" s="12">
        <f t="shared" si="17"/>
        <v>0</v>
      </c>
      <c r="D296" s="12">
        <f t="shared" si="18"/>
        <v>0</v>
      </c>
      <c r="E296" s="10">
        <f t="shared" si="19"/>
        <v>0</v>
      </c>
    </row>
    <row r="297" spans="1:5" ht="14.25" customHeight="1" x14ac:dyDescent="0.3">
      <c r="A297" s="44">
        <v>285</v>
      </c>
      <c r="B297" s="12">
        <f t="shared" si="16"/>
        <v>0</v>
      </c>
      <c r="C297" s="12">
        <f t="shared" si="17"/>
        <v>0</v>
      </c>
      <c r="D297" s="12">
        <f t="shared" si="18"/>
        <v>0</v>
      </c>
      <c r="E297" s="10">
        <f t="shared" si="19"/>
        <v>0</v>
      </c>
    </row>
    <row r="298" spans="1:5" ht="14.25" customHeight="1" x14ac:dyDescent="0.3">
      <c r="A298" s="44">
        <v>286</v>
      </c>
      <c r="B298" s="12">
        <f t="shared" si="16"/>
        <v>0</v>
      </c>
      <c r="C298" s="12">
        <f t="shared" si="17"/>
        <v>0</v>
      </c>
      <c r="D298" s="12">
        <f t="shared" si="18"/>
        <v>0</v>
      </c>
      <c r="E298" s="10">
        <f t="shared" si="19"/>
        <v>0</v>
      </c>
    </row>
    <row r="299" spans="1:5" ht="14.25" customHeight="1" x14ac:dyDescent="0.3">
      <c r="A299" s="44">
        <v>287</v>
      </c>
      <c r="B299" s="12">
        <f t="shared" si="16"/>
        <v>0</v>
      </c>
      <c r="C299" s="12">
        <f t="shared" si="17"/>
        <v>0</v>
      </c>
      <c r="D299" s="12">
        <f t="shared" si="18"/>
        <v>0</v>
      </c>
      <c r="E299" s="10">
        <f t="shared" si="19"/>
        <v>0</v>
      </c>
    </row>
    <row r="300" spans="1:5" ht="14.25" customHeight="1" x14ac:dyDescent="0.3">
      <c r="A300" s="44">
        <v>288</v>
      </c>
      <c r="B300" s="12">
        <f t="shared" si="16"/>
        <v>0</v>
      </c>
      <c r="C300" s="12">
        <f t="shared" si="17"/>
        <v>0</v>
      </c>
      <c r="D300" s="12">
        <f t="shared" si="18"/>
        <v>0</v>
      </c>
      <c r="E300" s="10">
        <f t="shared" si="19"/>
        <v>0</v>
      </c>
    </row>
    <row r="301" spans="1:5" ht="14.25" customHeight="1" x14ac:dyDescent="0.3">
      <c r="A301" s="44">
        <v>289</v>
      </c>
      <c r="B301" s="12">
        <f t="shared" si="16"/>
        <v>0</v>
      </c>
      <c r="C301" s="12">
        <f t="shared" si="17"/>
        <v>0</v>
      </c>
      <c r="D301" s="12">
        <f t="shared" si="18"/>
        <v>0</v>
      </c>
      <c r="E301" s="10">
        <f t="shared" si="19"/>
        <v>0</v>
      </c>
    </row>
    <row r="302" spans="1:5" ht="14.25" customHeight="1" x14ac:dyDescent="0.3">
      <c r="A302" s="44">
        <v>290</v>
      </c>
      <c r="B302" s="12">
        <f t="shared" si="16"/>
        <v>0</v>
      </c>
      <c r="C302" s="12">
        <f t="shared" si="17"/>
        <v>0</v>
      </c>
      <c r="D302" s="12">
        <f t="shared" si="18"/>
        <v>0</v>
      </c>
      <c r="E302" s="10">
        <f t="shared" si="19"/>
        <v>0</v>
      </c>
    </row>
    <row r="303" spans="1:5" ht="14.25" customHeight="1" x14ac:dyDescent="0.3">
      <c r="A303" s="44">
        <v>291</v>
      </c>
      <c r="B303" s="12">
        <f t="shared" si="16"/>
        <v>0</v>
      </c>
      <c r="C303" s="12">
        <f t="shared" si="17"/>
        <v>0</v>
      </c>
      <c r="D303" s="12">
        <f t="shared" si="18"/>
        <v>0</v>
      </c>
      <c r="E303" s="10">
        <f t="shared" si="19"/>
        <v>0</v>
      </c>
    </row>
    <row r="304" spans="1:5" ht="14.25" customHeight="1" x14ac:dyDescent="0.3">
      <c r="A304" s="44">
        <v>292</v>
      </c>
      <c r="B304" s="12">
        <f t="shared" si="16"/>
        <v>0</v>
      </c>
      <c r="C304" s="12">
        <f t="shared" si="17"/>
        <v>0</v>
      </c>
      <c r="D304" s="12">
        <f t="shared" si="18"/>
        <v>0</v>
      </c>
      <c r="E304" s="10">
        <f t="shared" si="19"/>
        <v>0</v>
      </c>
    </row>
    <row r="305" spans="1:5" ht="14.25" customHeight="1" x14ac:dyDescent="0.3">
      <c r="A305" s="44">
        <v>293</v>
      </c>
      <c r="B305" s="12">
        <f t="shared" si="16"/>
        <v>0</v>
      </c>
      <c r="C305" s="12">
        <f t="shared" si="17"/>
        <v>0</v>
      </c>
      <c r="D305" s="12">
        <f t="shared" si="18"/>
        <v>0</v>
      </c>
      <c r="E305" s="10">
        <f t="shared" si="19"/>
        <v>0</v>
      </c>
    </row>
    <row r="306" spans="1:5" ht="14.25" customHeight="1" x14ac:dyDescent="0.3">
      <c r="A306" s="44">
        <v>294</v>
      </c>
      <c r="B306" s="12">
        <f t="shared" si="16"/>
        <v>0</v>
      </c>
      <c r="C306" s="12">
        <f t="shared" si="17"/>
        <v>0</v>
      </c>
      <c r="D306" s="12">
        <f t="shared" si="18"/>
        <v>0</v>
      </c>
      <c r="E306" s="10">
        <f t="shared" si="19"/>
        <v>0</v>
      </c>
    </row>
    <row r="307" spans="1:5" ht="14.25" customHeight="1" x14ac:dyDescent="0.3">
      <c r="A307" s="44">
        <v>295</v>
      </c>
      <c r="B307" s="12">
        <f t="shared" si="16"/>
        <v>0</v>
      </c>
      <c r="C307" s="12">
        <f t="shared" si="17"/>
        <v>0</v>
      </c>
      <c r="D307" s="12">
        <f t="shared" si="18"/>
        <v>0</v>
      </c>
      <c r="E307" s="10">
        <f t="shared" si="19"/>
        <v>0</v>
      </c>
    </row>
    <row r="308" spans="1:5" ht="14.25" customHeight="1" x14ac:dyDescent="0.3">
      <c r="A308" s="44">
        <v>296</v>
      </c>
      <c r="B308" s="12">
        <f t="shared" si="16"/>
        <v>0</v>
      </c>
      <c r="C308" s="12">
        <f t="shared" si="17"/>
        <v>0</v>
      </c>
      <c r="D308" s="12">
        <f t="shared" si="18"/>
        <v>0</v>
      </c>
      <c r="E308" s="10">
        <f t="shared" si="19"/>
        <v>0</v>
      </c>
    </row>
    <row r="309" spans="1:5" ht="14.25" customHeight="1" x14ac:dyDescent="0.3">
      <c r="A309" s="44">
        <v>297</v>
      </c>
      <c r="B309" s="12">
        <f t="shared" si="16"/>
        <v>0</v>
      </c>
      <c r="C309" s="12">
        <f t="shared" si="17"/>
        <v>0</v>
      </c>
      <c r="D309" s="12">
        <f t="shared" si="18"/>
        <v>0</v>
      </c>
      <c r="E309" s="10">
        <f t="shared" si="19"/>
        <v>0</v>
      </c>
    </row>
    <row r="310" spans="1:5" ht="14.25" customHeight="1" x14ac:dyDescent="0.3">
      <c r="A310" s="44">
        <v>298</v>
      </c>
      <c r="B310" s="12">
        <f t="shared" si="16"/>
        <v>0</v>
      </c>
      <c r="C310" s="12">
        <f t="shared" si="17"/>
        <v>0</v>
      </c>
      <c r="D310" s="12">
        <f t="shared" si="18"/>
        <v>0</v>
      </c>
      <c r="E310" s="10">
        <f t="shared" si="19"/>
        <v>0</v>
      </c>
    </row>
    <row r="311" spans="1:5" ht="14.25" customHeight="1" x14ac:dyDescent="0.3">
      <c r="A311" s="44">
        <v>299</v>
      </c>
      <c r="B311" s="12">
        <f t="shared" si="16"/>
        <v>0</v>
      </c>
      <c r="C311" s="12">
        <f t="shared" si="17"/>
        <v>0</v>
      </c>
      <c r="D311" s="12">
        <f t="shared" si="18"/>
        <v>0</v>
      </c>
      <c r="E311" s="10">
        <f t="shared" si="19"/>
        <v>0</v>
      </c>
    </row>
    <row r="312" spans="1:5" ht="14.25" customHeight="1" x14ac:dyDescent="0.3">
      <c r="A312" s="44">
        <v>300</v>
      </c>
      <c r="B312" s="12">
        <f t="shared" si="16"/>
        <v>0</v>
      </c>
      <c r="C312" s="12">
        <f t="shared" si="17"/>
        <v>0</v>
      </c>
      <c r="D312" s="12">
        <f t="shared" si="18"/>
        <v>0</v>
      </c>
      <c r="E312" s="10">
        <f t="shared" si="19"/>
        <v>0</v>
      </c>
    </row>
    <row r="313" spans="1:5" ht="14.25" customHeight="1" x14ac:dyDescent="0.3">
      <c r="A313" s="44">
        <v>301</v>
      </c>
      <c r="B313" s="12">
        <f t="shared" si="16"/>
        <v>0</v>
      </c>
      <c r="C313" s="12">
        <f t="shared" si="17"/>
        <v>0</v>
      </c>
      <c r="D313" s="12">
        <f t="shared" si="18"/>
        <v>0</v>
      </c>
      <c r="E313" s="10">
        <f t="shared" si="19"/>
        <v>0</v>
      </c>
    </row>
    <row r="314" spans="1:5" ht="14.25" customHeight="1" x14ac:dyDescent="0.3">
      <c r="A314" s="44">
        <v>302</v>
      </c>
      <c r="B314" s="12">
        <f t="shared" si="16"/>
        <v>0</v>
      </c>
      <c r="C314" s="12">
        <f t="shared" si="17"/>
        <v>0</v>
      </c>
      <c r="D314" s="12">
        <f t="shared" si="18"/>
        <v>0</v>
      </c>
      <c r="E314" s="10">
        <f t="shared" si="19"/>
        <v>0</v>
      </c>
    </row>
    <row r="315" spans="1:5" ht="14.25" customHeight="1" x14ac:dyDescent="0.3">
      <c r="A315" s="44">
        <v>303</v>
      </c>
      <c r="B315" s="12">
        <f t="shared" si="16"/>
        <v>0</v>
      </c>
      <c r="C315" s="12">
        <f t="shared" si="17"/>
        <v>0</v>
      </c>
      <c r="D315" s="12">
        <f t="shared" si="18"/>
        <v>0</v>
      </c>
      <c r="E315" s="10">
        <f t="shared" si="19"/>
        <v>0</v>
      </c>
    </row>
    <row r="316" spans="1:5" ht="14.25" customHeight="1" x14ac:dyDescent="0.3">
      <c r="A316" s="44">
        <v>304</v>
      </c>
      <c r="B316" s="12">
        <f t="shared" si="16"/>
        <v>0</v>
      </c>
      <c r="C316" s="12">
        <f t="shared" si="17"/>
        <v>0</v>
      </c>
      <c r="D316" s="12">
        <f t="shared" si="18"/>
        <v>0</v>
      </c>
      <c r="E316" s="10">
        <f t="shared" si="19"/>
        <v>0</v>
      </c>
    </row>
    <row r="317" spans="1:5" ht="14.25" customHeight="1" x14ac:dyDescent="0.3">
      <c r="A317" s="44">
        <v>305</v>
      </c>
      <c r="B317" s="12">
        <f t="shared" si="16"/>
        <v>0</v>
      </c>
      <c r="C317" s="12">
        <f t="shared" si="17"/>
        <v>0</v>
      </c>
      <c r="D317" s="12">
        <f t="shared" si="18"/>
        <v>0</v>
      </c>
      <c r="E317" s="10">
        <f t="shared" si="19"/>
        <v>0</v>
      </c>
    </row>
    <row r="318" spans="1:5" ht="14.25" customHeight="1" x14ac:dyDescent="0.3">
      <c r="A318" s="44">
        <v>306</v>
      </c>
      <c r="B318" s="12">
        <f t="shared" si="16"/>
        <v>0</v>
      </c>
      <c r="C318" s="12">
        <f t="shared" si="17"/>
        <v>0</v>
      </c>
      <c r="D318" s="12">
        <f t="shared" si="18"/>
        <v>0</v>
      </c>
      <c r="E318" s="10">
        <f t="shared" si="19"/>
        <v>0</v>
      </c>
    </row>
    <row r="319" spans="1:5" ht="14.25" customHeight="1" x14ac:dyDescent="0.3">
      <c r="A319" s="44">
        <v>307</v>
      </c>
      <c r="B319" s="12">
        <f t="shared" si="16"/>
        <v>0</v>
      </c>
      <c r="C319" s="12">
        <f t="shared" si="17"/>
        <v>0</v>
      </c>
      <c r="D319" s="12">
        <f t="shared" si="18"/>
        <v>0</v>
      </c>
      <c r="E319" s="10">
        <f t="shared" si="19"/>
        <v>0</v>
      </c>
    </row>
    <row r="320" spans="1:5" ht="14.25" customHeight="1" x14ac:dyDescent="0.3">
      <c r="A320" s="44">
        <v>308</v>
      </c>
      <c r="B320" s="12">
        <f t="shared" si="16"/>
        <v>0</v>
      </c>
      <c r="C320" s="12">
        <f t="shared" si="17"/>
        <v>0</v>
      </c>
      <c r="D320" s="12">
        <f t="shared" si="18"/>
        <v>0</v>
      </c>
      <c r="E320" s="10">
        <f t="shared" si="19"/>
        <v>0</v>
      </c>
    </row>
    <row r="321" spans="1:5" ht="14.25" customHeight="1" x14ac:dyDescent="0.3">
      <c r="A321" s="44">
        <v>309</v>
      </c>
      <c r="B321" s="12">
        <f t="shared" si="16"/>
        <v>0</v>
      </c>
      <c r="C321" s="12">
        <f t="shared" si="17"/>
        <v>0</v>
      </c>
      <c r="D321" s="12">
        <f t="shared" si="18"/>
        <v>0</v>
      </c>
      <c r="E321" s="10">
        <f t="shared" si="19"/>
        <v>0</v>
      </c>
    </row>
    <row r="322" spans="1:5" ht="14.25" customHeight="1" x14ac:dyDescent="0.3">
      <c r="A322" s="44">
        <v>310</v>
      </c>
      <c r="B322" s="12">
        <f t="shared" si="16"/>
        <v>0</v>
      </c>
      <c r="C322" s="12">
        <f t="shared" si="17"/>
        <v>0</v>
      </c>
      <c r="D322" s="12">
        <f t="shared" si="18"/>
        <v>0</v>
      </c>
      <c r="E322" s="10">
        <f t="shared" si="19"/>
        <v>0</v>
      </c>
    </row>
    <row r="323" spans="1:5" ht="14.25" customHeight="1" x14ac:dyDescent="0.3">
      <c r="A323" s="44">
        <v>311</v>
      </c>
      <c r="B323" s="12">
        <f t="shared" si="16"/>
        <v>0</v>
      </c>
      <c r="C323" s="12">
        <f t="shared" si="17"/>
        <v>0</v>
      </c>
      <c r="D323" s="12">
        <f t="shared" si="18"/>
        <v>0</v>
      </c>
      <c r="E323" s="10">
        <f t="shared" si="19"/>
        <v>0</v>
      </c>
    </row>
    <row r="324" spans="1:5" ht="14.25" customHeight="1" x14ac:dyDescent="0.3">
      <c r="A324" s="44">
        <v>312</v>
      </c>
      <c r="B324" s="12">
        <f t="shared" si="16"/>
        <v>0</v>
      </c>
      <c r="C324" s="12">
        <f t="shared" si="17"/>
        <v>0</v>
      </c>
      <c r="D324" s="12">
        <f t="shared" si="18"/>
        <v>0</v>
      </c>
      <c r="E324" s="10">
        <f t="shared" si="19"/>
        <v>0</v>
      </c>
    </row>
    <row r="325" spans="1:5" ht="14.25" customHeight="1" x14ac:dyDescent="0.3">
      <c r="A325" s="44">
        <v>313</v>
      </c>
      <c r="B325" s="12">
        <f t="shared" si="16"/>
        <v>0</v>
      </c>
      <c r="C325" s="12">
        <f t="shared" si="17"/>
        <v>0</v>
      </c>
      <c r="D325" s="12">
        <f t="shared" si="18"/>
        <v>0</v>
      </c>
      <c r="E325" s="10">
        <f t="shared" si="19"/>
        <v>0</v>
      </c>
    </row>
    <row r="326" spans="1:5" ht="14.25" customHeight="1" x14ac:dyDescent="0.3">
      <c r="A326" s="44">
        <v>314</v>
      </c>
      <c r="B326" s="12">
        <f t="shared" si="16"/>
        <v>0</v>
      </c>
      <c r="C326" s="12">
        <f t="shared" si="17"/>
        <v>0</v>
      </c>
      <c r="D326" s="12">
        <f t="shared" si="18"/>
        <v>0</v>
      </c>
      <c r="E326" s="10">
        <f t="shared" si="19"/>
        <v>0</v>
      </c>
    </row>
    <row r="327" spans="1:5" ht="14.25" customHeight="1" x14ac:dyDescent="0.3">
      <c r="A327" s="44">
        <v>315</v>
      </c>
      <c r="B327" s="12">
        <f t="shared" si="16"/>
        <v>0</v>
      </c>
      <c r="C327" s="12">
        <f t="shared" si="17"/>
        <v>0</v>
      </c>
      <c r="D327" s="12">
        <f t="shared" si="18"/>
        <v>0</v>
      </c>
      <c r="E327" s="10">
        <f t="shared" si="19"/>
        <v>0</v>
      </c>
    </row>
    <row r="328" spans="1:5" ht="14.25" customHeight="1" x14ac:dyDescent="0.3">
      <c r="A328" s="44">
        <v>316</v>
      </c>
      <c r="B328" s="12">
        <f t="shared" si="16"/>
        <v>0</v>
      </c>
      <c r="C328" s="12">
        <f t="shared" si="17"/>
        <v>0</v>
      </c>
      <c r="D328" s="12">
        <f t="shared" si="18"/>
        <v>0</v>
      </c>
      <c r="E328" s="10">
        <f t="shared" si="19"/>
        <v>0</v>
      </c>
    </row>
    <row r="329" spans="1:5" ht="14.25" customHeight="1" x14ac:dyDescent="0.3">
      <c r="A329" s="44">
        <v>317</v>
      </c>
      <c r="B329" s="12">
        <f t="shared" si="16"/>
        <v>0</v>
      </c>
      <c r="C329" s="12">
        <f t="shared" si="17"/>
        <v>0</v>
      </c>
      <c r="D329" s="12">
        <f t="shared" si="18"/>
        <v>0</v>
      </c>
      <c r="E329" s="10">
        <f t="shared" si="19"/>
        <v>0</v>
      </c>
    </row>
    <row r="330" spans="1:5" ht="14.25" customHeight="1" x14ac:dyDescent="0.3">
      <c r="A330" s="44">
        <v>318</v>
      </c>
      <c r="B330" s="12">
        <f t="shared" si="16"/>
        <v>0</v>
      </c>
      <c r="C330" s="12">
        <f t="shared" si="17"/>
        <v>0</v>
      </c>
      <c r="D330" s="12">
        <f t="shared" si="18"/>
        <v>0</v>
      </c>
      <c r="E330" s="10">
        <f t="shared" si="19"/>
        <v>0</v>
      </c>
    </row>
    <row r="331" spans="1:5" ht="14.25" customHeight="1" x14ac:dyDescent="0.3">
      <c r="A331" s="44">
        <v>319</v>
      </c>
      <c r="B331" s="12">
        <f t="shared" si="16"/>
        <v>0</v>
      </c>
      <c r="C331" s="12">
        <f t="shared" si="17"/>
        <v>0</v>
      </c>
      <c r="D331" s="12">
        <f t="shared" si="18"/>
        <v>0</v>
      </c>
      <c r="E331" s="10">
        <f t="shared" si="19"/>
        <v>0</v>
      </c>
    </row>
    <row r="332" spans="1:5" ht="14.25" customHeight="1" x14ac:dyDescent="0.3">
      <c r="A332" s="44">
        <v>320</v>
      </c>
      <c r="B332" s="12">
        <f t="shared" si="16"/>
        <v>0</v>
      </c>
      <c r="C332" s="12">
        <f t="shared" si="17"/>
        <v>0</v>
      </c>
      <c r="D332" s="12">
        <f t="shared" si="18"/>
        <v>0</v>
      </c>
      <c r="E332" s="10">
        <f t="shared" si="19"/>
        <v>0</v>
      </c>
    </row>
    <row r="333" spans="1:5" ht="14.25" customHeight="1" x14ac:dyDescent="0.3">
      <c r="A333" s="44">
        <v>321</v>
      </c>
      <c r="B333" s="12">
        <f t="shared" ref="B333:B372" si="20">IF($B$9&lt;=E332,$B$9,E332+E332*$B$7/$B$8)</f>
        <v>0</v>
      </c>
      <c r="C333" s="12">
        <f t="shared" ref="C333:C372" si="21">IF(B333&gt;0,$B$7/$B$8*E332,0)</f>
        <v>0</v>
      </c>
      <c r="D333" s="12">
        <f t="shared" ref="D333:D372" si="22">IF(B333&gt;0,MIN(B333-C333,E332),0)</f>
        <v>0</v>
      </c>
      <c r="E333" s="10">
        <f t="shared" ref="E333:E372" si="23">IF(ROUND(E332,5)&gt;0,E332-D333,0)</f>
        <v>0</v>
      </c>
    </row>
    <row r="334" spans="1:5" ht="14.25" customHeight="1" x14ac:dyDescent="0.3">
      <c r="A334" s="44">
        <v>322</v>
      </c>
      <c r="B334" s="12">
        <f t="shared" si="20"/>
        <v>0</v>
      </c>
      <c r="C334" s="12">
        <f t="shared" si="21"/>
        <v>0</v>
      </c>
      <c r="D334" s="12">
        <f t="shared" si="22"/>
        <v>0</v>
      </c>
      <c r="E334" s="10">
        <f t="shared" si="23"/>
        <v>0</v>
      </c>
    </row>
    <row r="335" spans="1:5" ht="14.25" customHeight="1" x14ac:dyDescent="0.3">
      <c r="A335" s="44">
        <v>323</v>
      </c>
      <c r="B335" s="12">
        <f t="shared" si="20"/>
        <v>0</v>
      </c>
      <c r="C335" s="12">
        <f t="shared" si="21"/>
        <v>0</v>
      </c>
      <c r="D335" s="12">
        <f t="shared" si="22"/>
        <v>0</v>
      </c>
      <c r="E335" s="10">
        <f t="shared" si="23"/>
        <v>0</v>
      </c>
    </row>
    <row r="336" spans="1:5" ht="14.25" customHeight="1" x14ac:dyDescent="0.3">
      <c r="A336" s="44">
        <v>324</v>
      </c>
      <c r="B336" s="12">
        <f t="shared" si="20"/>
        <v>0</v>
      </c>
      <c r="C336" s="12">
        <f t="shared" si="21"/>
        <v>0</v>
      </c>
      <c r="D336" s="12">
        <f t="shared" si="22"/>
        <v>0</v>
      </c>
      <c r="E336" s="10">
        <f t="shared" si="23"/>
        <v>0</v>
      </c>
    </row>
    <row r="337" spans="1:5" ht="14.25" customHeight="1" x14ac:dyDescent="0.3">
      <c r="A337" s="44">
        <v>325</v>
      </c>
      <c r="B337" s="12">
        <f t="shared" si="20"/>
        <v>0</v>
      </c>
      <c r="C337" s="12">
        <f t="shared" si="21"/>
        <v>0</v>
      </c>
      <c r="D337" s="12">
        <f t="shared" si="22"/>
        <v>0</v>
      </c>
      <c r="E337" s="10">
        <f t="shared" si="23"/>
        <v>0</v>
      </c>
    </row>
    <row r="338" spans="1:5" ht="14.25" customHeight="1" x14ac:dyDescent="0.3">
      <c r="A338" s="44">
        <v>326</v>
      </c>
      <c r="B338" s="12">
        <f t="shared" si="20"/>
        <v>0</v>
      </c>
      <c r="C338" s="12">
        <f t="shared" si="21"/>
        <v>0</v>
      </c>
      <c r="D338" s="12">
        <f t="shared" si="22"/>
        <v>0</v>
      </c>
      <c r="E338" s="10">
        <f t="shared" si="23"/>
        <v>0</v>
      </c>
    </row>
    <row r="339" spans="1:5" ht="14.25" customHeight="1" x14ac:dyDescent="0.3">
      <c r="A339" s="44">
        <v>327</v>
      </c>
      <c r="B339" s="12">
        <f t="shared" si="20"/>
        <v>0</v>
      </c>
      <c r="C339" s="12">
        <f t="shared" si="21"/>
        <v>0</v>
      </c>
      <c r="D339" s="12">
        <f t="shared" si="22"/>
        <v>0</v>
      </c>
      <c r="E339" s="10">
        <f t="shared" si="23"/>
        <v>0</v>
      </c>
    </row>
    <row r="340" spans="1:5" ht="14.25" customHeight="1" x14ac:dyDescent="0.3">
      <c r="A340" s="44">
        <v>328</v>
      </c>
      <c r="B340" s="12">
        <f t="shared" si="20"/>
        <v>0</v>
      </c>
      <c r="C340" s="12">
        <f t="shared" si="21"/>
        <v>0</v>
      </c>
      <c r="D340" s="12">
        <f t="shared" si="22"/>
        <v>0</v>
      </c>
      <c r="E340" s="10">
        <f t="shared" si="23"/>
        <v>0</v>
      </c>
    </row>
    <row r="341" spans="1:5" ht="14.25" customHeight="1" x14ac:dyDescent="0.3">
      <c r="A341" s="44">
        <v>329</v>
      </c>
      <c r="B341" s="12">
        <f t="shared" si="20"/>
        <v>0</v>
      </c>
      <c r="C341" s="12">
        <f t="shared" si="21"/>
        <v>0</v>
      </c>
      <c r="D341" s="12">
        <f t="shared" si="22"/>
        <v>0</v>
      </c>
      <c r="E341" s="10">
        <f t="shared" si="23"/>
        <v>0</v>
      </c>
    </row>
    <row r="342" spans="1:5" ht="14.25" customHeight="1" x14ac:dyDescent="0.3">
      <c r="A342" s="44">
        <v>330</v>
      </c>
      <c r="B342" s="12">
        <f t="shared" si="20"/>
        <v>0</v>
      </c>
      <c r="C342" s="12">
        <f t="shared" si="21"/>
        <v>0</v>
      </c>
      <c r="D342" s="12">
        <f t="shared" si="22"/>
        <v>0</v>
      </c>
      <c r="E342" s="10">
        <f t="shared" si="23"/>
        <v>0</v>
      </c>
    </row>
    <row r="343" spans="1:5" ht="14.25" customHeight="1" x14ac:dyDescent="0.3">
      <c r="A343" s="44">
        <v>331</v>
      </c>
      <c r="B343" s="12">
        <f t="shared" si="20"/>
        <v>0</v>
      </c>
      <c r="C343" s="12">
        <f t="shared" si="21"/>
        <v>0</v>
      </c>
      <c r="D343" s="12">
        <f t="shared" si="22"/>
        <v>0</v>
      </c>
      <c r="E343" s="10">
        <f t="shared" si="23"/>
        <v>0</v>
      </c>
    </row>
    <row r="344" spans="1:5" ht="14.25" customHeight="1" x14ac:dyDescent="0.3">
      <c r="A344" s="44">
        <v>332</v>
      </c>
      <c r="B344" s="12">
        <f t="shared" si="20"/>
        <v>0</v>
      </c>
      <c r="C344" s="12">
        <f t="shared" si="21"/>
        <v>0</v>
      </c>
      <c r="D344" s="12">
        <f t="shared" si="22"/>
        <v>0</v>
      </c>
      <c r="E344" s="10">
        <f t="shared" si="23"/>
        <v>0</v>
      </c>
    </row>
    <row r="345" spans="1:5" ht="14.25" customHeight="1" x14ac:dyDescent="0.3">
      <c r="A345" s="44">
        <v>333</v>
      </c>
      <c r="B345" s="12">
        <f t="shared" si="20"/>
        <v>0</v>
      </c>
      <c r="C345" s="12">
        <f t="shared" si="21"/>
        <v>0</v>
      </c>
      <c r="D345" s="12">
        <f t="shared" si="22"/>
        <v>0</v>
      </c>
      <c r="E345" s="10">
        <f t="shared" si="23"/>
        <v>0</v>
      </c>
    </row>
    <row r="346" spans="1:5" ht="14.25" customHeight="1" x14ac:dyDescent="0.3">
      <c r="A346" s="44">
        <v>334</v>
      </c>
      <c r="B346" s="12">
        <f t="shared" si="20"/>
        <v>0</v>
      </c>
      <c r="C346" s="12">
        <f t="shared" si="21"/>
        <v>0</v>
      </c>
      <c r="D346" s="12">
        <f t="shared" si="22"/>
        <v>0</v>
      </c>
      <c r="E346" s="10">
        <f t="shared" si="23"/>
        <v>0</v>
      </c>
    </row>
    <row r="347" spans="1:5" ht="14.25" customHeight="1" x14ac:dyDescent="0.3">
      <c r="A347" s="44">
        <v>335</v>
      </c>
      <c r="B347" s="12">
        <f t="shared" si="20"/>
        <v>0</v>
      </c>
      <c r="C347" s="12">
        <f t="shared" si="21"/>
        <v>0</v>
      </c>
      <c r="D347" s="12">
        <f t="shared" si="22"/>
        <v>0</v>
      </c>
      <c r="E347" s="10">
        <f t="shared" si="23"/>
        <v>0</v>
      </c>
    </row>
    <row r="348" spans="1:5" ht="14.25" customHeight="1" x14ac:dyDescent="0.3">
      <c r="A348" s="44">
        <v>336</v>
      </c>
      <c r="B348" s="12">
        <f t="shared" si="20"/>
        <v>0</v>
      </c>
      <c r="C348" s="12">
        <f t="shared" si="21"/>
        <v>0</v>
      </c>
      <c r="D348" s="12">
        <f t="shared" si="22"/>
        <v>0</v>
      </c>
      <c r="E348" s="10">
        <f t="shared" si="23"/>
        <v>0</v>
      </c>
    </row>
    <row r="349" spans="1:5" ht="14.25" customHeight="1" x14ac:dyDescent="0.3">
      <c r="A349" s="44">
        <v>337</v>
      </c>
      <c r="B349" s="12">
        <f t="shared" si="20"/>
        <v>0</v>
      </c>
      <c r="C349" s="12">
        <f t="shared" si="21"/>
        <v>0</v>
      </c>
      <c r="D349" s="12">
        <f t="shared" si="22"/>
        <v>0</v>
      </c>
      <c r="E349" s="10">
        <f t="shared" si="23"/>
        <v>0</v>
      </c>
    </row>
    <row r="350" spans="1:5" ht="14.25" customHeight="1" x14ac:dyDescent="0.3">
      <c r="A350" s="44">
        <v>338</v>
      </c>
      <c r="B350" s="12">
        <f t="shared" si="20"/>
        <v>0</v>
      </c>
      <c r="C350" s="12">
        <f t="shared" si="21"/>
        <v>0</v>
      </c>
      <c r="D350" s="12">
        <f t="shared" si="22"/>
        <v>0</v>
      </c>
      <c r="E350" s="10">
        <f t="shared" si="23"/>
        <v>0</v>
      </c>
    </row>
    <row r="351" spans="1:5" ht="14.25" customHeight="1" x14ac:dyDescent="0.3">
      <c r="A351" s="44">
        <v>339</v>
      </c>
      <c r="B351" s="12">
        <f t="shared" si="20"/>
        <v>0</v>
      </c>
      <c r="C351" s="12">
        <f t="shared" si="21"/>
        <v>0</v>
      </c>
      <c r="D351" s="12">
        <f t="shared" si="22"/>
        <v>0</v>
      </c>
      <c r="E351" s="10">
        <f t="shared" si="23"/>
        <v>0</v>
      </c>
    </row>
    <row r="352" spans="1:5" ht="14.25" customHeight="1" x14ac:dyDescent="0.3">
      <c r="A352" s="44">
        <v>340</v>
      </c>
      <c r="B352" s="12">
        <f t="shared" si="20"/>
        <v>0</v>
      </c>
      <c r="C352" s="12">
        <f t="shared" si="21"/>
        <v>0</v>
      </c>
      <c r="D352" s="12">
        <f t="shared" si="22"/>
        <v>0</v>
      </c>
      <c r="E352" s="10">
        <f t="shared" si="23"/>
        <v>0</v>
      </c>
    </row>
    <row r="353" spans="1:5" ht="14.25" customHeight="1" x14ac:dyDescent="0.3">
      <c r="A353" s="44">
        <v>341</v>
      </c>
      <c r="B353" s="12">
        <f t="shared" si="20"/>
        <v>0</v>
      </c>
      <c r="C353" s="12">
        <f t="shared" si="21"/>
        <v>0</v>
      </c>
      <c r="D353" s="12">
        <f t="shared" si="22"/>
        <v>0</v>
      </c>
      <c r="E353" s="10">
        <f t="shared" si="23"/>
        <v>0</v>
      </c>
    </row>
    <row r="354" spans="1:5" ht="14.25" customHeight="1" x14ac:dyDescent="0.3">
      <c r="A354" s="44">
        <v>342</v>
      </c>
      <c r="B354" s="12">
        <f t="shared" si="20"/>
        <v>0</v>
      </c>
      <c r="C354" s="12">
        <f t="shared" si="21"/>
        <v>0</v>
      </c>
      <c r="D354" s="12">
        <f t="shared" si="22"/>
        <v>0</v>
      </c>
      <c r="E354" s="10">
        <f t="shared" si="23"/>
        <v>0</v>
      </c>
    </row>
    <row r="355" spans="1:5" ht="14.25" customHeight="1" x14ac:dyDescent="0.3">
      <c r="A355" s="44">
        <v>343</v>
      </c>
      <c r="B355" s="12">
        <f t="shared" si="20"/>
        <v>0</v>
      </c>
      <c r="C355" s="12">
        <f t="shared" si="21"/>
        <v>0</v>
      </c>
      <c r="D355" s="12">
        <f t="shared" si="22"/>
        <v>0</v>
      </c>
      <c r="E355" s="10">
        <f t="shared" si="23"/>
        <v>0</v>
      </c>
    </row>
    <row r="356" spans="1:5" ht="14.25" customHeight="1" x14ac:dyDescent="0.3">
      <c r="A356" s="44">
        <v>344</v>
      </c>
      <c r="B356" s="12">
        <f t="shared" si="20"/>
        <v>0</v>
      </c>
      <c r="C356" s="12">
        <f t="shared" si="21"/>
        <v>0</v>
      </c>
      <c r="D356" s="12">
        <f t="shared" si="22"/>
        <v>0</v>
      </c>
      <c r="E356" s="10">
        <f t="shared" si="23"/>
        <v>0</v>
      </c>
    </row>
    <row r="357" spans="1:5" ht="14.25" customHeight="1" x14ac:dyDescent="0.3">
      <c r="A357" s="44">
        <v>345</v>
      </c>
      <c r="B357" s="12">
        <f t="shared" si="20"/>
        <v>0</v>
      </c>
      <c r="C357" s="12">
        <f t="shared" si="21"/>
        <v>0</v>
      </c>
      <c r="D357" s="12">
        <f t="shared" si="22"/>
        <v>0</v>
      </c>
      <c r="E357" s="10">
        <f t="shared" si="23"/>
        <v>0</v>
      </c>
    </row>
    <row r="358" spans="1:5" ht="14.25" customHeight="1" x14ac:dyDescent="0.3">
      <c r="A358" s="44">
        <v>346</v>
      </c>
      <c r="B358" s="12">
        <f t="shared" si="20"/>
        <v>0</v>
      </c>
      <c r="C358" s="12">
        <f t="shared" si="21"/>
        <v>0</v>
      </c>
      <c r="D358" s="12">
        <f t="shared" si="22"/>
        <v>0</v>
      </c>
      <c r="E358" s="10">
        <f t="shared" si="23"/>
        <v>0</v>
      </c>
    </row>
    <row r="359" spans="1:5" ht="14.25" customHeight="1" x14ac:dyDescent="0.3">
      <c r="A359" s="44">
        <v>347</v>
      </c>
      <c r="B359" s="12">
        <f t="shared" si="20"/>
        <v>0</v>
      </c>
      <c r="C359" s="12">
        <f t="shared" si="21"/>
        <v>0</v>
      </c>
      <c r="D359" s="12">
        <f t="shared" si="22"/>
        <v>0</v>
      </c>
      <c r="E359" s="10">
        <f t="shared" si="23"/>
        <v>0</v>
      </c>
    </row>
    <row r="360" spans="1:5" ht="14.25" customHeight="1" x14ac:dyDescent="0.3">
      <c r="A360" s="44">
        <v>348</v>
      </c>
      <c r="B360" s="12">
        <f t="shared" si="20"/>
        <v>0</v>
      </c>
      <c r="C360" s="12">
        <f t="shared" si="21"/>
        <v>0</v>
      </c>
      <c r="D360" s="12">
        <f t="shared" si="22"/>
        <v>0</v>
      </c>
      <c r="E360" s="10">
        <f t="shared" si="23"/>
        <v>0</v>
      </c>
    </row>
    <row r="361" spans="1:5" ht="14.25" customHeight="1" x14ac:dyDescent="0.3">
      <c r="A361" s="44">
        <v>349</v>
      </c>
      <c r="B361" s="12">
        <f t="shared" si="20"/>
        <v>0</v>
      </c>
      <c r="C361" s="12">
        <f t="shared" si="21"/>
        <v>0</v>
      </c>
      <c r="D361" s="12">
        <f t="shared" si="22"/>
        <v>0</v>
      </c>
      <c r="E361" s="10">
        <f t="shared" si="23"/>
        <v>0</v>
      </c>
    </row>
    <row r="362" spans="1:5" ht="14.25" customHeight="1" x14ac:dyDescent="0.3">
      <c r="A362" s="44">
        <v>350</v>
      </c>
      <c r="B362" s="12">
        <f t="shared" si="20"/>
        <v>0</v>
      </c>
      <c r="C362" s="12">
        <f t="shared" si="21"/>
        <v>0</v>
      </c>
      <c r="D362" s="12">
        <f t="shared" si="22"/>
        <v>0</v>
      </c>
      <c r="E362" s="10">
        <f t="shared" si="23"/>
        <v>0</v>
      </c>
    </row>
    <row r="363" spans="1:5" ht="14.25" customHeight="1" x14ac:dyDescent="0.3">
      <c r="A363" s="44">
        <v>351</v>
      </c>
      <c r="B363" s="12">
        <f t="shared" si="20"/>
        <v>0</v>
      </c>
      <c r="C363" s="12">
        <f t="shared" si="21"/>
        <v>0</v>
      </c>
      <c r="D363" s="12">
        <f t="shared" si="22"/>
        <v>0</v>
      </c>
      <c r="E363" s="10">
        <f t="shared" si="23"/>
        <v>0</v>
      </c>
    </row>
    <row r="364" spans="1:5" ht="14.25" customHeight="1" x14ac:dyDescent="0.3">
      <c r="A364" s="44">
        <v>352</v>
      </c>
      <c r="B364" s="12">
        <f t="shared" si="20"/>
        <v>0</v>
      </c>
      <c r="C364" s="12">
        <f t="shared" si="21"/>
        <v>0</v>
      </c>
      <c r="D364" s="12">
        <f t="shared" si="22"/>
        <v>0</v>
      </c>
      <c r="E364" s="10">
        <f t="shared" si="23"/>
        <v>0</v>
      </c>
    </row>
    <row r="365" spans="1:5" ht="14.25" customHeight="1" x14ac:dyDescent="0.3">
      <c r="A365" s="44">
        <v>353</v>
      </c>
      <c r="B365" s="12">
        <f t="shared" si="20"/>
        <v>0</v>
      </c>
      <c r="C365" s="12">
        <f t="shared" si="21"/>
        <v>0</v>
      </c>
      <c r="D365" s="12">
        <f t="shared" si="22"/>
        <v>0</v>
      </c>
      <c r="E365" s="10">
        <f t="shared" si="23"/>
        <v>0</v>
      </c>
    </row>
    <row r="366" spans="1:5" ht="14.25" customHeight="1" x14ac:dyDescent="0.3">
      <c r="A366" s="44">
        <v>354</v>
      </c>
      <c r="B366" s="12">
        <f t="shared" si="20"/>
        <v>0</v>
      </c>
      <c r="C366" s="12">
        <f t="shared" si="21"/>
        <v>0</v>
      </c>
      <c r="D366" s="12">
        <f t="shared" si="22"/>
        <v>0</v>
      </c>
      <c r="E366" s="10">
        <f t="shared" si="23"/>
        <v>0</v>
      </c>
    </row>
    <row r="367" spans="1:5" ht="14.25" customHeight="1" x14ac:dyDescent="0.3">
      <c r="A367" s="44">
        <v>355</v>
      </c>
      <c r="B367" s="12">
        <f t="shared" si="20"/>
        <v>0</v>
      </c>
      <c r="C367" s="12">
        <f t="shared" si="21"/>
        <v>0</v>
      </c>
      <c r="D367" s="12">
        <f t="shared" si="22"/>
        <v>0</v>
      </c>
      <c r="E367" s="10">
        <f t="shared" si="23"/>
        <v>0</v>
      </c>
    </row>
    <row r="368" spans="1:5" ht="14.25" customHeight="1" x14ac:dyDescent="0.3">
      <c r="A368" s="44">
        <v>356</v>
      </c>
      <c r="B368" s="12">
        <f t="shared" si="20"/>
        <v>0</v>
      </c>
      <c r="C368" s="12">
        <f t="shared" si="21"/>
        <v>0</v>
      </c>
      <c r="D368" s="12">
        <f t="shared" si="22"/>
        <v>0</v>
      </c>
      <c r="E368" s="10">
        <f t="shared" si="23"/>
        <v>0</v>
      </c>
    </row>
    <row r="369" spans="1:5" ht="14.25" customHeight="1" x14ac:dyDescent="0.3">
      <c r="A369" s="44">
        <v>357</v>
      </c>
      <c r="B369" s="12">
        <f t="shared" si="20"/>
        <v>0</v>
      </c>
      <c r="C369" s="12">
        <f t="shared" si="21"/>
        <v>0</v>
      </c>
      <c r="D369" s="12">
        <f t="shared" si="22"/>
        <v>0</v>
      </c>
      <c r="E369" s="10">
        <f t="shared" si="23"/>
        <v>0</v>
      </c>
    </row>
    <row r="370" spans="1:5" ht="14.25" customHeight="1" x14ac:dyDescent="0.3">
      <c r="A370" s="44">
        <v>358</v>
      </c>
      <c r="B370" s="12">
        <f t="shared" si="20"/>
        <v>0</v>
      </c>
      <c r="C370" s="12">
        <f t="shared" si="21"/>
        <v>0</v>
      </c>
      <c r="D370" s="12">
        <f t="shared" si="22"/>
        <v>0</v>
      </c>
      <c r="E370" s="10">
        <f t="shared" si="23"/>
        <v>0</v>
      </c>
    </row>
    <row r="371" spans="1:5" ht="14.25" customHeight="1" x14ac:dyDescent="0.3">
      <c r="A371" s="44">
        <v>359</v>
      </c>
      <c r="B371" s="12">
        <f t="shared" si="20"/>
        <v>0</v>
      </c>
      <c r="C371" s="12">
        <f t="shared" si="21"/>
        <v>0</v>
      </c>
      <c r="D371" s="12">
        <f t="shared" si="22"/>
        <v>0</v>
      </c>
      <c r="E371" s="10">
        <f t="shared" si="23"/>
        <v>0</v>
      </c>
    </row>
    <row r="372" spans="1:5" ht="14.25" customHeight="1" x14ac:dyDescent="0.3">
      <c r="A372" s="44">
        <v>360</v>
      </c>
      <c r="B372" s="12">
        <f t="shared" si="20"/>
        <v>0</v>
      </c>
      <c r="C372" s="12">
        <f t="shared" si="21"/>
        <v>0</v>
      </c>
      <c r="D372" s="12">
        <f t="shared" si="22"/>
        <v>0</v>
      </c>
      <c r="E372" s="10">
        <f t="shared" si="23"/>
        <v>0</v>
      </c>
    </row>
    <row r="373" spans="1:5" ht="14.25" customHeight="1" x14ac:dyDescent="0.3"/>
    <row r="374" spans="1:5" ht="14.25" customHeight="1" x14ac:dyDescent="0.3"/>
    <row r="375" spans="1:5" ht="14.25" customHeight="1" x14ac:dyDescent="0.3"/>
    <row r="376" spans="1:5" ht="14.25" customHeight="1" x14ac:dyDescent="0.3"/>
    <row r="377" spans="1:5" ht="14.25" customHeight="1" x14ac:dyDescent="0.3"/>
    <row r="378" spans="1:5" ht="14.25" customHeight="1" x14ac:dyDescent="0.3"/>
    <row r="379" spans="1:5" ht="14.25" customHeight="1" x14ac:dyDescent="0.3"/>
    <row r="380" spans="1:5" ht="14.25" customHeight="1" x14ac:dyDescent="0.3"/>
    <row r="381" spans="1:5" ht="14.25" customHeight="1" x14ac:dyDescent="0.3"/>
    <row r="382" spans="1:5" ht="14.25" customHeight="1" x14ac:dyDescent="0.3"/>
    <row r="383" spans="1:5" ht="14.25" customHeight="1" x14ac:dyDescent="0.3"/>
    <row r="384" spans="1:5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phoneticPr fontId="10" type="noConversion"/>
  <conditionalFormatting sqref="A13:E372">
    <cfRule type="expression" dxfId="8" priority="1" stopIfTrue="1">
      <formula>ROUND($E12,5)=0</formula>
    </cfRule>
    <cfRule type="expression" dxfId="7" priority="2" stopIfTrue="1">
      <formula>$A13&gt;($B$6*$B$8)</formula>
    </cfRule>
    <cfRule type="expression" dxfId="6" priority="3" stopIfTrue="1">
      <formula>ROUND($E13,5)=0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zoomScaleNormal="100" workbookViewId="0">
      <selection sqref="A1:B1"/>
    </sheetView>
  </sheetViews>
  <sheetFormatPr defaultColWidth="14.44140625" defaultRowHeight="15" customHeight="1" x14ac:dyDescent="0.3"/>
  <cols>
    <col min="1" max="1" width="21.109375" customWidth="1"/>
    <col min="2" max="3" width="12.6640625" customWidth="1"/>
    <col min="4" max="4" width="22.5546875" customWidth="1"/>
    <col min="5" max="5" width="17" customWidth="1"/>
    <col min="6" max="6" width="12.6640625" customWidth="1"/>
    <col min="7" max="7" width="16" customWidth="1"/>
    <col min="8" max="8" width="17.5546875" customWidth="1"/>
    <col min="9" max="9" width="30.33203125" customWidth="1"/>
    <col min="10" max="10" width="11.6640625" customWidth="1"/>
    <col min="11" max="11" width="15" customWidth="1"/>
    <col min="12" max="13" width="11.6640625" customWidth="1"/>
    <col min="14" max="14" width="16" customWidth="1"/>
    <col min="15" max="15" width="15" customWidth="1"/>
    <col min="16" max="16" width="12.6640625" customWidth="1"/>
    <col min="17" max="17" width="8.6640625" hidden="1" customWidth="1"/>
    <col min="18" max="19" width="16" hidden="1" customWidth="1"/>
    <col min="20" max="20" width="15.109375" hidden="1" customWidth="1"/>
    <col min="21" max="21" width="22.33203125" hidden="1" customWidth="1"/>
    <col min="22" max="23" width="8.6640625" hidden="1" customWidth="1"/>
    <col min="24" max="26" width="8.6640625" customWidth="1"/>
  </cols>
  <sheetData>
    <row r="1" spans="1:23" thickBot="1" x14ac:dyDescent="0.35">
      <c r="A1" s="65" t="s">
        <v>0</v>
      </c>
      <c r="B1" s="66"/>
    </row>
    <row r="2" spans="1:23" ht="14.25" customHeight="1" x14ac:dyDescent="0.3">
      <c r="A2" s="2" t="s">
        <v>1</v>
      </c>
      <c r="B2" s="3">
        <v>20000</v>
      </c>
      <c r="D2" s="4"/>
      <c r="E2" s="5"/>
      <c r="H2" s="6" t="s">
        <v>2</v>
      </c>
      <c r="I2" s="7"/>
    </row>
    <row r="3" spans="1:23" ht="14.25" customHeight="1" x14ac:dyDescent="0.3">
      <c r="A3" s="1" t="s">
        <v>3</v>
      </c>
      <c r="B3" s="8">
        <v>0</v>
      </c>
      <c r="D3" s="4" t="s">
        <v>4</v>
      </c>
      <c r="E3" s="9">
        <f>+SUM(C13:C60)</f>
        <v>5496.4579139181278</v>
      </c>
      <c r="F3" s="10"/>
      <c r="H3" s="11"/>
      <c r="I3" s="7"/>
      <c r="K3" s="58"/>
      <c r="L3" s="30"/>
      <c r="M3" s="12"/>
      <c r="N3" s="58"/>
      <c r="O3" s="30"/>
      <c r="S3" s="13"/>
      <c r="T3" s="14"/>
      <c r="U3" s="15" t="s">
        <v>5</v>
      </c>
      <c r="V3" s="16"/>
    </row>
    <row r="4" spans="1:23" ht="14.25" customHeight="1" x14ac:dyDescent="0.3">
      <c r="A4" s="1" t="s">
        <v>6</v>
      </c>
      <c r="B4" s="10">
        <f>+B2-B3</f>
        <v>20000</v>
      </c>
      <c r="D4" s="4" t="s">
        <v>7</v>
      </c>
      <c r="E4" s="9">
        <f>+SUM(D13:D60)</f>
        <v>18999.999999999996</v>
      </c>
      <c r="F4" s="10"/>
      <c r="G4" s="17"/>
      <c r="H4" s="18" t="s">
        <v>8</v>
      </c>
      <c r="I4" s="19">
        <f>+B2</f>
        <v>20000</v>
      </c>
      <c r="M4" s="21"/>
      <c r="N4" s="58"/>
      <c r="R4" s="1" t="s">
        <v>8</v>
      </c>
      <c r="S4" s="22">
        <v>20000</v>
      </c>
      <c r="T4" s="7"/>
      <c r="U4" s="23">
        <v>374.35</v>
      </c>
      <c r="V4" s="16"/>
    </row>
    <row r="5" spans="1:23" ht="14.25" customHeight="1" x14ac:dyDescent="0.3">
      <c r="A5" s="1" t="s">
        <v>9</v>
      </c>
      <c r="B5" s="24">
        <f>+C5*B2</f>
        <v>1000</v>
      </c>
      <c r="C5" s="25">
        <v>0.05</v>
      </c>
      <c r="D5" s="4"/>
      <c r="E5" s="9"/>
      <c r="H5" s="6" t="s">
        <v>10</v>
      </c>
      <c r="I5" s="19">
        <f>B5/(1+(B7)/12)^48</f>
        <v>620.26040506519723</v>
      </c>
      <c r="K5" s="58"/>
      <c r="L5" s="16"/>
      <c r="N5" s="58"/>
      <c r="O5" s="16"/>
      <c r="R5" s="1" t="s">
        <v>10</v>
      </c>
      <c r="S5" s="22">
        <f>2000/(1+(U7)/12)^48</f>
        <v>1488.9275748937866</v>
      </c>
      <c r="T5" s="20"/>
      <c r="U5" s="26">
        <v>12</v>
      </c>
    </row>
    <row r="6" spans="1:23" ht="14.25" customHeight="1" x14ac:dyDescent="0.3">
      <c r="A6" s="1" t="s">
        <v>11</v>
      </c>
      <c r="B6" s="27">
        <v>4</v>
      </c>
      <c r="C6" s="10"/>
      <c r="D6" s="4" t="s">
        <v>12</v>
      </c>
      <c r="E6" s="9">
        <f>SUM(E4:E5)</f>
        <v>18999.999999999996</v>
      </c>
      <c r="H6" s="6" t="s">
        <v>13</v>
      </c>
      <c r="I6" s="19">
        <f>+I4-I5</f>
        <v>19379.739594934803</v>
      </c>
      <c r="K6" s="58"/>
      <c r="N6" s="58"/>
      <c r="R6" s="1" t="s">
        <v>13</v>
      </c>
      <c r="S6" s="28">
        <f>+S4-S5</f>
        <v>18511.072425106213</v>
      </c>
      <c r="T6" s="29"/>
      <c r="U6" s="26">
        <v>4</v>
      </c>
    </row>
    <row r="7" spans="1:23" ht="14.25" customHeight="1" x14ac:dyDescent="0.3">
      <c r="A7" s="1" t="s">
        <v>14</v>
      </c>
      <c r="B7" s="30">
        <v>0.12</v>
      </c>
      <c r="D7" s="4" t="s">
        <v>15</v>
      </c>
      <c r="E7" s="9">
        <f>SUM(E3:E5)</f>
        <v>24496.457913918122</v>
      </c>
      <c r="H7" s="31"/>
      <c r="I7" s="31"/>
      <c r="S7" s="32"/>
      <c r="T7" s="33"/>
      <c r="U7" s="34">
        <v>7.3999999999999996E-2</v>
      </c>
    </row>
    <row r="8" spans="1:23" ht="14.25" customHeight="1" x14ac:dyDescent="0.3">
      <c r="A8" s="1" t="s">
        <v>16</v>
      </c>
      <c r="B8" s="35">
        <v>12</v>
      </c>
      <c r="D8" s="36" t="s">
        <v>17</v>
      </c>
      <c r="E8" s="37">
        <f>+SUM(E13:E60)</f>
        <v>30375.607813258477</v>
      </c>
      <c r="F8" s="10"/>
      <c r="H8" s="31"/>
      <c r="I8" s="31"/>
      <c r="U8" s="16"/>
    </row>
    <row r="9" spans="1:23" ht="14.25" customHeight="1" x14ac:dyDescent="0.3">
      <c r="A9" s="1" t="s">
        <v>19</v>
      </c>
      <c r="B9" s="16">
        <f>-PMT(B7/B8,(B6*B8),B4,-B5)</f>
        <v>510.34287320662759</v>
      </c>
      <c r="D9" s="4" t="s">
        <v>20</v>
      </c>
      <c r="E9" s="10">
        <f>+E8-E7</f>
        <v>5879.1498993403548</v>
      </c>
      <c r="H9" s="6" t="s">
        <v>32</v>
      </c>
      <c r="I9" s="19"/>
      <c r="L9" s="16"/>
      <c r="O9" s="16"/>
      <c r="S9" s="21" t="s">
        <v>8</v>
      </c>
      <c r="T9" s="38">
        <f t="shared" ref="T9:T10" si="0">+S4</f>
        <v>20000</v>
      </c>
      <c r="U9" s="39"/>
      <c r="V9" s="39"/>
    </row>
    <row r="10" spans="1:23" ht="14.25" customHeight="1" x14ac:dyDescent="0.3">
      <c r="B10" s="16">
        <f>PMT(B7/B8,(B6*B8),-B4,+B5)</f>
        <v>510.34287320662759</v>
      </c>
      <c r="C10" s="16">
        <f>PMT(B7/B8,(B6*B8),-B4+B5/(1+(B7)/12)^48)</f>
        <v>510.34287320662759</v>
      </c>
      <c r="H10" s="59" t="s">
        <v>8</v>
      </c>
      <c r="I10" s="52">
        <f>-I4</f>
        <v>-20000</v>
      </c>
      <c r="O10" s="16"/>
      <c r="S10" s="1" t="s">
        <v>10</v>
      </c>
      <c r="T10" s="38">
        <f t="shared" si="0"/>
        <v>1488.9275748937866</v>
      </c>
      <c r="U10" s="40"/>
      <c r="V10" s="40"/>
    </row>
    <row r="11" spans="1:23" ht="14.25" customHeight="1" x14ac:dyDescent="0.3">
      <c r="A11" s="41" t="s">
        <v>23</v>
      </c>
      <c r="B11" s="41" t="s">
        <v>19</v>
      </c>
      <c r="C11" s="41" t="s">
        <v>24</v>
      </c>
      <c r="D11" s="41" t="s">
        <v>25</v>
      </c>
      <c r="E11" s="41" t="s">
        <v>26</v>
      </c>
      <c r="F11" s="41" t="s">
        <v>27</v>
      </c>
      <c r="H11" s="53" t="str">
        <f t="shared" ref="H11:I11" si="1">+H5</f>
        <v>ΠΑ(ΥΑ)</v>
      </c>
      <c r="I11" s="52">
        <f t="shared" si="1"/>
        <v>620.26040506519723</v>
      </c>
      <c r="P11" s="16"/>
      <c r="S11" s="1" t="s">
        <v>13</v>
      </c>
      <c r="T11" s="42">
        <f>+T9-T10</f>
        <v>18511.072425106213</v>
      </c>
      <c r="U11" s="43"/>
    </row>
    <row r="12" spans="1:23" ht="14.25" customHeight="1" x14ac:dyDescent="0.3">
      <c r="A12" s="44">
        <v>0</v>
      </c>
      <c r="B12" s="10"/>
      <c r="C12" s="10"/>
      <c r="D12" s="10"/>
      <c r="F12" s="10">
        <f>B4</f>
        <v>20000</v>
      </c>
      <c r="H12" s="7" t="str">
        <f t="shared" ref="H12:I12" si="2">+H6</f>
        <v>ΠΑ Μισθωμάτων</v>
      </c>
      <c r="I12" s="52">
        <f t="shared" si="2"/>
        <v>19379.739594934803</v>
      </c>
      <c r="O12" s="16"/>
      <c r="T12" s="43"/>
      <c r="U12" s="43"/>
    </row>
    <row r="13" spans="1:23" ht="14.25" customHeight="1" x14ac:dyDescent="0.3">
      <c r="A13" s="44">
        <v>1</v>
      </c>
      <c r="B13" s="10">
        <f t="shared" ref="B13:B267" si="3">IF($B$9&lt;=F12,$B$9,F12+F12*$B$7/$B$8)</f>
        <v>510.34287320662759</v>
      </c>
      <c r="C13" s="10">
        <f t="shared" ref="C13:C267" si="4">IF(B13&gt;0,$B$7/$B$8*F12,0)</f>
        <v>200</v>
      </c>
      <c r="D13" s="10">
        <f t="shared" ref="D13:D267" si="5">IF(B13&gt;0,MIN(B13-C13,F12),0)</f>
        <v>310.34287320662759</v>
      </c>
      <c r="E13" s="17">
        <f>+B13*1.24</f>
        <v>632.82516277621824</v>
      </c>
      <c r="F13" s="10">
        <f t="shared" ref="F13:F267" si="6">IF(ROUND(F12,5)&gt;0,F12-D13,0)</f>
        <v>19689.657126793372</v>
      </c>
      <c r="G13" s="10"/>
      <c r="H13" s="7" t="s">
        <v>36</v>
      </c>
      <c r="I13" s="55">
        <f>+I12+I11+I10</f>
        <v>0</v>
      </c>
      <c r="T13" s="1" t="str">
        <f t="shared" ref="T13:U13" si="7">+S11</f>
        <v>ΠΑ Μισθωμάτων</v>
      </c>
      <c r="U13" s="47">
        <f t="shared" si="7"/>
        <v>18511.072425106213</v>
      </c>
    </row>
    <row r="14" spans="1:23" ht="14.25" customHeight="1" x14ac:dyDescent="0.3">
      <c r="A14" s="44">
        <v>2</v>
      </c>
      <c r="B14" s="10">
        <f t="shared" si="3"/>
        <v>510.34287320662759</v>
      </c>
      <c r="C14" s="10">
        <f t="shared" si="4"/>
        <v>196.89657126793372</v>
      </c>
      <c r="D14" s="10">
        <f t="shared" si="5"/>
        <v>313.44630193869386</v>
      </c>
      <c r="E14" s="17">
        <f t="shared" ref="E14:E60" si="8">+B14*1.24</f>
        <v>632.82516277621824</v>
      </c>
      <c r="F14" s="10">
        <f t="shared" si="6"/>
        <v>19376.210824854679</v>
      </c>
      <c r="G14" s="10"/>
      <c r="T14" s="21"/>
      <c r="U14" s="47">
        <f>1+1/0.006167*(1-1/1.006167^47)</f>
        <v>41.693532625878035</v>
      </c>
      <c r="V14" s="49"/>
      <c r="W14" s="1">
        <f>+U7/12</f>
        <v>6.1666666666666667E-3</v>
      </c>
    </row>
    <row r="15" spans="1:23" ht="14.25" customHeight="1" x14ac:dyDescent="0.3">
      <c r="A15" s="44">
        <v>3</v>
      </c>
      <c r="B15" s="10">
        <f t="shared" si="3"/>
        <v>510.34287320662759</v>
      </c>
      <c r="C15" s="10">
        <f t="shared" si="4"/>
        <v>193.76210824854681</v>
      </c>
      <c r="D15" s="10">
        <f t="shared" si="5"/>
        <v>316.58076495808075</v>
      </c>
      <c r="E15" s="17">
        <f t="shared" si="8"/>
        <v>632.82516277621824</v>
      </c>
      <c r="F15" s="10">
        <f t="shared" si="6"/>
        <v>19059.630059896597</v>
      </c>
      <c r="G15" s="10"/>
      <c r="T15" s="50" t="s">
        <v>29</v>
      </c>
      <c r="U15" s="47">
        <f>+U13/U14</f>
        <v>443.9794677800196</v>
      </c>
    </row>
    <row r="16" spans="1:23" ht="14.25" customHeight="1" x14ac:dyDescent="0.3">
      <c r="A16" s="44">
        <v>4</v>
      </c>
      <c r="B16" s="10">
        <f t="shared" si="3"/>
        <v>510.34287320662759</v>
      </c>
      <c r="C16" s="10">
        <f t="shared" si="4"/>
        <v>190.59630059896597</v>
      </c>
      <c r="D16" s="10">
        <f t="shared" si="5"/>
        <v>319.74657260766162</v>
      </c>
      <c r="E16" s="17">
        <f t="shared" si="8"/>
        <v>632.82516277621824</v>
      </c>
      <c r="F16" s="10">
        <f t="shared" si="6"/>
        <v>18739.883487288935</v>
      </c>
      <c r="G16" s="10"/>
      <c r="H16" s="6" t="s">
        <v>2</v>
      </c>
      <c r="I16" s="7"/>
      <c r="U16" s="47">
        <f>+U15*48</f>
        <v>21311.014453440941</v>
      </c>
    </row>
    <row r="17" spans="1:21" ht="14.25" customHeight="1" x14ac:dyDescent="0.3">
      <c r="A17" s="44">
        <v>5</v>
      </c>
      <c r="B17" s="10">
        <f t="shared" si="3"/>
        <v>510.34287320662759</v>
      </c>
      <c r="C17" s="10">
        <f t="shared" si="4"/>
        <v>187.39883487288935</v>
      </c>
      <c r="D17" s="10">
        <f t="shared" si="5"/>
        <v>322.94403833373826</v>
      </c>
      <c r="E17" s="17">
        <f t="shared" si="8"/>
        <v>632.82516277621824</v>
      </c>
      <c r="F17" s="10">
        <f t="shared" si="6"/>
        <v>18416.939448955196</v>
      </c>
      <c r="G17" s="10"/>
      <c r="H17" s="11"/>
      <c r="I17" s="7"/>
      <c r="U17" s="47">
        <f>+U16+2000</f>
        <v>23311.014453440941</v>
      </c>
    </row>
    <row r="18" spans="1:21" ht="14.25" customHeight="1" x14ac:dyDescent="0.3">
      <c r="A18" s="44">
        <v>6</v>
      </c>
      <c r="B18" s="10">
        <f t="shared" si="3"/>
        <v>510.34287320662759</v>
      </c>
      <c r="C18" s="10">
        <f t="shared" si="4"/>
        <v>184.16939448955196</v>
      </c>
      <c r="D18" s="10">
        <f t="shared" si="5"/>
        <v>326.17347871707562</v>
      </c>
      <c r="E18" s="17">
        <f t="shared" si="8"/>
        <v>632.82516277621824</v>
      </c>
      <c r="F18" s="10">
        <f t="shared" si="6"/>
        <v>18090.765970238121</v>
      </c>
      <c r="G18" s="10"/>
      <c r="H18" s="18" t="s">
        <v>8</v>
      </c>
      <c r="I18" s="19">
        <f t="shared" ref="I18:I19" si="9">+I4</f>
        <v>20000</v>
      </c>
    </row>
    <row r="19" spans="1:21" ht="14.25" customHeight="1" x14ac:dyDescent="0.3">
      <c r="A19" s="44">
        <v>7</v>
      </c>
      <c r="B19" s="10">
        <f t="shared" si="3"/>
        <v>510.34287320662759</v>
      </c>
      <c r="C19" s="10">
        <f t="shared" si="4"/>
        <v>180.90765970238121</v>
      </c>
      <c r="D19" s="10">
        <f t="shared" si="5"/>
        <v>329.43521350424635</v>
      </c>
      <c r="E19" s="17">
        <f t="shared" si="8"/>
        <v>632.82516277621824</v>
      </c>
      <c r="F19" s="10">
        <f t="shared" si="6"/>
        <v>17761.330756733874</v>
      </c>
      <c r="G19" s="10"/>
      <c r="H19" s="6" t="s">
        <v>10</v>
      </c>
      <c r="I19" s="19">
        <f t="shared" si="9"/>
        <v>620.26040506519723</v>
      </c>
      <c r="T19" s="1" t="s">
        <v>33</v>
      </c>
      <c r="U19" s="54" t="s">
        <v>34</v>
      </c>
    </row>
    <row r="20" spans="1:21" ht="14.25" customHeight="1" x14ac:dyDescent="0.3">
      <c r="A20" s="44">
        <v>8</v>
      </c>
      <c r="B20" s="10">
        <f t="shared" si="3"/>
        <v>510.34287320662759</v>
      </c>
      <c r="C20" s="10">
        <f t="shared" si="4"/>
        <v>177.61330756733875</v>
      </c>
      <c r="D20" s="10">
        <f t="shared" si="5"/>
        <v>332.72956563928881</v>
      </c>
      <c r="E20" s="17">
        <f t="shared" si="8"/>
        <v>632.82516277621824</v>
      </c>
      <c r="F20" s="10">
        <f t="shared" si="6"/>
        <v>17428.601191094585</v>
      </c>
      <c r="G20" s="10"/>
      <c r="H20" s="6" t="s">
        <v>13</v>
      </c>
      <c r="I20" s="19">
        <f>PV(B7/B8,B6*B8,-B9)</f>
        <v>19379.739594934817</v>
      </c>
    </row>
    <row r="21" spans="1:21" ht="14.25" customHeight="1" x14ac:dyDescent="0.3">
      <c r="A21" s="44">
        <v>9</v>
      </c>
      <c r="B21" s="10">
        <f t="shared" si="3"/>
        <v>510.34287320662759</v>
      </c>
      <c r="C21" s="10">
        <f t="shared" si="4"/>
        <v>174.28601191094586</v>
      </c>
      <c r="D21" s="10">
        <f t="shared" si="5"/>
        <v>336.05686129568176</v>
      </c>
      <c r="E21" s="17">
        <f t="shared" si="8"/>
        <v>632.82516277621824</v>
      </c>
      <c r="F21" s="10">
        <f t="shared" si="6"/>
        <v>17092.544329798904</v>
      </c>
      <c r="G21" s="10"/>
      <c r="H21" s="31"/>
      <c r="I21" s="31"/>
      <c r="U21" s="17">
        <f>-T9</f>
        <v>-20000</v>
      </c>
    </row>
    <row r="22" spans="1:21" ht="14.25" customHeight="1" x14ac:dyDescent="0.3">
      <c r="A22" s="44">
        <v>10</v>
      </c>
      <c r="B22" s="10">
        <f t="shared" si="3"/>
        <v>510.34287320662759</v>
      </c>
      <c r="C22" s="10">
        <f t="shared" si="4"/>
        <v>170.92544329798903</v>
      </c>
      <c r="D22" s="10">
        <f t="shared" si="5"/>
        <v>339.41742990863855</v>
      </c>
      <c r="E22" s="17">
        <f t="shared" si="8"/>
        <v>632.82516277621824</v>
      </c>
      <c r="F22" s="10">
        <f t="shared" si="6"/>
        <v>16753.126899890267</v>
      </c>
      <c r="G22" s="10"/>
      <c r="H22" s="31"/>
      <c r="I22" s="31"/>
      <c r="U22" s="17">
        <f t="shared" ref="U22:U23" si="10">+T10</f>
        <v>1488.9275748937866</v>
      </c>
    </row>
    <row r="23" spans="1:21" ht="14.25" customHeight="1" x14ac:dyDescent="0.3">
      <c r="A23" s="44">
        <v>11</v>
      </c>
      <c r="B23" s="10">
        <f t="shared" si="3"/>
        <v>510.34287320662759</v>
      </c>
      <c r="C23" s="10">
        <f t="shared" si="4"/>
        <v>167.53126899890268</v>
      </c>
      <c r="D23" s="10">
        <f t="shared" si="5"/>
        <v>342.81160420772494</v>
      </c>
      <c r="E23" s="17">
        <f t="shared" si="8"/>
        <v>632.82516277621824</v>
      </c>
      <c r="F23" s="10">
        <f t="shared" si="6"/>
        <v>16410.315295682543</v>
      </c>
      <c r="G23" s="10"/>
      <c r="H23" s="6" t="s">
        <v>32</v>
      </c>
      <c r="I23" s="19"/>
      <c r="U23" s="17">
        <f t="shared" si="10"/>
        <v>18511.072425106213</v>
      </c>
    </row>
    <row r="24" spans="1:21" ht="14.25" customHeight="1" x14ac:dyDescent="0.3">
      <c r="A24" s="44">
        <v>12</v>
      </c>
      <c r="B24" s="10">
        <f t="shared" si="3"/>
        <v>510.34287320662759</v>
      </c>
      <c r="C24" s="10">
        <f t="shared" si="4"/>
        <v>164.10315295682543</v>
      </c>
      <c r="D24" s="10">
        <f t="shared" si="5"/>
        <v>346.23972024980219</v>
      </c>
      <c r="E24" s="17">
        <f t="shared" si="8"/>
        <v>632.82516277621824</v>
      </c>
      <c r="F24" s="10">
        <f t="shared" si="6"/>
        <v>16064.075575432742</v>
      </c>
      <c r="G24" s="10"/>
      <c r="H24" s="59" t="s">
        <v>8</v>
      </c>
      <c r="I24" s="52">
        <f>-I18</f>
        <v>-20000</v>
      </c>
      <c r="U24" s="17">
        <f>+U23+U22+U21</f>
        <v>0</v>
      </c>
    </row>
    <row r="25" spans="1:21" ht="14.25" customHeight="1" x14ac:dyDescent="0.3">
      <c r="A25" s="44">
        <v>13</v>
      </c>
      <c r="B25" s="10">
        <f t="shared" si="3"/>
        <v>510.34287320662759</v>
      </c>
      <c r="C25" s="10">
        <f t="shared" si="4"/>
        <v>160.64075575432742</v>
      </c>
      <c r="D25" s="10">
        <f t="shared" si="5"/>
        <v>349.70211745230017</v>
      </c>
      <c r="E25" s="17">
        <f t="shared" si="8"/>
        <v>632.82516277621824</v>
      </c>
      <c r="F25" s="10">
        <f t="shared" si="6"/>
        <v>15714.373457980442</v>
      </c>
      <c r="G25" s="10"/>
      <c r="H25" s="53" t="str">
        <f t="shared" ref="H25:I25" si="11">+H19</f>
        <v>ΠΑ(ΥΑ)</v>
      </c>
      <c r="I25" s="52">
        <f t="shared" si="11"/>
        <v>620.26040506519723</v>
      </c>
    </row>
    <row r="26" spans="1:21" ht="14.25" customHeight="1" x14ac:dyDescent="0.3">
      <c r="A26" s="44">
        <v>14</v>
      </c>
      <c r="B26" s="10">
        <f t="shared" si="3"/>
        <v>510.34287320662759</v>
      </c>
      <c r="C26" s="10">
        <f t="shared" si="4"/>
        <v>157.14373457980443</v>
      </c>
      <c r="D26" s="10">
        <f t="shared" si="5"/>
        <v>353.19913862682313</v>
      </c>
      <c r="E26" s="17">
        <f t="shared" si="8"/>
        <v>632.82516277621824</v>
      </c>
      <c r="F26" s="10">
        <f t="shared" si="6"/>
        <v>15361.174319353619</v>
      </c>
      <c r="G26" s="10"/>
      <c r="H26" s="7" t="str">
        <f t="shared" ref="H26:I26" si="12">+H20</f>
        <v>ΠΑ Μισθωμάτων</v>
      </c>
      <c r="I26" s="52">
        <f t="shared" si="12"/>
        <v>19379.739594934817</v>
      </c>
    </row>
    <row r="27" spans="1:21" ht="14.25" customHeight="1" x14ac:dyDescent="0.3">
      <c r="A27" s="44">
        <v>15</v>
      </c>
      <c r="B27" s="10">
        <f t="shared" si="3"/>
        <v>510.34287320662759</v>
      </c>
      <c r="C27" s="10">
        <f t="shared" si="4"/>
        <v>153.6117431935362</v>
      </c>
      <c r="D27" s="10">
        <f t="shared" si="5"/>
        <v>356.73113001309139</v>
      </c>
      <c r="E27" s="17">
        <f t="shared" si="8"/>
        <v>632.82516277621824</v>
      </c>
      <c r="F27" s="10">
        <f t="shared" si="6"/>
        <v>15004.443189340527</v>
      </c>
      <c r="G27" s="10"/>
      <c r="H27" s="7" t="s">
        <v>36</v>
      </c>
      <c r="I27" s="55">
        <f>+I26+I25+I24</f>
        <v>0</v>
      </c>
    </row>
    <row r="28" spans="1:21" ht="14.25" customHeight="1" x14ac:dyDescent="0.3">
      <c r="A28" s="44">
        <v>16</v>
      </c>
      <c r="B28" s="10">
        <f t="shared" si="3"/>
        <v>510.34287320662759</v>
      </c>
      <c r="C28" s="10">
        <f t="shared" si="4"/>
        <v>150.04443189340529</v>
      </c>
      <c r="D28" s="10">
        <f t="shared" si="5"/>
        <v>360.29844131322227</v>
      </c>
      <c r="E28" s="17">
        <f t="shared" si="8"/>
        <v>632.82516277621824</v>
      </c>
      <c r="F28" s="10">
        <f t="shared" si="6"/>
        <v>14644.144748027305</v>
      </c>
      <c r="G28" s="10"/>
    </row>
    <row r="29" spans="1:21" ht="14.25" customHeight="1" x14ac:dyDescent="0.3">
      <c r="A29" s="44">
        <v>17</v>
      </c>
      <c r="B29" s="10">
        <f t="shared" si="3"/>
        <v>510.34287320662759</v>
      </c>
      <c r="C29" s="10">
        <f t="shared" si="4"/>
        <v>146.44144748027307</v>
      </c>
      <c r="D29" s="10">
        <f t="shared" si="5"/>
        <v>363.90142572635455</v>
      </c>
      <c r="E29" s="17">
        <f t="shared" si="8"/>
        <v>632.82516277621824</v>
      </c>
      <c r="F29" s="10">
        <f t="shared" si="6"/>
        <v>14280.24332230095</v>
      </c>
      <c r="G29" s="10"/>
      <c r="H29" t="s">
        <v>37</v>
      </c>
    </row>
    <row r="30" spans="1:21" ht="14.25" customHeight="1" x14ac:dyDescent="0.3">
      <c r="A30" s="44">
        <v>18</v>
      </c>
      <c r="B30" s="10">
        <f t="shared" si="3"/>
        <v>510.34287320662759</v>
      </c>
      <c r="C30" s="10">
        <f t="shared" si="4"/>
        <v>142.8024332230095</v>
      </c>
      <c r="D30" s="10">
        <f t="shared" si="5"/>
        <v>367.54043998361806</v>
      </c>
      <c r="E30" s="17">
        <f t="shared" si="8"/>
        <v>632.82516277621824</v>
      </c>
      <c r="F30" s="10">
        <f t="shared" si="6"/>
        <v>13912.702882317331</v>
      </c>
      <c r="G30" s="10"/>
      <c r="H30" s="58" t="s">
        <v>38</v>
      </c>
    </row>
    <row r="31" spans="1:21" ht="14.25" customHeight="1" x14ac:dyDescent="0.3">
      <c r="A31" s="44">
        <v>19</v>
      </c>
      <c r="B31" s="10">
        <f t="shared" si="3"/>
        <v>510.34287320662759</v>
      </c>
      <c r="C31" s="10">
        <f t="shared" si="4"/>
        <v>139.1270288231733</v>
      </c>
      <c r="D31" s="10">
        <f t="shared" si="5"/>
        <v>371.21584438345428</v>
      </c>
      <c r="E31" s="17">
        <f t="shared" si="8"/>
        <v>632.82516277621824</v>
      </c>
      <c r="F31" s="10">
        <f t="shared" si="6"/>
        <v>13541.487037933877</v>
      </c>
      <c r="G31" s="10"/>
      <c r="H31" s="56"/>
    </row>
    <row r="32" spans="1:21" ht="14.25" customHeight="1" x14ac:dyDescent="0.3">
      <c r="A32" s="44">
        <v>20</v>
      </c>
      <c r="B32" s="10">
        <f t="shared" si="3"/>
        <v>510.34287320662759</v>
      </c>
      <c r="C32" s="10">
        <f t="shared" si="4"/>
        <v>135.41487037933877</v>
      </c>
      <c r="D32" s="10">
        <f t="shared" si="5"/>
        <v>374.92800282728882</v>
      </c>
      <c r="E32" s="17">
        <f t="shared" si="8"/>
        <v>632.82516277621824</v>
      </c>
      <c r="F32" s="10">
        <f t="shared" si="6"/>
        <v>13166.559035106588</v>
      </c>
      <c r="G32" s="10"/>
      <c r="H32" s="57"/>
    </row>
    <row r="33" spans="1:13" ht="14.25" customHeight="1" x14ac:dyDescent="0.3">
      <c r="A33" s="44">
        <v>21</v>
      </c>
      <c r="B33" s="10">
        <f t="shared" si="3"/>
        <v>510.34287320662759</v>
      </c>
      <c r="C33" s="10">
        <f t="shared" si="4"/>
        <v>131.66559035106587</v>
      </c>
      <c r="D33" s="10">
        <f t="shared" si="5"/>
        <v>378.67728285556171</v>
      </c>
      <c r="E33" s="17">
        <f t="shared" si="8"/>
        <v>632.82516277621824</v>
      </c>
      <c r="F33" s="10">
        <f t="shared" si="6"/>
        <v>12787.881752251025</v>
      </c>
      <c r="G33" s="10"/>
      <c r="H33" s="10"/>
    </row>
    <row r="34" spans="1:13" ht="14.25" customHeight="1" x14ac:dyDescent="0.3">
      <c r="A34" s="44">
        <v>22</v>
      </c>
      <c r="B34" s="10">
        <f t="shared" si="3"/>
        <v>510.34287320662759</v>
      </c>
      <c r="C34" s="10">
        <f t="shared" si="4"/>
        <v>127.87881752251026</v>
      </c>
      <c r="D34" s="10">
        <f t="shared" si="5"/>
        <v>382.46405568411734</v>
      </c>
      <c r="E34" s="17">
        <f t="shared" si="8"/>
        <v>632.82516277621824</v>
      </c>
      <c r="F34" s="10">
        <f t="shared" si="6"/>
        <v>12405.417696566908</v>
      </c>
      <c r="G34" s="10"/>
      <c r="H34" s="10"/>
    </row>
    <row r="35" spans="1:13" ht="14.25" customHeight="1" x14ac:dyDescent="0.3">
      <c r="A35" s="44">
        <v>23</v>
      </c>
      <c r="B35" s="10">
        <f t="shared" si="3"/>
        <v>510.34287320662759</v>
      </c>
      <c r="C35" s="10">
        <f t="shared" si="4"/>
        <v>124.05417696566909</v>
      </c>
      <c r="D35" s="10">
        <f t="shared" si="5"/>
        <v>386.28869624095853</v>
      </c>
      <c r="E35" s="17">
        <f t="shared" si="8"/>
        <v>632.82516277621824</v>
      </c>
      <c r="F35" s="10">
        <f t="shared" si="6"/>
        <v>12019.129000325949</v>
      </c>
      <c r="G35" s="10"/>
      <c r="H35" s="10"/>
    </row>
    <row r="36" spans="1:13" ht="14.25" customHeight="1" x14ac:dyDescent="0.3">
      <c r="A36" s="44">
        <v>24</v>
      </c>
      <c r="B36" s="10">
        <f t="shared" si="3"/>
        <v>510.34287320662759</v>
      </c>
      <c r="C36" s="10">
        <f t="shared" si="4"/>
        <v>120.1912900032595</v>
      </c>
      <c r="D36" s="10">
        <f t="shared" si="5"/>
        <v>390.15158320336809</v>
      </c>
      <c r="E36" s="17">
        <f t="shared" si="8"/>
        <v>632.82516277621824</v>
      </c>
      <c r="F36" s="10">
        <f t="shared" si="6"/>
        <v>11628.977417122582</v>
      </c>
      <c r="G36" s="10"/>
      <c r="H36" s="10"/>
    </row>
    <row r="37" spans="1:13" ht="14.25" customHeight="1" x14ac:dyDescent="0.3">
      <c r="A37" s="44">
        <v>25</v>
      </c>
      <c r="B37" s="10">
        <f t="shared" si="3"/>
        <v>510.34287320662759</v>
      </c>
      <c r="C37" s="10">
        <f t="shared" si="4"/>
        <v>116.28977417122582</v>
      </c>
      <c r="D37" s="10">
        <f t="shared" si="5"/>
        <v>394.05309903540177</v>
      </c>
      <c r="E37" s="17">
        <f t="shared" si="8"/>
        <v>632.82516277621824</v>
      </c>
      <c r="F37" s="10">
        <f t="shared" si="6"/>
        <v>11234.92431808718</v>
      </c>
      <c r="G37" s="10"/>
      <c r="H37" s="10"/>
      <c r="J37" s="10"/>
      <c r="K37" s="10"/>
      <c r="L37" s="10"/>
      <c r="M37" s="10"/>
    </row>
    <row r="38" spans="1:13" ht="14.25" customHeight="1" x14ac:dyDescent="0.3">
      <c r="A38" s="44">
        <v>26</v>
      </c>
      <c r="B38" s="10">
        <f t="shared" si="3"/>
        <v>510.34287320662759</v>
      </c>
      <c r="C38" s="10">
        <f t="shared" si="4"/>
        <v>112.3492431808718</v>
      </c>
      <c r="D38" s="10">
        <f t="shared" si="5"/>
        <v>397.99363002575581</v>
      </c>
      <c r="E38" s="17">
        <f t="shared" si="8"/>
        <v>632.82516277621824</v>
      </c>
      <c r="F38" s="10">
        <f t="shared" si="6"/>
        <v>10836.930688061424</v>
      </c>
      <c r="G38" s="10"/>
      <c r="H38" s="10"/>
      <c r="J38" s="21"/>
      <c r="K38" s="21"/>
      <c r="L38" s="21"/>
      <c r="M38" s="21"/>
    </row>
    <row r="39" spans="1:13" ht="14.25" customHeight="1" x14ac:dyDescent="0.3">
      <c r="A39" s="44">
        <v>27</v>
      </c>
      <c r="B39" s="10">
        <f t="shared" si="3"/>
        <v>510.34287320662759</v>
      </c>
      <c r="C39" s="10">
        <f t="shared" si="4"/>
        <v>108.36930688061425</v>
      </c>
      <c r="D39" s="10">
        <f t="shared" si="5"/>
        <v>401.97356632601333</v>
      </c>
      <c r="E39" s="17">
        <f t="shared" si="8"/>
        <v>632.82516277621824</v>
      </c>
      <c r="F39" s="10">
        <f t="shared" si="6"/>
        <v>10434.957121735411</v>
      </c>
      <c r="G39" s="10"/>
      <c r="H39" s="10"/>
    </row>
    <row r="40" spans="1:13" ht="14.25" customHeight="1" x14ac:dyDescent="0.3">
      <c r="A40" s="44">
        <v>28</v>
      </c>
      <c r="B40" s="10">
        <f t="shared" si="3"/>
        <v>510.34287320662759</v>
      </c>
      <c r="C40" s="10">
        <f t="shared" si="4"/>
        <v>104.34957121735411</v>
      </c>
      <c r="D40" s="10">
        <f t="shared" si="5"/>
        <v>405.9933019892735</v>
      </c>
      <c r="E40" s="17">
        <f t="shared" si="8"/>
        <v>632.82516277621824</v>
      </c>
      <c r="F40" s="10">
        <f t="shared" si="6"/>
        <v>10028.963819746137</v>
      </c>
      <c r="G40" s="10"/>
      <c r="H40" s="10"/>
    </row>
    <row r="41" spans="1:13" ht="14.25" customHeight="1" x14ac:dyDescent="0.3">
      <c r="A41" s="44">
        <v>29</v>
      </c>
      <c r="B41" s="10">
        <f t="shared" si="3"/>
        <v>510.34287320662759</v>
      </c>
      <c r="C41" s="10">
        <f t="shared" si="4"/>
        <v>100.28963819746137</v>
      </c>
      <c r="D41" s="10">
        <f t="shared" si="5"/>
        <v>410.0532350091662</v>
      </c>
      <c r="E41" s="17">
        <f t="shared" si="8"/>
        <v>632.82516277621824</v>
      </c>
      <c r="F41" s="10">
        <f t="shared" si="6"/>
        <v>9618.9105847369719</v>
      </c>
      <c r="G41" s="10"/>
      <c r="H41" s="10"/>
    </row>
    <row r="42" spans="1:13" ht="14.25" customHeight="1" x14ac:dyDescent="0.3">
      <c r="A42" s="44">
        <v>30</v>
      </c>
      <c r="B42" s="10">
        <f t="shared" si="3"/>
        <v>510.34287320662759</v>
      </c>
      <c r="C42" s="10">
        <f t="shared" si="4"/>
        <v>96.189105847369717</v>
      </c>
      <c r="D42" s="10">
        <f t="shared" si="5"/>
        <v>414.15376735925787</v>
      </c>
      <c r="E42" s="17">
        <f t="shared" si="8"/>
        <v>632.82516277621824</v>
      </c>
      <c r="F42" s="10">
        <f t="shared" si="6"/>
        <v>9204.7568173777145</v>
      </c>
      <c r="G42" s="10"/>
      <c r="H42" s="10"/>
    </row>
    <row r="43" spans="1:13" ht="14.25" customHeight="1" x14ac:dyDescent="0.3">
      <c r="A43" s="44">
        <v>31</v>
      </c>
      <c r="B43" s="10">
        <f t="shared" si="3"/>
        <v>510.34287320662759</v>
      </c>
      <c r="C43" s="10">
        <f t="shared" si="4"/>
        <v>92.047568173777151</v>
      </c>
      <c r="D43" s="10">
        <f t="shared" si="5"/>
        <v>418.29530503285042</v>
      </c>
      <c r="E43" s="17">
        <f t="shared" si="8"/>
        <v>632.82516277621824</v>
      </c>
      <c r="F43" s="10">
        <f t="shared" si="6"/>
        <v>8786.4615123448639</v>
      </c>
      <c r="G43" s="10"/>
      <c r="H43" s="10"/>
    </row>
    <row r="44" spans="1:13" ht="14.25" customHeight="1" x14ac:dyDescent="0.3">
      <c r="A44" s="44">
        <v>32</v>
      </c>
      <c r="B44" s="10">
        <f t="shared" si="3"/>
        <v>510.34287320662759</v>
      </c>
      <c r="C44" s="10">
        <f t="shared" si="4"/>
        <v>87.864615123448644</v>
      </c>
      <c r="D44" s="10">
        <f t="shared" si="5"/>
        <v>422.47825808317896</v>
      </c>
      <c r="E44" s="17">
        <f t="shared" si="8"/>
        <v>632.82516277621824</v>
      </c>
      <c r="F44" s="10">
        <f t="shared" si="6"/>
        <v>8363.9832542616841</v>
      </c>
      <c r="G44" s="10"/>
      <c r="H44" s="10"/>
    </row>
    <row r="45" spans="1:13" ht="14.25" customHeight="1" x14ac:dyDescent="0.3">
      <c r="A45" s="44">
        <v>33</v>
      </c>
      <c r="B45" s="10">
        <f t="shared" si="3"/>
        <v>510.34287320662759</v>
      </c>
      <c r="C45" s="10">
        <f t="shared" si="4"/>
        <v>83.639832542616844</v>
      </c>
      <c r="D45" s="10">
        <f t="shared" si="5"/>
        <v>426.70304066401076</v>
      </c>
      <c r="E45" s="17">
        <f t="shared" si="8"/>
        <v>632.82516277621824</v>
      </c>
      <c r="F45" s="10">
        <f t="shared" si="6"/>
        <v>7937.2802135976735</v>
      </c>
      <c r="G45" s="10"/>
      <c r="H45" s="10"/>
    </row>
    <row r="46" spans="1:13" ht="14.25" customHeight="1" x14ac:dyDescent="0.3">
      <c r="A46" s="44">
        <v>34</v>
      </c>
      <c r="B46" s="10">
        <f t="shared" si="3"/>
        <v>510.34287320662759</v>
      </c>
      <c r="C46" s="10">
        <f t="shared" si="4"/>
        <v>79.372802135976741</v>
      </c>
      <c r="D46" s="10">
        <f t="shared" si="5"/>
        <v>430.97007107065087</v>
      </c>
      <c r="E46" s="17">
        <f t="shared" si="8"/>
        <v>632.82516277621824</v>
      </c>
      <c r="F46" s="10">
        <f t="shared" si="6"/>
        <v>7506.3101425270224</v>
      </c>
      <c r="G46" s="10"/>
      <c r="H46" s="10"/>
    </row>
    <row r="47" spans="1:13" ht="14.25" customHeight="1" x14ac:dyDescent="0.3">
      <c r="A47" s="44">
        <v>35</v>
      </c>
      <c r="B47" s="10">
        <f t="shared" si="3"/>
        <v>510.34287320662759</v>
      </c>
      <c r="C47" s="10">
        <f t="shared" si="4"/>
        <v>75.063101425270233</v>
      </c>
      <c r="D47" s="10">
        <f t="shared" si="5"/>
        <v>435.27977178135734</v>
      </c>
      <c r="E47" s="17">
        <f t="shared" si="8"/>
        <v>632.82516277621824</v>
      </c>
      <c r="F47" s="10">
        <f t="shared" si="6"/>
        <v>7071.0303707456651</v>
      </c>
      <c r="G47" s="10"/>
      <c r="H47" s="10"/>
    </row>
    <row r="48" spans="1:13" ht="14.25" customHeight="1" x14ac:dyDescent="0.3">
      <c r="A48" s="44">
        <v>36</v>
      </c>
      <c r="B48" s="10">
        <f t="shared" si="3"/>
        <v>510.34287320662759</v>
      </c>
      <c r="C48" s="10">
        <f t="shared" si="4"/>
        <v>70.710303707456646</v>
      </c>
      <c r="D48" s="10">
        <f t="shared" si="5"/>
        <v>439.63256949917093</v>
      </c>
      <c r="E48" s="17">
        <f t="shared" si="8"/>
        <v>632.82516277621824</v>
      </c>
      <c r="F48" s="10">
        <f t="shared" si="6"/>
        <v>6631.3978012464941</v>
      </c>
      <c r="G48" s="10"/>
      <c r="H48" s="10"/>
    </row>
    <row r="49" spans="1:8" ht="14.25" customHeight="1" x14ac:dyDescent="0.3">
      <c r="A49" s="44">
        <v>37</v>
      </c>
      <c r="B49" s="10">
        <f t="shared" si="3"/>
        <v>510.34287320662759</v>
      </c>
      <c r="C49" s="10">
        <f t="shared" si="4"/>
        <v>66.313978012464943</v>
      </c>
      <c r="D49" s="10">
        <f t="shared" si="5"/>
        <v>444.02889519416266</v>
      </c>
      <c r="E49" s="17">
        <f t="shared" si="8"/>
        <v>632.82516277621824</v>
      </c>
      <c r="F49" s="10">
        <f t="shared" si="6"/>
        <v>6187.3689060523311</v>
      </c>
      <c r="G49" s="10"/>
      <c r="H49" s="10"/>
    </row>
    <row r="50" spans="1:8" ht="14.25" customHeight="1" x14ac:dyDescent="0.3">
      <c r="A50" s="44">
        <v>38</v>
      </c>
      <c r="B50" s="10">
        <f t="shared" si="3"/>
        <v>510.34287320662759</v>
      </c>
      <c r="C50" s="10">
        <f t="shared" si="4"/>
        <v>61.873689060523311</v>
      </c>
      <c r="D50" s="10">
        <f t="shared" si="5"/>
        <v>448.46918414610428</v>
      </c>
      <c r="E50" s="17">
        <f t="shared" si="8"/>
        <v>632.82516277621824</v>
      </c>
      <c r="F50" s="10">
        <f t="shared" si="6"/>
        <v>5738.8997219062267</v>
      </c>
      <c r="G50" s="10"/>
      <c r="H50" s="10"/>
    </row>
    <row r="51" spans="1:8" ht="14.25" customHeight="1" x14ac:dyDescent="0.3">
      <c r="A51" s="44">
        <v>39</v>
      </c>
      <c r="B51" s="10">
        <f t="shared" si="3"/>
        <v>510.34287320662759</v>
      </c>
      <c r="C51" s="10">
        <f t="shared" si="4"/>
        <v>57.388997219062269</v>
      </c>
      <c r="D51" s="10">
        <f t="shared" si="5"/>
        <v>452.95387598756531</v>
      </c>
      <c r="E51" s="17">
        <f t="shared" si="8"/>
        <v>632.82516277621824</v>
      </c>
      <c r="F51" s="10">
        <f t="shared" si="6"/>
        <v>5285.9458459186617</v>
      </c>
      <c r="G51" s="10"/>
      <c r="H51" s="10"/>
    </row>
    <row r="52" spans="1:8" ht="14.25" customHeight="1" x14ac:dyDescent="0.3">
      <c r="A52" s="44">
        <v>40</v>
      </c>
      <c r="B52" s="10">
        <f t="shared" si="3"/>
        <v>510.34287320662759</v>
      </c>
      <c r="C52" s="10">
        <f t="shared" si="4"/>
        <v>52.859458459186619</v>
      </c>
      <c r="D52" s="10">
        <f t="shared" si="5"/>
        <v>457.48341474744097</v>
      </c>
      <c r="E52" s="17">
        <f t="shared" si="8"/>
        <v>632.82516277621824</v>
      </c>
      <c r="F52" s="10">
        <f t="shared" si="6"/>
        <v>4828.4624311712205</v>
      </c>
      <c r="G52" s="10"/>
      <c r="H52" s="10"/>
    </row>
    <row r="53" spans="1:8" ht="14.25" customHeight="1" x14ac:dyDescent="0.3">
      <c r="A53" s="44">
        <v>41</v>
      </c>
      <c r="B53" s="10">
        <f t="shared" si="3"/>
        <v>510.34287320662759</v>
      </c>
      <c r="C53" s="10">
        <f t="shared" si="4"/>
        <v>48.284624311712207</v>
      </c>
      <c r="D53" s="10">
        <f t="shared" si="5"/>
        <v>462.05824889491538</v>
      </c>
      <c r="E53" s="17">
        <f t="shared" si="8"/>
        <v>632.82516277621824</v>
      </c>
      <c r="F53" s="10">
        <f t="shared" si="6"/>
        <v>4366.4041822763047</v>
      </c>
      <c r="G53" s="10"/>
      <c r="H53" s="10"/>
    </row>
    <row r="54" spans="1:8" ht="14.25" customHeight="1" x14ac:dyDescent="0.3">
      <c r="A54" s="44">
        <v>42</v>
      </c>
      <c r="B54" s="10">
        <f t="shared" si="3"/>
        <v>510.34287320662759</v>
      </c>
      <c r="C54" s="10">
        <f t="shared" si="4"/>
        <v>43.664041822763046</v>
      </c>
      <c r="D54" s="10">
        <f t="shared" si="5"/>
        <v>466.67883138386452</v>
      </c>
      <c r="E54" s="17">
        <f t="shared" si="8"/>
        <v>632.82516277621824</v>
      </c>
      <c r="F54" s="10">
        <f t="shared" si="6"/>
        <v>3899.72535089244</v>
      </c>
      <c r="G54" s="10"/>
      <c r="H54" s="10"/>
    </row>
    <row r="55" spans="1:8" ht="14.25" customHeight="1" x14ac:dyDescent="0.3">
      <c r="A55" s="44">
        <v>43</v>
      </c>
      <c r="B55" s="10">
        <f t="shared" si="3"/>
        <v>510.34287320662759</v>
      </c>
      <c r="C55" s="10">
        <f t="shared" si="4"/>
        <v>38.997253508924402</v>
      </c>
      <c r="D55" s="10">
        <f t="shared" si="5"/>
        <v>471.34561969770317</v>
      </c>
      <c r="E55" s="17">
        <f t="shared" si="8"/>
        <v>632.82516277621824</v>
      </c>
      <c r="F55" s="10">
        <f t="shared" si="6"/>
        <v>3428.3797311947369</v>
      </c>
      <c r="G55" s="10"/>
      <c r="H55" s="10"/>
    </row>
    <row r="56" spans="1:8" ht="14.25" customHeight="1" x14ac:dyDescent="0.3">
      <c r="A56" s="44">
        <v>44</v>
      </c>
      <c r="B56" s="10">
        <f t="shared" si="3"/>
        <v>510.34287320662759</v>
      </c>
      <c r="C56" s="10">
        <f t="shared" si="4"/>
        <v>34.283797311947367</v>
      </c>
      <c r="D56" s="10">
        <f t="shared" si="5"/>
        <v>476.05907589468023</v>
      </c>
      <c r="E56" s="17">
        <f t="shared" si="8"/>
        <v>632.82516277621824</v>
      </c>
      <c r="F56" s="10">
        <f t="shared" si="6"/>
        <v>2952.3206553000568</v>
      </c>
      <c r="G56" s="10"/>
      <c r="H56" s="10"/>
    </row>
    <row r="57" spans="1:8" ht="14.25" customHeight="1" x14ac:dyDescent="0.3">
      <c r="A57" s="44">
        <v>45</v>
      </c>
      <c r="B57" s="10">
        <f t="shared" si="3"/>
        <v>510.34287320662759</v>
      </c>
      <c r="C57" s="10">
        <f t="shared" si="4"/>
        <v>29.52320655300057</v>
      </c>
      <c r="D57" s="10">
        <f t="shared" si="5"/>
        <v>480.819666653627</v>
      </c>
      <c r="E57" s="17">
        <f t="shared" si="8"/>
        <v>632.82516277621824</v>
      </c>
      <c r="F57" s="10">
        <f t="shared" si="6"/>
        <v>2471.50098864643</v>
      </c>
      <c r="G57" s="10"/>
      <c r="H57" s="10"/>
    </row>
    <row r="58" spans="1:8" ht="14.25" customHeight="1" x14ac:dyDescent="0.3">
      <c r="A58" s="44">
        <v>46</v>
      </c>
      <c r="B58" s="10">
        <f t="shared" si="3"/>
        <v>510.34287320662759</v>
      </c>
      <c r="C58" s="10">
        <f t="shared" si="4"/>
        <v>24.715009886464301</v>
      </c>
      <c r="D58" s="10">
        <f t="shared" si="5"/>
        <v>485.62786332016327</v>
      </c>
      <c r="E58" s="17">
        <f t="shared" si="8"/>
        <v>632.82516277621824</v>
      </c>
      <c r="F58" s="10">
        <f t="shared" si="6"/>
        <v>1985.8731253262667</v>
      </c>
      <c r="G58" s="10"/>
      <c r="H58" s="10"/>
    </row>
    <row r="59" spans="1:8" ht="14.25" customHeight="1" x14ac:dyDescent="0.3">
      <c r="A59" s="44">
        <v>47</v>
      </c>
      <c r="B59" s="10">
        <f t="shared" si="3"/>
        <v>510.34287320662759</v>
      </c>
      <c r="C59" s="10">
        <f t="shared" si="4"/>
        <v>19.858731253262668</v>
      </c>
      <c r="D59" s="10">
        <f t="shared" si="5"/>
        <v>490.48414195336494</v>
      </c>
      <c r="E59" s="17">
        <f t="shared" si="8"/>
        <v>632.82516277621824</v>
      </c>
      <c r="F59" s="10">
        <f t="shared" si="6"/>
        <v>1495.3889833729017</v>
      </c>
      <c r="G59" s="10"/>
      <c r="H59" s="10"/>
    </row>
    <row r="60" spans="1:8" ht="14.25" customHeight="1" x14ac:dyDescent="0.3">
      <c r="A60" s="44">
        <v>48</v>
      </c>
      <c r="B60" s="10">
        <f t="shared" si="3"/>
        <v>510.34287320662759</v>
      </c>
      <c r="C60" s="10">
        <f t="shared" si="4"/>
        <v>14.953889833729018</v>
      </c>
      <c r="D60" s="10">
        <f t="shared" si="5"/>
        <v>495.38898337289856</v>
      </c>
      <c r="E60" s="17">
        <f t="shared" si="8"/>
        <v>632.82516277621824</v>
      </c>
      <c r="F60" s="10">
        <f t="shared" si="6"/>
        <v>1000.0000000000032</v>
      </c>
      <c r="G60" s="10"/>
      <c r="H60" s="10"/>
    </row>
    <row r="61" spans="1:8" ht="14.25" customHeight="1" x14ac:dyDescent="0.3">
      <c r="A61" s="44"/>
      <c r="B61" s="10"/>
      <c r="C61" s="10"/>
      <c r="D61" s="10"/>
      <c r="E61" s="17"/>
      <c r="F61" s="10"/>
    </row>
    <row r="62" spans="1:8" ht="14.25" customHeight="1" x14ac:dyDescent="0.3">
      <c r="A62" s="44"/>
      <c r="B62" s="10"/>
      <c r="C62" s="10"/>
      <c r="D62" s="10"/>
      <c r="E62" s="17"/>
      <c r="F62" s="10"/>
    </row>
    <row r="63" spans="1:8" ht="14.25" customHeight="1" x14ac:dyDescent="0.3">
      <c r="A63" s="44"/>
      <c r="B63" s="10"/>
      <c r="C63" s="10"/>
      <c r="D63" s="10"/>
      <c r="E63" s="17"/>
      <c r="F63" s="10"/>
    </row>
    <row r="64" spans="1:8" ht="14.25" customHeight="1" x14ac:dyDescent="0.3">
      <c r="A64" s="44"/>
      <c r="B64" s="10"/>
      <c r="C64" s="10"/>
      <c r="D64" s="10"/>
      <c r="E64" s="17"/>
      <c r="F64" s="10"/>
    </row>
    <row r="65" spans="1:6" ht="14.25" customHeight="1" x14ac:dyDescent="0.3">
      <c r="A65" s="44"/>
      <c r="B65" s="10"/>
      <c r="C65" s="10"/>
      <c r="D65" s="10"/>
      <c r="E65" s="17"/>
      <c r="F65" s="10"/>
    </row>
    <row r="66" spans="1:6" ht="14.25" customHeight="1" x14ac:dyDescent="0.3">
      <c r="A66" s="44"/>
      <c r="B66" s="10"/>
      <c r="C66" s="10"/>
      <c r="D66" s="10"/>
      <c r="E66" s="17"/>
      <c r="F66" s="10"/>
    </row>
    <row r="67" spans="1:6" ht="14.25" customHeight="1" x14ac:dyDescent="0.3">
      <c r="A67" s="44"/>
      <c r="B67" s="10"/>
      <c r="C67" s="10"/>
      <c r="D67" s="10"/>
      <c r="E67" s="17"/>
      <c r="F67" s="10"/>
    </row>
    <row r="68" spans="1:6" ht="14.25" customHeight="1" x14ac:dyDescent="0.3">
      <c r="A68" s="44"/>
      <c r="B68" s="10"/>
      <c r="C68" s="10"/>
      <c r="D68" s="10"/>
      <c r="E68" s="17"/>
      <c r="F68" s="10"/>
    </row>
    <row r="69" spans="1:6" ht="14.25" customHeight="1" x14ac:dyDescent="0.3">
      <c r="A69" s="44"/>
      <c r="B69" s="10"/>
      <c r="C69" s="10"/>
      <c r="D69" s="10"/>
      <c r="E69" s="17"/>
      <c r="F69" s="10"/>
    </row>
    <row r="70" spans="1:6" ht="14.25" customHeight="1" x14ac:dyDescent="0.3">
      <c r="A70" s="44"/>
      <c r="B70" s="10"/>
      <c r="C70" s="10"/>
      <c r="D70" s="10"/>
      <c r="E70" s="17"/>
      <c r="F70" s="10"/>
    </row>
    <row r="71" spans="1:6" ht="14.25" customHeight="1" x14ac:dyDescent="0.3">
      <c r="A71" s="44"/>
      <c r="B71" s="10"/>
      <c r="C71" s="10"/>
      <c r="D71" s="10"/>
      <c r="E71" s="17"/>
      <c r="F71" s="10"/>
    </row>
    <row r="72" spans="1:6" ht="14.25" customHeight="1" x14ac:dyDescent="0.3">
      <c r="A72" s="44"/>
      <c r="B72" s="10"/>
      <c r="C72" s="10"/>
      <c r="D72" s="10"/>
      <c r="E72" s="17"/>
      <c r="F72" s="10"/>
    </row>
    <row r="73" spans="1:6" ht="14.25" customHeight="1" x14ac:dyDescent="0.3">
      <c r="A73" s="44"/>
      <c r="B73" s="10"/>
      <c r="C73" s="10"/>
      <c r="D73" s="10"/>
      <c r="F73" s="10"/>
    </row>
    <row r="74" spans="1:6" ht="14.25" customHeight="1" x14ac:dyDescent="0.3">
      <c r="A74" s="44"/>
      <c r="B74" s="10"/>
      <c r="C74" s="10"/>
      <c r="D74" s="10"/>
      <c r="F74" s="10"/>
    </row>
    <row r="75" spans="1:6" ht="14.25" customHeight="1" x14ac:dyDescent="0.3">
      <c r="A75" s="44">
        <v>63</v>
      </c>
      <c r="B75" s="10">
        <f t="shared" si="3"/>
        <v>0</v>
      </c>
      <c r="C75" s="10">
        <f t="shared" si="4"/>
        <v>0</v>
      </c>
      <c r="D75" s="10">
        <f t="shared" si="5"/>
        <v>0</v>
      </c>
      <c r="F75" s="10">
        <f t="shared" si="6"/>
        <v>0</v>
      </c>
    </row>
    <row r="76" spans="1:6" ht="14.25" customHeight="1" x14ac:dyDescent="0.3">
      <c r="A76" s="44">
        <v>64</v>
      </c>
      <c r="B76" s="10">
        <f t="shared" si="3"/>
        <v>0</v>
      </c>
      <c r="C76" s="10">
        <f t="shared" si="4"/>
        <v>0</v>
      </c>
      <c r="D76" s="10">
        <f t="shared" si="5"/>
        <v>0</v>
      </c>
      <c r="F76" s="10">
        <f t="shared" si="6"/>
        <v>0</v>
      </c>
    </row>
    <row r="77" spans="1:6" ht="14.25" customHeight="1" x14ac:dyDescent="0.3">
      <c r="A77" s="44">
        <v>65</v>
      </c>
      <c r="B77" s="10">
        <f t="shared" si="3"/>
        <v>0</v>
      </c>
      <c r="C77" s="10">
        <f t="shared" si="4"/>
        <v>0</v>
      </c>
      <c r="D77" s="10">
        <f t="shared" si="5"/>
        <v>0</v>
      </c>
      <c r="F77" s="10">
        <f t="shared" si="6"/>
        <v>0</v>
      </c>
    </row>
    <row r="78" spans="1:6" ht="14.25" customHeight="1" x14ac:dyDescent="0.3">
      <c r="A78" s="44">
        <v>66</v>
      </c>
      <c r="B78" s="10">
        <f t="shared" si="3"/>
        <v>0</v>
      </c>
      <c r="C78" s="10">
        <f t="shared" si="4"/>
        <v>0</v>
      </c>
      <c r="D78" s="10">
        <f t="shared" si="5"/>
        <v>0</v>
      </c>
      <c r="F78" s="10">
        <f t="shared" si="6"/>
        <v>0</v>
      </c>
    </row>
    <row r="79" spans="1:6" ht="14.25" customHeight="1" x14ac:dyDescent="0.3">
      <c r="A79" s="44">
        <v>67</v>
      </c>
      <c r="B79" s="10">
        <f t="shared" si="3"/>
        <v>0</v>
      </c>
      <c r="C79" s="10">
        <f t="shared" si="4"/>
        <v>0</v>
      </c>
      <c r="D79" s="10">
        <f t="shared" si="5"/>
        <v>0</v>
      </c>
      <c r="F79" s="10">
        <f t="shared" si="6"/>
        <v>0</v>
      </c>
    </row>
    <row r="80" spans="1:6" ht="14.25" customHeight="1" x14ac:dyDescent="0.3">
      <c r="A80" s="44">
        <v>68</v>
      </c>
      <c r="B80" s="10">
        <f t="shared" si="3"/>
        <v>0</v>
      </c>
      <c r="C80" s="10">
        <f t="shared" si="4"/>
        <v>0</v>
      </c>
      <c r="D80" s="10">
        <f t="shared" si="5"/>
        <v>0</v>
      </c>
      <c r="F80" s="10">
        <f t="shared" si="6"/>
        <v>0</v>
      </c>
    </row>
    <row r="81" spans="1:6" ht="14.25" customHeight="1" x14ac:dyDescent="0.3">
      <c r="A81" s="44">
        <v>69</v>
      </c>
      <c r="B81" s="10">
        <f t="shared" si="3"/>
        <v>0</v>
      </c>
      <c r="C81" s="10">
        <f t="shared" si="4"/>
        <v>0</v>
      </c>
      <c r="D81" s="10">
        <f t="shared" si="5"/>
        <v>0</v>
      </c>
      <c r="F81" s="10">
        <f t="shared" si="6"/>
        <v>0</v>
      </c>
    </row>
    <row r="82" spans="1:6" ht="14.25" customHeight="1" x14ac:dyDescent="0.3">
      <c r="A82" s="44">
        <v>70</v>
      </c>
      <c r="B82" s="10">
        <f t="shared" si="3"/>
        <v>0</v>
      </c>
      <c r="C82" s="10">
        <f t="shared" si="4"/>
        <v>0</v>
      </c>
      <c r="D82" s="10">
        <f t="shared" si="5"/>
        <v>0</v>
      </c>
      <c r="F82" s="10">
        <f t="shared" si="6"/>
        <v>0</v>
      </c>
    </row>
    <row r="83" spans="1:6" ht="14.25" customHeight="1" x14ac:dyDescent="0.3">
      <c r="A83" s="44">
        <v>71</v>
      </c>
      <c r="B83" s="10">
        <f t="shared" si="3"/>
        <v>0</v>
      </c>
      <c r="C83" s="10">
        <f t="shared" si="4"/>
        <v>0</v>
      </c>
      <c r="D83" s="10">
        <f t="shared" si="5"/>
        <v>0</v>
      </c>
      <c r="F83" s="10">
        <f t="shared" si="6"/>
        <v>0</v>
      </c>
    </row>
    <row r="84" spans="1:6" ht="14.25" customHeight="1" x14ac:dyDescent="0.3">
      <c r="A84" s="44">
        <v>72</v>
      </c>
      <c r="B84" s="10">
        <f t="shared" si="3"/>
        <v>0</v>
      </c>
      <c r="C84" s="10">
        <f t="shared" si="4"/>
        <v>0</v>
      </c>
      <c r="D84" s="10">
        <f t="shared" si="5"/>
        <v>0</v>
      </c>
      <c r="F84" s="10">
        <f t="shared" si="6"/>
        <v>0</v>
      </c>
    </row>
    <row r="85" spans="1:6" ht="14.25" customHeight="1" x14ac:dyDescent="0.3">
      <c r="A85" s="44">
        <v>73</v>
      </c>
      <c r="B85" s="10">
        <f t="shared" si="3"/>
        <v>0</v>
      </c>
      <c r="C85" s="10">
        <f t="shared" si="4"/>
        <v>0</v>
      </c>
      <c r="D85" s="10">
        <f t="shared" si="5"/>
        <v>0</v>
      </c>
      <c r="F85" s="10">
        <f t="shared" si="6"/>
        <v>0</v>
      </c>
    </row>
    <row r="86" spans="1:6" ht="14.25" customHeight="1" x14ac:dyDescent="0.3">
      <c r="A86" s="44">
        <v>74</v>
      </c>
      <c r="B86" s="10">
        <f t="shared" si="3"/>
        <v>0</v>
      </c>
      <c r="C86" s="10">
        <f t="shared" si="4"/>
        <v>0</v>
      </c>
      <c r="D86" s="10">
        <f t="shared" si="5"/>
        <v>0</v>
      </c>
      <c r="F86" s="10">
        <f t="shared" si="6"/>
        <v>0</v>
      </c>
    </row>
    <row r="87" spans="1:6" ht="14.25" customHeight="1" x14ac:dyDescent="0.3">
      <c r="A87" s="44">
        <v>75</v>
      </c>
      <c r="B87" s="10">
        <f t="shared" si="3"/>
        <v>0</v>
      </c>
      <c r="C87" s="10">
        <f t="shared" si="4"/>
        <v>0</v>
      </c>
      <c r="D87" s="10">
        <f t="shared" si="5"/>
        <v>0</v>
      </c>
      <c r="F87" s="10">
        <f t="shared" si="6"/>
        <v>0</v>
      </c>
    </row>
    <row r="88" spans="1:6" ht="14.25" customHeight="1" x14ac:dyDescent="0.3">
      <c r="A88" s="44">
        <v>76</v>
      </c>
      <c r="B88" s="10">
        <f t="shared" si="3"/>
        <v>0</v>
      </c>
      <c r="C88" s="10">
        <f t="shared" si="4"/>
        <v>0</v>
      </c>
      <c r="D88" s="10">
        <f t="shared" si="5"/>
        <v>0</v>
      </c>
      <c r="F88" s="10">
        <f t="shared" si="6"/>
        <v>0</v>
      </c>
    </row>
    <row r="89" spans="1:6" ht="14.25" customHeight="1" x14ac:dyDescent="0.3">
      <c r="A89" s="44">
        <v>77</v>
      </c>
      <c r="B89" s="10">
        <f t="shared" si="3"/>
        <v>0</v>
      </c>
      <c r="C89" s="10">
        <f t="shared" si="4"/>
        <v>0</v>
      </c>
      <c r="D89" s="10">
        <f t="shared" si="5"/>
        <v>0</v>
      </c>
      <c r="F89" s="10">
        <f t="shared" si="6"/>
        <v>0</v>
      </c>
    </row>
    <row r="90" spans="1:6" ht="14.25" customHeight="1" x14ac:dyDescent="0.3">
      <c r="A90" s="44">
        <v>78</v>
      </c>
      <c r="B90" s="10">
        <f t="shared" si="3"/>
        <v>0</v>
      </c>
      <c r="C90" s="10">
        <f t="shared" si="4"/>
        <v>0</v>
      </c>
      <c r="D90" s="10">
        <f t="shared" si="5"/>
        <v>0</v>
      </c>
      <c r="F90" s="10">
        <f t="shared" si="6"/>
        <v>0</v>
      </c>
    </row>
    <row r="91" spans="1:6" ht="14.25" customHeight="1" x14ac:dyDescent="0.3">
      <c r="A91" s="44">
        <v>79</v>
      </c>
      <c r="B91" s="10">
        <f t="shared" si="3"/>
        <v>0</v>
      </c>
      <c r="C91" s="10">
        <f t="shared" si="4"/>
        <v>0</v>
      </c>
      <c r="D91" s="10">
        <f t="shared" si="5"/>
        <v>0</v>
      </c>
      <c r="F91" s="10">
        <f t="shared" si="6"/>
        <v>0</v>
      </c>
    </row>
    <row r="92" spans="1:6" ht="14.25" customHeight="1" x14ac:dyDescent="0.3">
      <c r="A92" s="44">
        <v>80</v>
      </c>
      <c r="B92" s="10">
        <f t="shared" si="3"/>
        <v>0</v>
      </c>
      <c r="C92" s="10">
        <f t="shared" si="4"/>
        <v>0</v>
      </c>
      <c r="D92" s="10">
        <f t="shared" si="5"/>
        <v>0</v>
      </c>
      <c r="F92" s="10">
        <f t="shared" si="6"/>
        <v>0</v>
      </c>
    </row>
    <row r="93" spans="1:6" ht="14.25" customHeight="1" x14ac:dyDescent="0.3">
      <c r="A93" s="44">
        <v>81</v>
      </c>
      <c r="B93" s="10">
        <f t="shared" si="3"/>
        <v>0</v>
      </c>
      <c r="C93" s="10">
        <f t="shared" si="4"/>
        <v>0</v>
      </c>
      <c r="D93" s="10">
        <f t="shared" si="5"/>
        <v>0</v>
      </c>
      <c r="F93" s="10">
        <f t="shared" si="6"/>
        <v>0</v>
      </c>
    </row>
    <row r="94" spans="1:6" ht="14.25" customHeight="1" x14ac:dyDescent="0.3">
      <c r="A94" s="44">
        <v>82</v>
      </c>
      <c r="B94" s="10">
        <f t="shared" si="3"/>
        <v>0</v>
      </c>
      <c r="C94" s="10">
        <f t="shared" si="4"/>
        <v>0</v>
      </c>
      <c r="D94" s="10">
        <f t="shared" si="5"/>
        <v>0</v>
      </c>
      <c r="F94" s="10">
        <f t="shared" si="6"/>
        <v>0</v>
      </c>
    </row>
    <row r="95" spans="1:6" ht="14.25" customHeight="1" x14ac:dyDescent="0.3">
      <c r="A95" s="44">
        <v>83</v>
      </c>
      <c r="B95" s="10">
        <f t="shared" si="3"/>
        <v>0</v>
      </c>
      <c r="C95" s="10">
        <f t="shared" si="4"/>
        <v>0</v>
      </c>
      <c r="D95" s="10">
        <f t="shared" si="5"/>
        <v>0</v>
      </c>
      <c r="F95" s="10">
        <f t="shared" si="6"/>
        <v>0</v>
      </c>
    </row>
    <row r="96" spans="1:6" ht="14.25" customHeight="1" x14ac:dyDescent="0.3">
      <c r="A96" s="44">
        <v>84</v>
      </c>
      <c r="B96" s="10">
        <f t="shared" si="3"/>
        <v>0</v>
      </c>
      <c r="C96" s="10">
        <f t="shared" si="4"/>
        <v>0</v>
      </c>
      <c r="D96" s="10">
        <f t="shared" si="5"/>
        <v>0</v>
      </c>
      <c r="F96" s="10">
        <f t="shared" si="6"/>
        <v>0</v>
      </c>
    </row>
    <row r="97" spans="1:6" ht="14.25" customHeight="1" x14ac:dyDescent="0.3">
      <c r="A97" s="44">
        <v>85</v>
      </c>
      <c r="B97" s="10">
        <f t="shared" si="3"/>
        <v>0</v>
      </c>
      <c r="C97" s="10">
        <f t="shared" si="4"/>
        <v>0</v>
      </c>
      <c r="D97" s="10">
        <f t="shared" si="5"/>
        <v>0</v>
      </c>
      <c r="F97" s="10">
        <f t="shared" si="6"/>
        <v>0</v>
      </c>
    </row>
    <row r="98" spans="1:6" ht="14.25" customHeight="1" x14ac:dyDescent="0.3">
      <c r="A98" s="44">
        <v>86</v>
      </c>
      <c r="B98" s="10">
        <f t="shared" si="3"/>
        <v>0</v>
      </c>
      <c r="C98" s="10">
        <f t="shared" si="4"/>
        <v>0</v>
      </c>
      <c r="D98" s="10">
        <f t="shared" si="5"/>
        <v>0</v>
      </c>
      <c r="F98" s="10">
        <f t="shared" si="6"/>
        <v>0</v>
      </c>
    </row>
    <row r="99" spans="1:6" ht="14.25" customHeight="1" x14ac:dyDescent="0.3">
      <c r="A99" s="44">
        <v>87</v>
      </c>
      <c r="B99" s="10">
        <f t="shared" si="3"/>
        <v>0</v>
      </c>
      <c r="C99" s="10">
        <f t="shared" si="4"/>
        <v>0</v>
      </c>
      <c r="D99" s="10">
        <f t="shared" si="5"/>
        <v>0</v>
      </c>
      <c r="F99" s="10">
        <f t="shared" si="6"/>
        <v>0</v>
      </c>
    </row>
    <row r="100" spans="1:6" ht="14.25" customHeight="1" x14ac:dyDescent="0.3">
      <c r="A100" s="44">
        <v>88</v>
      </c>
      <c r="B100" s="10">
        <f t="shared" si="3"/>
        <v>0</v>
      </c>
      <c r="C100" s="10">
        <f t="shared" si="4"/>
        <v>0</v>
      </c>
      <c r="D100" s="10">
        <f t="shared" si="5"/>
        <v>0</v>
      </c>
      <c r="F100" s="10">
        <f t="shared" si="6"/>
        <v>0</v>
      </c>
    </row>
    <row r="101" spans="1:6" ht="14.25" customHeight="1" x14ac:dyDescent="0.3">
      <c r="A101" s="44">
        <v>89</v>
      </c>
      <c r="B101" s="10">
        <f t="shared" si="3"/>
        <v>0</v>
      </c>
      <c r="C101" s="10">
        <f t="shared" si="4"/>
        <v>0</v>
      </c>
      <c r="D101" s="10">
        <f t="shared" si="5"/>
        <v>0</v>
      </c>
      <c r="F101" s="10">
        <f t="shared" si="6"/>
        <v>0</v>
      </c>
    </row>
    <row r="102" spans="1:6" ht="14.25" customHeight="1" x14ac:dyDescent="0.3">
      <c r="A102" s="44">
        <v>90</v>
      </c>
      <c r="B102" s="10">
        <f t="shared" si="3"/>
        <v>0</v>
      </c>
      <c r="C102" s="10">
        <f t="shared" si="4"/>
        <v>0</v>
      </c>
      <c r="D102" s="10">
        <f t="shared" si="5"/>
        <v>0</v>
      </c>
      <c r="F102" s="10">
        <f t="shared" si="6"/>
        <v>0</v>
      </c>
    </row>
    <row r="103" spans="1:6" ht="14.25" customHeight="1" x14ac:dyDescent="0.3">
      <c r="A103" s="44">
        <v>91</v>
      </c>
      <c r="B103" s="10">
        <f t="shared" si="3"/>
        <v>0</v>
      </c>
      <c r="C103" s="10">
        <f t="shared" si="4"/>
        <v>0</v>
      </c>
      <c r="D103" s="10">
        <f t="shared" si="5"/>
        <v>0</v>
      </c>
      <c r="F103" s="10">
        <f t="shared" si="6"/>
        <v>0</v>
      </c>
    </row>
    <row r="104" spans="1:6" ht="14.25" customHeight="1" x14ac:dyDescent="0.3">
      <c r="A104" s="44">
        <v>92</v>
      </c>
      <c r="B104" s="10">
        <f t="shared" si="3"/>
        <v>0</v>
      </c>
      <c r="C104" s="10">
        <f t="shared" si="4"/>
        <v>0</v>
      </c>
      <c r="D104" s="10">
        <f t="shared" si="5"/>
        <v>0</v>
      </c>
      <c r="F104" s="10">
        <f t="shared" si="6"/>
        <v>0</v>
      </c>
    </row>
    <row r="105" spans="1:6" ht="14.25" customHeight="1" x14ac:dyDescent="0.3">
      <c r="A105" s="44">
        <v>93</v>
      </c>
      <c r="B105" s="10">
        <f t="shared" si="3"/>
        <v>0</v>
      </c>
      <c r="C105" s="10">
        <f t="shared" si="4"/>
        <v>0</v>
      </c>
      <c r="D105" s="10">
        <f t="shared" si="5"/>
        <v>0</v>
      </c>
      <c r="F105" s="10">
        <f t="shared" si="6"/>
        <v>0</v>
      </c>
    </row>
    <row r="106" spans="1:6" ht="14.25" customHeight="1" x14ac:dyDescent="0.3">
      <c r="A106" s="44">
        <v>94</v>
      </c>
      <c r="B106" s="10">
        <f t="shared" si="3"/>
        <v>0</v>
      </c>
      <c r="C106" s="10">
        <f t="shared" si="4"/>
        <v>0</v>
      </c>
      <c r="D106" s="10">
        <f t="shared" si="5"/>
        <v>0</v>
      </c>
      <c r="F106" s="10">
        <f t="shared" si="6"/>
        <v>0</v>
      </c>
    </row>
    <row r="107" spans="1:6" ht="14.25" customHeight="1" x14ac:dyDescent="0.3">
      <c r="A107" s="44">
        <v>95</v>
      </c>
      <c r="B107" s="10">
        <f t="shared" si="3"/>
        <v>0</v>
      </c>
      <c r="C107" s="10">
        <f t="shared" si="4"/>
        <v>0</v>
      </c>
      <c r="D107" s="10">
        <f t="shared" si="5"/>
        <v>0</v>
      </c>
      <c r="F107" s="10">
        <f t="shared" si="6"/>
        <v>0</v>
      </c>
    </row>
    <row r="108" spans="1:6" ht="14.25" customHeight="1" x14ac:dyDescent="0.3">
      <c r="A108" s="44">
        <v>96</v>
      </c>
      <c r="B108" s="10">
        <f t="shared" si="3"/>
        <v>0</v>
      </c>
      <c r="C108" s="10">
        <f t="shared" si="4"/>
        <v>0</v>
      </c>
      <c r="D108" s="10">
        <f t="shared" si="5"/>
        <v>0</v>
      </c>
      <c r="F108" s="10">
        <f t="shared" si="6"/>
        <v>0</v>
      </c>
    </row>
    <row r="109" spans="1:6" ht="14.25" customHeight="1" x14ac:dyDescent="0.3">
      <c r="A109" s="44">
        <v>97</v>
      </c>
      <c r="B109" s="10">
        <f t="shared" si="3"/>
        <v>0</v>
      </c>
      <c r="C109" s="10">
        <f t="shared" si="4"/>
        <v>0</v>
      </c>
      <c r="D109" s="10">
        <f t="shared" si="5"/>
        <v>0</v>
      </c>
      <c r="F109" s="10">
        <f t="shared" si="6"/>
        <v>0</v>
      </c>
    </row>
    <row r="110" spans="1:6" ht="14.25" customHeight="1" x14ac:dyDescent="0.3">
      <c r="A110" s="44">
        <v>98</v>
      </c>
      <c r="B110" s="10">
        <f t="shared" si="3"/>
        <v>0</v>
      </c>
      <c r="C110" s="10">
        <f t="shared" si="4"/>
        <v>0</v>
      </c>
      <c r="D110" s="10">
        <f t="shared" si="5"/>
        <v>0</v>
      </c>
      <c r="F110" s="10">
        <f t="shared" si="6"/>
        <v>0</v>
      </c>
    </row>
    <row r="111" spans="1:6" ht="14.25" customHeight="1" x14ac:dyDescent="0.3">
      <c r="A111" s="44">
        <v>99</v>
      </c>
      <c r="B111" s="10">
        <f t="shared" si="3"/>
        <v>0</v>
      </c>
      <c r="C111" s="10">
        <f t="shared" si="4"/>
        <v>0</v>
      </c>
      <c r="D111" s="10">
        <f t="shared" si="5"/>
        <v>0</v>
      </c>
      <c r="F111" s="10">
        <f t="shared" si="6"/>
        <v>0</v>
      </c>
    </row>
    <row r="112" spans="1:6" ht="14.25" customHeight="1" x14ac:dyDescent="0.3">
      <c r="A112" s="44">
        <v>100</v>
      </c>
      <c r="B112" s="10">
        <f t="shared" si="3"/>
        <v>0</v>
      </c>
      <c r="C112" s="10">
        <f t="shared" si="4"/>
        <v>0</v>
      </c>
      <c r="D112" s="10">
        <f t="shared" si="5"/>
        <v>0</v>
      </c>
      <c r="F112" s="10">
        <f t="shared" si="6"/>
        <v>0</v>
      </c>
    </row>
    <row r="113" spans="1:6" ht="14.25" customHeight="1" x14ac:dyDescent="0.3">
      <c r="A113" s="44">
        <v>101</v>
      </c>
      <c r="B113" s="10">
        <f t="shared" si="3"/>
        <v>0</v>
      </c>
      <c r="C113" s="10">
        <f t="shared" si="4"/>
        <v>0</v>
      </c>
      <c r="D113" s="10">
        <f t="shared" si="5"/>
        <v>0</v>
      </c>
      <c r="F113" s="10">
        <f t="shared" si="6"/>
        <v>0</v>
      </c>
    </row>
    <row r="114" spans="1:6" ht="14.25" customHeight="1" x14ac:dyDescent="0.3">
      <c r="A114" s="44">
        <v>102</v>
      </c>
      <c r="B114" s="10">
        <f t="shared" si="3"/>
        <v>0</v>
      </c>
      <c r="C114" s="10">
        <f t="shared" si="4"/>
        <v>0</v>
      </c>
      <c r="D114" s="10">
        <f t="shared" si="5"/>
        <v>0</v>
      </c>
      <c r="F114" s="10">
        <f t="shared" si="6"/>
        <v>0</v>
      </c>
    </row>
    <row r="115" spans="1:6" ht="14.25" customHeight="1" x14ac:dyDescent="0.3">
      <c r="A115" s="44">
        <v>103</v>
      </c>
      <c r="B115" s="10">
        <f t="shared" si="3"/>
        <v>0</v>
      </c>
      <c r="C115" s="10">
        <f t="shared" si="4"/>
        <v>0</v>
      </c>
      <c r="D115" s="10">
        <f t="shared" si="5"/>
        <v>0</v>
      </c>
      <c r="F115" s="10">
        <f t="shared" si="6"/>
        <v>0</v>
      </c>
    </row>
    <row r="116" spans="1:6" ht="14.25" customHeight="1" x14ac:dyDescent="0.3">
      <c r="A116" s="44">
        <v>104</v>
      </c>
      <c r="B116" s="10">
        <f t="shared" si="3"/>
        <v>0</v>
      </c>
      <c r="C116" s="10">
        <f t="shared" si="4"/>
        <v>0</v>
      </c>
      <c r="D116" s="10">
        <f t="shared" si="5"/>
        <v>0</v>
      </c>
      <c r="F116" s="10">
        <f t="shared" si="6"/>
        <v>0</v>
      </c>
    </row>
    <row r="117" spans="1:6" ht="14.25" customHeight="1" x14ac:dyDescent="0.3">
      <c r="A117" s="44">
        <v>105</v>
      </c>
      <c r="B117" s="10">
        <f t="shared" si="3"/>
        <v>0</v>
      </c>
      <c r="C117" s="10">
        <f t="shared" si="4"/>
        <v>0</v>
      </c>
      <c r="D117" s="10">
        <f t="shared" si="5"/>
        <v>0</v>
      </c>
      <c r="F117" s="10">
        <f t="shared" si="6"/>
        <v>0</v>
      </c>
    </row>
    <row r="118" spans="1:6" ht="14.25" customHeight="1" x14ac:dyDescent="0.3">
      <c r="A118" s="44">
        <v>106</v>
      </c>
      <c r="B118" s="10">
        <f t="shared" si="3"/>
        <v>0</v>
      </c>
      <c r="C118" s="10">
        <f t="shared" si="4"/>
        <v>0</v>
      </c>
      <c r="D118" s="10">
        <f t="shared" si="5"/>
        <v>0</v>
      </c>
      <c r="F118" s="10">
        <f t="shared" si="6"/>
        <v>0</v>
      </c>
    </row>
    <row r="119" spans="1:6" ht="14.25" customHeight="1" x14ac:dyDescent="0.3">
      <c r="A119" s="44">
        <v>107</v>
      </c>
      <c r="B119" s="10">
        <f t="shared" si="3"/>
        <v>0</v>
      </c>
      <c r="C119" s="10">
        <f t="shared" si="4"/>
        <v>0</v>
      </c>
      <c r="D119" s="10">
        <f t="shared" si="5"/>
        <v>0</v>
      </c>
      <c r="F119" s="10">
        <f t="shared" si="6"/>
        <v>0</v>
      </c>
    </row>
    <row r="120" spans="1:6" ht="14.25" customHeight="1" x14ac:dyDescent="0.3">
      <c r="A120" s="44">
        <v>108</v>
      </c>
      <c r="B120" s="10">
        <f t="shared" si="3"/>
        <v>0</v>
      </c>
      <c r="C120" s="10">
        <f t="shared" si="4"/>
        <v>0</v>
      </c>
      <c r="D120" s="10">
        <f t="shared" si="5"/>
        <v>0</v>
      </c>
      <c r="F120" s="10">
        <f t="shared" si="6"/>
        <v>0</v>
      </c>
    </row>
    <row r="121" spans="1:6" ht="14.25" customHeight="1" x14ac:dyDescent="0.3">
      <c r="A121" s="44">
        <v>109</v>
      </c>
      <c r="B121" s="10">
        <f t="shared" si="3"/>
        <v>0</v>
      </c>
      <c r="C121" s="10">
        <f t="shared" si="4"/>
        <v>0</v>
      </c>
      <c r="D121" s="10">
        <f t="shared" si="5"/>
        <v>0</v>
      </c>
      <c r="F121" s="10">
        <f t="shared" si="6"/>
        <v>0</v>
      </c>
    </row>
    <row r="122" spans="1:6" ht="14.25" customHeight="1" x14ac:dyDescent="0.3">
      <c r="A122" s="44">
        <v>110</v>
      </c>
      <c r="B122" s="10">
        <f t="shared" si="3"/>
        <v>0</v>
      </c>
      <c r="C122" s="10">
        <f t="shared" si="4"/>
        <v>0</v>
      </c>
      <c r="D122" s="10">
        <f t="shared" si="5"/>
        <v>0</v>
      </c>
      <c r="F122" s="10">
        <f t="shared" si="6"/>
        <v>0</v>
      </c>
    </row>
    <row r="123" spans="1:6" ht="14.25" customHeight="1" x14ac:dyDescent="0.3">
      <c r="A123" s="44">
        <v>111</v>
      </c>
      <c r="B123" s="10">
        <f t="shared" si="3"/>
        <v>0</v>
      </c>
      <c r="C123" s="10">
        <f t="shared" si="4"/>
        <v>0</v>
      </c>
      <c r="D123" s="10">
        <f t="shared" si="5"/>
        <v>0</v>
      </c>
      <c r="F123" s="10">
        <f t="shared" si="6"/>
        <v>0</v>
      </c>
    </row>
    <row r="124" spans="1:6" ht="14.25" customHeight="1" x14ac:dyDescent="0.3">
      <c r="A124" s="44">
        <v>112</v>
      </c>
      <c r="B124" s="10">
        <f t="shared" si="3"/>
        <v>0</v>
      </c>
      <c r="C124" s="10">
        <f t="shared" si="4"/>
        <v>0</v>
      </c>
      <c r="D124" s="10">
        <f t="shared" si="5"/>
        <v>0</v>
      </c>
      <c r="F124" s="10">
        <f t="shared" si="6"/>
        <v>0</v>
      </c>
    </row>
    <row r="125" spans="1:6" ht="14.25" customHeight="1" x14ac:dyDescent="0.3">
      <c r="A125" s="44">
        <v>113</v>
      </c>
      <c r="B125" s="10">
        <f t="shared" si="3"/>
        <v>0</v>
      </c>
      <c r="C125" s="10">
        <f t="shared" si="4"/>
        <v>0</v>
      </c>
      <c r="D125" s="10">
        <f t="shared" si="5"/>
        <v>0</v>
      </c>
      <c r="F125" s="10">
        <f t="shared" si="6"/>
        <v>0</v>
      </c>
    </row>
    <row r="126" spans="1:6" ht="14.25" customHeight="1" x14ac:dyDescent="0.3">
      <c r="A126" s="44">
        <v>114</v>
      </c>
      <c r="B126" s="10">
        <f t="shared" si="3"/>
        <v>0</v>
      </c>
      <c r="C126" s="10">
        <f t="shared" si="4"/>
        <v>0</v>
      </c>
      <c r="D126" s="10">
        <f t="shared" si="5"/>
        <v>0</v>
      </c>
      <c r="F126" s="10">
        <f t="shared" si="6"/>
        <v>0</v>
      </c>
    </row>
    <row r="127" spans="1:6" ht="14.25" customHeight="1" x14ac:dyDescent="0.3">
      <c r="A127" s="44">
        <v>115</v>
      </c>
      <c r="B127" s="10">
        <f t="shared" si="3"/>
        <v>0</v>
      </c>
      <c r="C127" s="10">
        <f t="shared" si="4"/>
        <v>0</v>
      </c>
      <c r="D127" s="10">
        <f t="shared" si="5"/>
        <v>0</v>
      </c>
      <c r="F127" s="10">
        <f t="shared" si="6"/>
        <v>0</v>
      </c>
    </row>
    <row r="128" spans="1:6" ht="14.25" customHeight="1" x14ac:dyDescent="0.3">
      <c r="A128" s="44">
        <v>116</v>
      </c>
      <c r="B128" s="10">
        <f t="shared" si="3"/>
        <v>0</v>
      </c>
      <c r="C128" s="10">
        <f t="shared" si="4"/>
        <v>0</v>
      </c>
      <c r="D128" s="10">
        <f t="shared" si="5"/>
        <v>0</v>
      </c>
      <c r="F128" s="10">
        <f t="shared" si="6"/>
        <v>0</v>
      </c>
    </row>
    <row r="129" spans="1:6" ht="14.25" customHeight="1" x14ac:dyDescent="0.3">
      <c r="A129" s="44">
        <v>117</v>
      </c>
      <c r="B129" s="10">
        <f t="shared" si="3"/>
        <v>0</v>
      </c>
      <c r="C129" s="10">
        <f t="shared" si="4"/>
        <v>0</v>
      </c>
      <c r="D129" s="10">
        <f t="shared" si="5"/>
        <v>0</v>
      </c>
      <c r="F129" s="10">
        <f t="shared" si="6"/>
        <v>0</v>
      </c>
    </row>
    <row r="130" spans="1:6" ht="14.25" customHeight="1" x14ac:dyDescent="0.3">
      <c r="A130" s="44">
        <v>118</v>
      </c>
      <c r="B130" s="10">
        <f t="shared" si="3"/>
        <v>0</v>
      </c>
      <c r="C130" s="10">
        <f t="shared" si="4"/>
        <v>0</v>
      </c>
      <c r="D130" s="10">
        <f t="shared" si="5"/>
        <v>0</v>
      </c>
      <c r="F130" s="10">
        <f t="shared" si="6"/>
        <v>0</v>
      </c>
    </row>
    <row r="131" spans="1:6" ht="14.25" customHeight="1" x14ac:dyDescent="0.3">
      <c r="A131" s="44">
        <v>119</v>
      </c>
      <c r="B131" s="10">
        <f t="shared" si="3"/>
        <v>0</v>
      </c>
      <c r="C131" s="10">
        <f t="shared" si="4"/>
        <v>0</v>
      </c>
      <c r="D131" s="10">
        <f t="shared" si="5"/>
        <v>0</v>
      </c>
      <c r="F131" s="10">
        <f t="shared" si="6"/>
        <v>0</v>
      </c>
    </row>
    <row r="132" spans="1:6" ht="14.25" customHeight="1" x14ac:dyDescent="0.3">
      <c r="A132" s="44">
        <v>120</v>
      </c>
      <c r="B132" s="10">
        <f t="shared" si="3"/>
        <v>0</v>
      </c>
      <c r="C132" s="10">
        <f t="shared" si="4"/>
        <v>0</v>
      </c>
      <c r="D132" s="10">
        <f t="shared" si="5"/>
        <v>0</v>
      </c>
      <c r="F132" s="10">
        <f t="shared" si="6"/>
        <v>0</v>
      </c>
    </row>
    <row r="133" spans="1:6" ht="14.25" customHeight="1" x14ac:dyDescent="0.3">
      <c r="A133" s="44">
        <v>121</v>
      </c>
      <c r="B133" s="10">
        <f t="shared" si="3"/>
        <v>0</v>
      </c>
      <c r="C133" s="10">
        <f t="shared" si="4"/>
        <v>0</v>
      </c>
      <c r="D133" s="10">
        <f t="shared" si="5"/>
        <v>0</v>
      </c>
      <c r="F133" s="10">
        <f t="shared" si="6"/>
        <v>0</v>
      </c>
    </row>
    <row r="134" spans="1:6" ht="14.25" customHeight="1" x14ac:dyDescent="0.3">
      <c r="A134" s="44">
        <v>122</v>
      </c>
      <c r="B134" s="10">
        <f t="shared" si="3"/>
        <v>0</v>
      </c>
      <c r="C134" s="10">
        <f t="shared" si="4"/>
        <v>0</v>
      </c>
      <c r="D134" s="10">
        <f t="shared" si="5"/>
        <v>0</v>
      </c>
      <c r="F134" s="10">
        <f t="shared" si="6"/>
        <v>0</v>
      </c>
    </row>
    <row r="135" spans="1:6" ht="14.25" customHeight="1" x14ac:dyDescent="0.3">
      <c r="A135" s="44">
        <v>123</v>
      </c>
      <c r="B135" s="10">
        <f t="shared" si="3"/>
        <v>0</v>
      </c>
      <c r="C135" s="10">
        <f t="shared" si="4"/>
        <v>0</v>
      </c>
      <c r="D135" s="10">
        <f t="shared" si="5"/>
        <v>0</v>
      </c>
      <c r="F135" s="10">
        <f t="shared" si="6"/>
        <v>0</v>
      </c>
    </row>
    <row r="136" spans="1:6" ht="14.25" customHeight="1" x14ac:dyDescent="0.3">
      <c r="A136" s="44">
        <v>124</v>
      </c>
      <c r="B136" s="10">
        <f t="shared" si="3"/>
        <v>0</v>
      </c>
      <c r="C136" s="10">
        <f t="shared" si="4"/>
        <v>0</v>
      </c>
      <c r="D136" s="10">
        <f t="shared" si="5"/>
        <v>0</v>
      </c>
      <c r="F136" s="10">
        <f t="shared" si="6"/>
        <v>0</v>
      </c>
    </row>
    <row r="137" spans="1:6" ht="14.25" customHeight="1" x14ac:dyDescent="0.3">
      <c r="A137" s="44">
        <v>125</v>
      </c>
      <c r="B137" s="10">
        <f t="shared" si="3"/>
        <v>0</v>
      </c>
      <c r="C137" s="10">
        <f t="shared" si="4"/>
        <v>0</v>
      </c>
      <c r="D137" s="10">
        <f t="shared" si="5"/>
        <v>0</v>
      </c>
      <c r="F137" s="10">
        <f t="shared" si="6"/>
        <v>0</v>
      </c>
    </row>
    <row r="138" spans="1:6" ht="14.25" customHeight="1" x14ac:dyDescent="0.3">
      <c r="A138" s="44">
        <v>126</v>
      </c>
      <c r="B138" s="10">
        <f t="shared" si="3"/>
        <v>0</v>
      </c>
      <c r="C138" s="10">
        <f t="shared" si="4"/>
        <v>0</v>
      </c>
      <c r="D138" s="10">
        <f t="shared" si="5"/>
        <v>0</v>
      </c>
      <c r="F138" s="10">
        <f t="shared" si="6"/>
        <v>0</v>
      </c>
    </row>
    <row r="139" spans="1:6" ht="14.25" customHeight="1" x14ac:dyDescent="0.3">
      <c r="A139" s="44">
        <v>127</v>
      </c>
      <c r="B139" s="10">
        <f t="shared" si="3"/>
        <v>0</v>
      </c>
      <c r="C139" s="10">
        <f t="shared" si="4"/>
        <v>0</v>
      </c>
      <c r="D139" s="10">
        <f t="shared" si="5"/>
        <v>0</v>
      </c>
      <c r="F139" s="10">
        <f t="shared" si="6"/>
        <v>0</v>
      </c>
    </row>
    <row r="140" spans="1:6" ht="14.25" customHeight="1" x14ac:dyDescent="0.3">
      <c r="A140" s="44">
        <v>128</v>
      </c>
      <c r="B140" s="10">
        <f t="shared" si="3"/>
        <v>0</v>
      </c>
      <c r="C140" s="10">
        <f t="shared" si="4"/>
        <v>0</v>
      </c>
      <c r="D140" s="10">
        <f t="shared" si="5"/>
        <v>0</v>
      </c>
      <c r="F140" s="10">
        <f t="shared" si="6"/>
        <v>0</v>
      </c>
    </row>
    <row r="141" spans="1:6" ht="14.25" customHeight="1" x14ac:dyDescent="0.3">
      <c r="A141" s="44">
        <v>129</v>
      </c>
      <c r="B141" s="10">
        <f t="shared" si="3"/>
        <v>0</v>
      </c>
      <c r="C141" s="10">
        <f t="shared" si="4"/>
        <v>0</v>
      </c>
      <c r="D141" s="10">
        <f t="shared" si="5"/>
        <v>0</v>
      </c>
      <c r="F141" s="10">
        <f t="shared" si="6"/>
        <v>0</v>
      </c>
    </row>
    <row r="142" spans="1:6" ht="14.25" customHeight="1" x14ac:dyDescent="0.3">
      <c r="A142" s="44">
        <v>130</v>
      </c>
      <c r="B142" s="10">
        <f t="shared" si="3"/>
        <v>0</v>
      </c>
      <c r="C142" s="10">
        <f t="shared" si="4"/>
        <v>0</v>
      </c>
      <c r="D142" s="10">
        <f t="shared" si="5"/>
        <v>0</v>
      </c>
      <c r="F142" s="10">
        <f t="shared" si="6"/>
        <v>0</v>
      </c>
    </row>
    <row r="143" spans="1:6" ht="14.25" customHeight="1" x14ac:dyDescent="0.3">
      <c r="A143" s="44">
        <v>131</v>
      </c>
      <c r="B143" s="10">
        <f t="shared" si="3"/>
        <v>0</v>
      </c>
      <c r="C143" s="10">
        <f t="shared" si="4"/>
        <v>0</v>
      </c>
      <c r="D143" s="10">
        <f t="shared" si="5"/>
        <v>0</v>
      </c>
      <c r="F143" s="10">
        <f t="shared" si="6"/>
        <v>0</v>
      </c>
    </row>
    <row r="144" spans="1:6" ht="14.25" customHeight="1" x14ac:dyDescent="0.3">
      <c r="A144" s="44">
        <v>132</v>
      </c>
      <c r="B144" s="10">
        <f t="shared" si="3"/>
        <v>0</v>
      </c>
      <c r="C144" s="10">
        <f t="shared" si="4"/>
        <v>0</v>
      </c>
      <c r="D144" s="10">
        <f t="shared" si="5"/>
        <v>0</v>
      </c>
      <c r="F144" s="10">
        <f t="shared" si="6"/>
        <v>0</v>
      </c>
    </row>
    <row r="145" spans="1:6" ht="14.25" customHeight="1" x14ac:dyDescent="0.3">
      <c r="A145" s="44">
        <v>133</v>
      </c>
      <c r="B145" s="10">
        <f t="shared" si="3"/>
        <v>0</v>
      </c>
      <c r="C145" s="10">
        <f t="shared" si="4"/>
        <v>0</v>
      </c>
      <c r="D145" s="10">
        <f t="shared" si="5"/>
        <v>0</v>
      </c>
      <c r="F145" s="10">
        <f t="shared" si="6"/>
        <v>0</v>
      </c>
    </row>
    <row r="146" spans="1:6" ht="14.25" customHeight="1" x14ac:dyDescent="0.3">
      <c r="A146" s="44">
        <v>134</v>
      </c>
      <c r="B146" s="10">
        <f t="shared" si="3"/>
        <v>0</v>
      </c>
      <c r="C146" s="10">
        <f t="shared" si="4"/>
        <v>0</v>
      </c>
      <c r="D146" s="10">
        <f t="shared" si="5"/>
        <v>0</v>
      </c>
      <c r="F146" s="10">
        <f t="shared" si="6"/>
        <v>0</v>
      </c>
    </row>
    <row r="147" spans="1:6" ht="14.25" customHeight="1" x14ac:dyDescent="0.3">
      <c r="A147" s="44">
        <v>135</v>
      </c>
      <c r="B147" s="10">
        <f t="shared" si="3"/>
        <v>0</v>
      </c>
      <c r="C147" s="10">
        <f t="shared" si="4"/>
        <v>0</v>
      </c>
      <c r="D147" s="10">
        <f t="shared" si="5"/>
        <v>0</v>
      </c>
      <c r="F147" s="10">
        <f t="shared" si="6"/>
        <v>0</v>
      </c>
    </row>
    <row r="148" spans="1:6" ht="14.25" customHeight="1" x14ac:dyDescent="0.3">
      <c r="A148" s="44">
        <v>136</v>
      </c>
      <c r="B148" s="10">
        <f t="shared" si="3"/>
        <v>0</v>
      </c>
      <c r="C148" s="10">
        <f t="shared" si="4"/>
        <v>0</v>
      </c>
      <c r="D148" s="10">
        <f t="shared" si="5"/>
        <v>0</v>
      </c>
      <c r="F148" s="10">
        <f t="shared" si="6"/>
        <v>0</v>
      </c>
    </row>
    <row r="149" spans="1:6" ht="14.25" customHeight="1" x14ac:dyDescent="0.3">
      <c r="A149" s="44">
        <v>137</v>
      </c>
      <c r="B149" s="10">
        <f t="shared" si="3"/>
        <v>0</v>
      </c>
      <c r="C149" s="10">
        <f t="shared" si="4"/>
        <v>0</v>
      </c>
      <c r="D149" s="10">
        <f t="shared" si="5"/>
        <v>0</v>
      </c>
      <c r="F149" s="10">
        <f t="shared" si="6"/>
        <v>0</v>
      </c>
    </row>
    <row r="150" spans="1:6" ht="14.25" customHeight="1" x14ac:dyDescent="0.3">
      <c r="A150" s="44">
        <v>138</v>
      </c>
      <c r="B150" s="10">
        <f t="shared" si="3"/>
        <v>0</v>
      </c>
      <c r="C150" s="10">
        <f t="shared" si="4"/>
        <v>0</v>
      </c>
      <c r="D150" s="10">
        <f t="shared" si="5"/>
        <v>0</v>
      </c>
      <c r="F150" s="10">
        <f t="shared" si="6"/>
        <v>0</v>
      </c>
    </row>
    <row r="151" spans="1:6" ht="14.25" customHeight="1" x14ac:dyDescent="0.3">
      <c r="A151" s="44">
        <v>139</v>
      </c>
      <c r="B151" s="10">
        <f t="shared" si="3"/>
        <v>0</v>
      </c>
      <c r="C151" s="10">
        <f t="shared" si="4"/>
        <v>0</v>
      </c>
      <c r="D151" s="10">
        <f t="shared" si="5"/>
        <v>0</v>
      </c>
      <c r="F151" s="10">
        <f t="shared" si="6"/>
        <v>0</v>
      </c>
    </row>
    <row r="152" spans="1:6" ht="14.25" customHeight="1" x14ac:dyDescent="0.3">
      <c r="A152" s="44">
        <v>140</v>
      </c>
      <c r="B152" s="10">
        <f t="shared" si="3"/>
        <v>0</v>
      </c>
      <c r="C152" s="10">
        <f t="shared" si="4"/>
        <v>0</v>
      </c>
      <c r="D152" s="10">
        <f t="shared" si="5"/>
        <v>0</v>
      </c>
      <c r="F152" s="10">
        <f t="shared" si="6"/>
        <v>0</v>
      </c>
    </row>
    <row r="153" spans="1:6" ht="14.25" customHeight="1" x14ac:dyDescent="0.3">
      <c r="A153" s="44">
        <v>141</v>
      </c>
      <c r="B153" s="10">
        <f t="shared" si="3"/>
        <v>0</v>
      </c>
      <c r="C153" s="10">
        <f t="shared" si="4"/>
        <v>0</v>
      </c>
      <c r="D153" s="10">
        <f t="shared" si="5"/>
        <v>0</v>
      </c>
      <c r="F153" s="10">
        <f t="shared" si="6"/>
        <v>0</v>
      </c>
    </row>
    <row r="154" spans="1:6" ht="14.25" customHeight="1" x14ac:dyDescent="0.3">
      <c r="A154" s="44">
        <v>142</v>
      </c>
      <c r="B154" s="10">
        <f t="shared" si="3"/>
        <v>0</v>
      </c>
      <c r="C154" s="10">
        <f t="shared" si="4"/>
        <v>0</v>
      </c>
      <c r="D154" s="10">
        <f t="shared" si="5"/>
        <v>0</v>
      </c>
      <c r="F154" s="10">
        <f t="shared" si="6"/>
        <v>0</v>
      </c>
    </row>
    <row r="155" spans="1:6" ht="14.25" customHeight="1" x14ac:dyDescent="0.3">
      <c r="A155" s="44">
        <v>143</v>
      </c>
      <c r="B155" s="10">
        <f t="shared" si="3"/>
        <v>0</v>
      </c>
      <c r="C155" s="10">
        <f t="shared" si="4"/>
        <v>0</v>
      </c>
      <c r="D155" s="10">
        <f t="shared" si="5"/>
        <v>0</v>
      </c>
      <c r="F155" s="10">
        <f t="shared" si="6"/>
        <v>0</v>
      </c>
    </row>
    <row r="156" spans="1:6" ht="14.25" customHeight="1" x14ac:dyDescent="0.3">
      <c r="A156" s="44">
        <v>144</v>
      </c>
      <c r="B156" s="10">
        <f t="shared" si="3"/>
        <v>0</v>
      </c>
      <c r="C156" s="10">
        <f t="shared" si="4"/>
        <v>0</v>
      </c>
      <c r="D156" s="10">
        <f t="shared" si="5"/>
        <v>0</v>
      </c>
      <c r="F156" s="10">
        <f t="shared" si="6"/>
        <v>0</v>
      </c>
    </row>
    <row r="157" spans="1:6" ht="14.25" customHeight="1" x14ac:dyDescent="0.3">
      <c r="A157" s="44">
        <v>145</v>
      </c>
      <c r="B157" s="10">
        <f t="shared" si="3"/>
        <v>0</v>
      </c>
      <c r="C157" s="10">
        <f t="shared" si="4"/>
        <v>0</v>
      </c>
      <c r="D157" s="10">
        <f t="shared" si="5"/>
        <v>0</v>
      </c>
      <c r="F157" s="10">
        <f t="shared" si="6"/>
        <v>0</v>
      </c>
    </row>
    <row r="158" spans="1:6" ht="14.25" customHeight="1" x14ac:dyDescent="0.3">
      <c r="A158" s="44">
        <v>146</v>
      </c>
      <c r="B158" s="10">
        <f t="shared" si="3"/>
        <v>0</v>
      </c>
      <c r="C158" s="10">
        <f t="shared" si="4"/>
        <v>0</v>
      </c>
      <c r="D158" s="10">
        <f t="shared" si="5"/>
        <v>0</v>
      </c>
      <c r="F158" s="10">
        <f t="shared" si="6"/>
        <v>0</v>
      </c>
    </row>
    <row r="159" spans="1:6" ht="14.25" customHeight="1" x14ac:dyDescent="0.3">
      <c r="A159" s="44">
        <v>147</v>
      </c>
      <c r="B159" s="10">
        <f t="shared" si="3"/>
        <v>0</v>
      </c>
      <c r="C159" s="10">
        <f t="shared" si="4"/>
        <v>0</v>
      </c>
      <c r="D159" s="10">
        <f t="shared" si="5"/>
        <v>0</v>
      </c>
      <c r="F159" s="10">
        <f t="shared" si="6"/>
        <v>0</v>
      </c>
    </row>
    <row r="160" spans="1:6" ht="14.25" customHeight="1" x14ac:dyDescent="0.3">
      <c r="A160" s="44">
        <v>148</v>
      </c>
      <c r="B160" s="10">
        <f t="shared" si="3"/>
        <v>0</v>
      </c>
      <c r="C160" s="10">
        <f t="shared" si="4"/>
        <v>0</v>
      </c>
      <c r="D160" s="10">
        <f t="shared" si="5"/>
        <v>0</v>
      </c>
      <c r="F160" s="10">
        <f t="shared" si="6"/>
        <v>0</v>
      </c>
    </row>
    <row r="161" spans="1:6" ht="14.25" customHeight="1" x14ac:dyDescent="0.3">
      <c r="A161" s="44">
        <v>149</v>
      </c>
      <c r="B161" s="10">
        <f t="shared" si="3"/>
        <v>0</v>
      </c>
      <c r="C161" s="10">
        <f t="shared" si="4"/>
        <v>0</v>
      </c>
      <c r="D161" s="10">
        <f t="shared" si="5"/>
        <v>0</v>
      </c>
      <c r="F161" s="10">
        <f t="shared" si="6"/>
        <v>0</v>
      </c>
    </row>
    <row r="162" spans="1:6" ht="14.25" customHeight="1" x14ac:dyDescent="0.3">
      <c r="A162" s="44">
        <v>150</v>
      </c>
      <c r="B162" s="10">
        <f t="shared" si="3"/>
        <v>0</v>
      </c>
      <c r="C162" s="10">
        <f t="shared" si="4"/>
        <v>0</v>
      </c>
      <c r="D162" s="10">
        <f t="shared" si="5"/>
        <v>0</v>
      </c>
      <c r="F162" s="10">
        <f t="shared" si="6"/>
        <v>0</v>
      </c>
    </row>
    <row r="163" spans="1:6" ht="14.25" customHeight="1" x14ac:dyDescent="0.3">
      <c r="A163" s="44">
        <v>151</v>
      </c>
      <c r="B163" s="10">
        <f t="shared" si="3"/>
        <v>0</v>
      </c>
      <c r="C163" s="10">
        <f t="shared" si="4"/>
        <v>0</v>
      </c>
      <c r="D163" s="10">
        <f t="shared" si="5"/>
        <v>0</v>
      </c>
      <c r="F163" s="10">
        <f t="shared" si="6"/>
        <v>0</v>
      </c>
    </row>
    <row r="164" spans="1:6" ht="14.25" customHeight="1" x14ac:dyDescent="0.3">
      <c r="A164" s="44">
        <v>152</v>
      </c>
      <c r="B164" s="10">
        <f t="shared" si="3"/>
        <v>0</v>
      </c>
      <c r="C164" s="10">
        <f t="shared" si="4"/>
        <v>0</v>
      </c>
      <c r="D164" s="10">
        <f t="shared" si="5"/>
        <v>0</v>
      </c>
      <c r="F164" s="10">
        <f t="shared" si="6"/>
        <v>0</v>
      </c>
    </row>
    <row r="165" spans="1:6" ht="14.25" customHeight="1" x14ac:dyDescent="0.3">
      <c r="A165" s="44">
        <v>153</v>
      </c>
      <c r="B165" s="10">
        <f t="shared" si="3"/>
        <v>0</v>
      </c>
      <c r="C165" s="10">
        <f t="shared" si="4"/>
        <v>0</v>
      </c>
      <c r="D165" s="10">
        <f t="shared" si="5"/>
        <v>0</v>
      </c>
      <c r="F165" s="10">
        <f t="shared" si="6"/>
        <v>0</v>
      </c>
    </row>
    <row r="166" spans="1:6" ht="14.25" customHeight="1" x14ac:dyDescent="0.3">
      <c r="A166" s="44">
        <v>154</v>
      </c>
      <c r="B166" s="10">
        <f t="shared" si="3"/>
        <v>0</v>
      </c>
      <c r="C166" s="10">
        <f t="shared" si="4"/>
        <v>0</v>
      </c>
      <c r="D166" s="10">
        <f t="shared" si="5"/>
        <v>0</v>
      </c>
      <c r="F166" s="10">
        <f t="shared" si="6"/>
        <v>0</v>
      </c>
    </row>
    <row r="167" spans="1:6" ht="14.25" customHeight="1" x14ac:dyDescent="0.3">
      <c r="A167" s="44">
        <v>155</v>
      </c>
      <c r="B167" s="10">
        <f t="shared" si="3"/>
        <v>0</v>
      </c>
      <c r="C167" s="10">
        <f t="shared" si="4"/>
        <v>0</v>
      </c>
      <c r="D167" s="10">
        <f t="shared" si="5"/>
        <v>0</v>
      </c>
      <c r="F167" s="10">
        <f t="shared" si="6"/>
        <v>0</v>
      </c>
    </row>
    <row r="168" spans="1:6" ht="14.25" customHeight="1" x14ac:dyDescent="0.3">
      <c r="A168" s="44">
        <v>156</v>
      </c>
      <c r="B168" s="10">
        <f t="shared" si="3"/>
        <v>0</v>
      </c>
      <c r="C168" s="10">
        <f t="shared" si="4"/>
        <v>0</v>
      </c>
      <c r="D168" s="10">
        <f t="shared" si="5"/>
        <v>0</v>
      </c>
      <c r="F168" s="10">
        <f t="shared" si="6"/>
        <v>0</v>
      </c>
    </row>
    <row r="169" spans="1:6" ht="14.25" customHeight="1" x14ac:dyDescent="0.3">
      <c r="A169" s="44">
        <v>157</v>
      </c>
      <c r="B169" s="10">
        <f t="shared" si="3"/>
        <v>0</v>
      </c>
      <c r="C169" s="10">
        <f t="shared" si="4"/>
        <v>0</v>
      </c>
      <c r="D169" s="10">
        <f t="shared" si="5"/>
        <v>0</v>
      </c>
      <c r="F169" s="10">
        <f t="shared" si="6"/>
        <v>0</v>
      </c>
    </row>
    <row r="170" spans="1:6" ht="14.25" customHeight="1" x14ac:dyDescent="0.3">
      <c r="A170" s="44">
        <v>158</v>
      </c>
      <c r="B170" s="12">
        <f t="shared" si="3"/>
        <v>0</v>
      </c>
      <c r="C170" s="12">
        <f t="shared" si="4"/>
        <v>0</v>
      </c>
      <c r="D170" s="12">
        <f t="shared" si="5"/>
        <v>0</v>
      </c>
      <c r="F170" s="10">
        <f t="shared" si="6"/>
        <v>0</v>
      </c>
    </row>
    <row r="171" spans="1:6" ht="14.25" customHeight="1" x14ac:dyDescent="0.3">
      <c r="A171" s="44">
        <v>159</v>
      </c>
      <c r="B171" s="12">
        <f t="shared" si="3"/>
        <v>0</v>
      </c>
      <c r="C171" s="12">
        <f t="shared" si="4"/>
        <v>0</v>
      </c>
      <c r="D171" s="12">
        <f t="shared" si="5"/>
        <v>0</v>
      </c>
      <c r="F171" s="10">
        <f t="shared" si="6"/>
        <v>0</v>
      </c>
    </row>
    <row r="172" spans="1:6" ht="14.25" customHeight="1" x14ac:dyDescent="0.3">
      <c r="A172" s="44">
        <v>160</v>
      </c>
      <c r="B172" s="12">
        <f t="shared" si="3"/>
        <v>0</v>
      </c>
      <c r="C172" s="12">
        <f t="shared" si="4"/>
        <v>0</v>
      </c>
      <c r="D172" s="12">
        <f t="shared" si="5"/>
        <v>0</v>
      </c>
      <c r="F172" s="10">
        <f t="shared" si="6"/>
        <v>0</v>
      </c>
    </row>
    <row r="173" spans="1:6" ht="14.25" customHeight="1" x14ac:dyDescent="0.3">
      <c r="A173" s="44">
        <v>161</v>
      </c>
      <c r="B173" s="12">
        <f t="shared" si="3"/>
        <v>0</v>
      </c>
      <c r="C173" s="12">
        <f t="shared" si="4"/>
        <v>0</v>
      </c>
      <c r="D173" s="12">
        <f t="shared" si="5"/>
        <v>0</v>
      </c>
      <c r="F173" s="10">
        <f t="shared" si="6"/>
        <v>0</v>
      </c>
    </row>
    <row r="174" spans="1:6" ht="14.25" customHeight="1" x14ac:dyDescent="0.3">
      <c r="A174" s="44">
        <v>162</v>
      </c>
      <c r="B174" s="12">
        <f t="shared" si="3"/>
        <v>0</v>
      </c>
      <c r="C174" s="12">
        <f t="shared" si="4"/>
        <v>0</v>
      </c>
      <c r="D174" s="12">
        <f t="shared" si="5"/>
        <v>0</v>
      </c>
      <c r="F174" s="10">
        <f t="shared" si="6"/>
        <v>0</v>
      </c>
    </row>
    <row r="175" spans="1:6" ht="14.25" customHeight="1" x14ac:dyDescent="0.3">
      <c r="A175" s="44">
        <v>163</v>
      </c>
      <c r="B175" s="12">
        <f t="shared" si="3"/>
        <v>0</v>
      </c>
      <c r="C175" s="12">
        <f t="shared" si="4"/>
        <v>0</v>
      </c>
      <c r="D175" s="12">
        <f t="shared" si="5"/>
        <v>0</v>
      </c>
      <c r="F175" s="10">
        <f t="shared" si="6"/>
        <v>0</v>
      </c>
    </row>
    <row r="176" spans="1:6" ht="14.25" customHeight="1" x14ac:dyDescent="0.3">
      <c r="A176" s="44">
        <v>164</v>
      </c>
      <c r="B176" s="12">
        <f t="shared" si="3"/>
        <v>0</v>
      </c>
      <c r="C176" s="12">
        <f t="shared" si="4"/>
        <v>0</v>
      </c>
      <c r="D176" s="12">
        <f t="shared" si="5"/>
        <v>0</v>
      </c>
      <c r="F176" s="10">
        <f t="shared" si="6"/>
        <v>0</v>
      </c>
    </row>
    <row r="177" spans="1:6" ht="14.25" customHeight="1" x14ac:dyDescent="0.3">
      <c r="A177" s="44">
        <v>165</v>
      </c>
      <c r="B177" s="12">
        <f t="shared" si="3"/>
        <v>0</v>
      </c>
      <c r="C177" s="12">
        <f t="shared" si="4"/>
        <v>0</v>
      </c>
      <c r="D177" s="12">
        <f t="shared" si="5"/>
        <v>0</v>
      </c>
      <c r="F177" s="10">
        <f t="shared" si="6"/>
        <v>0</v>
      </c>
    </row>
    <row r="178" spans="1:6" ht="14.25" customHeight="1" x14ac:dyDescent="0.3">
      <c r="A178" s="44">
        <v>166</v>
      </c>
      <c r="B178" s="12">
        <f t="shared" si="3"/>
        <v>0</v>
      </c>
      <c r="C178" s="12">
        <f t="shared" si="4"/>
        <v>0</v>
      </c>
      <c r="D178" s="12">
        <f t="shared" si="5"/>
        <v>0</v>
      </c>
      <c r="F178" s="10">
        <f t="shared" si="6"/>
        <v>0</v>
      </c>
    </row>
    <row r="179" spans="1:6" ht="14.25" customHeight="1" x14ac:dyDescent="0.3">
      <c r="A179" s="44">
        <v>167</v>
      </c>
      <c r="B179" s="12">
        <f t="shared" si="3"/>
        <v>0</v>
      </c>
      <c r="C179" s="12">
        <f t="shared" si="4"/>
        <v>0</v>
      </c>
      <c r="D179" s="12">
        <f t="shared" si="5"/>
        <v>0</v>
      </c>
      <c r="F179" s="10">
        <f t="shared" si="6"/>
        <v>0</v>
      </c>
    </row>
    <row r="180" spans="1:6" ht="14.25" customHeight="1" x14ac:dyDescent="0.3">
      <c r="A180" s="44">
        <v>168</v>
      </c>
      <c r="B180" s="12">
        <f t="shared" si="3"/>
        <v>0</v>
      </c>
      <c r="C180" s="12">
        <f t="shared" si="4"/>
        <v>0</v>
      </c>
      <c r="D180" s="12">
        <f t="shared" si="5"/>
        <v>0</v>
      </c>
      <c r="F180" s="10">
        <f t="shared" si="6"/>
        <v>0</v>
      </c>
    </row>
    <row r="181" spans="1:6" ht="14.25" customHeight="1" x14ac:dyDescent="0.3">
      <c r="A181" s="44">
        <v>169</v>
      </c>
      <c r="B181" s="12">
        <f t="shared" si="3"/>
        <v>0</v>
      </c>
      <c r="C181" s="12">
        <f t="shared" si="4"/>
        <v>0</v>
      </c>
      <c r="D181" s="12">
        <f t="shared" si="5"/>
        <v>0</v>
      </c>
      <c r="F181" s="10">
        <f t="shared" si="6"/>
        <v>0</v>
      </c>
    </row>
    <row r="182" spans="1:6" ht="14.25" customHeight="1" x14ac:dyDescent="0.3">
      <c r="A182" s="44">
        <v>170</v>
      </c>
      <c r="B182" s="12">
        <f t="shared" si="3"/>
        <v>0</v>
      </c>
      <c r="C182" s="12">
        <f t="shared" si="4"/>
        <v>0</v>
      </c>
      <c r="D182" s="12">
        <f t="shared" si="5"/>
        <v>0</v>
      </c>
      <c r="F182" s="10">
        <f t="shared" si="6"/>
        <v>0</v>
      </c>
    </row>
    <row r="183" spans="1:6" ht="14.25" customHeight="1" x14ac:dyDescent="0.3">
      <c r="A183" s="44">
        <v>171</v>
      </c>
      <c r="B183" s="12">
        <f t="shared" si="3"/>
        <v>0</v>
      </c>
      <c r="C183" s="12">
        <f t="shared" si="4"/>
        <v>0</v>
      </c>
      <c r="D183" s="12">
        <f t="shared" si="5"/>
        <v>0</v>
      </c>
      <c r="F183" s="10">
        <f t="shared" si="6"/>
        <v>0</v>
      </c>
    </row>
    <row r="184" spans="1:6" ht="14.25" customHeight="1" x14ac:dyDescent="0.3">
      <c r="A184" s="44">
        <v>172</v>
      </c>
      <c r="B184" s="12">
        <f t="shared" si="3"/>
        <v>0</v>
      </c>
      <c r="C184" s="12">
        <f t="shared" si="4"/>
        <v>0</v>
      </c>
      <c r="D184" s="12">
        <f t="shared" si="5"/>
        <v>0</v>
      </c>
      <c r="F184" s="10">
        <f t="shared" si="6"/>
        <v>0</v>
      </c>
    </row>
    <row r="185" spans="1:6" ht="14.25" customHeight="1" x14ac:dyDescent="0.3">
      <c r="A185" s="44">
        <v>173</v>
      </c>
      <c r="B185" s="12">
        <f t="shared" si="3"/>
        <v>0</v>
      </c>
      <c r="C185" s="12">
        <f t="shared" si="4"/>
        <v>0</v>
      </c>
      <c r="D185" s="12">
        <f t="shared" si="5"/>
        <v>0</v>
      </c>
      <c r="F185" s="10">
        <f t="shared" si="6"/>
        <v>0</v>
      </c>
    </row>
    <row r="186" spans="1:6" ht="14.25" customHeight="1" x14ac:dyDescent="0.3">
      <c r="A186" s="44">
        <v>174</v>
      </c>
      <c r="B186" s="12">
        <f t="shared" si="3"/>
        <v>0</v>
      </c>
      <c r="C186" s="12">
        <f t="shared" si="4"/>
        <v>0</v>
      </c>
      <c r="D186" s="12">
        <f t="shared" si="5"/>
        <v>0</v>
      </c>
      <c r="F186" s="10">
        <f t="shared" si="6"/>
        <v>0</v>
      </c>
    </row>
    <row r="187" spans="1:6" ht="14.25" customHeight="1" x14ac:dyDescent="0.3">
      <c r="A187" s="44">
        <v>175</v>
      </c>
      <c r="B187" s="12">
        <f t="shared" si="3"/>
        <v>0</v>
      </c>
      <c r="C187" s="12">
        <f t="shared" si="4"/>
        <v>0</v>
      </c>
      <c r="D187" s="12">
        <f t="shared" si="5"/>
        <v>0</v>
      </c>
      <c r="F187" s="10">
        <f t="shared" si="6"/>
        <v>0</v>
      </c>
    </row>
    <row r="188" spans="1:6" ht="14.25" customHeight="1" x14ac:dyDescent="0.3">
      <c r="A188" s="44">
        <v>176</v>
      </c>
      <c r="B188" s="12">
        <f t="shared" si="3"/>
        <v>0</v>
      </c>
      <c r="C188" s="12">
        <f t="shared" si="4"/>
        <v>0</v>
      </c>
      <c r="D188" s="12">
        <f t="shared" si="5"/>
        <v>0</v>
      </c>
      <c r="F188" s="10">
        <f t="shared" si="6"/>
        <v>0</v>
      </c>
    </row>
    <row r="189" spans="1:6" ht="14.25" customHeight="1" x14ac:dyDescent="0.3">
      <c r="A189" s="44">
        <v>177</v>
      </c>
      <c r="B189" s="12">
        <f t="shared" si="3"/>
        <v>0</v>
      </c>
      <c r="C189" s="12">
        <f t="shared" si="4"/>
        <v>0</v>
      </c>
      <c r="D189" s="12">
        <f t="shared" si="5"/>
        <v>0</v>
      </c>
      <c r="F189" s="10">
        <f t="shared" si="6"/>
        <v>0</v>
      </c>
    </row>
    <row r="190" spans="1:6" ht="14.25" customHeight="1" x14ac:dyDescent="0.3">
      <c r="A190" s="44">
        <v>178</v>
      </c>
      <c r="B190" s="12">
        <f t="shared" si="3"/>
        <v>0</v>
      </c>
      <c r="C190" s="12">
        <f t="shared" si="4"/>
        <v>0</v>
      </c>
      <c r="D190" s="12">
        <f t="shared" si="5"/>
        <v>0</v>
      </c>
      <c r="F190" s="10">
        <f t="shared" si="6"/>
        <v>0</v>
      </c>
    </row>
    <row r="191" spans="1:6" ht="14.25" customHeight="1" x14ac:dyDescent="0.3">
      <c r="A191" s="44">
        <v>179</v>
      </c>
      <c r="B191" s="12">
        <f t="shared" si="3"/>
        <v>0</v>
      </c>
      <c r="C191" s="12">
        <f t="shared" si="4"/>
        <v>0</v>
      </c>
      <c r="D191" s="12">
        <f t="shared" si="5"/>
        <v>0</v>
      </c>
      <c r="F191" s="10">
        <f t="shared" si="6"/>
        <v>0</v>
      </c>
    </row>
    <row r="192" spans="1:6" ht="14.25" customHeight="1" x14ac:dyDescent="0.3">
      <c r="A192" s="44">
        <v>180</v>
      </c>
      <c r="B192" s="12">
        <f t="shared" si="3"/>
        <v>0</v>
      </c>
      <c r="C192" s="12">
        <f t="shared" si="4"/>
        <v>0</v>
      </c>
      <c r="D192" s="12">
        <f t="shared" si="5"/>
        <v>0</v>
      </c>
      <c r="F192" s="10">
        <f t="shared" si="6"/>
        <v>0</v>
      </c>
    </row>
    <row r="193" spans="1:6" ht="14.25" customHeight="1" x14ac:dyDescent="0.3">
      <c r="A193" s="44">
        <v>181</v>
      </c>
      <c r="B193" s="12">
        <f t="shared" si="3"/>
        <v>0</v>
      </c>
      <c r="C193" s="12">
        <f t="shared" si="4"/>
        <v>0</v>
      </c>
      <c r="D193" s="12">
        <f t="shared" si="5"/>
        <v>0</v>
      </c>
      <c r="F193" s="10">
        <f t="shared" si="6"/>
        <v>0</v>
      </c>
    </row>
    <row r="194" spans="1:6" ht="14.25" customHeight="1" x14ac:dyDescent="0.3">
      <c r="A194" s="44">
        <v>182</v>
      </c>
      <c r="B194" s="12">
        <f t="shared" si="3"/>
        <v>0</v>
      </c>
      <c r="C194" s="12">
        <f t="shared" si="4"/>
        <v>0</v>
      </c>
      <c r="D194" s="12">
        <f t="shared" si="5"/>
        <v>0</v>
      </c>
      <c r="F194" s="10">
        <f t="shared" si="6"/>
        <v>0</v>
      </c>
    </row>
    <row r="195" spans="1:6" ht="14.25" customHeight="1" x14ac:dyDescent="0.3">
      <c r="A195" s="44">
        <v>183</v>
      </c>
      <c r="B195" s="12">
        <f t="shared" si="3"/>
        <v>0</v>
      </c>
      <c r="C195" s="12">
        <f t="shared" si="4"/>
        <v>0</v>
      </c>
      <c r="D195" s="12">
        <f t="shared" si="5"/>
        <v>0</v>
      </c>
      <c r="F195" s="10">
        <f t="shared" si="6"/>
        <v>0</v>
      </c>
    </row>
    <row r="196" spans="1:6" ht="14.25" customHeight="1" x14ac:dyDescent="0.3">
      <c r="A196" s="44">
        <v>184</v>
      </c>
      <c r="B196" s="12">
        <f t="shared" si="3"/>
        <v>0</v>
      </c>
      <c r="C196" s="12">
        <f t="shared" si="4"/>
        <v>0</v>
      </c>
      <c r="D196" s="12">
        <f t="shared" si="5"/>
        <v>0</v>
      </c>
      <c r="F196" s="10">
        <f t="shared" si="6"/>
        <v>0</v>
      </c>
    </row>
    <row r="197" spans="1:6" ht="14.25" customHeight="1" x14ac:dyDescent="0.3">
      <c r="A197" s="44">
        <v>185</v>
      </c>
      <c r="B197" s="12">
        <f t="shared" si="3"/>
        <v>0</v>
      </c>
      <c r="C197" s="12">
        <f t="shared" si="4"/>
        <v>0</v>
      </c>
      <c r="D197" s="12">
        <f t="shared" si="5"/>
        <v>0</v>
      </c>
      <c r="F197" s="10">
        <f t="shared" si="6"/>
        <v>0</v>
      </c>
    </row>
    <row r="198" spans="1:6" ht="14.25" customHeight="1" x14ac:dyDescent="0.3">
      <c r="A198" s="44">
        <v>186</v>
      </c>
      <c r="B198" s="12">
        <f t="shared" si="3"/>
        <v>0</v>
      </c>
      <c r="C198" s="12">
        <f t="shared" si="4"/>
        <v>0</v>
      </c>
      <c r="D198" s="12">
        <f t="shared" si="5"/>
        <v>0</v>
      </c>
      <c r="F198" s="10">
        <f t="shared" si="6"/>
        <v>0</v>
      </c>
    </row>
    <row r="199" spans="1:6" ht="14.25" customHeight="1" x14ac:dyDescent="0.3">
      <c r="A199" s="44">
        <v>187</v>
      </c>
      <c r="B199" s="12">
        <f t="shared" si="3"/>
        <v>0</v>
      </c>
      <c r="C199" s="12">
        <f t="shared" si="4"/>
        <v>0</v>
      </c>
      <c r="D199" s="12">
        <f t="shared" si="5"/>
        <v>0</v>
      </c>
      <c r="F199" s="10">
        <f t="shared" si="6"/>
        <v>0</v>
      </c>
    </row>
    <row r="200" spans="1:6" ht="14.25" customHeight="1" x14ac:dyDescent="0.3">
      <c r="A200" s="44">
        <v>188</v>
      </c>
      <c r="B200" s="12">
        <f t="shared" si="3"/>
        <v>0</v>
      </c>
      <c r="C200" s="12">
        <f t="shared" si="4"/>
        <v>0</v>
      </c>
      <c r="D200" s="12">
        <f t="shared" si="5"/>
        <v>0</v>
      </c>
      <c r="F200" s="10">
        <f t="shared" si="6"/>
        <v>0</v>
      </c>
    </row>
    <row r="201" spans="1:6" ht="14.25" customHeight="1" x14ac:dyDescent="0.3">
      <c r="A201" s="44">
        <v>189</v>
      </c>
      <c r="B201" s="12">
        <f t="shared" si="3"/>
        <v>0</v>
      </c>
      <c r="C201" s="12">
        <f t="shared" si="4"/>
        <v>0</v>
      </c>
      <c r="D201" s="12">
        <f t="shared" si="5"/>
        <v>0</v>
      </c>
      <c r="F201" s="10">
        <f t="shared" si="6"/>
        <v>0</v>
      </c>
    </row>
    <row r="202" spans="1:6" ht="14.25" customHeight="1" x14ac:dyDescent="0.3">
      <c r="A202" s="44">
        <v>190</v>
      </c>
      <c r="B202" s="12">
        <f t="shared" si="3"/>
        <v>0</v>
      </c>
      <c r="C202" s="12">
        <f t="shared" si="4"/>
        <v>0</v>
      </c>
      <c r="D202" s="12">
        <f t="shared" si="5"/>
        <v>0</v>
      </c>
      <c r="F202" s="10">
        <f t="shared" si="6"/>
        <v>0</v>
      </c>
    </row>
    <row r="203" spans="1:6" ht="14.25" customHeight="1" x14ac:dyDescent="0.3">
      <c r="A203" s="44">
        <v>191</v>
      </c>
      <c r="B203" s="12">
        <f t="shared" si="3"/>
        <v>0</v>
      </c>
      <c r="C203" s="12">
        <f t="shared" si="4"/>
        <v>0</v>
      </c>
      <c r="D203" s="12">
        <f t="shared" si="5"/>
        <v>0</v>
      </c>
      <c r="F203" s="10">
        <f t="shared" si="6"/>
        <v>0</v>
      </c>
    </row>
    <row r="204" spans="1:6" ht="14.25" customHeight="1" x14ac:dyDescent="0.3">
      <c r="A204" s="44">
        <v>192</v>
      </c>
      <c r="B204" s="12">
        <f t="shared" si="3"/>
        <v>0</v>
      </c>
      <c r="C204" s="12">
        <f t="shared" si="4"/>
        <v>0</v>
      </c>
      <c r="D204" s="12">
        <f t="shared" si="5"/>
        <v>0</v>
      </c>
      <c r="F204" s="10">
        <f t="shared" si="6"/>
        <v>0</v>
      </c>
    </row>
    <row r="205" spans="1:6" ht="14.25" customHeight="1" x14ac:dyDescent="0.3">
      <c r="A205" s="44">
        <v>193</v>
      </c>
      <c r="B205" s="12">
        <f t="shared" si="3"/>
        <v>0</v>
      </c>
      <c r="C205" s="12">
        <f t="shared" si="4"/>
        <v>0</v>
      </c>
      <c r="D205" s="12">
        <f t="shared" si="5"/>
        <v>0</v>
      </c>
      <c r="F205" s="10">
        <f t="shared" si="6"/>
        <v>0</v>
      </c>
    </row>
    <row r="206" spans="1:6" ht="14.25" customHeight="1" x14ac:dyDescent="0.3">
      <c r="A206" s="44">
        <v>194</v>
      </c>
      <c r="B206" s="12">
        <f t="shared" si="3"/>
        <v>0</v>
      </c>
      <c r="C206" s="12">
        <f t="shared" si="4"/>
        <v>0</v>
      </c>
      <c r="D206" s="12">
        <f t="shared" si="5"/>
        <v>0</v>
      </c>
      <c r="F206" s="10">
        <f t="shared" si="6"/>
        <v>0</v>
      </c>
    </row>
    <row r="207" spans="1:6" ht="14.25" customHeight="1" x14ac:dyDescent="0.3">
      <c r="A207" s="44">
        <v>195</v>
      </c>
      <c r="B207" s="12">
        <f t="shared" si="3"/>
        <v>0</v>
      </c>
      <c r="C207" s="12">
        <f t="shared" si="4"/>
        <v>0</v>
      </c>
      <c r="D207" s="12">
        <f t="shared" si="5"/>
        <v>0</v>
      </c>
      <c r="F207" s="10">
        <f t="shared" si="6"/>
        <v>0</v>
      </c>
    </row>
    <row r="208" spans="1:6" ht="14.25" customHeight="1" x14ac:dyDescent="0.3">
      <c r="A208" s="44">
        <v>196</v>
      </c>
      <c r="B208" s="12">
        <f t="shared" si="3"/>
        <v>0</v>
      </c>
      <c r="C208" s="12">
        <f t="shared" si="4"/>
        <v>0</v>
      </c>
      <c r="D208" s="12">
        <f t="shared" si="5"/>
        <v>0</v>
      </c>
      <c r="F208" s="10">
        <f t="shared" si="6"/>
        <v>0</v>
      </c>
    </row>
    <row r="209" spans="1:6" ht="14.25" customHeight="1" x14ac:dyDescent="0.3">
      <c r="A209" s="44">
        <v>197</v>
      </c>
      <c r="B209" s="12">
        <f t="shared" si="3"/>
        <v>0</v>
      </c>
      <c r="C209" s="12">
        <f t="shared" si="4"/>
        <v>0</v>
      </c>
      <c r="D209" s="12">
        <f t="shared" si="5"/>
        <v>0</v>
      </c>
      <c r="F209" s="10">
        <f t="shared" si="6"/>
        <v>0</v>
      </c>
    </row>
    <row r="210" spans="1:6" ht="14.25" customHeight="1" x14ac:dyDescent="0.3">
      <c r="A210" s="44">
        <v>198</v>
      </c>
      <c r="B210" s="12">
        <f t="shared" si="3"/>
        <v>0</v>
      </c>
      <c r="C210" s="12">
        <f t="shared" si="4"/>
        <v>0</v>
      </c>
      <c r="D210" s="12">
        <f t="shared" si="5"/>
        <v>0</v>
      </c>
      <c r="F210" s="10">
        <f t="shared" si="6"/>
        <v>0</v>
      </c>
    </row>
    <row r="211" spans="1:6" ht="14.25" customHeight="1" x14ac:dyDescent="0.3">
      <c r="A211" s="44">
        <v>199</v>
      </c>
      <c r="B211" s="12">
        <f t="shared" si="3"/>
        <v>0</v>
      </c>
      <c r="C211" s="12">
        <f t="shared" si="4"/>
        <v>0</v>
      </c>
      <c r="D211" s="12">
        <f t="shared" si="5"/>
        <v>0</v>
      </c>
      <c r="F211" s="10">
        <f t="shared" si="6"/>
        <v>0</v>
      </c>
    </row>
    <row r="212" spans="1:6" ht="14.25" customHeight="1" x14ac:dyDescent="0.3">
      <c r="A212" s="44">
        <v>200</v>
      </c>
      <c r="B212" s="12">
        <f t="shared" si="3"/>
        <v>0</v>
      </c>
      <c r="C212" s="12">
        <f t="shared" si="4"/>
        <v>0</v>
      </c>
      <c r="D212" s="12">
        <f t="shared" si="5"/>
        <v>0</v>
      </c>
      <c r="F212" s="10">
        <f t="shared" si="6"/>
        <v>0</v>
      </c>
    </row>
    <row r="213" spans="1:6" ht="14.25" customHeight="1" x14ac:dyDescent="0.3">
      <c r="A213" s="44">
        <v>201</v>
      </c>
      <c r="B213" s="12">
        <f t="shared" si="3"/>
        <v>0</v>
      </c>
      <c r="C213" s="12">
        <f t="shared" si="4"/>
        <v>0</v>
      </c>
      <c r="D213" s="12">
        <f t="shared" si="5"/>
        <v>0</v>
      </c>
      <c r="F213" s="10">
        <f t="shared" si="6"/>
        <v>0</v>
      </c>
    </row>
    <row r="214" spans="1:6" ht="14.25" customHeight="1" x14ac:dyDescent="0.3">
      <c r="A214" s="44">
        <v>202</v>
      </c>
      <c r="B214" s="12">
        <f t="shared" si="3"/>
        <v>0</v>
      </c>
      <c r="C214" s="12">
        <f t="shared" si="4"/>
        <v>0</v>
      </c>
      <c r="D214" s="12">
        <f t="shared" si="5"/>
        <v>0</v>
      </c>
      <c r="F214" s="10">
        <f t="shared" si="6"/>
        <v>0</v>
      </c>
    </row>
    <row r="215" spans="1:6" ht="14.25" customHeight="1" x14ac:dyDescent="0.3">
      <c r="A215" s="44">
        <v>203</v>
      </c>
      <c r="B215" s="12">
        <f t="shared" si="3"/>
        <v>0</v>
      </c>
      <c r="C215" s="12">
        <f t="shared" si="4"/>
        <v>0</v>
      </c>
      <c r="D215" s="12">
        <f t="shared" si="5"/>
        <v>0</v>
      </c>
      <c r="F215" s="10">
        <f t="shared" si="6"/>
        <v>0</v>
      </c>
    </row>
    <row r="216" spans="1:6" ht="14.25" customHeight="1" x14ac:dyDescent="0.3">
      <c r="A216" s="44">
        <v>204</v>
      </c>
      <c r="B216" s="12">
        <f t="shared" si="3"/>
        <v>0</v>
      </c>
      <c r="C216" s="12">
        <f t="shared" si="4"/>
        <v>0</v>
      </c>
      <c r="D216" s="12">
        <f t="shared" si="5"/>
        <v>0</v>
      </c>
      <c r="F216" s="10">
        <f t="shared" si="6"/>
        <v>0</v>
      </c>
    </row>
    <row r="217" spans="1:6" ht="14.25" customHeight="1" x14ac:dyDescent="0.3">
      <c r="A217" s="44">
        <v>205</v>
      </c>
      <c r="B217" s="12">
        <f t="shared" si="3"/>
        <v>0</v>
      </c>
      <c r="C217" s="12">
        <f t="shared" si="4"/>
        <v>0</v>
      </c>
      <c r="D217" s="12">
        <f t="shared" si="5"/>
        <v>0</v>
      </c>
      <c r="F217" s="10">
        <f t="shared" si="6"/>
        <v>0</v>
      </c>
    </row>
    <row r="218" spans="1:6" ht="14.25" customHeight="1" x14ac:dyDescent="0.3">
      <c r="A218" s="44">
        <v>206</v>
      </c>
      <c r="B218" s="12">
        <f t="shared" si="3"/>
        <v>0</v>
      </c>
      <c r="C218" s="12">
        <f t="shared" si="4"/>
        <v>0</v>
      </c>
      <c r="D218" s="12">
        <f t="shared" si="5"/>
        <v>0</v>
      </c>
      <c r="F218" s="10">
        <f t="shared" si="6"/>
        <v>0</v>
      </c>
    </row>
    <row r="219" spans="1:6" ht="14.25" customHeight="1" x14ac:dyDescent="0.3">
      <c r="A219" s="44">
        <v>207</v>
      </c>
      <c r="B219" s="12">
        <f t="shared" si="3"/>
        <v>0</v>
      </c>
      <c r="C219" s="12">
        <f t="shared" si="4"/>
        <v>0</v>
      </c>
      <c r="D219" s="12">
        <f t="shared" si="5"/>
        <v>0</v>
      </c>
      <c r="F219" s="10">
        <f t="shared" si="6"/>
        <v>0</v>
      </c>
    </row>
    <row r="220" spans="1:6" ht="14.25" customHeight="1" x14ac:dyDescent="0.3">
      <c r="A220" s="44">
        <v>208</v>
      </c>
      <c r="B220" s="12">
        <f t="shared" si="3"/>
        <v>0</v>
      </c>
      <c r="C220" s="12">
        <f t="shared" si="4"/>
        <v>0</v>
      </c>
      <c r="D220" s="12">
        <f t="shared" si="5"/>
        <v>0</v>
      </c>
      <c r="F220" s="10">
        <f t="shared" si="6"/>
        <v>0</v>
      </c>
    </row>
    <row r="221" spans="1:6" ht="14.25" customHeight="1" x14ac:dyDescent="0.3">
      <c r="A221" s="44">
        <v>209</v>
      </c>
      <c r="B221" s="12">
        <f t="shared" si="3"/>
        <v>0</v>
      </c>
      <c r="C221" s="12">
        <f t="shared" si="4"/>
        <v>0</v>
      </c>
      <c r="D221" s="12">
        <f t="shared" si="5"/>
        <v>0</v>
      </c>
      <c r="F221" s="10">
        <f t="shared" si="6"/>
        <v>0</v>
      </c>
    </row>
    <row r="222" spans="1:6" ht="14.25" customHeight="1" x14ac:dyDescent="0.3">
      <c r="A222" s="44">
        <v>210</v>
      </c>
      <c r="B222" s="12">
        <f t="shared" si="3"/>
        <v>0</v>
      </c>
      <c r="C222" s="12">
        <f t="shared" si="4"/>
        <v>0</v>
      </c>
      <c r="D222" s="12">
        <f t="shared" si="5"/>
        <v>0</v>
      </c>
      <c r="F222" s="10">
        <f t="shared" si="6"/>
        <v>0</v>
      </c>
    </row>
    <row r="223" spans="1:6" ht="14.25" customHeight="1" x14ac:dyDescent="0.3">
      <c r="A223" s="44">
        <v>211</v>
      </c>
      <c r="B223" s="12">
        <f t="shared" si="3"/>
        <v>0</v>
      </c>
      <c r="C223" s="12">
        <f t="shared" si="4"/>
        <v>0</v>
      </c>
      <c r="D223" s="12">
        <f t="shared" si="5"/>
        <v>0</v>
      </c>
      <c r="F223" s="10">
        <f t="shared" si="6"/>
        <v>0</v>
      </c>
    </row>
    <row r="224" spans="1:6" ht="14.25" customHeight="1" x14ac:dyDescent="0.3">
      <c r="A224" s="44">
        <v>212</v>
      </c>
      <c r="B224" s="12">
        <f t="shared" si="3"/>
        <v>0</v>
      </c>
      <c r="C224" s="12">
        <f t="shared" si="4"/>
        <v>0</v>
      </c>
      <c r="D224" s="12">
        <f t="shared" si="5"/>
        <v>0</v>
      </c>
      <c r="F224" s="10">
        <f t="shared" si="6"/>
        <v>0</v>
      </c>
    </row>
    <row r="225" spans="1:6" ht="14.25" customHeight="1" x14ac:dyDescent="0.3">
      <c r="A225" s="44">
        <v>213</v>
      </c>
      <c r="B225" s="12">
        <f t="shared" si="3"/>
        <v>0</v>
      </c>
      <c r="C225" s="12">
        <f t="shared" si="4"/>
        <v>0</v>
      </c>
      <c r="D225" s="12">
        <f t="shared" si="5"/>
        <v>0</v>
      </c>
      <c r="F225" s="10">
        <f t="shared" si="6"/>
        <v>0</v>
      </c>
    </row>
    <row r="226" spans="1:6" ht="14.25" customHeight="1" x14ac:dyDescent="0.3">
      <c r="A226" s="44">
        <v>214</v>
      </c>
      <c r="B226" s="12">
        <f t="shared" si="3"/>
        <v>0</v>
      </c>
      <c r="C226" s="12">
        <f t="shared" si="4"/>
        <v>0</v>
      </c>
      <c r="D226" s="12">
        <f t="shared" si="5"/>
        <v>0</v>
      </c>
      <c r="F226" s="10">
        <f t="shared" si="6"/>
        <v>0</v>
      </c>
    </row>
    <row r="227" spans="1:6" ht="14.25" customHeight="1" x14ac:dyDescent="0.3">
      <c r="A227" s="44">
        <v>215</v>
      </c>
      <c r="B227" s="12">
        <f t="shared" si="3"/>
        <v>0</v>
      </c>
      <c r="C227" s="12">
        <f t="shared" si="4"/>
        <v>0</v>
      </c>
      <c r="D227" s="12">
        <f t="shared" si="5"/>
        <v>0</v>
      </c>
      <c r="F227" s="10">
        <f t="shared" si="6"/>
        <v>0</v>
      </c>
    </row>
    <row r="228" spans="1:6" ht="14.25" customHeight="1" x14ac:dyDescent="0.3">
      <c r="A228" s="44">
        <v>216</v>
      </c>
      <c r="B228" s="12">
        <f t="shared" si="3"/>
        <v>0</v>
      </c>
      <c r="C228" s="12">
        <f t="shared" si="4"/>
        <v>0</v>
      </c>
      <c r="D228" s="12">
        <f t="shared" si="5"/>
        <v>0</v>
      </c>
      <c r="F228" s="10">
        <f t="shared" si="6"/>
        <v>0</v>
      </c>
    </row>
    <row r="229" spans="1:6" ht="14.25" customHeight="1" x14ac:dyDescent="0.3">
      <c r="A229" s="44">
        <v>217</v>
      </c>
      <c r="B229" s="12">
        <f t="shared" si="3"/>
        <v>0</v>
      </c>
      <c r="C229" s="12">
        <f t="shared" si="4"/>
        <v>0</v>
      </c>
      <c r="D229" s="12">
        <f t="shared" si="5"/>
        <v>0</v>
      </c>
      <c r="F229" s="10">
        <f t="shared" si="6"/>
        <v>0</v>
      </c>
    </row>
    <row r="230" spans="1:6" ht="14.25" customHeight="1" x14ac:dyDescent="0.3">
      <c r="A230" s="44">
        <v>218</v>
      </c>
      <c r="B230" s="12">
        <f t="shared" si="3"/>
        <v>0</v>
      </c>
      <c r="C230" s="12">
        <f t="shared" si="4"/>
        <v>0</v>
      </c>
      <c r="D230" s="12">
        <f t="shared" si="5"/>
        <v>0</v>
      </c>
      <c r="F230" s="10">
        <f t="shared" si="6"/>
        <v>0</v>
      </c>
    </row>
    <row r="231" spans="1:6" ht="14.25" customHeight="1" x14ac:dyDescent="0.3">
      <c r="A231" s="44">
        <v>219</v>
      </c>
      <c r="B231" s="12">
        <f t="shared" si="3"/>
        <v>0</v>
      </c>
      <c r="C231" s="12">
        <f t="shared" si="4"/>
        <v>0</v>
      </c>
      <c r="D231" s="12">
        <f t="shared" si="5"/>
        <v>0</v>
      </c>
      <c r="F231" s="10">
        <f t="shared" si="6"/>
        <v>0</v>
      </c>
    </row>
    <row r="232" spans="1:6" ht="14.25" customHeight="1" x14ac:dyDescent="0.3">
      <c r="A232" s="44">
        <v>220</v>
      </c>
      <c r="B232" s="12">
        <f t="shared" si="3"/>
        <v>0</v>
      </c>
      <c r="C232" s="12">
        <f t="shared" si="4"/>
        <v>0</v>
      </c>
      <c r="D232" s="12">
        <f t="shared" si="5"/>
        <v>0</v>
      </c>
      <c r="F232" s="10">
        <f t="shared" si="6"/>
        <v>0</v>
      </c>
    </row>
    <row r="233" spans="1:6" ht="14.25" customHeight="1" x14ac:dyDescent="0.3">
      <c r="A233" s="44">
        <v>221</v>
      </c>
      <c r="B233" s="12">
        <f t="shared" si="3"/>
        <v>0</v>
      </c>
      <c r="C233" s="12">
        <f t="shared" si="4"/>
        <v>0</v>
      </c>
      <c r="D233" s="12">
        <f t="shared" si="5"/>
        <v>0</v>
      </c>
      <c r="F233" s="10">
        <f t="shared" si="6"/>
        <v>0</v>
      </c>
    </row>
    <row r="234" spans="1:6" ht="14.25" customHeight="1" x14ac:dyDescent="0.3">
      <c r="A234" s="44">
        <v>222</v>
      </c>
      <c r="B234" s="12">
        <f t="shared" si="3"/>
        <v>0</v>
      </c>
      <c r="C234" s="12">
        <f t="shared" si="4"/>
        <v>0</v>
      </c>
      <c r="D234" s="12">
        <f t="shared" si="5"/>
        <v>0</v>
      </c>
      <c r="F234" s="10">
        <f t="shared" si="6"/>
        <v>0</v>
      </c>
    </row>
    <row r="235" spans="1:6" ht="14.25" customHeight="1" x14ac:dyDescent="0.3">
      <c r="A235" s="44">
        <v>223</v>
      </c>
      <c r="B235" s="12">
        <f t="shared" si="3"/>
        <v>0</v>
      </c>
      <c r="C235" s="12">
        <f t="shared" si="4"/>
        <v>0</v>
      </c>
      <c r="D235" s="12">
        <f t="shared" si="5"/>
        <v>0</v>
      </c>
      <c r="F235" s="10">
        <f t="shared" si="6"/>
        <v>0</v>
      </c>
    </row>
    <row r="236" spans="1:6" ht="14.25" customHeight="1" x14ac:dyDescent="0.3">
      <c r="A236" s="44">
        <v>224</v>
      </c>
      <c r="B236" s="12">
        <f t="shared" si="3"/>
        <v>0</v>
      </c>
      <c r="C236" s="12">
        <f t="shared" si="4"/>
        <v>0</v>
      </c>
      <c r="D236" s="12">
        <f t="shared" si="5"/>
        <v>0</v>
      </c>
      <c r="F236" s="10">
        <f t="shared" si="6"/>
        <v>0</v>
      </c>
    </row>
    <row r="237" spans="1:6" ht="14.25" customHeight="1" x14ac:dyDescent="0.3">
      <c r="A237" s="44">
        <v>225</v>
      </c>
      <c r="B237" s="12">
        <f t="shared" si="3"/>
        <v>0</v>
      </c>
      <c r="C237" s="12">
        <f t="shared" si="4"/>
        <v>0</v>
      </c>
      <c r="D237" s="12">
        <f t="shared" si="5"/>
        <v>0</v>
      </c>
      <c r="F237" s="10">
        <f t="shared" si="6"/>
        <v>0</v>
      </c>
    </row>
    <row r="238" spans="1:6" ht="14.25" customHeight="1" x14ac:dyDescent="0.3">
      <c r="A238" s="44">
        <v>226</v>
      </c>
      <c r="B238" s="12">
        <f t="shared" si="3"/>
        <v>0</v>
      </c>
      <c r="C238" s="12">
        <f t="shared" si="4"/>
        <v>0</v>
      </c>
      <c r="D238" s="12">
        <f t="shared" si="5"/>
        <v>0</v>
      </c>
      <c r="F238" s="10">
        <f t="shared" si="6"/>
        <v>0</v>
      </c>
    </row>
    <row r="239" spans="1:6" ht="14.25" customHeight="1" x14ac:dyDescent="0.3">
      <c r="A239" s="44">
        <v>227</v>
      </c>
      <c r="B239" s="12">
        <f t="shared" si="3"/>
        <v>0</v>
      </c>
      <c r="C239" s="12">
        <f t="shared" si="4"/>
        <v>0</v>
      </c>
      <c r="D239" s="12">
        <f t="shared" si="5"/>
        <v>0</v>
      </c>
      <c r="F239" s="10">
        <f t="shared" si="6"/>
        <v>0</v>
      </c>
    </row>
    <row r="240" spans="1:6" ht="14.25" customHeight="1" x14ac:dyDescent="0.3">
      <c r="A240" s="44">
        <v>228</v>
      </c>
      <c r="B240" s="12">
        <f t="shared" si="3"/>
        <v>0</v>
      </c>
      <c r="C240" s="12">
        <f t="shared" si="4"/>
        <v>0</v>
      </c>
      <c r="D240" s="12">
        <f t="shared" si="5"/>
        <v>0</v>
      </c>
      <c r="F240" s="10">
        <f t="shared" si="6"/>
        <v>0</v>
      </c>
    </row>
    <row r="241" spans="1:6" ht="14.25" customHeight="1" x14ac:dyDescent="0.3">
      <c r="A241" s="44">
        <v>229</v>
      </c>
      <c r="B241" s="12">
        <f t="shared" si="3"/>
        <v>0</v>
      </c>
      <c r="C241" s="12">
        <f t="shared" si="4"/>
        <v>0</v>
      </c>
      <c r="D241" s="12">
        <f t="shared" si="5"/>
        <v>0</v>
      </c>
      <c r="F241" s="10">
        <f t="shared" si="6"/>
        <v>0</v>
      </c>
    </row>
    <row r="242" spans="1:6" ht="14.25" customHeight="1" x14ac:dyDescent="0.3">
      <c r="A242" s="44">
        <v>230</v>
      </c>
      <c r="B242" s="12">
        <f t="shared" si="3"/>
        <v>0</v>
      </c>
      <c r="C242" s="12">
        <f t="shared" si="4"/>
        <v>0</v>
      </c>
      <c r="D242" s="12">
        <f t="shared" si="5"/>
        <v>0</v>
      </c>
      <c r="F242" s="10">
        <f t="shared" si="6"/>
        <v>0</v>
      </c>
    </row>
    <row r="243" spans="1:6" ht="14.25" customHeight="1" x14ac:dyDescent="0.3">
      <c r="A243" s="44">
        <v>231</v>
      </c>
      <c r="B243" s="12">
        <f t="shared" si="3"/>
        <v>0</v>
      </c>
      <c r="C243" s="12">
        <f t="shared" si="4"/>
        <v>0</v>
      </c>
      <c r="D243" s="12">
        <f t="shared" si="5"/>
        <v>0</v>
      </c>
      <c r="F243" s="10">
        <f t="shared" si="6"/>
        <v>0</v>
      </c>
    </row>
    <row r="244" spans="1:6" ht="14.25" customHeight="1" x14ac:dyDescent="0.3">
      <c r="A244" s="44">
        <v>232</v>
      </c>
      <c r="B244" s="12">
        <f t="shared" si="3"/>
        <v>0</v>
      </c>
      <c r="C244" s="12">
        <f t="shared" si="4"/>
        <v>0</v>
      </c>
      <c r="D244" s="12">
        <f t="shared" si="5"/>
        <v>0</v>
      </c>
      <c r="F244" s="10">
        <f t="shared" si="6"/>
        <v>0</v>
      </c>
    </row>
    <row r="245" spans="1:6" ht="14.25" customHeight="1" x14ac:dyDescent="0.3">
      <c r="A245" s="44">
        <v>233</v>
      </c>
      <c r="B245" s="12">
        <f t="shared" si="3"/>
        <v>0</v>
      </c>
      <c r="C245" s="12">
        <f t="shared" si="4"/>
        <v>0</v>
      </c>
      <c r="D245" s="12">
        <f t="shared" si="5"/>
        <v>0</v>
      </c>
      <c r="F245" s="10">
        <f t="shared" si="6"/>
        <v>0</v>
      </c>
    </row>
    <row r="246" spans="1:6" ht="14.25" customHeight="1" x14ac:dyDescent="0.3">
      <c r="A246" s="44">
        <v>234</v>
      </c>
      <c r="B246" s="12">
        <f t="shared" si="3"/>
        <v>0</v>
      </c>
      <c r="C246" s="12">
        <f t="shared" si="4"/>
        <v>0</v>
      </c>
      <c r="D246" s="12">
        <f t="shared" si="5"/>
        <v>0</v>
      </c>
      <c r="F246" s="10">
        <f t="shared" si="6"/>
        <v>0</v>
      </c>
    </row>
    <row r="247" spans="1:6" ht="14.25" customHeight="1" x14ac:dyDescent="0.3">
      <c r="A247" s="44">
        <v>235</v>
      </c>
      <c r="B247" s="12">
        <f t="shared" si="3"/>
        <v>0</v>
      </c>
      <c r="C247" s="12">
        <f t="shared" si="4"/>
        <v>0</v>
      </c>
      <c r="D247" s="12">
        <f t="shared" si="5"/>
        <v>0</v>
      </c>
      <c r="F247" s="10">
        <f t="shared" si="6"/>
        <v>0</v>
      </c>
    </row>
    <row r="248" spans="1:6" ht="14.25" customHeight="1" x14ac:dyDescent="0.3">
      <c r="A248" s="44">
        <v>236</v>
      </c>
      <c r="B248" s="12">
        <f t="shared" si="3"/>
        <v>0</v>
      </c>
      <c r="C248" s="12">
        <f t="shared" si="4"/>
        <v>0</v>
      </c>
      <c r="D248" s="12">
        <f t="shared" si="5"/>
        <v>0</v>
      </c>
      <c r="F248" s="10">
        <f t="shared" si="6"/>
        <v>0</v>
      </c>
    </row>
    <row r="249" spans="1:6" ht="14.25" customHeight="1" x14ac:dyDescent="0.3">
      <c r="A249" s="44">
        <v>237</v>
      </c>
      <c r="B249" s="12">
        <f t="shared" si="3"/>
        <v>0</v>
      </c>
      <c r="C249" s="12">
        <f t="shared" si="4"/>
        <v>0</v>
      </c>
      <c r="D249" s="12">
        <f t="shared" si="5"/>
        <v>0</v>
      </c>
      <c r="F249" s="10">
        <f t="shared" si="6"/>
        <v>0</v>
      </c>
    </row>
    <row r="250" spans="1:6" ht="14.25" customHeight="1" x14ac:dyDescent="0.3">
      <c r="A250" s="44">
        <v>238</v>
      </c>
      <c r="B250" s="12">
        <f t="shared" si="3"/>
        <v>0</v>
      </c>
      <c r="C250" s="12">
        <f t="shared" si="4"/>
        <v>0</v>
      </c>
      <c r="D250" s="12">
        <f t="shared" si="5"/>
        <v>0</v>
      </c>
      <c r="F250" s="10">
        <f t="shared" si="6"/>
        <v>0</v>
      </c>
    </row>
    <row r="251" spans="1:6" ht="14.25" customHeight="1" x14ac:dyDescent="0.3">
      <c r="A251" s="44">
        <v>239</v>
      </c>
      <c r="B251" s="12">
        <f t="shared" si="3"/>
        <v>0</v>
      </c>
      <c r="C251" s="12">
        <f t="shared" si="4"/>
        <v>0</v>
      </c>
      <c r="D251" s="12">
        <f t="shared" si="5"/>
        <v>0</v>
      </c>
      <c r="F251" s="10">
        <f t="shared" si="6"/>
        <v>0</v>
      </c>
    </row>
    <row r="252" spans="1:6" ht="14.25" customHeight="1" x14ac:dyDescent="0.3">
      <c r="A252" s="44">
        <v>240</v>
      </c>
      <c r="B252" s="12">
        <f t="shared" si="3"/>
        <v>0</v>
      </c>
      <c r="C252" s="12">
        <f t="shared" si="4"/>
        <v>0</v>
      </c>
      <c r="D252" s="12">
        <f t="shared" si="5"/>
        <v>0</v>
      </c>
      <c r="F252" s="10">
        <f t="shared" si="6"/>
        <v>0</v>
      </c>
    </row>
    <row r="253" spans="1:6" ht="14.25" customHeight="1" x14ac:dyDescent="0.3">
      <c r="A253" s="44">
        <v>241</v>
      </c>
      <c r="B253" s="12">
        <f t="shared" si="3"/>
        <v>0</v>
      </c>
      <c r="C253" s="12">
        <f t="shared" si="4"/>
        <v>0</v>
      </c>
      <c r="D253" s="12">
        <f t="shared" si="5"/>
        <v>0</v>
      </c>
      <c r="F253" s="10">
        <f t="shared" si="6"/>
        <v>0</v>
      </c>
    </row>
    <row r="254" spans="1:6" ht="14.25" customHeight="1" x14ac:dyDescent="0.3">
      <c r="A254" s="44">
        <v>242</v>
      </c>
      <c r="B254" s="12">
        <f t="shared" si="3"/>
        <v>0</v>
      </c>
      <c r="C254" s="12">
        <f t="shared" si="4"/>
        <v>0</v>
      </c>
      <c r="D254" s="12">
        <f t="shared" si="5"/>
        <v>0</v>
      </c>
      <c r="F254" s="10">
        <f t="shared" si="6"/>
        <v>0</v>
      </c>
    </row>
    <row r="255" spans="1:6" ht="14.25" customHeight="1" x14ac:dyDescent="0.3">
      <c r="A255" s="44">
        <v>243</v>
      </c>
      <c r="B255" s="12">
        <f t="shared" si="3"/>
        <v>0</v>
      </c>
      <c r="C255" s="12">
        <f t="shared" si="4"/>
        <v>0</v>
      </c>
      <c r="D255" s="12">
        <f t="shared" si="5"/>
        <v>0</v>
      </c>
      <c r="F255" s="10">
        <f t="shared" si="6"/>
        <v>0</v>
      </c>
    </row>
    <row r="256" spans="1:6" ht="14.25" customHeight="1" x14ac:dyDescent="0.3">
      <c r="A256" s="44">
        <v>244</v>
      </c>
      <c r="B256" s="12">
        <f t="shared" si="3"/>
        <v>0</v>
      </c>
      <c r="C256" s="12">
        <f t="shared" si="4"/>
        <v>0</v>
      </c>
      <c r="D256" s="12">
        <f t="shared" si="5"/>
        <v>0</v>
      </c>
      <c r="F256" s="10">
        <f t="shared" si="6"/>
        <v>0</v>
      </c>
    </row>
    <row r="257" spans="1:6" ht="14.25" customHeight="1" x14ac:dyDescent="0.3">
      <c r="A257" s="44">
        <v>245</v>
      </c>
      <c r="B257" s="12">
        <f t="shared" si="3"/>
        <v>0</v>
      </c>
      <c r="C257" s="12">
        <f t="shared" si="4"/>
        <v>0</v>
      </c>
      <c r="D257" s="12">
        <f t="shared" si="5"/>
        <v>0</v>
      </c>
      <c r="F257" s="10">
        <f t="shared" si="6"/>
        <v>0</v>
      </c>
    </row>
    <row r="258" spans="1:6" ht="14.25" customHeight="1" x14ac:dyDescent="0.3">
      <c r="A258" s="44">
        <v>246</v>
      </c>
      <c r="B258" s="12">
        <f t="shared" si="3"/>
        <v>0</v>
      </c>
      <c r="C258" s="12">
        <f t="shared" si="4"/>
        <v>0</v>
      </c>
      <c r="D258" s="12">
        <f t="shared" si="5"/>
        <v>0</v>
      </c>
      <c r="F258" s="10">
        <f t="shared" si="6"/>
        <v>0</v>
      </c>
    </row>
    <row r="259" spans="1:6" ht="14.25" customHeight="1" x14ac:dyDescent="0.3">
      <c r="A259" s="44">
        <v>247</v>
      </c>
      <c r="B259" s="12">
        <f t="shared" si="3"/>
        <v>0</v>
      </c>
      <c r="C259" s="12">
        <f t="shared" si="4"/>
        <v>0</v>
      </c>
      <c r="D259" s="12">
        <f t="shared" si="5"/>
        <v>0</v>
      </c>
      <c r="F259" s="10">
        <f t="shared" si="6"/>
        <v>0</v>
      </c>
    </row>
    <row r="260" spans="1:6" ht="14.25" customHeight="1" x14ac:dyDescent="0.3">
      <c r="A260" s="44">
        <v>248</v>
      </c>
      <c r="B260" s="12">
        <f t="shared" si="3"/>
        <v>0</v>
      </c>
      <c r="C260" s="12">
        <f t="shared" si="4"/>
        <v>0</v>
      </c>
      <c r="D260" s="12">
        <f t="shared" si="5"/>
        <v>0</v>
      </c>
      <c r="F260" s="10">
        <f t="shared" si="6"/>
        <v>0</v>
      </c>
    </row>
    <row r="261" spans="1:6" ht="14.25" customHeight="1" x14ac:dyDescent="0.3">
      <c r="A261" s="44">
        <v>249</v>
      </c>
      <c r="B261" s="12">
        <f t="shared" si="3"/>
        <v>0</v>
      </c>
      <c r="C261" s="12">
        <f t="shared" si="4"/>
        <v>0</v>
      </c>
      <c r="D261" s="12">
        <f t="shared" si="5"/>
        <v>0</v>
      </c>
      <c r="F261" s="10">
        <f t="shared" si="6"/>
        <v>0</v>
      </c>
    </row>
    <row r="262" spans="1:6" ht="14.25" customHeight="1" x14ac:dyDescent="0.3">
      <c r="A262" s="44">
        <v>250</v>
      </c>
      <c r="B262" s="12">
        <f t="shared" si="3"/>
        <v>0</v>
      </c>
      <c r="C262" s="12">
        <f t="shared" si="4"/>
        <v>0</v>
      </c>
      <c r="D262" s="12">
        <f t="shared" si="5"/>
        <v>0</v>
      </c>
      <c r="F262" s="10">
        <f t="shared" si="6"/>
        <v>0</v>
      </c>
    </row>
    <row r="263" spans="1:6" ht="14.25" customHeight="1" x14ac:dyDescent="0.3">
      <c r="A263" s="44">
        <v>251</v>
      </c>
      <c r="B263" s="12">
        <f t="shared" si="3"/>
        <v>0</v>
      </c>
      <c r="C263" s="12">
        <f t="shared" si="4"/>
        <v>0</v>
      </c>
      <c r="D263" s="12">
        <f t="shared" si="5"/>
        <v>0</v>
      </c>
      <c r="F263" s="10">
        <f t="shared" si="6"/>
        <v>0</v>
      </c>
    </row>
    <row r="264" spans="1:6" ht="14.25" customHeight="1" x14ac:dyDescent="0.3">
      <c r="A264" s="44">
        <v>252</v>
      </c>
      <c r="B264" s="12">
        <f t="shared" si="3"/>
        <v>0</v>
      </c>
      <c r="C264" s="12">
        <f t="shared" si="4"/>
        <v>0</v>
      </c>
      <c r="D264" s="12">
        <f t="shared" si="5"/>
        <v>0</v>
      </c>
      <c r="F264" s="10">
        <f t="shared" si="6"/>
        <v>0</v>
      </c>
    </row>
    <row r="265" spans="1:6" ht="14.25" customHeight="1" x14ac:dyDescent="0.3">
      <c r="A265" s="44">
        <v>253</v>
      </c>
      <c r="B265" s="12">
        <f t="shared" si="3"/>
        <v>0</v>
      </c>
      <c r="C265" s="12">
        <f t="shared" si="4"/>
        <v>0</v>
      </c>
      <c r="D265" s="12">
        <f t="shared" si="5"/>
        <v>0</v>
      </c>
      <c r="F265" s="10">
        <f t="shared" si="6"/>
        <v>0</v>
      </c>
    </row>
    <row r="266" spans="1:6" ht="14.25" customHeight="1" x14ac:dyDescent="0.3">
      <c r="A266" s="44">
        <v>254</v>
      </c>
      <c r="B266" s="12">
        <f t="shared" si="3"/>
        <v>0</v>
      </c>
      <c r="C266" s="12">
        <f t="shared" si="4"/>
        <v>0</v>
      </c>
      <c r="D266" s="12">
        <f t="shared" si="5"/>
        <v>0</v>
      </c>
      <c r="F266" s="10">
        <f t="shared" si="6"/>
        <v>0</v>
      </c>
    </row>
    <row r="267" spans="1:6" ht="14.25" customHeight="1" x14ac:dyDescent="0.3">
      <c r="A267" s="44">
        <v>255</v>
      </c>
      <c r="B267" s="12">
        <f t="shared" si="3"/>
        <v>0</v>
      </c>
      <c r="C267" s="12">
        <f t="shared" si="4"/>
        <v>0</v>
      </c>
      <c r="D267" s="12">
        <f t="shared" si="5"/>
        <v>0</v>
      </c>
      <c r="F267" s="10">
        <f t="shared" si="6"/>
        <v>0</v>
      </c>
    </row>
    <row r="268" spans="1:6" ht="14.25" customHeight="1" x14ac:dyDescent="0.3">
      <c r="A268" s="44">
        <v>256</v>
      </c>
      <c r="B268" s="12">
        <f t="shared" ref="B268:B372" si="13">IF($B$9&lt;=F267,$B$9,F267+F267*$B$7/$B$8)</f>
        <v>0</v>
      </c>
      <c r="C268" s="12">
        <f t="shared" ref="C268:C372" si="14">IF(B268&gt;0,$B$7/$B$8*F267,0)</f>
        <v>0</v>
      </c>
      <c r="D268" s="12">
        <f t="shared" ref="D268:D372" si="15">IF(B268&gt;0,MIN(B268-C268,F267),0)</f>
        <v>0</v>
      </c>
      <c r="F268" s="10">
        <f t="shared" ref="F268:F372" si="16">IF(ROUND(F267,5)&gt;0,F267-D268,0)</f>
        <v>0</v>
      </c>
    </row>
    <row r="269" spans="1:6" ht="14.25" customHeight="1" x14ac:dyDescent="0.3">
      <c r="A269" s="44">
        <v>257</v>
      </c>
      <c r="B269" s="12">
        <f t="shared" si="13"/>
        <v>0</v>
      </c>
      <c r="C269" s="12">
        <f t="shared" si="14"/>
        <v>0</v>
      </c>
      <c r="D269" s="12">
        <f t="shared" si="15"/>
        <v>0</v>
      </c>
      <c r="F269" s="10">
        <f t="shared" si="16"/>
        <v>0</v>
      </c>
    </row>
    <row r="270" spans="1:6" ht="14.25" customHeight="1" x14ac:dyDescent="0.3">
      <c r="A270" s="44">
        <v>258</v>
      </c>
      <c r="B270" s="12">
        <f t="shared" si="13"/>
        <v>0</v>
      </c>
      <c r="C270" s="12">
        <f t="shared" si="14"/>
        <v>0</v>
      </c>
      <c r="D270" s="12">
        <f t="shared" si="15"/>
        <v>0</v>
      </c>
      <c r="F270" s="10">
        <f t="shared" si="16"/>
        <v>0</v>
      </c>
    </row>
    <row r="271" spans="1:6" ht="14.25" customHeight="1" x14ac:dyDescent="0.3">
      <c r="A271" s="44">
        <v>259</v>
      </c>
      <c r="B271" s="12">
        <f t="shared" si="13"/>
        <v>0</v>
      </c>
      <c r="C271" s="12">
        <f t="shared" si="14"/>
        <v>0</v>
      </c>
      <c r="D271" s="12">
        <f t="shared" si="15"/>
        <v>0</v>
      </c>
      <c r="F271" s="10">
        <f t="shared" si="16"/>
        <v>0</v>
      </c>
    </row>
    <row r="272" spans="1:6" ht="14.25" customHeight="1" x14ac:dyDescent="0.3">
      <c r="A272" s="44">
        <v>260</v>
      </c>
      <c r="B272" s="12">
        <f t="shared" si="13"/>
        <v>0</v>
      </c>
      <c r="C272" s="12">
        <f t="shared" si="14"/>
        <v>0</v>
      </c>
      <c r="D272" s="12">
        <f t="shared" si="15"/>
        <v>0</v>
      </c>
      <c r="F272" s="10">
        <f t="shared" si="16"/>
        <v>0</v>
      </c>
    </row>
    <row r="273" spans="1:6" ht="14.25" customHeight="1" x14ac:dyDescent="0.3">
      <c r="A273" s="44">
        <v>261</v>
      </c>
      <c r="B273" s="12">
        <f t="shared" si="13"/>
        <v>0</v>
      </c>
      <c r="C273" s="12">
        <f t="shared" si="14"/>
        <v>0</v>
      </c>
      <c r="D273" s="12">
        <f t="shared" si="15"/>
        <v>0</v>
      </c>
      <c r="F273" s="10">
        <f t="shared" si="16"/>
        <v>0</v>
      </c>
    </row>
    <row r="274" spans="1:6" ht="14.25" customHeight="1" x14ac:dyDescent="0.3">
      <c r="A274" s="44">
        <v>262</v>
      </c>
      <c r="B274" s="12">
        <f t="shared" si="13"/>
        <v>0</v>
      </c>
      <c r="C274" s="12">
        <f t="shared" si="14"/>
        <v>0</v>
      </c>
      <c r="D274" s="12">
        <f t="shared" si="15"/>
        <v>0</v>
      </c>
      <c r="F274" s="10">
        <f t="shared" si="16"/>
        <v>0</v>
      </c>
    </row>
    <row r="275" spans="1:6" ht="14.25" customHeight="1" x14ac:dyDescent="0.3">
      <c r="A275" s="44">
        <v>263</v>
      </c>
      <c r="B275" s="12">
        <f t="shared" si="13"/>
        <v>0</v>
      </c>
      <c r="C275" s="12">
        <f t="shared" si="14"/>
        <v>0</v>
      </c>
      <c r="D275" s="12">
        <f t="shared" si="15"/>
        <v>0</v>
      </c>
      <c r="F275" s="10">
        <f t="shared" si="16"/>
        <v>0</v>
      </c>
    </row>
    <row r="276" spans="1:6" ht="14.25" customHeight="1" x14ac:dyDescent="0.3">
      <c r="A276" s="44">
        <v>264</v>
      </c>
      <c r="B276" s="12">
        <f t="shared" si="13"/>
        <v>0</v>
      </c>
      <c r="C276" s="12">
        <f t="shared" si="14"/>
        <v>0</v>
      </c>
      <c r="D276" s="12">
        <f t="shared" si="15"/>
        <v>0</v>
      </c>
      <c r="F276" s="10">
        <f t="shared" si="16"/>
        <v>0</v>
      </c>
    </row>
    <row r="277" spans="1:6" ht="14.25" customHeight="1" x14ac:dyDescent="0.3">
      <c r="A277" s="44">
        <v>265</v>
      </c>
      <c r="B277" s="12">
        <f t="shared" si="13"/>
        <v>0</v>
      </c>
      <c r="C277" s="12">
        <f t="shared" si="14"/>
        <v>0</v>
      </c>
      <c r="D277" s="12">
        <f t="shared" si="15"/>
        <v>0</v>
      </c>
      <c r="F277" s="10">
        <f t="shared" si="16"/>
        <v>0</v>
      </c>
    </row>
    <row r="278" spans="1:6" ht="14.25" customHeight="1" x14ac:dyDescent="0.3">
      <c r="A278" s="44">
        <v>266</v>
      </c>
      <c r="B278" s="12">
        <f t="shared" si="13"/>
        <v>0</v>
      </c>
      <c r="C278" s="12">
        <f t="shared" si="14"/>
        <v>0</v>
      </c>
      <c r="D278" s="12">
        <f t="shared" si="15"/>
        <v>0</v>
      </c>
      <c r="F278" s="10">
        <f t="shared" si="16"/>
        <v>0</v>
      </c>
    </row>
    <row r="279" spans="1:6" ht="14.25" customHeight="1" x14ac:dyDescent="0.3">
      <c r="A279" s="44">
        <v>267</v>
      </c>
      <c r="B279" s="12">
        <f t="shared" si="13"/>
        <v>0</v>
      </c>
      <c r="C279" s="12">
        <f t="shared" si="14"/>
        <v>0</v>
      </c>
      <c r="D279" s="12">
        <f t="shared" si="15"/>
        <v>0</v>
      </c>
      <c r="F279" s="10">
        <f t="shared" si="16"/>
        <v>0</v>
      </c>
    </row>
    <row r="280" spans="1:6" ht="14.25" customHeight="1" x14ac:dyDescent="0.3">
      <c r="A280" s="44">
        <v>268</v>
      </c>
      <c r="B280" s="12">
        <f t="shared" si="13"/>
        <v>0</v>
      </c>
      <c r="C280" s="12">
        <f t="shared" si="14"/>
        <v>0</v>
      </c>
      <c r="D280" s="12">
        <f t="shared" si="15"/>
        <v>0</v>
      </c>
      <c r="F280" s="10">
        <f t="shared" si="16"/>
        <v>0</v>
      </c>
    </row>
    <row r="281" spans="1:6" ht="14.25" customHeight="1" x14ac:dyDescent="0.3">
      <c r="A281" s="44">
        <v>269</v>
      </c>
      <c r="B281" s="12">
        <f t="shared" si="13"/>
        <v>0</v>
      </c>
      <c r="C281" s="12">
        <f t="shared" si="14"/>
        <v>0</v>
      </c>
      <c r="D281" s="12">
        <f t="shared" si="15"/>
        <v>0</v>
      </c>
      <c r="F281" s="10">
        <f t="shared" si="16"/>
        <v>0</v>
      </c>
    </row>
    <row r="282" spans="1:6" ht="14.25" customHeight="1" x14ac:dyDescent="0.3">
      <c r="A282" s="44">
        <v>270</v>
      </c>
      <c r="B282" s="12">
        <f t="shared" si="13"/>
        <v>0</v>
      </c>
      <c r="C282" s="12">
        <f t="shared" si="14"/>
        <v>0</v>
      </c>
      <c r="D282" s="12">
        <f t="shared" si="15"/>
        <v>0</v>
      </c>
      <c r="F282" s="10">
        <f t="shared" si="16"/>
        <v>0</v>
      </c>
    </row>
    <row r="283" spans="1:6" ht="14.25" customHeight="1" x14ac:dyDescent="0.3">
      <c r="A283" s="44">
        <v>271</v>
      </c>
      <c r="B283" s="12">
        <f t="shared" si="13"/>
        <v>0</v>
      </c>
      <c r="C283" s="12">
        <f t="shared" si="14"/>
        <v>0</v>
      </c>
      <c r="D283" s="12">
        <f t="shared" si="15"/>
        <v>0</v>
      </c>
      <c r="F283" s="10">
        <f t="shared" si="16"/>
        <v>0</v>
      </c>
    </row>
    <row r="284" spans="1:6" ht="14.25" customHeight="1" x14ac:dyDescent="0.3">
      <c r="A284" s="44">
        <v>272</v>
      </c>
      <c r="B284" s="12">
        <f t="shared" si="13"/>
        <v>0</v>
      </c>
      <c r="C284" s="12">
        <f t="shared" si="14"/>
        <v>0</v>
      </c>
      <c r="D284" s="12">
        <f t="shared" si="15"/>
        <v>0</v>
      </c>
      <c r="F284" s="10">
        <f t="shared" si="16"/>
        <v>0</v>
      </c>
    </row>
    <row r="285" spans="1:6" ht="14.25" customHeight="1" x14ac:dyDescent="0.3">
      <c r="A285" s="44">
        <v>273</v>
      </c>
      <c r="B285" s="12">
        <f t="shared" si="13"/>
        <v>0</v>
      </c>
      <c r="C285" s="12">
        <f t="shared" si="14"/>
        <v>0</v>
      </c>
      <c r="D285" s="12">
        <f t="shared" si="15"/>
        <v>0</v>
      </c>
      <c r="F285" s="10">
        <f t="shared" si="16"/>
        <v>0</v>
      </c>
    </row>
    <row r="286" spans="1:6" ht="14.25" customHeight="1" x14ac:dyDescent="0.3">
      <c r="A286" s="44">
        <v>274</v>
      </c>
      <c r="B286" s="12">
        <f t="shared" si="13"/>
        <v>0</v>
      </c>
      <c r="C286" s="12">
        <f t="shared" si="14"/>
        <v>0</v>
      </c>
      <c r="D286" s="12">
        <f t="shared" si="15"/>
        <v>0</v>
      </c>
      <c r="F286" s="10">
        <f t="shared" si="16"/>
        <v>0</v>
      </c>
    </row>
    <row r="287" spans="1:6" ht="14.25" customHeight="1" x14ac:dyDescent="0.3">
      <c r="A287" s="44">
        <v>275</v>
      </c>
      <c r="B287" s="12">
        <f t="shared" si="13"/>
        <v>0</v>
      </c>
      <c r="C287" s="12">
        <f t="shared" si="14"/>
        <v>0</v>
      </c>
      <c r="D287" s="12">
        <f t="shared" si="15"/>
        <v>0</v>
      </c>
      <c r="F287" s="10">
        <f t="shared" si="16"/>
        <v>0</v>
      </c>
    </row>
    <row r="288" spans="1:6" ht="14.25" customHeight="1" x14ac:dyDescent="0.3">
      <c r="A288" s="44">
        <v>276</v>
      </c>
      <c r="B288" s="12">
        <f t="shared" si="13"/>
        <v>0</v>
      </c>
      <c r="C288" s="12">
        <f t="shared" si="14"/>
        <v>0</v>
      </c>
      <c r="D288" s="12">
        <f t="shared" si="15"/>
        <v>0</v>
      </c>
      <c r="F288" s="10">
        <f t="shared" si="16"/>
        <v>0</v>
      </c>
    </row>
    <row r="289" spans="1:6" ht="14.25" customHeight="1" x14ac:dyDescent="0.3">
      <c r="A289" s="44">
        <v>277</v>
      </c>
      <c r="B289" s="12">
        <f t="shared" si="13"/>
        <v>0</v>
      </c>
      <c r="C289" s="12">
        <f t="shared" si="14"/>
        <v>0</v>
      </c>
      <c r="D289" s="12">
        <f t="shared" si="15"/>
        <v>0</v>
      </c>
      <c r="F289" s="10">
        <f t="shared" si="16"/>
        <v>0</v>
      </c>
    </row>
    <row r="290" spans="1:6" ht="14.25" customHeight="1" x14ac:dyDescent="0.3">
      <c r="A290" s="44">
        <v>278</v>
      </c>
      <c r="B290" s="12">
        <f t="shared" si="13"/>
        <v>0</v>
      </c>
      <c r="C290" s="12">
        <f t="shared" si="14"/>
        <v>0</v>
      </c>
      <c r="D290" s="12">
        <f t="shared" si="15"/>
        <v>0</v>
      </c>
      <c r="F290" s="10">
        <f t="shared" si="16"/>
        <v>0</v>
      </c>
    </row>
    <row r="291" spans="1:6" ht="14.25" customHeight="1" x14ac:dyDescent="0.3">
      <c r="A291" s="44">
        <v>279</v>
      </c>
      <c r="B291" s="12">
        <f t="shared" si="13"/>
        <v>0</v>
      </c>
      <c r="C291" s="12">
        <f t="shared" si="14"/>
        <v>0</v>
      </c>
      <c r="D291" s="12">
        <f t="shared" si="15"/>
        <v>0</v>
      </c>
      <c r="F291" s="10">
        <f t="shared" si="16"/>
        <v>0</v>
      </c>
    </row>
    <row r="292" spans="1:6" ht="14.25" customHeight="1" x14ac:dyDescent="0.3">
      <c r="A292" s="44">
        <v>280</v>
      </c>
      <c r="B292" s="12">
        <f t="shared" si="13"/>
        <v>0</v>
      </c>
      <c r="C292" s="12">
        <f t="shared" si="14"/>
        <v>0</v>
      </c>
      <c r="D292" s="12">
        <f t="shared" si="15"/>
        <v>0</v>
      </c>
      <c r="F292" s="10">
        <f t="shared" si="16"/>
        <v>0</v>
      </c>
    </row>
    <row r="293" spans="1:6" ht="14.25" customHeight="1" x14ac:dyDescent="0.3">
      <c r="A293" s="44">
        <v>281</v>
      </c>
      <c r="B293" s="12">
        <f t="shared" si="13"/>
        <v>0</v>
      </c>
      <c r="C293" s="12">
        <f t="shared" si="14"/>
        <v>0</v>
      </c>
      <c r="D293" s="12">
        <f t="shared" si="15"/>
        <v>0</v>
      </c>
      <c r="F293" s="10">
        <f t="shared" si="16"/>
        <v>0</v>
      </c>
    </row>
    <row r="294" spans="1:6" ht="14.25" customHeight="1" x14ac:dyDescent="0.3">
      <c r="A294" s="44">
        <v>282</v>
      </c>
      <c r="B294" s="12">
        <f t="shared" si="13"/>
        <v>0</v>
      </c>
      <c r="C294" s="12">
        <f t="shared" si="14"/>
        <v>0</v>
      </c>
      <c r="D294" s="12">
        <f t="shared" si="15"/>
        <v>0</v>
      </c>
      <c r="F294" s="10">
        <f t="shared" si="16"/>
        <v>0</v>
      </c>
    </row>
    <row r="295" spans="1:6" ht="14.25" customHeight="1" x14ac:dyDescent="0.3">
      <c r="A295" s="44">
        <v>283</v>
      </c>
      <c r="B295" s="12">
        <f t="shared" si="13"/>
        <v>0</v>
      </c>
      <c r="C295" s="12">
        <f t="shared" si="14"/>
        <v>0</v>
      </c>
      <c r="D295" s="12">
        <f t="shared" si="15"/>
        <v>0</v>
      </c>
      <c r="F295" s="10">
        <f t="shared" si="16"/>
        <v>0</v>
      </c>
    </row>
    <row r="296" spans="1:6" ht="14.25" customHeight="1" x14ac:dyDescent="0.3">
      <c r="A296" s="44">
        <v>284</v>
      </c>
      <c r="B296" s="12">
        <f t="shared" si="13"/>
        <v>0</v>
      </c>
      <c r="C296" s="12">
        <f t="shared" si="14"/>
        <v>0</v>
      </c>
      <c r="D296" s="12">
        <f t="shared" si="15"/>
        <v>0</v>
      </c>
      <c r="F296" s="10">
        <f t="shared" si="16"/>
        <v>0</v>
      </c>
    </row>
    <row r="297" spans="1:6" ht="14.25" customHeight="1" x14ac:dyDescent="0.3">
      <c r="A297" s="44">
        <v>285</v>
      </c>
      <c r="B297" s="12">
        <f t="shared" si="13"/>
        <v>0</v>
      </c>
      <c r="C297" s="12">
        <f t="shared" si="14"/>
        <v>0</v>
      </c>
      <c r="D297" s="12">
        <f t="shared" si="15"/>
        <v>0</v>
      </c>
      <c r="F297" s="10">
        <f t="shared" si="16"/>
        <v>0</v>
      </c>
    </row>
    <row r="298" spans="1:6" ht="14.25" customHeight="1" x14ac:dyDescent="0.3">
      <c r="A298" s="44">
        <v>286</v>
      </c>
      <c r="B298" s="12">
        <f t="shared" si="13"/>
        <v>0</v>
      </c>
      <c r="C298" s="12">
        <f t="shared" si="14"/>
        <v>0</v>
      </c>
      <c r="D298" s="12">
        <f t="shared" si="15"/>
        <v>0</v>
      </c>
      <c r="F298" s="10">
        <f t="shared" si="16"/>
        <v>0</v>
      </c>
    </row>
    <row r="299" spans="1:6" ht="14.25" customHeight="1" x14ac:dyDescent="0.3">
      <c r="A299" s="44">
        <v>287</v>
      </c>
      <c r="B299" s="12">
        <f t="shared" si="13"/>
        <v>0</v>
      </c>
      <c r="C299" s="12">
        <f t="shared" si="14"/>
        <v>0</v>
      </c>
      <c r="D299" s="12">
        <f t="shared" si="15"/>
        <v>0</v>
      </c>
      <c r="F299" s="10">
        <f t="shared" si="16"/>
        <v>0</v>
      </c>
    </row>
    <row r="300" spans="1:6" ht="14.25" customHeight="1" x14ac:dyDescent="0.3">
      <c r="A300" s="44">
        <v>288</v>
      </c>
      <c r="B300" s="12">
        <f t="shared" si="13"/>
        <v>0</v>
      </c>
      <c r="C300" s="12">
        <f t="shared" si="14"/>
        <v>0</v>
      </c>
      <c r="D300" s="12">
        <f t="shared" si="15"/>
        <v>0</v>
      </c>
      <c r="F300" s="10">
        <f t="shared" si="16"/>
        <v>0</v>
      </c>
    </row>
    <row r="301" spans="1:6" ht="14.25" customHeight="1" x14ac:dyDescent="0.3">
      <c r="A301" s="44">
        <v>289</v>
      </c>
      <c r="B301" s="12">
        <f t="shared" si="13"/>
        <v>0</v>
      </c>
      <c r="C301" s="12">
        <f t="shared" si="14"/>
        <v>0</v>
      </c>
      <c r="D301" s="12">
        <f t="shared" si="15"/>
        <v>0</v>
      </c>
      <c r="F301" s="10">
        <f t="shared" si="16"/>
        <v>0</v>
      </c>
    </row>
    <row r="302" spans="1:6" ht="14.25" customHeight="1" x14ac:dyDescent="0.3">
      <c r="A302" s="44">
        <v>290</v>
      </c>
      <c r="B302" s="12">
        <f t="shared" si="13"/>
        <v>0</v>
      </c>
      <c r="C302" s="12">
        <f t="shared" si="14"/>
        <v>0</v>
      </c>
      <c r="D302" s="12">
        <f t="shared" si="15"/>
        <v>0</v>
      </c>
      <c r="F302" s="10">
        <f t="shared" si="16"/>
        <v>0</v>
      </c>
    </row>
    <row r="303" spans="1:6" ht="14.25" customHeight="1" x14ac:dyDescent="0.3">
      <c r="A303" s="44">
        <v>291</v>
      </c>
      <c r="B303" s="12">
        <f t="shared" si="13"/>
        <v>0</v>
      </c>
      <c r="C303" s="12">
        <f t="shared" si="14"/>
        <v>0</v>
      </c>
      <c r="D303" s="12">
        <f t="shared" si="15"/>
        <v>0</v>
      </c>
      <c r="F303" s="10">
        <f t="shared" si="16"/>
        <v>0</v>
      </c>
    </row>
    <row r="304" spans="1:6" ht="14.25" customHeight="1" x14ac:dyDescent="0.3">
      <c r="A304" s="44">
        <v>292</v>
      </c>
      <c r="B304" s="12">
        <f t="shared" si="13"/>
        <v>0</v>
      </c>
      <c r="C304" s="12">
        <f t="shared" si="14"/>
        <v>0</v>
      </c>
      <c r="D304" s="12">
        <f t="shared" si="15"/>
        <v>0</v>
      </c>
      <c r="F304" s="10">
        <f t="shared" si="16"/>
        <v>0</v>
      </c>
    </row>
    <row r="305" spans="1:6" ht="14.25" customHeight="1" x14ac:dyDescent="0.3">
      <c r="A305" s="44">
        <v>293</v>
      </c>
      <c r="B305" s="12">
        <f t="shared" si="13"/>
        <v>0</v>
      </c>
      <c r="C305" s="12">
        <f t="shared" si="14"/>
        <v>0</v>
      </c>
      <c r="D305" s="12">
        <f t="shared" si="15"/>
        <v>0</v>
      </c>
      <c r="F305" s="10">
        <f t="shared" si="16"/>
        <v>0</v>
      </c>
    </row>
    <row r="306" spans="1:6" ht="14.25" customHeight="1" x14ac:dyDescent="0.3">
      <c r="A306" s="44">
        <v>294</v>
      </c>
      <c r="B306" s="12">
        <f t="shared" si="13"/>
        <v>0</v>
      </c>
      <c r="C306" s="12">
        <f t="shared" si="14"/>
        <v>0</v>
      </c>
      <c r="D306" s="12">
        <f t="shared" si="15"/>
        <v>0</v>
      </c>
      <c r="F306" s="10">
        <f t="shared" si="16"/>
        <v>0</v>
      </c>
    </row>
    <row r="307" spans="1:6" ht="14.25" customHeight="1" x14ac:dyDescent="0.3">
      <c r="A307" s="44">
        <v>295</v>
      </c>
      <c r="B307" s="12">
        <f t="shared" si="13"/>
        <v>0</v>
      </c>
      <c r="C307" s="12">
        <f t="shared" si="14"/>
        <v>0</v>
      </c>
      <c r="D307" s="12">
        <f t="shared" si="15"/>
        <v>0</v>
      </c>
      <c r="F307" s="10">
        <f t="shared" si="16"/>
        <v>0</v>
      </c>
    </row>
    <row r="308" spans="1:6" ht="14.25" customHeight="1" x14ac:dyDescent="0.3">
      <c r="A308" s="44">
        <v>296</v>
      </c>
      <c r="B308" s="12">
        <f t="shared" si="13"/>
        <v>0</v>
      </c>
      <c r="C308" s="12">
        <f t="shared" si="14"/>
        <v>0</v>
      </c>
      <c r="D308" s="12">
        <f t="shared" si="15"/>
        <v>0</v>
      </c>
      <c r="F308" s="10">
        <f t="shared" si="16"/>
        <v>0</v>
      </c>
    </row>
    <row r="309" spans="1:6" ht="14.25" customHeight="1" x14ac:dyDescent="0.3">
      <c r="A309" s="44">
        <v>297</v>
      </c>
      <c r="B309" s="12">
        <f t="shared" si="13"/>
        <v>0</v>
      </c>
      <c r="C309" s="12">
        <f t="shared" si="14"/>
        <v>0</v>
      </c>
      <c r="D309" s="12">
        <f t="shared" si="15"/>
        <v>0</v>
      </c>
      <c r="F309" s="10">
        <f t="shared" si="16"/>
        <v>0</v>
      </c>
    </row>
    <row r="310" spans="1:6" ht="14.25" customHeight="1" x14ac:dyDescent="0.3">
      <c r="A310" s="44">
        <v>298</v>
      </c>
      <c r="B310" s="12">
        <f t="shared" si="13"/>
        <v>0</v>
      </c>
      <c r="C310" s="12">
        <f t="shared" si="14"/>
        <v>0</v>
      </c>
      <c r="D310" s="12">
        <f t="shared" si="15"/>
        <v>0</v>
      </c>
      <c r="F310" s="10">
        <f t="shared" si="16"/>
        <v>0</v>
      </c>
    </row>
    <row r="311" spans="1:6" ht="14.25" customHeight="1" x14ac:dyDescent="0.3">
      <c r="A311" s="44">
        <v>299</v>
      </c>
      <c r="B311" s="12">
        <f t="shared" si="13"/>
        <v>0</v>
      </c>
      <c r="C311" s="12">
        <f t="shared" si="14"/>
        <v>0</v>
      </c>
      <c r="D311" s="12">
        <f t="shared" si="15"/>
        <v>0</v>
      </c>
      <c r="F311" s="10">
        <f t="shared" si="16"/>
        <v>0</v>
      </c>
    </row>
    <row r="312" spans="1:6" ht="14.25" customHeight="1" x14ac:dyDescent="0.3">
      <c r="A312" s="44">
        <v>300</v>
      </c>
      <c r="B312" s="12">
        <f t="shared" si="13"/>
        <v>0</v>
      </c>
      <c r="C312" s="12">
        <f t="shared" si="14"/>
        <v>0</v>
      </c>
      <c r="D312" s="12">
        <f t="shared" si="15"/>
        <v>0</v>
      </c>
      <c r="F312" s="10">
        <f t="shared" si="16"/>
        <v>0</v>
      </c>
    </row>
    <row r="313" spans="1:6" ht="14.25" customHeight="1" x14ac:dyDescent="0.3">
      <c r="A313" s="44">
        <v>301</v>
      </c>
      <c r="B313" s="12">
        <f t="shared" si="13"/>
        <v>0</v>
      </c>
      <c r="C313" s="12">
        <f t="shared" si="14"/>
        <v>0</v>
      </c>
      <c r="D313" s="12">
        <f t="shared" si="15"/>
        <v>0</v>
      </c>
      <c r="F313" s="10">
        <f t="shared" si="16"/>
        <v>0</v>
      </c>
    </row>
    <row r="314" spans="1:6" ht="14.25" customHeight="1" x14ac:dyDescent="0.3">
      <c r="A314" s="44">
        <v>302</v>
      </c>
      <c r="B314" s="12">
        <f t="shared" si="13"/>
        <v>0</v>
      </c>
      <c r="C314" s="12">
        <f t="shared" si="14"/>
        <v>0</v>
      </c>
      <c r="D314" s="12">
        <f t="shared" si="15"/>
        <v>0</v>
      </c>
      <c r="F314" s="10">
        <f t="shared" si="16"/>
        <v>0</v>
      </c>
    </row>
    <row r="315" spans="1:6" ht="14.25" customHeight="1" x14ac:dyDescent="0.3">
      <c r="A315" s="44">
        <v>303</v>
      </c>
      <c r="B315" s="12">
        <f t="shared" si="13"/>
        <v>0</v>
      </c>
      <c r="C315" s="12">
        <f t="shared" si="14"/>
        <v>0</v>
      </c>
      <c r="D315" s="12">
        <f t="shared" si="15"/>
        <v>0</v>
      </c>
      <c r="F315" s="10">
        <f t="shared" si="16"/>
        <v>0</v>
      </c>
    </row>
    <row r="316" spans="1:6" ht="14.25" customHeight="1" x14ac:dyDescent="0.3">
      <c r="A316" s="44">
        <v>304</v>
      </c>
      <c r="B316" s="12">
        <f t="shared" si="13"/>
        <v>0</v>
      </c>
      <c r="C316" s="12">
        <f t="shared" si="14"/>
        <v>0</v>
      </c>
      <c r="D316" s="12">
        <f t="shared" si="15"/>
        <v>0</v>
      </c>
      <c r="F316" s="10">
        <f t="shared" si="16"/>
        <v>0</v>
      </c>
    </row>
    <row r="317" spans="1:6" ht="14.25" customHeight="1" x14ac:dyDescent="0.3">
      <c r="A317" s="44">
        <v>305</v>
      </c>
      <c r="B317" s="12">
        <f t="shared" si="13"/>
        <v>0</v>
      </c>
      <c r="C317" s="12">
        <f t="shared" si="14"/>
        <v>0</v>
      </c>
      <c r="D317" s="12">
        <f t="shared" si="15"/>
        <v>0</v>
      </c>
      <c r="F317" s="10">
        <f t="shared" si="16"/>
        <v>0</v>
      </c>
    </row>
    <row r="318" spans="1:6" ht="14.25" customHeight="1" x14ac:dyDescent="0.3">
      <c r="A318" s="44">
        <v>306</v>
      </c>
      <c r="B318" s="12">
        <f t="shared" si="13"/>
        <v>0</v>
      </c>
      <c r="C318" s="12">
        <f t="shared" si="14"/>
        <v>0</v>
      </c>
      <c r="D318" s="12">
        <f t="shared" si="15"/>
        <v>0</v>
      </c>
      <c r="F318" s="10">
        <f t="shared" si="16"/>
        <v>0</v>
      </c>
    </row>
    <row r="319" spans="1:6" ht="14.25" customHeight="1" x14ac:dyDescent="0.3">
      <c r="A319" s="44">
        <v>307</v>
      </c>
      <c r="B319" s="12">
        <f t="shared" si="13"/>
        <v>0</v>
      </c>
      <c r="C319" s="12">
        <f t="shared" si="14"/>
        <v>0</v>
      </c>
      <c r="D319" s="12">
        <f t="shared" si="15"/>
        <v>0</v>
      </c>
      <c r="F319" s="10">
        <f t="shared" si="16"/>
        <v>0</v>
      </c>
    </row>
    <row r="320" spans="1:6" ht="14.25" customHeight="1" x14ac:dyDescent="0.3">
      <c r="A320" s="44">
        <v>308</v>
      </c>
      <c r="B320" s="12">
        <f t="shared" si="13"/>
        <v>0</v>
      </c>
      <c r="C320" s="12">
        <f t="shared" si="14"/>
        <v>0</v>
      </c>
      <c r="D320" s="12">
        <f t="shared" si="15"/>
        <v>0</v>
      </c>
      <c r="F320" s="10">
        <f t="shared" si="16"/>
        <v>0</v>
      </c>
    </row>
    <row r="321" spans="1:6" ht="14.25" customHeight="1" x14ac:dyDescent="0.3">
      <c r="A321" s="44">
        <v>309</v>
      </c>
      <c r="B321" s="12">
        <f t="shared" si="13"/>
        <v>0</v>
      </c>
      <c r="C321" s="12">
        <f t="shared" si="14"/>
        <v>0</v>
      </c>
      <c r="D321" s="12">
        <f t="shared" si="15"/>
        <v>0</v>
      </c>
      <c r="F321" s="10">
        <f t="shared" si="16"/>
        <v>0</v>
      </c>
    </row>
    <row r="322" spans="1:6" ht="14.25" customHeight="1" x14ac:dyDescent="0.3">
      <c r="A322" s="44">
        <v>310</v>
      </c>
      <c r="B322" s="12">
        <f t="shared" si="13"/>
        <v>0</v>
      </c>
      <c r="C322" s="12">
        <f t="shared" si="14"/>
        <v>0</v>
      </c>
      <c r="D322" s="12">
        <f t="shared" si="15"/>
        <v>0</v>
      </c>
      <c r="F322" s="10">
        <f t="shared" si="16"/>
        <v>0</v>
      </c>
    </row>
    <row r="323" spans="1:6" ht="14.25" customHeight="1" x14ac:dyDescent="0.3">
      <c r="A323" s="44">
        <v>311</v>
      </c>
      <c r="B323" s="12">
        <f t="shared" si="13"/>
        <v>0</v>
      </c>
      <c r="C323" s="12">
        <f t="shared" si="14"/>
        <v>0</v>
      </c>
      <c r="D323" s="12">
        <f t="shared" si="15"/>
        <v>0</v>
      </c>
      <c r="F323" s="10">
        <f t="shared" si="16"/>
        <v>0</v>
      </c>
    </row>
    <row r="324" spans="1:6" ht="14.25" customHeight="1" x14ac:dyDescent="0.3">
      <c r="A324" s="44">
        <v>312</v>
      </c>
      <c r="B324" s="12">
        <f t="shared" si="13"/>
        <v>0</v>
      </c>
      <c r="C324" s="12">
        <f t="shared" si="14"/>
        <v>0</v>
      </c>
      <c r="D324" s="12">
        <f t="shared" si="15"/>
        <v>0</v>
      </c>
      <c r="F324" s="10">
        <f t="shared" si="16"/>
        <v>0</v>
      </c>
    </row>
    <row r="325" spans="1:6" ht="14.25" customHeight="1" x14ac:dyDescent="0.3">
      <c r="A325" s="44">
        <v>313</v>
      </c>
      <c r="B325" s="12">
        <f t="shared" si="13"/>
        <v>0</v>
      </c>
      <c r="C325" s="12">
        <f t="shared" si="14"/>
        <v>0</v>
      </c>
      <c r="D325" s="12">
        <f t="shared" si="15"/>
        <v>0</v>
      </c>
      <c r="F325" s="10">
        <f t="shared" si="16"/>
        <v>0</v>
      </c>
    </row>
    <row r="326" spans="1:6" ht="14.25" customHeight="1" x14ac:dyDescent="0.3">
      <c r="A326" s="44">
        <v>314</v>
      </c>
      <c r="B326" s="12">
        <f t="shared" si="13"/>
        <v>0</v>
      </c>
      <c r="C326" s="12">
        <f t="shared" si="14"/>
        <v>0</v>
      </c>
      <c r="D326" s="12">
        <f t="shared" si="15"/>
        <v>0</v>
      </c>
      <c r="F326" s="10">
        <f t="shared" si="16"/>
        <v>0</v>
      </c>
    </row>
    <row r="327" spans="1:6" ht="14.25" customHeight="1" x14ac:dyDescent="0.3">
      <c r="A327" s="44">
        <v>315</v>
      </c>
      <c r="B327" s="12">
        <f t="shared" si="13"/>
        <v>0</v>
      </c>
      <c r="C327" s="12">
        <f t="shared" si="14"/>
        <v>0</v>
      </c>
      <c r="D327" s="12">
        <f t="shared" si="15"/>
        <v>0</v>
      </c>
      <c r="F327" s="10">
        <f t="shared" si="16"/>
        <v>0</v>
      </c>
    </row>
    <row r="328" spans="1:6" ht="14.25" customHeight="1" x14ac:dyDescent="0.3">
      <c r="A328" s="44">
        <v>316</v>
      </c>
      <c r="B328" s="12">
        <f t="shared" si="13"/>
        <v>0</v>
      </c>
      <c r="C328" s="12">
        <f t="shared" si="14"/>
        <v>0</v>
      </c>
      <c r="D328" s="12">
        <f t="shared" si="15"/>
        <v>0</v>
      </c>
      <c r="F328" s="10">
        <f t="shared" si="16"/>
        <v>0</v>
      </c>
    </row>
    <row r="329" spans="1:6" ht="14.25" customHeight="1" x14ac:dyDescent="0.3">
      <c r="A329" s="44">
        <v>317</v>
      </c>
      <c r="B329" s="12">
        <f t="shared" si="13"/>
        <v>0</v>
      </c>
      <c r="C329" s="12">
        <f t="shared" si="14"/>
        <v>0</v>
      </c>
      <c r="D329" s="12">
        <f t="shared" si="15"/>
        <v>0</v>
      </c>
      <c r="F329" s="10">
        <f t="shared" si="16"/>
        <v>0</v>
      </c>
    </row>
    <row r="330" spans="1:6" ht="14.25" customHeight="1" x14ac:dyDescent="0.3">
      <c r="A330" s="44">
        <v>318</v>
      </c>
      <c r="B330" s="12">
        <f t="shared" si="13"/>
        <v>0</v>
      </c>
      <c r="C330" s="12">
        <f t="shared" si="14"/>
        <v>0</v>
      </c>
      <c r="D330" s="12">
        <f t="shared" si="15"/>
        <v>0</v>
      </c>
      <c r="F330" s="10">
        <f t="shared" si="16"/>
        <v>0</v>
      </c>
    </row>
    <row r="331" spans="1:6" ht="14.25" customHeight="1" x14ac:dyDescent="0.3">
      <c r="A331" s="44">
        <v>319</v>
      </c>
      <c r="B331" s="12">
        <f t="shared" si="13"/>
        <v>0</v>
      </c>
      <c r="C331" s="12">
        <f t="shared" si="14"/>
        <v>0</v>
      </c>
      <c r="D331" s="12">
        <f t="shared" si="15"/>
        <v>0</v>
      </c>
      <c r="F331" s="10">
        <f t="shared" si="16"/>
        <v>0</v>
      </c>
    </row>
    <row r="332" spans="1:6" ht="14.25" customHeight="1" x14ac:dyDescent="0.3">
      <c r="A332" s="44">
        <v>320</v>
      </c>
      <c r="B332" s="12">
        <f t="shared" si="13"/>
        <v>0</v>
      </c>
      <c r="C332" s="12">
        <f t="shared" si="14"/>
        <v>0</v>
      </c>
      <c r="D332" s="12">
        <f t="shared" si="15"/>
        <v>0</v>
      </c>
      <c r="F332" s="10">
        <f t="shared" si="16"/>
        <v>0</v>
      </c>
    </row>
    <row r="333" spans="1:6" ht="14.25" customHeight="1" x14ac:dyDescent="0.3">
      <c r="A333" s="44">
        <v>321</v>
      </c>
      <c r="B333" s="12">
        <f t="shared" si="13"/>
        <v>0</v>
      </c>
      <c r="C333" s="12">
        <f t="shared" si="14"/>
        <v>0</v>
      </c>
      <c r="D333" s="12">
        <f t="shared" si="15"/>
        <v>0</v>
      </c>
      <c r="F333" s="10">
        <f t="shared" si="16"/>
        <v>0</v>
      </c>
    </row>
    <row r="334" spans="1:6" ht="14.25" customHeight="1" x14ac:dyDescent="0.3">
      <c r="A334" s="44">
        <v>322</v>
      </c>
      <c r="B334" s="12">
        <f t="shared" si="13"/>
        <v>0</v>
      </c>
      <c r="C334" s="12">
        <f t="shared" si="14"/>
        <v>0</v>
      </c>
      <c r="D334" s="12">
        <f t="shared" si="15"/>
        <v>0</v>
      </c>
      <c r="F334" s="10">
        <f t="shared" si="16"/>
        <v>0</v>
      </c>
    </row>
    <row r="335" spans="1:6" ht="14.25" customHeight="1" x14ac:dyDescent="0.3">
      <c r="A335" s="44">
        <v>323</v>
      </c>
      <c r="B335" s="12">
        <f t="shared" si="13"/>
        <v>0</v>
      </c>
      <c r="C335" s="12">
        <f t="shared" si="14"/>
        <v>0</v>
      </c>
      <c r="D335" s="12">
        <f t="shared" si="15"/>
        <v>0</v>
      </c>
      <c r="F335" s="10">
        <f t="shared" si="16"/>
        <v>0</v>
      </c>
    </row>
    <row r="336" spans="1:6" ht="14.25" customHeight="1" x14ac:dyDescent="0.3">
      <c r="A336" s="44">
        <v>324</v>
      </c>
      <c r="B336" s="12">
        <f t="shared" si="13"/>
        <v>0</v>
      </c>
      <c r="C336" s="12">
        <f t="shared" si="14"/>
        <v>0</v>
      </c>
      <c r="D336" s="12">
        <f t="shared" si="15"/>
        <v>0</v>
      </c>
      <c r="F336" s="10">
        <f t="shared" si="16"/>
        <v>0</v>
      </c>
    </row>
    <row r="337" spans="1:6" ht="14.25" customHeight="1" x14ac:dyDescent="0.3">
      <c r="A337" s="44">
        <v>325</v>
      </c>
      <c r="B337" s="12">
        <f t="shared" si="13"/>
        <v>0</v>
      </c>
      <c r="C337" s="12">
        <f t="shared" si="14"/>
        <v>0</v>
      </c>
      <c r="D337" s="12">
        <f t="shared" si="15"/>
        <v>0</v>
      </c>
      <c r="F337" s="10">
        <f t="shared" si="16"/>
        <v>0</v>
      </c>
    </row>
    <row r="338" spans="1:6" ht="14.25" customHeight="1" x14ac:dyDescent="0.3">
      <c r="A338" s="44">
        <v>326</v>
      </c>
      <c r="B338" s="12">
        <f t="shared" si="13"/>
        <v>0</v>
      </c>
      <c r="C338" s="12">
        <f t="shared" si="14"/>
        <v>0</v>
      </c>
      <c r="D338" s="12">
        <f t="shared" si="15"/>
        <v>0</v>
      </c>
      <c r="F338" s="10">
        <f t="shared" si="16"/>
        <v>0</v>
      </c>
    </row>
    <row r="339" spans="1:6" ht="14.25" customHeight="1" x14ac:dyDescent="0.3">
      <c r="A339" s="44">
        <v>327</v>
      </c>
      <c r="B339" s="12">
        <f t="shared" si="13"/>
        <v>0</v>
      </c>
      <c r="C339" s="12">
        <f t="shared" si="14"/>
        <v>0</v>
      </c>
      <c r="D339" s="12">
        <f t="shared" si="15"/>
        <v>0</v>
      </c>
      <c r="F339" s="10">
        <f t="shared" si="16"/>
        <v>0</v>
      </c>
    </row>
    <row r="340" spans="1:6" ht="14.25" customHeight="1" x14ac:dyDescent="0.3">
      <c r="A340" s="44">
        <v>328</v>
      </c>
      <c r="B340" s="12">
        <f t="shared" si="13"/>
        <v>0</v>
      </c>
      <c r="C340" s="12">
        <f t="shared" si="14"/>
        <v>0</v>
      </c>
      <c r="D340" s="12">
        <f t="shared" si="15"/>
        <v>0</v>
      </c>
      <c r="F340" s="10">
        <f t="shared" si="16"/>
        <v>0</v>
      </c>
    </row>
    <row r="341" spans="1:6" ht="14.25" customHeight="1" x14ac:dyDescent="0.3">
      <c r="A341" s="44">
        <v>329</v>
      </c>
      <c r="B341" s="12">
        <f t="shared" si="13"/>
        <v>0</v>
      </c>
      <c r="C341" s="12">
        <f t="shared" si="14"/>
        <v>0</v>
      </c>
      <c r="D341" s="12">
        <f t="shared" si="15"/>
        <v>0</v>
      </c>
      <c r="F341" s="10">
        <f t="shared" si="16"/>
        <v>0</v>
      </c>
    </row>
    <row r="342" spans="1:6" ht="14.25" customHeight="1" x14ac:dyDescent="0.3">
      <c r="A342" s="44">
        <v>330</v>
      </c>
      <c r="B342" s="12">
        <f t="shared" si="13"/>
        <v>0</v>
      </c>
      <c r="C342" s="12">
        <f t="shared" si="14"/>
        <v>0</v>
      </c>
      <c r="D342" s="12">
        <f t="shared" si="15"/>
        <v>0</v>
      </c>
      <c r="F342" s="10">
        <f t="shared" si="16"/>
        <v>0</v>
      </c>
    </row>
    <row r="343" spans="1:6" ht="14.25" customHeight="1" x14ac:dyDescent="0.3">
      <c r="A343" s="44">
        <v>331</v>
      </c>
      <c r="B343" s="12">
        <f t="shared" si="13"/>
        <v>0</v>
      </c>
      <c r="C343" s="12">
        <f t="shared" si="14"/>
        <v>0</v>
      </c>
      <c r="D343" s="12">
        <f t="shared" si="15"/>
        <v>0</v>
      </c>
      <c r="F343" s="10">
        <f t="shared" si="16"/>
        <v>0</v>
      </c>
    </row>
    <row r="344" spans="1:6" ht="14.25" customHeight="1" x14ac:dyDescent="0.3">
      <c r="A344" s="44">
        <v>332</v>
      </c>
      <c r="B344" s="12">
        <f t="shared" si="13"/>
        <v>0</v>
      </c>
      <c r="C344" s="12">
        <f t="shared" si="14"/>
        <v>0</v>
      </c>
      <c r="D344" s="12">
        <f t="shared" si="15"/>
        <v>0</v>
      </c>
      <c r="F344" s="10">
        <f t="shared" si="16"/>
        <v>0</v>
      </c>
    </row>
    <row r="345" spans="1:6" ht="14.25" customHeight="1" x14ac:dyDescent="0.3">
      <c r="A345" s="44">
        <v>333</v>
      </c>
      <c r="B345" s="12">
        <f t="shared" si="13"/>
        <v>0</v>
      </c>
      <c r="C345" s="12">
        <f t="shared" si="14"/>
        <v>0</v>
      </c>
      <c r="D345" s="12">
        <f t="shared" si="15"/>
        <v>0</v>
      </c>
      <c r="F345" s="10">
        <f t="shared" si="16"/>
        <v>0</v>
      </c>
    </row>
    <row r="346" spans="1:6" ht="14.25" customHeight="1" x14ac:dyDescent="0.3">
      <c r="A346" s="44">
        <v>334</v>
      </c>
      <c r="B346" s="12">
        <f t="shared" si="13"/>
        <v>0</v>
      </c>
      <c r="C346" s="12">
        <f t="shared" si="14"/>
        <v>0</v>
      </c>
      <c r="D346" s="12">
        <f t="shared" si="15"/>
        <v>0</v>
      </c>
      <c r="F346" s="10">
        <f t="shared" si="16"/>
        <v>0</v>
      </c>
    </row>
    <row r="347" spans="1:6" ht="14.25" customHeight="1" x14ac:dyDescent="0.3">
      <c r="A347" s="44">
        <v>335</v>
      </c>
      <c r="B347" s="12">
        <f t="shared" si="13"/>
        <v>0</v>
      </c>
      <c r="C347" s="12">
        <f t="shared" si="14"/>
        <v>0</v>
      </c>
      <c r="D347" s="12">
        <f t="shared" si="15"/>
        <v>0</v>
      </c>
      <c r="F347" s="10">
        <f t="shared" si="16"/>
        <v>0</v>
      </c>
    </row>
    <row r="348" spans="1:6" ht="14.25" customHeight="1" x14ac:dyDescent="0.3">
      <c r="A348" s="44">
        <v>336</v>
      </c>
      <c r="B348" s="12">
        <f t="shared" si="13"/>
        <v>0</v>
      </c>
      <c r="C348" s="12">
        <f t="shared" si="14"/>
        <v>0</v>
      </c>
      <c r="D348" s="12">
        <f t="shared" si="15"/>
        <v>0</v>
      </c>
      <c r="F348" s="10">
        <f t="shared" si="16"/>
        <v>0</v>
      </c>
    </row>
    <row r="349" spans="1:6" ht="14.25" customHeight="1" x14ac:dyDescent="0.3">
      <c r="A349" s="44">
        <v>337</v>
      </c>
      <c r="B349" s="12">
        <f t="shared" si="13"/>
        <v>0</v>
      </c>
      <c r="C349" s="12">
        <f t="shared" si="14"/>
        <v>0</v>
      </c>
      <c r="D349" s="12">
        <f t="shared" si="15"/>
        <v>0</v>
      </c>
      <c r="F349" s="10">
        <f t="shared" si="16"/>
        <v>0</v>
      </c>
    </row>
    <row r="350" spans="1:6" ht="14.25" customHeight="1" x14ac:dyDescent="0.3">
      <c r="A350" s="44">
        <v>338</v>
      </c>
      <c r="B350" s="12">
        <f t="shared" si="13"/>
        <v>0</v>
      </c>
      <c r="C350" s="12">
        <f t="shared" si="14"/>
        <v>0</v>
      </c>
      <c r="D350" s="12">
        <f t="shared" si="15"/>
        <v>0</v>
      </c>
      <c r="F350" s="10">
        <f t="shared" si="16"/>
        <v>0</v>
      </c>
    </row>
    <row r="351" spans="1:6" ht="14.25" customHeight="1" x14ac:dyDescent="0.3">
      <c r="A351" s="44">
        <v>339</v>
      </c>
      <c r="B351" s="12">
        <f t="shared" si="13"/>
        <v>0</v>
      </c>
      <c r="C351" s="12">
        <f t="shared" si="14"/>
        <v>0</v>
      </c>
      <c r="D351" s="12">
        <f t="shared" si="15"/>
        <v>0</v>
      </c>
      <c r="F351" s="10">
        <f t="shared" si="16"/>
        <v>0</v>
      </c>
    </row>
    <row r="352" spans="1:6" ht="14.25" customHeight="1" x14ac:dyDescent="0.3">
      <c r="A352" s="44">
        <v>340</v>
      </c>
      <c r="B352" s="12">
        <f t="shared" si="13"/>
        <v>0</v>
      </c>
      <c r="C352" s="12">
        <f t="shared" si="14"/>
        <v>0</v>
      </c>
      <c r="D352" s="12">
        <f t="shared" si="15"/>
        <v>0</v>
      </c>
      <c r="F352" s="10">
        <f t="shared" si="16"/>
        <v>0</v>
      </c>
    </row>
    <row r="353" spans="1:6" ht="14.25" customHeight="1" x14ac:dyDescent="0.3">
      <c r="A353" s="44">
        <v>341</v>
      </c>
      <c r="B353" s="12">
        <f t="shared" si="13"/>
        <v>0</v>
      </c>
      <c r="C353" s="12">
        <f t="shared" si="14"/>
        <v>0</v>
      </c>
      <c r="D353" s="12">
        <f t="shared" si="15"/>
        <v>0</v>
      </c>
      <c r="F353" s="10">
        <f t="shared" si="16"/>
        <v>0</v>
      </c>
    </row>
    <row r="354" spans="1:6" ht="14.25" customHeight="1" x14ac:dyDescent="0.3">
      <c r="A354" s="44">
        <v>342</v>
      </c>
      <c r="B354" s="12">
        <f t="shared" si="13"/>
        <v>0</v>
      </c>
      <c r="C354" s="12">
        <f t="shared" si="14"/>
        <v>0</v>
      </c>
      <c r="D354" s="12">
        <f t="shared" si="15"/>
        <v>0</v>
      </c>
      <c r="F354" s="10">
        <f t="shared" si="16"/>
        <v>0</v>
      </c>
    </row>
    <row r="355" spans="1:6" ht="14.25" customHeight="1" x14ac:dyDescent="0.3">
      <c r="A355" s="44">
        <v>343</v>
      </c>
      <c r="B355" s="12">
        <f t="shared" si="13"/>
        <v>0</v>
      </c>
      <c r="C355" s="12">
        <f t="shared" si="14"/>
        <v>0</v>
      </c>
      <c r="D355" s="12">
        <f t="shared" si="15"/>
        <v>0</v>
      </c>
      <c r="F355" s="10">
        <f t="shared" si="16"/>
        <v>0</v>
      </c>
    </row>
    <row r="356" spans="1:6" ht="14.25" customHeight="1" x14ac:dyDescent="0.3">
      <c r="A356" s="44">
        <v>344</v>
      </c>
      <c r="B356" s="12">
        <f t="shared" si="13"/>
        <v>0</v>
      </c>
      <c r="C356" s="12">
        <f t="shared" si="14"/>
        <v>0</v>
      </c>
      <c r="D356" s="12">
        <f t="shared" si="15"/>
        <v>0</v>
      </c>
      <c r="F356" s="10">
        <f t="shared" si="16"/>
        <v>0</v>
      </c>
    </row>
    <row r="357" spans="1:6" ht="14.25" customHeight="1" x14ac:dyDescent="0.3">
      <c r="A357" s="44">
        <v>345</v>
      </c>
      <c r="B357" s="12">
        <f t="shared" si="13"/>
        <v>0</v>
      </c>
      <c r="C357" s="12">
        <f t="shared" si="14"/>
        <v>0</v>
      </c>
      <c r="D357" s="12">
        <f t="shared" si="15"/>
        <v>0</v>
      </c>
      <c r="F357" s="10">
        <f t="shared" si="16"/>
        <v>0</v>
      </c>
    </row>
    <row r="358" spans="1:6" ht="14.25" customHeight="1" x14ac:dyDescent="0.3">
      <c r="A358" s="44">
        <v>346</v>
      </c>
      <c r="B358" s="12">
        <f t="shared" si="13"/>
        <v>0</v>
      </c>
      <c r="C358" s="12">
        <f t="shared" si="14"/>
        <v>0</v>
      </c>
      <c r="D358" s="12">
        <f t="shared" si="15"/>
        <v>0</v>
      </c>
      <c r="F358" s="10">
        <f t="shared" si="16"/>
        <v>0</v>
      </c>
    </row>
    <row r="359" spans="1:6" ht="14.25" customHeight="1" x14ac:dyDescent="0.3">
      <c r="A359" s="44">
        <v>347</v>
      </c>
      <c r="B359" s="12">
        <f t="shared" si="13"/>
        <v>0</v>
      </c>
      <c r="C359" s="12">
        <f t="shared" si="14"/>
        <v>0</v>
      </c>
      <c r="D359" s="12">
        <f t="shared" si="15"/>
        <v>0</v>
      </c>
      <c r="F359" s="10">
        <f t="shared" si="16"/>
        <v>0</v>
      </c>
    </row>
    <row r="360" spans="1:6" ht="14.25" customHeight="1" x14ac:dyDescent="0.3">
      <c r="A360" s="44">
        <v>348</v>
      </c>
      <c r="B360" s="12">
        <f t="shared" si="13"/>
        <v>0</v>
      </c>
      <c r="C360" s="12">
        <f t="shared" si="14"/>
        <v>0</v>
      </c>
      <c r="D360" s="12">
        <f t="shared" si="15"/>
        <v>0</v>
      </c>
      <c r="F360" s="10">
        <f t="shared" si="16"/>
        <v>0</v>
      </c>
    </row>
    <row r="361" spans="1:6" ht="14.25" customHeight="1" x14ac:dyDescent="0.3">
      <c r="A361" s="44">
        <v>349</v>
      </c>
      <c r="B361" s="12">
        <f t="shared" si="13"/>
        <v>0</v>
      </c>
      <c r="C361" s="12">
        <f t="shared" si="14"/>
        <v>0</v>
      </c>
      <c r="D361" s="12">
        <f t="shared" si="15"/>
        <v>0</v>
      </c>
      <c r="F361" s="10">
        <f t="shared" si="16"/>
        <v>0</v>
      </c>
    </row>
    <row r="362" spans="1:6" ht="14.25" customHeight="1" x14ac:dyDescent="0.3">
      <c r="A362" s="44">
        <v>350</v>
      </c>
      <c r="B362" s="12">
        <f t="shared" si="13"/>
        <v>0</v>
      </c>
      <c r="C362" s="12">
        <f t="shared" si="14"/>
        <v>0</v>
      </c>
      <c r="D362" s="12">
        <f t="shared" si="15"/>
        <v>0</v>
      </c>
      <c r="F362" s="10">
        <f t="shared" si="16"/>
        <v>0</v>
      </c>
    </row>
    <row r="363" spans="1:6" ht="14.25" customHeight="1" x14ac:dyDescent="0.3">
      <c r="A363" s="44">
        <v>351</v>
      </c>
      <c r="B363" s="12">
        <f t="shared" si="13"/>
        <v>0</v>
      </c>
      <c r="C363" s="12">
        <f t="shared" si="14"/>
        <v>0</v>
      </c>
      <c r="D363" s="12">
        <f t="shared" si="15"/>
        <v>0</v>
      </c>
      <c r="F363" s="10">
        <f t="shared" si="16"/>
        <v>0</v>
      </c>
    </row>
    <row r="364" spans="1:6" ht="14.25" customHeight="1" x14ac:dyDescent="0.3">
      <c r="A364" s="44">
        <v>352</v>
      </c>
      <c r="B364" s="12">
        <f t="shared" si="13"/>
        <v>0</v>
      </c>
      <c r="C364" s="12">
        <f t="shared" si="14"/>
        <v>0</v>
      </c>
      <c r="D364" s="12">
        <f t="shared" si="15"/>
        <v>0</v>
      </c>
      <c r="F364" s="10">
        <f t="shared" si="16"/>
        <v>0</v>
      </c>
    </row>
    <row r="365" spans="1:6" ht="14.25" customHeight="1" x14ac:dyDescent="0.3">
      <c r="A365" s="44">
        <v>353</v>
      </c>
      <c r="B365" s="12">
        <f t="shared" si="13"/>
        <v>0</v>
      </c>
      <c r="C365" s="12">
        <f t="shared" si="14"/>
        <v>0</v>
      </c>
      <c r="D365" s="12">
        <f t="shared" si="15"/>
        <v>0</v>
      </c>
      <c r="F365" s="10">
        <f t="shared" si="16"/>
        <v>0</v>
      </c>
    </row>
    <row r="366" spans="1:6" ht="14.25" customHeight="1" x14ac:dyDescent="0.3">
      <c r="A366" s="44">
        <v>354</v>
      </c>
      <c r="B366" s="12">
        <f t="shared" si="13"/>
        <v>0</v>
      </c>
      <c r="C366" s="12">
        <f t="shared" si="14"/>
        <v>0</v>
      </c>
      <c r="D366" s="12">
        <f t="shared" si="15"/>
        <v>0</v>
      </c>
      <c r="F366" s="10">
        <f t="shared" si="16"/>
        <v>0</v>
      </c>
    </row>
    <row r="367" spans="1:6" ht="14.25" customHeight="1" x14ac:dyDescent="0.3">
      <c r="A367" s="44">
        <v>355</v>
      </c>
      <c r="B367" s="12">
        <f t="shared" si="13"/>
        <v>0</v>
      </c>
      <c r="C367" s="12">
        <f t="shared" si="14"/>
        <v>0</v>
      </c>
      <c r="D367" s="12">
        <f t="shared" si="15"/>
        <v>0</v>
      </c>
      <c r="F367" s="10">
        <f t="shared" si="16"/>
        <v>0</v>
      </c>
    </row>
    <row r="368" spans="1:6" ht="14.25" customHeight="1" x14ac:dyDescent="0.3">
      <c r="A368" s="44">
        <v>356</v>
      </c>
      <c r="B368" s="12">
        <f t="shared" si="13"/>
        <v>0</v>
      </c>
      <c r="C368" s="12">
        <f t="shared" si="14"/>
        <v>0</v>
      </c>
      <c r="D368" s="12">
        <f t="shared" si="15"/>
        <v>0</v>
      </c>
      <c r="F368" s="10">
        <f t="shared" si="16"/>
        <v>0</v>
      </c>
    </row>
    <row r="369" spans="1:6" ht="14.25" customHeight="1" x14ac:dyDescent="0.3">
      <c r="A369" s="44">
        <v>357</v>
      </c>
      <c r="B369" s="12">
        <f t="shared" si="13"/>
        <v>0</v>
      </c>
      <c r="C369" s="12">
        <f t="shared" si="14"/>
        <v>0</v>
      </c>
      <c r="D369" s="12">
        <f t="shared" si="15"/>
        <v>0</v>
      </c>
      <c r="F369" s="10">
        <f t="shared" si="16"/>
        <v>0</v>
      </c>
    </row>
    <row r="370" spans="1:6" ht="14.25" customHeight="1" x14ac:dyDescent="0.3">
      <c r="A370" s="44">
        <v>358</v>
      </c>
      <c r="B370" s="12">
        <f t="shared" si="13"/>
        <v>0</v>
      </c>
      <c r="C370" s="12">
        <f t="shared" si="14"/>
        <v>0</v>
      </c>
      <c r="D370" s="12">
        <f t="shared" si="15"/>
        <v>0</v>
      </c>
      <c r="F370" s="10">
        <f t="shared" si="16"/>
        <v>0</v>
      </c>
    </row>
    <row r="371" spans="1:6" ht="14.25" customHeight="1" x14ac:dyDescent="0.3">
      <c r="A371" s="44">
        <v>359</v>
      </c>
      <c r="B371" s="12">
        <f t="shared" si="13"/>
        <v>0</v>
      </c>
      <c r="C371" s="12">
        <f t="shared" si="14"/>
        <v>0</v>
      </c>
      <c r="D371" s="12">
        <f t="shared" si="15"/>
        <v>0</v>
      </c>
      <c r="F371" s="10">
        <f t="shared" si="16"/>
        <v>0</v>
      </c>
    </row>
    <row r="372" spans="1:6" ht="14.25" customHeight="1" x14ac:dyDescent="0.3">
      <c r="A372" s="44">
        <v>360</v>
      </c>
      <c r="B372" s="12">
        <f t="shared" si="13"/>
        <v>0</v>
      </c>
      <c r="C372" s="12">
        <f t="shared" si="14"/>
        <v>0</v>
      </c>
      <c r="D372" s="12">
        <f t="shared" si="15"/>
        <v>0</v>
      </c>
      <c r="F372" s="10">
        <f t="shared" si="16"/>
        <v>0</v>
      </c>
    </row>
    <row r="373" spans="1:6" ht="14.25" customHeight="1" x14ac:dyDescent="0.3"/>
    <row r="374" spans="1:6" ht="14.25" customHeight="1" x14ac:dyDescent="0.3"/>
    <row r="375" spans="1:6" ht="14.25" customHeight="1" x14ac:dyDescent="0.3"/>
    <row r="376" spans="1:6" ht="14.25" customHeight="1" x14ac:dyDescent="0.3"/>
    <row r="377" spans="1:6" ht="14.25" customHeight="1" x14ac:dyDescent="0.3"/>
    <row r="378" spans="1:6" ht="14.25" customHeight="1" x14ac:dyDescent="0.3"/>
    <row r="379" spans="1:6" ht="14.25" customHeight="1" x14ac:dyDescent="0.3"/>
    <row r="380" spans="1:6" ht="14.25" customHeight="1" x14ac:dyDescent="0.3"/>
    <row r="381" spans="1:6" ht="14.25" customHeight="1" x14ac:dyDescent="0.3"/>
    <row r="382" spans="1:6" ht="14.25" customHeight="1" x14ac:dyDescent="0.3"/>
    <row r="383" spans="1:6" ht="14.25" customHeight="1" x14ac:dyDescent="0.3"/>
    <row r="384" spans="1:6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conditionalFormatting sqref="A13:D372 F13:F372">
    <cfRule type="expression" dxfId="5" priority="1" stopIfTrue="1">
      <formula>ROUND($F12,5)=0</formula>
    </cfRule>
    <cfRule type="expression" dxfId="4" priority="2" stopIfTrue="1">
      <formula>$A13&gt;($B$6*$B$8)</formula>
    </cfRule>
    <cfRule type="expression" dxfId="3" priority="3" stopIfTrue="1">
      <formula>ROUND($F13,5)=0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0"/>
  <sheetViews>
    <sheetView zoomScaleNormal="100" workbookViewId="0">
      <selection sqref="A1:B1"/>
    </sheetView>
  </sheetViews>
  <sheetFormatPr defaultColWidth="14.44140625" defaultRowHeight="15" customHeight="1" x14ac:dyDescent="0.3"/>
  <cols>
    <col min="1" max="1" width="21.109375" customWidth="1"/>
    <col min="2" max="3" width="12.6640625" customWidth="1"/>
    <col min="4" max="4" width="22.5546875" customWidth="1"/>
    <col min="5" max="5" width="17" customWidth="1"/>
    <col min="6" max="6" width="12.6640625" customWidth="1"/>
    <col min="7" max="7" width="16" customWidth="1"/>
    <col min="8" max="8" width="17.5546875" customWidth="1"/>
    <col min="9" max="9" width="30.33203125" customWidth="1"/>
    <col min="10" max="10" width="11.6640625" customWidth="1"/>
    <col min="11" max="11" width="15" customWidth="1"/>
    <col min="12" max="13" width="11.6640625" customWidth="1"/>
    <col min="14" max="14" width="16" customWidth="1"/>
    <col min="15" max="15" width="15" customWidth="1"/>
    <col min="16" max="16" width="12.6640625" customWidth="1"/>
    <col min="17" max="17" width="8.6640625" hidden="1" customWidth="1"/>
    <col min="18" max="19" width="16" hidden="1" customWidth="1"/>
    <col min="20" max="20" width="15.109375" hidden="1" customWidth="1"/>
    <col min="21" max="21" width="22.33203125" hidden="1" customWidth="1"/>
    <col min="22" max="23" width="8.6640625" hidden="1" customWidth="1"/>
    <col min="24" max="26" width="8.6640625" customWidth="1"/>
  </cols>
  <sheetData>
    <row r="1" spans="1:23" ht="14.25" customHeight="1" x14ac:dyDescent="0.3">
      <c r="A1" s="65" t="s">
        <v>0</v>
      </c>
      <c r="B1" s="66"/>
    </row>
    <row r="2" spans="1:23" ht="14.25" customHeight="1" x14ac:dyDescent="0.3">
      <c r="A2" s="2" t="s">
        <v>1</v>
      </c>
      <c r="B2" s="3">
        <v>20000</v>
      </c>
      <c r="D2" s="4"/>
      <c r="E2" s="5"/>
      <c r="H2" s="6" t="s">
        <v>2</v>
      </c>
      <c r="I2" s="7"/>
    </row>
    <row r="3" spans="1:23" ht="14.25" customHeight="1" x14ac:dyDescent="0.3">
      <c r="A3" s="1" t="s">
        <v>3</v>
      </c>
      <c r="B3" s="8">
        <v>0</v>
      </c>
      <c r="D3" s="4" t="s">
        <v>4</v>
      </c>
      <c r="E3" s="9">
        <f>+SUM(C13:C60)</f>
        <v>5280.4820146506681</v>
      </c>
      <c r="F3" s="10"/>
      <c r="H3" s="11"/>
      <c r="I3" s="7"/>
      <c r="K3" s="58"/>
      <c r="L3" s="30"/>
      <c r="M3" s="12"/>
      <c r="N3" s="58"/>
      <c r="O3" s="30"/>
      <c r="S3" s="13"/>
      <c r="T3" s="14"/>
      <c r="U3" s="15" t="s">
        <v>5</v>
      </c>
      <c r="V3" s="16"/>
    </row>
    <row r="4" spans="1:23" ht="14.25" customHeight="1" x14ac:dyDescent="0.3">
      <c r="A4" s="1" t="s">
        <v>6</v>
      </c>
      <c r="B4" s="10">
        <f>+B2-B3</f>
        <v>20000</v>
      </c>
      <c r="D4" s="4" t="s">
        <v>7</v>
      </c>
      <c r="E4" s="9">
        <f>+SUM(D13:D60)</f>
        <v>20000.000000000007</v>
      </c>
      <c r="F4" s="21"/>
      <c r="G4" s="17"/>
      <c r="H4" s="18" t="s">
        <v>8</v>
      </c>
      <c r="I4" s="19">
        <f>+B2</f>
        <v>20000</v>
      </c>
      <c r="K4" s="58"/>
      <c r="M4" s="21"/>
      <c r="N4" s="58"/>
      <c r="R4" s="1" t="s">
        <v>8</v>
      </c>
      <c r="S4" s="22">
        <v>20000</v>
      </c>
      <c r="T4" s="7"/>
      <c r="U4" s="23">
        <v>374.35</v>
      </c>
      <c r="V4" s="16"/>
    </row>
    <row r="5" spans="1:23" ht="14.25" customHeight="1" x14ac:dyDescent="0.3">
      <c r="A5" s="1" t="s">
        <v>9</v>
      </c>
      <c r="B5" s="24">
        <f>+C5*B2</f>
        <v>1000</v>
      </c>
      <c r="C5" s="25">
        <v>0.05</v>
      </c>
      <c r="D5" s="4"/>
      <c r="E5" s="9"/>
      <c r="H5" s="6" t="s">
        <v>10</v>
      </c>
      <c r="I5" s="19">
        <f>B5/(1+(B7)/12)^48</f>
        <v>620.26040506519723</v>
      </c>
      <c r="K5" s="58"/>
      <c r="L5" s="16"/>
      <c r="N5" s="58"/>
      <c r="O5" s="16"/>
      <c r="R5" s="1" t="s">
        <v>10</v>
      </c>
      <c r="S5" s="22">
        <f>2000/(1+(U7)/12)^48</f>
        <v>1488.9275748937866</v>
      </c>
      <c r="T5" s="20"/>
      <c r="U5" s="26">
        <v>12</v>
      </c>
    </row>
    <row r="6" spans="1:23" ht="14.25" customHeight="1" x14ac:dyDescent="0.3">
      <c r="A6" s="1" t="s">
        <v>11</v>
      </c>
      <c r="B6" s="27">
        <v>4</v>
      </c>
      <c r="C6" s="10"/>
      <c r="D6" s="4" t="s">
        <v>12</v>
      </c>
      <c r="E6" s="9">
        <f>SUM(E4:E5)</f>
        <v>20000.000000000007</v>
      </c>
      <c r="H6" s="6" t="s">
        <v>13</v>
      </c>
      <c r="I6" s="19">
        <f>+I4-I5</f>
        <v>19379.739594934803</v>
      </c>
      <c r="K6" s="58"/>
      <c r="N6" s="58"/>
      <c r="R6" s="1" t="s">
        <v>13</v>
      </c>
      <c r="S6" s="28">
        <f>+S4-S5</f>
        <v>18511.072425106213</v>
      </c>
      <c r="T6" s="29"/>
      <c r="U6" s="26">
        <v>4</v>
      </c>
    </row>
    <row r="7" spans="1:23" ht="14.25" customHeight="1" x14ac:dyDescent="0.3">
      <c r="A7" s="1" t="s">
        <v>14</v>
      </c>
      <c r="B7" s="30">
        <v>0.12</v>
      </c>
      <c r="D7" s="4" t="s">
        <v>15</v>
      </c>
      <c r="E7" s="9">
        <f>SUM(E3:E5)</f>
        <v>25280.482014650675</v>
      </c>
      <c r="H7" s="31"/>
      <c r="I7" s="31"/>
      <c r="S7" s="32"/>
      <c r="T7" s="33"/>
      <c r="U7" s="34">
        <v>7.3999999999999996E-2</v>
      </c>
    </row>
    <row r="8" spans="1:23" ht="14.25" customHeight="1" x14ac:dyDescent="0.3">
      <c r="A8" s="1" t="s">
        <v>16</v>
      </c>
      <c r="B8" s="35">
        <v>12</v>
      </c>
      <c r="D8" s="36" t="s">
        <v>17</v>
      </c>
      <c r="E8" s="37">
        <f>+SUM(E13:E60)</f>
        <v>31347.797698166836</v>
      </c>
      <c r="F8" s="10"/>
      <c r="H8" s="31"/>
      <c r="I8" s="31"/>
      <c r="U8" s="16"/>
    </row>
    <row r="9" spans="1:23" ht="14.25" customHeight="1" x14ac:dyDescent="0.3">
      <c r="A9" s="1" t="s">
        <v>19</v>
      </c>
      <c r="B9" s="16">
        <f>-PMT(B7/B8,(B6*B8),B4,)</f>
        <v>526.67670863855528</v>
      </c>
      <c r="D9" s="4" t="s">
        <v>20</v>
      </c>
      <c r="E9" s="10">
        <f>+E8-E7</f>
        <v>6067.3156835161608</v>
      </c>
      <c r="H9" s="6" t="s">
        <v>32</v>
      </c>
      <c r="I9" s="19"/>
      <c r="L9" s="16"/>
      <c r="O9" s="16"/>
      <c r="S9" s="21" t="s">
        <v>8</v>
      </c>
      <c r="T9" s="38">
        <f t="shared" ref="T9:T10" si="0">+S4</f>
        <v>20000</v>
      </c>
      <c r="U9" s="39"/>
      <c r="V9" s="39"/>
    </row>
    <row r="10" spans="1:23" ht="14.25" customHeight="1" x14ac:dyDescent="0.3">
      <c r="B10" s="16">
        <f>PMT(B7/B8,(B6*B8),-B4,)</f>
        <v>526.67670863855528</v>
      </c>
      <c r="C10" s="16"/>
      <c r="H10" s="59" t="s">
        <v>8</v>
      </c>
      <c r="I10" s="52">
        <f>-I4</f>
        <v>-20000</v>
      </c>
      <c r="O10" s="16"/>
      <c r="S10" s="1" t="s">
        <v>10</v>
      </c>
      <c r="T10" s="38">
        <f t="shared" si="0"/>
        <v>1488.9275748937866</v>
      </c>
      <c r="U10" s="40"/>
      <c r="V10" s="40"/>
    </row>
    <row r="11" spans="1:23" ht="14.25" customHeight="1" x14ac:dyDescent="0.3">
      <c r="A11" s="41" t="s">
        <v>23</v>
      </c>
      <c r="B11" s="41" t="s">
        <v>19</v>
      </c>
      <c r="C11" s="41" t="s">
        <v>24</v>
      </c>
      <c r="D11" s="41" t="s">
        <v>25</v>
      </c>
      <c r="E11" s="41" t="s">
        <v>26</v>
      </c>
      <c r="F11" s="41" t="s">
        <v>27</v>
      </c>
      <c r="H11" s="53" t="str">
        <f t="shared" ref="H11:I11" si="1">+H5</f>
        <v>ΠΑ(ΥΑ)</v>
      </c>
      <c r="I11" s="52">
        <f t="shared" si="1"/>
        <v>620.26040506519723</v>
      </c>
      <c r="P11" s="16"/>
      <c r="S11" s="1" t="s">
        <v>13</v>
      </c>
      <c r="T11" s="42">
        <f>+T9-T10</f>
        <v>18511.072425106213</v>
      </c>
      <c r="U11" s="43"/>
    </row>
    <row r="12" spans="1:23" ht="14.25" customHeight="1" x14ac:dyDescent="0.3">
      <c r="A12" s="44">
        <v>0</v>
      </c>
      <c r="B12" s="10"/>
      <c r="C12" s="10"/>
      <c r="D12" s="10"/>
      <c r="F12" s="10">
        <f>B4</f>
        <v>20000</v>
      </c>
      <c r="H12" s="7" t="str">
        <f t="shared" ref="H12:I12" si="2">+H6</f>
        <v>ΠΑ Μισθωμάτων</v>
      </c>
      <c r="I12" s="52">
        <f t="shared" si="2"/>
        <v>19379.739594934803</v>
      </c>
      <c r="O12" s="16"/>
      <c r="T12" s="43"/>
      <c r="U12" s="43"/>
    </row>
    <row r="13" spans="1:23" ht="14.25" customHeight="1" x14ac:dyDescent="0.3">
      <c r="A13" s="44">
        <v>1</v>
      </c>
      <c r="B13" s="10">
        <f t="shared" ref="B13:B267" si="3">IF($B$9&lt;=F12,$B$9,F12+F12*$B$7/$B$8)</f>
        <v>526.67670863855528</v>
      </c>
      <c r="C13" s="10">
        <f t="shared" ref="C13:C267" si="4">IF(B13&gt;0,$B$7/$B$8*F12,0)</f>
        <v>200</v>
      </c>
      <c r="D13" s="10">
        <f t="shared" ref="D13:D267" si="5">IF(B13&gt;0,MIN(B13-C13,F12),0)</f>
        <v>326.67670863855528</v>
      </c>
      <c r="E13" s="17">
        <f>+B13*1.24</f>
        <v>653.07911871180852</v>
      </c>
      <c r="F13" s="10">
        <f t="shared" ref="F13:F267" si="6">IF(ROUND(F12,5)&gt;0,F12-D13,0)</f>
        <v>19673.323291361445</v>
      </c>
      <c r="G13" s="10"/>
      <c r="H13" s="7" t="s">
        <v>36</v>
      </c>
      <c r="I13" s="55">
        <f>+I12+I11+I10</f>
        <v>0</v>
      </c>
      <c r="T13" s="1" t="str">
        <f t="shared" ref="T13:U13" si="7">+S11</f>
        <v>ΠΑ Μισθωμάτων</v>
      </c>
      <c r="U13" s="47">
        <f t="shared" si="7"/>
        <v>18511.072425106213</v>
      </c>
    </row>
    <row r="14" spans="1:23" ht="14.25" customHeight="1" x14ac:dyDescent="0.3">
      <c r="A14" s="44">
        <v>2</v>
      </c>
      <c r="B14" s="10">
        <f t="shared" si="3"/>
        <v>526.67670863855528</v>
      </c>
      <c r="C14" s="10">
        <f t="shared" si="4"/>
        <v>196.73323291361444</v>
      </c>
      <c r="D14" s="10">
        <f t="shared" si="5"/>
        <v>329.94347572494087</v>
      </c>
      <c r="E14" s="17">
        <f t="shared" ref="E14:E60" si="8">+B14*1.24</f>
        <v>653.07911871180852</v>
      </c>
      <c r="F14" s="10">
        <f t="shared" si="6"/>
        <v>19343.379815636505</v>
      </c>
      <c r="G14" s="10"/>
      <c r="T14" s="21"/>
      <c r="U14" s="47">
        <f>1+1/0.006167*(1-1/1.006167^47)</f>
        <v>41.693532625878035</v>
      </c>
      <c r="V14" s="49"/>
      <c r="W14" s="1">
        <f>+U7/12</f>
        <v>6.1666666666666667E-3</v>
      </c>
    </row>
    <row r="15" spans="1:23" ht="14.25" customHeight="1" x14ac:dyDescent="0.3">
      <c r="A15" s="44">
        <v>3</v>
      </c>
      <c r="B15" s="10">
        <f t="shared" si="3"/>
        <v>526.67670863855528</v>
      </c>
      <c r="C15" s="10">
        <f t="shared" si="4"/>
        <v>193.43379815636504</v>
      </c>
      <c r="D15" s="10">
        <f t="shared" si="5"/>
        <v>333.24291048219027</v>
      </c>
      <c r="E15" s="17">
        <f t="shared" si="8"/>
        <v>653.07911871180852</v>
      </c>
      <c r="F15" s="10">
        <f t="shared" si="6"/>
        <v>19010.136905154315</v>
      </c>
      <c r="G15" s="10"/>
      <c r="T15" s="50" t="s">
        <v>29</v>
      </c>
      <c r="U15" s="47">
        <f>+U13/U14</f>
        <v>443.9794677800196</v>
      </c>
    </row>
    <row r="16" spans="1:23" ht="14.25" customHeight="1" x14ac:dyDescent="0.3">
      <c r="A16" s="44">
        <v>4</v>
      </c>
      <c r="B16" s="10">
        <f t="shared" si="3"/>
        <v>526.67670863855528</v>
      </c>
      <c r="C16" s="10">
        <f t="shared" si="4"/>
        <v>190.10136905154314</v>
      </c>
      <c r="D16" s="10">
        <f t="shared" si="5"/>
        <v>336.57533958701214</v>
      </c>
      <c r="E16" s="17">
        <f t="shared" si="8"/>
        <v>653.07911871180852</v>
      </c>
      <c r="F16" s="10">
        <f t="shared" si="6"/>
        <v>18673.561565567303</v>
      </c>
      <c r="G16" s="10"/>
      <c r="H16" s="6" t="s">
        <v>2</v>
      </c>
      <c r="I16" s="7"/>
      <c r="U16" s="47">
        <f>+U15*48</f>
        <v>21311.014453440941</v>
      </c>
    </row>
    <row r="17" spans="1:21" ht="14.25" customHeight="1" x14ac:dyDescent="0.3">
      <c r="A17" s="44">
        <v>5</v>
      </c>
      <c r="B17" s="10">
        <f t="shared" si="3"/>
        <v>526.67670863855528</v>
      </c>
      <c r="C17" s="10">
        <f t="shared" si="4"/>
        <v>186.73561565567303</v>
      </c>
      <c r="D17" s="10">
        <f t="shared" si="5"/>
        <v>339.94109298288225</v>
      </c>
      <c r="E17" s="17">
        <f t="shared" si="8"/>
        <v>653.07911871180852</v>
      </c>
      <c r="F17" s="10">
        <f t="shared" si="6"/>
        <v>18333.620472584422</v>
      </c>
      <c r="G17" s="10"/>
      <c r="H17" s="11"/>
      <c r="I17" s="7"/>
      <c r="U17" s="47">
        <f>+U16+2000</f>
        <v>23311.014453440941</v>
      </c>
    </row>
    <row r="18" spans="1:21" ht="14.25" customHeight="1" x14ac:dyDescent="0.3">
      <c r="A18" s="44">
        <v>6</v>
      </c>
      <c r="B18" s="10">
        <f t="shared" si="3"/>
        <v>526.67670863855528</v>
      </c>
      <c r="C18" s="10">
        <f t="shared" si="4"/>
        <v>183.33620472584423</v>
      </c>
      <c r="D18" s="10">
        <f t="shared" si="5"/>
        <v>343.34050391271103</v>
      </c>
      <c r="E18" s="17">
        <f t="shared" si="8"/>
        <v>653.07911871180852</v>
      </c>
      <c r="F18" s="10">
        <f t="shared" si="6"/>
        <v>17990.279968671712</v>
      </c>
      <c r="G18" s="10"/>
      <c r="H18" s="18" t="s">
        <v>8</v>
      </c>
      <c r="I18" s="19">
        <f t="shared" ref="I18:I19" si="9">+I4</f>
        <v>20000</v>
      </c>
    </row>
    <row r="19" spans="1:21" ht="14.25" customHeight="1" x14ac:dyDescent="0.3">
      <c r="A19" s="44">
        <v>7</v>
      </c>
      <c r="B19" s="10">
        <f t="shared" si="3"/>
        <v>526.67670863855528</v>
      </c>
      <c r="C19" s="10">
        <f t="shared" si="4"/>
        <v>179.90279968671712</v>
      </c>
      <c r="D19" s="10">
        <f t="shared" si="5"/>
        <v>346.77390895183817</v>
      </c>
      <c r="E19" s="17">
        <f t="shared" si="8"/>
        <v>653.07911871180852</v>
      </c>
      <c r="F19" s="10">
        <f t="shared" si="6"/>
        <v>17643.506059719875</v>
      </c>
      <c r="G19" s="10"/>
      <c r="H19" s="6" t="s">
        <v>10</v>
      </c>
      <c r="I19" s="19">
        <f t="shared" si="9"/>
        <v>620.26040506519723</v>
      </c>
      <c r="T19" s="1" t="s">
        <v>33</v>
      </c>
      <c r="U19" s="54" t="s">
        <v>34</v>
      </c>
    </row>
    <row r="20" spans="1:21" ht="14.25" customHeight="1" x14ac:dyDescent="0.3">
      <c r="A20" s="44">
        <v>8</v>
      </c>
      <c r="B20" s="10">
        <f t="shared" si="3"/>
        <v>526.67670863855528</v>
      </c>
      <c r="C20" s="10">
        <f t="shared" si="4"/>
        <v>176.43506059719877</v>
      </c>
      <c r="D20" s="10">
        <f t="shared" si="5"/>
        <v>350.24164804135648</v>
      </c>
      <c r="E20" s="17">
        <f t="shared" si="8"/>
        <v>653.07911871180852</v>
      </c>
      <c r="F20" s="10">
        <f t="shared" si="6"/>
        <v>17293.26441167852</v>
      </c>
      <c r="G20" s="10"/>
      <c r="H20" s="6" t="s">
        <v>13</v>
      </c>
      <c r="I20" s="19">
        <f>PV(B7/B8,B6*B8,-B9)</f>
        <v>20000.000000000015</v>
      </c>
    </row>
    <row r="21" spans="1:21" ht="14.25" customHeight="1" x14ac:dyDescent="0.3">
      <c r="A21" s="44">
        <v>9</v>
      </c>
      <c r="B21" s="10">
        <f t="shared" si="3"/>
        <v>526.67670863855528</v>
      </c>
      <c r="C21" s="10">
        <f t="shared" si="4"/>
        <v>172.93264411678521</v>
      </c>
      <c r="D21" s="10">
        <f t="shared" si="5"/>
        <v>353.74406452177004</v>
      </c>
      <c r="E21" s="17">
        <f t="shared" si="8"/>
        <v>653.07911871180852</v>
      </c>
      <c r="F21" s="10">
        <f t="shared" si="6"/>
        <v>16939.520347156751</v>
      </c>
      <c r="G21" s="10"/>
      <c r="H21" s="31"/>
      <c r="I21" s="31"/>
      <c r="U21" s="17">
        <f>-T9</f>
        <v>-20000</v>
      </c>
    </row>
    <row r="22" spans="1:21" ht="14.25" customHeight="1" x14ac:dyDescent="0.3">
      <c r="A22" s="44">
        <v>10</v>
      </c>
      <c r="B22" s="10">
        <f t="shared" si="3"/>
        <v>526.67670863855528</v>
      </c>
      <c r="C22" s="10">
        <f t="shared" si="4"/>
        <v>169.39520347156753</v>
      </c>
      <c r="D22" s="10">
        <f t="shared" si="5"/>
        <v>357.28150516698776</v>
      </c>
      <c r="E22" s="17">
        <f t="shared" si="8"/>
        <v>653.07911871180852</v>
      </c>
      <c r="F22" s="10">
        <f t="shared" si="6"/>
        <v>16582.238841989762</v>
      </c>
      <c r="G22" s="10"/>
      <c r="H22" s="31"/>
      <c r="I22" s="31"/>
      <c r="U22" s="17">
        <f t="shared" ref="U22:U23" si="10">+T10</f>
        <v>1488.9275748937866</v>
      </c>
    </row>
    <row r="23" spans="1:21" ht="14.25" customHeight="1" x14ac:dyDescent="0.3">
      <c r="A23" s="44">
        <v>11</v>
      </c>
      <c r="B23" s="10">
        <f t="shared" si="3"/>
        <v>526.67670863855528</v>
      </c>
      <c r="C23" s="10">
        <f t="shared" si="4"/>
        <v>165.82238841989761</v>
      </c>
      <c r="D23" s="10">
        <f t="shared" si="5"/>
        <v>360.85432021865768</v>
      </c>
      <c r="E23" s="17">
        <f t="shared" si="8"/>
        <v>653.07911871180852</v>
      </c>
      <c r="F23" s="10">
        <f t="shared" si="6"/>
        <v>16221.384521771104</v>
      </c>
      <c r="G23" s="10"/>
      <c r="H23" s="6" t="s">
        <v>32</v>
      </c>
      <c r="I23" s="19"/>
      <c r="U23" s="17">
        <f t="shared" si="10"/>
        <v>18511.072425106213</v>
      </c>
    </row>
    <row r="24" spans="1:21" ht="14.25" customHeight="1" x14ac:dyDescent="0.3">
      <c r="A24" s="44">
        <v>12</v>
      </c>
      <c r="B24" s="10">
        <f t="shared" si="3"/>
        <v>526.67670863855528</v>
      </c>
      <c r="C24" s="10">
        <f t="shared" si="4"/>
        <v>162.21384521771105</v>
      </c>
      <c r="D24" s="10">
        <f t="shared" si="5"/>
        <v>364.4628634208442</v>
      </c>
      <c r="E24" s="17">
        <f t="shared" si="8"/>
        <v>653.07911871180852</v>
      </c>
      <c r="F24" s="10">
        <f t="shared" si="6"/>
        <v>15856.92165835026</v>
      </c>
      <c r="G24" s="10"/>
      <c r="H24" s="59" t="s">
        <v>8</v>
      </c>
      <c r="I24" s="52">
        <f>-I18</f>
        <v>-20000</v>
      </c>
      <c r="U24" s="17">
        <f>+U23+U22+U21</f>
        <v>0</v>
      </c>
    </row>
    <row r="25" spans="1:21" ht="14.25" customHeight="1" x14ac:dyDescent="0.3">
      <c r="A25" s="44">
        <v>13</v>
      </c>
      <c r="B25" s="10">
        <f t="shared" si="3"/>
        <v>526.67670863855528</v>
      </c>
      <c r="C25" s="10">
        <f t="shared" si="4"/>
        <v>158.56921658350259</v>
      </c>
      <c r="D25" s="10">
        <f t="shared" si="5"/>
        <v>368.10749205505272</v>
      </c>
      <c r="E25" s="17">
        <f t="shared" si="8"/>
        <v>653.07911871180852</v>
      </c>
      <c r="F25" s="10">
        <f t="shared" si="6"/>
        <v>15488.814166295208</v>
      </c>
      <c r="G25" s="10"/>
      <c r="H25" s="53" t="str">
        <f t="shared" ref="H25:I25" si="11">+H19</f>
        <v>ΠΑ(ΥΑ)</v>
      </c>
      <c r="I25" s="52">
        <f t="shared" si="11"/>
        <v>620.26040506519723</v>
      </c>
    </row>
    <row r="26" spans="1:21" ht="14.25" customHeight="1" x14ac:dyDescent="0.3">
      <c r="A26" s="44">
        <v>14</v>
      </c>
      <c r="B26" s="10">
        <f t="shared" si="3"/>
        <v>526.67670863855528</v>
      </c>
      <c r="C26" s="10">
        <f t="shared" si="4"/>
        <v>154.88814166295208</v>
      </c>
      <c r="D26" s="10">
        <f t="shared" si="5"/>
        <v>371.7885669756032</v>
      </c>
      <c r="E26" s="17">
        <f t="shared" si="8"/>
        <v>653.07911871180852</v>
      </c>
      <c r="F26" s="10">
        <f t="shared" si="6"/>
        <v>15117.025599319604</v>
      </c>
      <c r="G26" s="10"/>
      <c r="H26" s="7" t="str">
        <f t="shared" ref="H26:I26" si="12">+H20</f>
        <v>ΠΑ Μισθωμάτων</v>
      </c>
      <c r="I26" s="52">
        <f t="shared" si="12"/>
        <v>20000.000000000015</v>
      </c>
    </row>
    <row r="27" spans="1:21" ht="14.25" customHeight="1" x14ac:dyDescent="0.3">
      <c r="A27" s="44">
        <v>15</v>
      </c>
      <c r="B27" s="10">
        <f t="shared" si="3"/>
        <v>526.67670863855528</v>
      </c>
      <c r="C27" s="10">
        <f t="shared" si="4"/>
        <v>151.17025599319604</v>
      </c>
      <c r="D27" s="10">
        <f t="shared" si="5"/>
        <v>375.50645264535922</v>
      </c>
      <c r="E27" s="17">
        <f t="shared" si="8"/>
        <v>653.07911871180852</v>
      </c>
      <c r="F27" s="10">
        <f t="shared" si="6"/>
        <v>14741.519146674245</v>
      </c>
      <c r="G27" s="10"/>
      <c r="H27" s="60" t="s">
        <v>36</v>
      </c>
      <c r="I27" s="61">
        <f>+I26+I25+I24</f>
        <v>620.26040506521167</v>
      </c>
    </row>
    <row r="28" spans="1:21" ht="14.25" customHeight="1" x14ac:dyDescent="0.3">
      <c r="A28" s="44">
        <v>16</v>
      </c>
      <c r="B28" s="10">
        <f t="shared" si="3"/>
        <v>526.67670863855528</v>
      </c>
      <c r="C28" s="10">
        <f t="shared" si="4"/>
        <v>147.41519146674247</v>
      </c>
      <c r="D28" s="10">
        <f t="shared" si="5"/>
        <v>379.26151717181278</v>
      </c>
      <c r="E28" s="17">
        <f t="shared" si="8"/>
        <v>653.07911871180852</v>
      </c>
      <c r="F28" s="10">
        <f t="shared" si="6"/>
        <v>14362.257629502432</v>
      </c>
      <c r="G28" s="10"/>
    </row>
    <row r="29" spans="1:21" ht="14.25" customHeight="1" x14ac:dyDescent="0.3">
      <c r="A29" s="44">
        <v>17</v>
      </c>
      <c r="B29" s="10">
        <f t="shared" si="3"/>
        <v>526.67670863855528</v>
      </c>
      <c r="C29" s="10">
        <f t="shared" si="4"/>
        <v>143.62257629502432</v>
      </c>
      <c r="D29" s="10">
        <f t="shared" si="5"/>
        <v>383.05413234353097</v>
      </c>
      <c r="E29" s="17">
        <f t="shared" si="8"/>
        <v>653.07911871180852</v>
      </c>
      <c r="F29" s="10">
        <f t="shared" si="6"/>
        <v>13979.2034971589</v>
      </c>
      <c r="G29" s="10"/>
      <c r="H29" s="21"/>
    </row>
    <row r="30" spans="1:21" ht="14.25" customHeight="1" x14ac:dyDescent="0.3">
      <c r="A30" s="44">
        <v>18</v>
      </c>
      <c r="B30" s="10">
        <f t="shared" si="3"/>
        <v>526.67670863855528</v>
      </c>
      <c r="C30" s="10">
        <f t="shared" si="4"/>
        <v>139.792034971589</v>
      </c>
      <c r="D30" s="10">
        <f t="shared" si="5"/>
        <v>386.88467366696625</v>
      </c>
      <c r="E30" s="17">
        <f t="shared" si="8"/>
        <v>653.07911871180852</v>
      </c>
      <c r="F30" s="10">
        <f t="shared" si="6"/>
        <v>13592.318823491934</v>
      </c>
      <c r="G30" s="10"/>
      <c r="H30" s="17"/>
    </row>
    <row r="31" spans="1:21" ht="14.25" customHeight="1" x14ac:dyDescent="0.3">
      <c r="A31" s="44">
        <v>19</v>
      </c>
      <c r="B31" s="10">
        <f t="shared" si="3"/>
        <v>526.67670863855528</v>
      </c>
      <c r="C31" s="10">
        <f t="shared" si="4"/>
        <v>135.92318823491934</v>
      </c>
      <c r="D31" s="10">
        <f t="shared" si="5"/>
        <v>390.75352040363595</v>
      </c>
      <c r="E31" s="17">
        <f t="shared" si="8"/>
        <v>653.07911871180852</v>
      </c>
      <c r="F31" s="10">
        <f t="shared" si="6"/>
        <v>13201.565303088299</v>
      </c>
      <c r="G31" s="10"/>
      <c r="H31" s="56"/>
    </row>
    <row r="32" spans="1:21" ht="14.25" customHeight="1" x14ac:dyDescent="0.3">
      <c r="A32" s="44">
        <v>20</v>
      </c>
      <c r="B32" s="10">
        <f t="shared" si="3"/>
        <v>526.67670863855528</v>
      </c>
      <c r="C32" s="10">
        <f t="shared" si="4"/>
        <v>132.01565303088299</v>
      </c>
      <c r="D32" s="10">
        <f t="shared" si="5"/>
        <v>394.66105560767232</v>
      </c>
      <c r="E32" s="17">
        <f t="shared" si="8"/>
        <v>653.07911871180852</v>
      </c>
      <c r="F32" s="10">
        <f t="shared" si="6"/>
        <v>12806.904247480627</v>
      </c>
      <c r="G32" s="10"/>
      <c r="H32" s="57"/>
    </row>
    <row r="33" spans="1:13" ht="14.25" customHeight="1" x14ac:dyDescent="0.3">
      <c r="A33" s="44">
        <v>21</v>
      </c>
      <c r="B33" s="10">
        <f t="shared" si="3"/>
        <v>526.67670863855528</v>
      </c>
      <c r="C33" s="10">
        <f t="shared" si="4"/>
        <v>128.06904247480628</v>
      </c>
      <c r="D33" s="10">
        <f t="shared" si="5"/>
        <v>398.607666163749</v>
      </c>
      <c r="E33" s="17">
        <f t="shared" si="8"/>
        <v>653.07911871180852</v>
      </c>
      <c r="F33" s="10">
        <f t="shared" si="6"/>
        <v>12408.296581316878</v>
      </c>
      <c r="G33" s="10"/>
      <c r="H33" s="10"/>
    </row>
    <row r="34" spans="1:13" ht="14.25" customHeight="1" x14ac:dyDescent="0.3">
      <c r="A34" s="44">
        <v>22</v>
      </c>
      <c r="B34" s="10">
        <f t="shared" si="3"/>
        <v>526.67670863855528</v>
      </c>
      <c r="C34" s="10">
        <f t="shared" si="4"/>
        <v>124.08296581316878</v>
      </c>
      <c r="D34" s="10">
        <f t="shared" si="5"/>
        <v>402.59374282538647</v>
      </c>
      <c r="E34" s="17">
        <f t="shared" si="8"/>
        <v>653.07911871180852</v>
      </c>
      <c r="F34" s="10">
        <f t="shared" si="6"/>
        <v>12005.702838491492</v>
      </c>
      <c r="G34" s="10"/>
      <c r="H34" s="10"/>
    </row>
    <row r="35" spans="1:13" ht="14.25" customHeight="1" x14ac:dyDescent="0.3">
      <c r="A35" s="44">
        <v>23</v>
      </c>
      <c r="B35" s="10">
        <f t="shared" si="3"/>
        <v>526.67670863855528</v>
      </c>
      <c r="C35" s="10">
        <f t="shared" si="4"/>
        <v>120.05702838491493</v>
      </c>
      <c r="D35" s="10">
        <f t="shared" si="5"/>
        <v>406.61968025364035</v>
      </c>
      <c r="E35" s="17">
        <f t="shared" si="8"/>
        <v>653.07911871180852</v>
      </c>
      <c r="F35" s="10">
        <f t="shared" si="6"/>
        <v>11599.083158237852</v>
      </c>
      <c r="G35" s="10"/>
      <c r="H35" s="10"/>
    </row>
    <row r="36" spans="1:13" ht="14.25" customHeight="1" x14ac:dyDescent="0.3">
      <c r="A36" s="44">
        <v>24</v>
      </c>
      <c r="B36" s="10">
        <f t="shared" si="3"/>
        <v>526.67670863855528</v>
      </c>
      <c r="C36" s="10">
        <f t="shared" si="4"/>
        <v>115.99083158237852</v>
      </c>
      <c r="D36" s="10">
        <f t="shared" si="5"/>
        <v>410.68587705617676</v>
      </c>
      <c r="E36" s="17">
        <f t="shared" si="8"/>
        <v>653.07911871180852</v>
      </c>
      <c r="F36" s="10">
        <f t="shared" si="6"/>
        <v>11188.397281181675</v>
      </c>
      <c r="G36" s="10"/>
      <c r="H36" s="10"/>
    </row>
    <row r="37" spans="1:13" ht="14.25" customHeight="1" x14ac:dyDescent="0.3">
      <c r="A37" s="44">
        <v>25</v>
      </c>
      <c r="B37" s="10">
        <f t="shared" si="3"/>
        <v>526.67670863855528</v>
      </c>
      <c r="C37" s="10">
        <f t="shared" si="4"/>
        <v>111.88397281181675</v>
      </c>
      <c r="D37" s="10">
        <f t="shared" si="5"/>
        <v>414.79273582673852</v>
      </c>
      <c r="E37" s="17">
        <f t="shared" si="8"/>
        <v>653.07911871180852</v>
      </c>
      <c r="F37" s="10">
        <f t="shared" si="6"/>
        <v>10773.604545354936</v>
      </c>
      <c r="G37" s="10"/>
      <c r="H37" s="10"/>
      <c r="J37" s="10"/>
      <c r="K37" s="10"/>
      <c r="L37" s="10"/>
      <c r="M37" s="10"/>
    </row>
    <row r="38" spans="1:13" ht="14.25" customHeight="1" x14ac:dyDescent="0.3">
      <c r="A38" s="44">
        <v>26</v>
      </c>
      <c r="B38" s="10">
        <f t="shared" si="3"/>
        <v>526.67670863855528</v>
      </c>
      <c r="C38" s="10">
        <f t="shared" si="4"/>
        <v>107.73604545354937</v>
      </c>
      <c r="D38" s="10">
        <f t="shared" si="5"/>
        <v>418.94066318500592</v>
      </c>
      <c r="E38" s="17">
        <f t="shared" si="8"/>
        <v>653.07911871180852</v>
      </c>
      <c r="F38" s="10">
        <f t="shared" si="6"/>
        <v>10354.663882169931</v>
      </c>
      <c r="G38" s="10"/>
      <c r="H38" s="10"/>
      <c r="J38" s="21"/>
      <c r="K38" s="21"/>
      <c r="L38" s="21"/>
      <c r="M38" s="21"/>
    </row>
    <row r="39" spans="1:13" ht="14.25" customHeight="1" x14ac:dyDescent="0.3">
      <c r="A39" s="44">
        <v>27</v>
      </c>
      <c r="B39" s="10">
        <f t="shared" si="3"/>
        <v>526.67670863855528</v>
      </c>
      <c r="C39" s="10">
        <f t="shared" si="4"/>
        <v>103.5466388216993</v>
      </c>
      <c r="D39" s="10">
        <f t="shared" si="5"/>
        <v>423.13006981685601</v>
      </c>
      <c r="E39" s="17">
        <f t="shared" si="8"/>
        <v>653.07911871180852</v>
      </c>
      <c r="F39" s="10">
        <f t="shared" si="6"/>
        <v>9931.5338123530746</v>
      </c>
      <c r="G39" s="10"/>
      <c r="H39" s="10"/>
    </row>
    <row r="40" spans="1:13" ht="14.25" customHeight="1" x14ac:dyDescent="0.3">
      <c r="A40" s="44">
        <v>28</v>
      </c>
      <c r="B40" s="10">
        <f t="shared" si="3"/>
        <v>526.67670863855528</v>
      </c>
      <c r="C40" s="10">
        <f t="shared" si="4"/>
        <v>99.315338123530751</v>
      </c>
      <c r="D40" s="10">
        <f t="shared" si="5"/>
        <v>427.36137051502453</v>
      </c>
      <c r="E40" s="17">
        <f t="shared" si="8"/>
        <v>653.07911871180852</v>
      </c>
      <c r="F40" s="10">
        <f t="shared" si="6"/>
        <v>9504.1724418380509</v>
      </c>
      <c r="G40" s="10"/>
      <c r="H40" s="10"/>
    </row>
    <row r="41" spans="1:13" ht="14.25" customHeight="1" x14ac:dyDescent="0.3">
      <c r="A41" s="44">
        <v>29</v>
      </c>
      <c r="B41" s="10">
        <f t="shared" si="3"/>
        <v>526.67670863855528</v>
      </c>
      <c r="C41" s="10">
        <f t="shared" si="4"/>
        <v>95.041724418380511</v>
      </c>
      <c r="D41" s="10">
        <f t="shared" si="5"/>
        <v>431.63498422017477</v>
      </c>
      <c r="E41" s="17">
        <f t="shared" si="8"/>
        <v>653.07911871180852</v>
      </c>
      <c r="F41" s="10">
        <f t="shared" si="6"/>
        <v>9072.5374576178765</v>
      </c>
      <c r="G41" s="10"/>
      <c r="H41" s="10"/>
    </row>
    <row r="42" spans="1:13" ht="14.25" customHeight="1" x14ac:dyDescent="0.3">
      <c r="A42" s="44">
        <v>30</v>
      </c>
      <c r="B42" s="10">
        <f t="shared" si="3"/>
        <v>526.67670863855528</v>
      </c>
      <c r="C42" s="10">
        <f t="shared" si="4"/>
        <v>90.725374576178766</v>
      </c>
      <c r="D42" s="10">
        <f t="shared" si="5"/>
        <v>435.95133406237653</v>
      </c>
      <c r="E42" s="17">
        <f t="shared" si="8"/>
        <v>653.07911871180852</v>
      </c>
      <c r="F42" s="10">
        <f t="shared" si="6"/>
        <v>8636.5861235555003</v>
      </c>
      <c r="G42" s="10"/>
      <c r="H42" s="10"/>
    </row>
    <row r="43" spans="1:13" ht="14.25" customHeight="1" x14ac:dyDescent="0.3">
      <c r="A43" s="44">
        <v>31</v>
      </c>
      <c r="B43" s="10">
        <f t="shared" si="3"/>
        <v>526.67670863855528</v>
      </c>
      <c r="C43" s="10">
        <f t="shared" si="4"/>
        <v>86.365861235555002</v>
      </c>
      <c r="D43" s="10">
        <f t="shared" si="5"/>
        <v>440.31084740300025</v>
      </c>
      <c r="E43" s="17">
        <f t="shared" si="8"/>
        <v>653.07911871180852</v>
      </c>
      <c r="F43" s="10">
        <f t="shared" si="6"/>
        <v>8196.2752761525007</v>
      </c>
      <c r="G43" s="10"/>
      <c r="H43" s="10"/>
    </row>
    <row r="44" spans="1:13" ht="14.25" customHeight="1" x14ac:dyDescent="0.3">
      <c r="A44" s="44">
        <v>32</v>
      </c>
      <c r="B44" s="10">
        <f t="shared" si="3"/>
        <v>526.67670863855528</v>
      </c>
      <c r="C44" s="10">
        <f t="shared" si="4"/>
        <v>81.96275276152501</v>
      </c>
      <c r="D44" s="10">
        <f t="shared" si="5"/>
        <v>444.71395587703029</v>
      </c>
      <c r="E44" s="17">
        <f t="shared" si="8"/>
        <v>653.07911871180852</v>
      </c>
      <c r="F44" s="10">
        <f t="shared" si="6"/>
        <v>7751.5613202754703</v>
      </c>
      <c r="G44" s="10"/>
      <c r="H44" s="10"/>
    </row>
    <row r="45" spans="1:13" ht="14.25" customHeight="1" x14ac:dyDescent="0.3">
      <c r="A45" s="44">
        <v>33</v>
      </c>
      <c r="B45" s="10">
        <f t="shared" si="3"/>
        <v>526.67670863855528</v>
      </c>
      <c r="C45" s="10">
        <f t="shared" si="4"/>
        <v>77.515613202754707</v>
      </c>
      <c r="D45" s="10">
        <f t="shared" si="5"/>
        <v>449.16109543580058</v>
      </c>
      <c r="E45" s="17">
        <f t="shared" si="8"/>
        <v>653.07911871180852</v>
      </c>
      <c r="F45" s="10">
        <f t="shared" si="6"/>
        <v>7302.40022483967</v>
      </c>
      <c r="G45" s="10"/>
      <c r="H45" s="10"/>
    </row>
    <row r="46" spans="1:13" ht="14.25" customHeight="1" x14ac:dyDescent="0.3">
      <c r="A46" s="44">
        <v>34</v>
      </c>
      <c r="B46" s="10">
        <f t="shared" si="3"/>
        <v>526.67670863855528</v>
      </c>
      <c r="C46" s="10">
        <f t="shared" si="4"/>
        <v>73.024002248396698</v>
      </c>
      <c r="D46" s="10">
        <f t="shared" si="5"/>
        <v>453.65270639015858</v>
      </c>
      <c r="E46" s="17">
        <f t="shared" si="8"/>
        <v>653.07911871180852</v>
      </c>
      <c r="F46" s="10">
        <f t="shared" si="6"/>
        <v>6848.7475184495115</v>
      </c>
      <c r="G46" s="10"/>
      <c r="H46" s="10"/>
    </row>
    <row r="47" spans="1:13" ht="14.25" customHeight="1" x14ac:dyDescent="0.3">
      <c r="A47" s="44">
        <v>35</v>
      </c>
      <c r="B47" s="10">
        <f t="shared" si="3"/>
        <v>526.67670863855528</v>
      </c>
      <c r="C47" s="10">
        <f t="shared" si="4"/>
        <v>68.487475184495111</v>
      </c>
      <c r="D47" s="10">
        <f t="shared" si="5"/>
        <v>458.18923345406017</v>
      </c>
      <c r="E47" s="17">
        <f t="shared" si="8"/>
        <v>653.07911871180852</v>
      </c>
      <c r="F47" s="10">
        <f t="shared" si="6"/>
        <v>6390.5582849954517</v>
      </c>
      <c r="G47" s="10"/>
      <c r="H47" s="10"/>
    </row>
    <row r="48" spans="1:13" ht="14.25" customHeight="1" x14ac:dyDescent="0.3">
      <c r="A48" s="44">
        <v>36</v>
      </c>
      <c r="B48" s="10">
        <f t="shared" si="3"/>
        <v>526.67670863855528</v>
      </c>
      <c r="C48" s="10">
        <f t="shared" si="4"/>
        <v>63.90558284995452</v>
      </c>
      <c r="D48" s="10">
        <f t="shared" si="5"/>
        <v>462.77112578860078</v>
      </c>
      <c r="E48" s="17">
        <f t="shared" si="8"/>
        <v>653.07911871180852</v>
      </c>
      <c r="F48" s="10">
        <f t="shared" si="6"/>
        <v>5927.7871592068514</v>
      </c>
      <c r="G48" s="10"/>
      <c r="H48" s="10"/>
    </row>
    <row r="49" spans="1:8" ht="14.25" customHeight="1" x14ac:dyDescent="0.3">
      <c r="A49" s="44">
        <v>37</v>
      </c>
      <c r="B49" s="10">
        <f t="shared" si="3"/>
        <v>526.67670863855528</v>
      </c>
      <c r="C49" s="10">
        <f t="shared" si="4"/>
        <v>59.277871592068514</v>
      </c>
      <c r="D49" s="10">
        <f t="shared" si="5"/>
        <v>467.39883704648679</v>
      </c>
      <c r="E49" s="17">
        <f t="shared" si="8"/>
        <v>653.07911871180852</v>
      </c>
      <c r="F49" s="10">
        <f t="shared" si="6"/>
        <v>5460.3883221603646</v>
      </c>
      <c r="G49" s="10"/>
      <c r="H49" s="10"/>
    </row>
    <row r="50" spans="1:8" ht="14.25" customHeight="1" x14ac:dyDescent="0.3">
      <c r="A50" s="44">
        <v>38</v>
      </c>
      <c r="B50" s="10">
        <f t="shared" si="3"/>
        <v>526.67670863855528</v>
      </c>
      <c r="C50" s="10">
        <f t="shared" si="4"/>
        <v>54.603883221603645</v>
      </c>
      <c r="D50" s="10">
        <f t="shared" si="5"/>
        <v>472.07282541695162</v>
      </c>
      <c r="E50" s="17">
        <f t="shared" si="8"/>
        <v>653.07911871180852</v>
      </c>
      <c r="F50" s="10">
        <f t="shared" si="6"/>
        <v>4988.315496743413</v>
      </c>
      <c r="G50" s="10"/>
      <c r="H50" s="10"/>
    </row>
    <row r="51" spans="1:8" ht="14.25" customHeight="1" x14ac:dyDescent="0.3">
      <c r="A51" s="44">
        <v>39</v>
      </c>
      <c r="B51" s="10">
        <f t="shared" si="3"/>
        <v>526.67670863855528</v>
      </c>
      <c r="C51" s="10">
        <f t="shared" si="4"/>
        <v>49.88315496743413</v>
      </c>
      <c r="D51" s="10">
        <f t="shared" si="5"/>
        <v>476.79355367112117</v>
      </c>
      <c r="E51" s="17">
        <f t="shared" si="8"/>
        <v>653.07911871180852</v>
      </c>
      <c r="F51" s="10">
        <f t="shared" si="6"/>
        <v>4511.5219430722918</v>
      </c>
      <c r="G51" s="10"/>
      <c r="H51" s="10"/>
    </row>
    <row r="52" spans="1:8" ht="14.25" customHeight="1" x14ac:dyDescent="0.3">
      <c r="A52" s="44">
        <v>40</v>
      </c>
      <c r="B52" s="10">
        <f t="shared" si="3"/>
        <v>526.67670863855528</v>
      </c>
      <c r="C52" s="10">
        <f t="shared" si="4"/>
        <v>45.115219430722917</v>
      </c>
      <c r="D52" s="10">
        <f t="shared" si="5"/>
        <v>481.56148920783238</v>
      </c>
      <c r="E52" s="17">
        <f t="shared" si="8"/>
        <v>653.07911871180852</v>
      </c>
      <c r="F52" s="10">
        <f t="shared" si="6"/>
        <v>4029.9604538644594</v>
      </c>
      <c r="G52" s="10"/>
      <c r="H52" s="10"/>
    </row>
    <row r="53" spans="1:8" ht="14.25" customHeight="1" x14ac:dyDescent="0.3">
      <c r="A53" s="44">
        <v>41</v>
      </c>
      <c r="B53" s="10">
        <f t="shared" si="3"/>
        <v>526.67670863855528</v>
      </c>
      <c r="C53" s="10">
        <f t="shared" si="4"/>
        <v>40.299604538644594</v>
      </c>
      <c r="D53" s="10">
        <f t="shared" si="5"/>
        <v>486.3771040999107</v>
      </c>
      <c r="E53" s="17">
        <f t="shared" si="8"/>
        <v>653.07911871180852</v>
      </c>
      <c r="F53" s="10">
        <f t="shared" si="6"/>
        <v>3543.5833497645485</v>
      </c>
      <c r="G53" s="10"/>
      <c r="H53" s="10"/>
    </row>
    <row r="54" spans="1:8" ht="14.25" customHeight="1" x14ac:dyDescent="0.3">
      <c r="A54" s="44">
        <v>42</v>
      </c>
      <c r="B54" s="10">
        <f t="shared" si="3"/>
        <v>526.67670863855528</v>
      </c>
      <c r="C54" s="10">
        <f t="shared" si="4"/>
        <v>35.435833497645483</v>
      </c>
      <c r="D54" s="10">
        <f t="shared" si="5"/>
        <v>491.24087514090979</v>
      </c>
      <c r="E54" s="17">
        <f t="shared" si="8"/>
        <v>653.07911871180852</v>
      </c>
      <c r="F54" s="10">
        <f t="shared" si="6"/>
        <v>3052.3424746236387</v>
      </c>
      <c r="G54" s="10"/>
      <c r="H54" s="10"/>
    </row>
    <row r="55" spans="1:8" ht="14.25" customHeight="1" x14ac:dyDescent="0.3">
      <c r="A55" s="44">
        <v>43</v>
      </c>
      <c r="B55" s="10">
        <f t="shared" si="3"/>
        <v>526.67670863855528</v>
      </c>
      <c r="C55" s="10">
        <f t="shared" si="4"/>
        <v>30.523424746236387</v>
      </c>
      <c r="D55" s="10">
        <f t="shared" si="5"/>
        <v>496.15328389231888</v>
      </c>
      <c r="E55" s="17">
        <f t="shared" si="8"/>
        <v>653.07911871180852</v>
      </c>
      <c r="F55" s="10">
        <f t="shared" si="6"/>
        <v>2556.1891907313197</v>
      </c>
      <c r="G55" s="10"/>
      <c r="H55" s="10"/>
    </row>
    <row r="56" spans="1:8" ht="14.25" customHeight="1" x14ac:dyDescent="0.3">
      <c r="A56" s="44">
        <v>44</v>
      </c>
      <c r="B56" s="10">
        <f t="shared" si="3"/>
        <v>526.67670863855528</v>
      </c>
      <c r="C56" s="10">
        <f t="shared" si="4"/>
        <v>25.561891907313196</v>
      </c>
      <c r="D56" s="10">
        <f t="shared" si="5"/>
        <v>501.11481673124206</v>
      </c>
      <c r="E56" s="17">
        <f t="shared" si="8"/>
        <v>653.07911871180852</v>
      </c>
      <c r="F56" s="10">
        <f t="shared" si="6"/>
        <v>2055.0743740000776</v>
      </c>
      <c r="G56" s="10"/>
      <c r="H56" s="10"/>
    </row>
    <row r="57" spans="1:8" ht="14.25" customHeight="1" x14ac:dyDescent="0.3">
      <c r="A57" s="44">
        <v>45</v>
      </c>
      <c r="B57" s="10">
        <f t="shared" si="3"/>
        <v>526.67670863855528</v>
      </c>
      <c r="C57" s="10">
        <f t="shared" si="4"/>
        <v>20.550743740000776</v>
      </c>
      <c r="D57" s="10">
        <f t="shared" si="5"/>
        <v>506.12596489855451</v>
      </c>
      <c r="E57" s="17">
        <f t="shared" si="8"/>
        <v>653.07911871180852</v>
      </c>
      <c r="F57" s="10">
        <f t="shared" si="6"/>
        <v>1548.9484091015231</v>
      </c>
      <c r="G57" s="10"/>
      <c r="H57" s="10"/>
    </row>
    <row r="58" spans="1:8" ht="14.25" customHeight="1" x14ac:dyDescent="0.3">
      <c r="A58" s="44">
        <v>46</v>
      </c>
      <c r="B58" s="10">
        <f t="shared" si="3"/>
        <v>526.67670863855528</v>
      </c>
      <c r="C58" s="10">
        <f t="shared" si="4"/>
        <v>15.489484091015232</v>
      </c>
      <c r="D58" s="10">
        <f t="shared" si="5"/>
        <v>511.18722454754004</v>
      </c>
      <c r="E58" s="17">
        <f t="shared" si="8"/>
        <v>653.07911871180852</v>
      </c>
      <c r="F58" s="10">
        <f t="shared" si="6"/>
        <v>1037.7611845539832</v>
      </c>
      <c r="G58" s="10"/>
      <c r="H58" s="10"/>
    </row>
    <row r="59" spans="1:8" ht="14.25" customHeight="1" x14ac:dyDescent="0.3">
      <c r="A59" s="44">
        <v>47</v>
      </c>
      <c r="B59" s="10">
        <f t="shared" si="3"/>
        <v>526.67670863855528</v>
      </c>
      <c r="C59" s="10">
        <f t="shared" si="4"/>
        <v>10.377611845539832</v>
      </c>
      <c r="D59" s="10">
        <f t="shared" si="5"/>
        <v>516.29909679301545</v>
      </c>
      <c r="E59" s="17">
        <f t="shared" si="8"/>
        <v>653.07911871180852</v>
      </c>
      <c r="F59" s="10">
        <f t="shared" si="6"/>
        <v>521.46208776096773</v>
      </c>
      <c r="G59" s="10"/>
      <c r="H59" s="10"/>
    </row>
    <row r="60" spans="1:8" ht="14.25" customHeight="1" x14ac:dyDescent="0.3">
      <c r="A60" s="44">
        <v>48</v>
      </c>
      <c r="B60" s="10">
        <f t="shared" si="3"/>
        <v>526.67670863857745</v>
      </c>
      <c r="C60" s="10">
        <f t="shared" si="4"/>
        <v>5.2146208776096774</v>
      </c>
      <c r="D60" s="10">
        <f t="shared" si="5"/>
        <v>521.46208776096773</v>
      </c>
      <c r="E60" s="17">
        <f t="shared" si="8"/>
        <v>653.07911871183603</v>
      </c>
      <c r="F60" s="10">
        <f t="shared" si="6"/>
        <v>0</v>
      </c>
      <c r="G60" s="10"/>
      <c r="H60" s="10"/>
    </row>
    <row r="61" spans="1:8" ht="14.25" customHeight="1" x14ac:dyDescent="0.3">
      <c r="A61" s="44">
        <v>49</v>
      </c>
      <c r="B61" s="10">
        <f t="shared" si="3"/>
        <v>0</v>
      </c>
      <c r="C61" s="10">
        <f t="shared" si="4"/>
        <v>0</v>
      </c>
      <c r="D61" s="10">
        <f t="shared" si="5"/>
        <v>0</v>
      </c>
      <c r="E61" s="17"/>
      <c r="F61" s="10">
        <f t="shared" si="6"/>
        <v>0</v>
      </c>
    </row>
    <row r="62" spans="1:8" ht="14.25" customHeight="1" x14ac:dyDescent="0.3">
      <c r="A62" s="44">
        <v>50</v>
      </c>
      <c r="B62" s="10">
        <f t="shared" si="3"/>
        <v>0</v>
      </c>
      <c r="C62" s="10">
        <f t="shared" si="4"/>
        <v>0</v>
      </c>
      <c r="D62" s="10">
        <f t="shared" si="5"/>
        <v>0</v>
      </c>
      <c r="E62" s="17"/>
      <c r="F62" s="10">
        <f t="shared" si="6"/>
        <v>0</v>
      </c>
    </row>
    <row r="63" spans="1:8" ht="14.25" customHeight="1" x14ac:dyDescent="0.3">
      <c r="A63" s="44">
        <v>51</v>
      </c>
      <c r="B63" s="10">
        <f t="shared" si="3"/>
        <v>0</v>
      </c>
      <c r="C63" s="10">
        <f t="shared" si="4"/>
        <v>0</v>
      </c>
      <c r="D63" s="10">
        <f t="shared" si="5"/>
        <v>0</v>
      </c>
      <c r="E63" s="17"/>
      <c r="F63" s="10">
        <f t="shared" si="6"/>
        <v>0</v>
      </c>
    </row>
    <row r="64" spans="1:8" ht="14.25" customHeight="1" x14ac:dyDescent="0.3">
      <c r="A64" s="44">
        <v>52</v>
      </c>
      <c r="B64" s="10">
        <f t="shared" si="3"/>
        <v>0</v>
      </c>
      <c r="C64" s="10">
        <f t="shared" si="4"/>
        <v>0</v>
      </c>
      <c r="D64" s="10">
        <f t="shared" si="5"/>
        <v>0</v>
      </c>
      <c r="E64" s="17"/>
      <c r="F64" s="10">
        <f t="shared" si="6"/>
        <v>0</v>
      </c>
    </row>
    <row r="65" spans="1:6" ht="14.25" customHeight="1" x14ac:dyDescent="0.3">
      <c r="A65" s="44">
        <v>53</v>
      </c>
      <c r="B65" s="10">
        <f t="shared" si="3"/>
        <v>0</v>
      </c>
      <c r="C65" s="10">
        <f t="shared" si="4"/>
        <v>0</v>
      </c>
      <c r="D65" s="10">
        <f t="shared" si="5"/>
        <v>0</v>
      </c>
      <c r="E65" s="17"/>
      <c r="F65" s="10">
        <f t="shared" si="6"/>
        <v>0</v>
      </c>
    </row>
    <row r="66" spans="1:6" ht="14.25" customHeight="1" x14ac:dyDescent="0.3">
      <c r="A66" s="44">
        <v>54</v>
      </c>
      <c r="B66" s="10">
        <f t="shared" si="3"/>
        <v>0</v>
      </c>
      <c r="C66" s="10">
        <f t="shared" si="4"/>
        <v>0</v>
      </c>
      <c r="D66" s="10">
        <f t="shared" si="5"/>
        <v>0</v>
      </c>
      <c r="E66" s="17"/>
      <c r="F66" s="10">
        <f t="shared" si="6"/>
        <v>0</v>
      </c>
    </row>
    <row r="67" spans="1:6" ht="14.25" customHeight="1" x14ac:dyDescent="0.3">
      <c r="A67" s="44">
        <v>55</v>
      </c>
      <c r="B67" s="10">
        <f t="shared" si="3"/>
        <v>0</v>
      </c>
      <c r="C67" s="10">
        <f t="shared" si="4"/>
        <v>0</v>
      </c>
      <c r="D67" s="10">
        <f t="shared" si="5"/>
        <v>0</v>
      </c>
      <c r="E67" s="17"/>
      <c r="F67" s="10">
        <f t="shared" si="6"/>
        <v>0</v>
      </c>
    </row>
    <row r="68" spans="1:6" ht="14.25" customHeight="1" x14ac:dyDescent="0.3">
      <c r="A68" s="44">
        <v>56</v>
      </c>
      <c r="B68" s="10">
        <f t="shared" si="3"/>
        <v>0</v>
      </c>
      <c r="C68" s="10">
        <f t="shared" si="4"/>
        <v>0</v>
      </c>
      <c r="D68" s="10">
        <f t="shared" si="5"/>
        <v>0</v>
      </c>
      <c r="E68" s="17"/>
      <c r="F68" s="10">
        <f t="shared" si="6"/>
        <v>0</v>
      </c>
    </row>
    <row r="69" spans="1:6" ht="14.25" customHeight="1" x14ac:dyDescent="0.3">
      <c r="A69" s="44">
        <v>57</v>
      </c>
      <c r="B69" s="10">
        <f t="shared" si="3"/>
        <v>0</v>
      </c>
      <c r="C69" s="10">
        <f t="shared" si="4"/>
        <v>0</v>
      </c>
      <c r="D69" s="10">
        <f t="shared" si="5"/>
        <v>0</v>
      </c>
      <c r="E69" s="17"/>
      <c r="F69" s="10">
        <f t="shared" si="6"/>
        <v>0</v>
      </c>
    </row>
    <row r="70" spans="1:6" ht="14.25" customHeight="1" x14ac:dyDescent="0.3">
      <c r="A70" s="44">
        <v>58</v>
      </c>
      <c r="B70" s="10">
        <f t="shared" si="3"/>
        <v>0</v>
      </c>
      <c r="C70" s="10">
        <f t="shared" si="4"/>
        <v>0</v>
      </c>
      <c r="D70" s="10">
        <f t="shared" si="5"/>
        <v>0</v>
      </c>
      <c r="E70" s="17"/>
      <c r="F70" s="10">
        <f t="shared" si="6"/>
        <v>0</v>
      </c>
    </row>
    <row r="71" spans="1:6" ht="14.25" customHeight="1" x14ac:dyDescent="0.3">
      <c r="A71" s="44">
        <v>59</v>
      </c>
      <c r="B71" s="10">
        <f t="shared" si="3"/>
        <v>0</v>
      </c>
      <c r="C71" s="10">
        <f t="shared" si="4"/>
        <v>0</v>
      </c>
      <c r="D71" s="10">
        <f t="shared" si="5"/>
        <v>0</v>
      </c>
      <c r="E71" s="17"/>
      <c r="F71" s="10">
        <f t="shared" si="6"/>
        <v>0</v>
      </c>
    </row>
    <row r="72" spans="1:6" ht="14.25" customHeight="1" x14ac:dyDescent="0.3">
      <c r="A72" s="44">
        <v>60</v>
      </c>
      <c r="B72" s="10">
        <f t="shared" si="3"/>
        <v>0</v>
      </c>
      <c r="C72" s="10">
        <f t="shared" si="4"/>
        <v>0</v>
      </c>
      <c r="D72" s="10">
        <f t="shared" si="5"/>
        <v>0</v>
      </c>
      <c r="E72" s="17"/>
      <c r="F72" s="10">
        <f t="shared" si="6"/>
        <v>0</v>
      </c>
    </row>
    <row r="73" spans="1:6" ht="14.25" customHeight="1" x14ac:dyDescent="0.3">
      <c r="A73" s="44">
        <v>61</v>
      </c>
      <c r="B73" s="10">
        <f t="shared" si="3"/>
        <v>0</v>
      </c>
      <c r="C73" s="10">
        <f t="shared" si="4"/>
        <v>0</v>
      </c>
      <c r="D73" s="10">
        <f t="shared" si="5"/>
        <v>0</v>
      </c>
      <c r="F73" s="10">
        <f t="shared" si="6"/>
        <v>0</v>
      </c>
    </row>
    <row r="74" spans="1:6" ht="14.25" customHeight="1" x14ac:dyDescent="0.3">
      <c r="A74" s="44">
        <v>62</v>
      </c>
      <c r="B74" s="10">
        <f t="shared" si="3"/>
        <v>0</v>
      </c>
      <c r="C74" s="10">
        <f t="shared" si="4"/>
        <v>0</v>
      </c>
      <c r="D74" s="10">
        <f t="shared" si="5"/>
        <v>0</v>
      </c>
      <c r="F74" s="10">
        <f t="shared" si="6"/>
        <v>0</v>
      </c>
    </row>
    <row r="75" spans="1:6" ht="14.25" customHeight="1" x14ac:dyDescent="0.3">
      <c r="A75" s="44">
        <v>63</v>
      </c>
      <c r="B75" s="10">
        <f t="shared" si="3"/>
        <v>0</v>
      </c>
      <c r="C75" s="10">
        <f t="shared" si="4"/>
        <v>0</v>
      </c>
      <c r="D75" s="10">
        <f t="shared" si="5"/>
        <v>0</v>
      </c>
      <c r="F75" s="10">
        <f t="shared" si="6"/>
        <v>0</v>
      </c>
    </row>
    <row r="76" spans="1:6" ht="14.25" customHeight="1" x14ac:dyDescent="0.3">
      <c r="A76" s="44">
        <v>64</v>
      </c>
      <c r="B76" s="10">
        <f t="shared" si="3"/>
        <v>0</v>
      </c>
      <c r="C76" s="10">
        <f t="shared" si="4"/>
        <v>0</v>
      </c>
      <c r="D76" s="10">
        <f t="shared" si="5"/>
        <v>0</v>
      </c>
      <c r="F76" s="10">
        <f t="shared" si="6"/>
        <v>0</v>
      </c>
    </row>
    <row r="77" spans="1:6" ht="14.25" customHeight="1" x14ac:dyDescent="0.3">
      <c r="A77" s="44">
        <v>65</v>
      </c>
      <c r="B77" s="10">
        <f t="shared" si="3"/>
        <v>0</v>
      </c>
      <c r="C77" s="10">
        <f t="shared" si="4"/>
        <v>0</v>
      </c>
      <c r="D77" s="10">
        <f t="shared" si="5"/>
        <v>0</v>
      </c>
      <c r="F77" s="10">
        <f t="shared" si="6"/>
        <v>0</v>
      </c>
    </row>
    <row r="78" spans="1:6" ht="14.25" customHeight="1" x14ac:dyDescent="0.3">
      <c r="A78" s="44">
        <v>66</v>
      </c>
      <c r="B78" s="10">
        <f t="shared" si="3"/>
        <v>0</v>
      </c>
      <c r="C78" s="10">
        <f t="shared" si="4"/>
        <v>0</v>
      </c>
      <c r="D78" s="10">
        <f t="shared" si="5"/>
        <v>0</v>
      </c>
      <c r="F78" s="10">
        <f t="shared" si="6"/>
        <v>0</v>
      </c>
    </row>
    <row r="79" spans="1:6" ht="14.25" customHeight="1" x14ac:dyDescent="0.3">
      <c r="A79" s="44">
        <v>67</v>
      </c>
      <c r="B79" s="10">
        <f t="shared" si="3"/>
        <v>0</v>
      </c>
      <c r="C79" s="10">
        <f t="shared" si="4"/>
        <v>0</v>
      </c>
      <c r="D79" s="10">
        <f t="shared" si="5"/>
        <v>0</v>
      </c>
      <c r="F79" s="10">
        <f t="shared" si="6"/>
        <v>0</v>
      </c>
    </row>
    <row r="80" spans="1:6" ht="14.25" customHeight="1" x14ac:dyDescent="0.3">
      <c r="A80" s="44">
        <v>68</v>
      </c>
      <c r="B80" s="10">
        <f t="shared" si="3"/>
        <v>0</v>
      </c>
      <c r="C80" s="10">
        <f t="shared" si="4"/>
        <v>0</v>
      </c>
      <c r="D80" s="10">
        <f t="shared" si="5"/>
        <v>0</v>
      </c>
      <c r="F80" s="10">
        <f t="shared" si="6"/>
        <v>0</v>
      </c>
    </row>
    <row r="81" spans="1:6" ht="14.25" customHeight="1" x14ac:dyDescent="0.3">
      <c r="A81" s="44">
        <v>69</v>
      </c>
      <c r="B81" s="10">
        <f t="shared" si="3"/>
        <v>0</v>
      </c>
      <c r="C81" s="10">
        <f t="shared" si="4"/>
        <v>0</v>
      </c>
      <c r="D81" s="10">
        <f t="shared" si="5"/>
        <v>0</v>
      </c>
      <c r="F81" s="10">
        <f t="shared" si="6"/>
        <v>0</v>
      </c>
    </row>
    <row r="82" spans="1:6" ht="14.25" customHeight="1" x14ac:dyDescent="0.3">
      <c r="A82" s="44">
        <v>70</v>
      </c>
      <c r="B82" s="10">
        <f t="shared" si="3"/>
        <v>0</v>
      </c>
      <c r="C82" s="10">
        <f t="shared" si="4"/>
        <v>0</v>
      </c>
      <c r="D82" s="10">
        <f t="shared" si="5"/>
        <v>0</v>
      </c>
      <c r="F82" s="10">
        <f t="shared" si="6"/>
        <v>0</v>
      </c>
    </row>
    <row r="83" spans="1:6" ht="14.25" customHeight="1" x14ac:dyDescent="0.3">
      <c r="A83" s="44">
        <v>71</v>
      </c>
      <c r="B83" s="10">
        <f t="shared" si="3"/>
        <v>0</v>
      </c>
      <c r="C83" s="10">
        <f t="shared" si="4"/>
        <v>0</v>
      </c>
      <c r="D83" s="10">
        <f t="shared" si="5"/>
        <v>0</v>
      </c>
      <c r="F83" s="10">
        <f t="shared" si="6"/>
        <v>0</v>
      </c>
    </row>
    <row r="84" spans="1:6" ht="14.25" customHeight="1" x14ac:dyDescent="0.3">
      <c r="A84" s="44">
        <v>72</v>
      </c>
      <c r="B84" s="10">
        <f t="shared" si="3"/>
        <v>0</v>
      </c>
      <c r="C84" s="10">
        <f t="shared" si="4"/>
        <v>0</v>
      </c>
      <c r="D84" s="10">
        <f t="shared" si="5"/>
        <v>0</v>
      </c>
      <c r="F84" s="10">
        <f t="shared" si="6"/>
        <v>0</v>
      </c>
    </row>
    <row r="85" spans="1:6" ht="14.25" customHeight="1" x14ac:dyDescent="0.3">
      <c r="A85" s="44">
        <v>73</v>
      </c>
      <c r="B85" s="10">
        <f t="shared" si="3"/>
        <v>0</v>
      </c>
      <c r="C85" s="10">
        <f t="shared" si="4"/>
        <v>0</v>
      </c>
      <c r="D85" s="10">
        <f t="shared" si="5"/>
        <v>0</v>
      </c>
      <c r="F85" s="10">
        <f t="shared" si="6"/>
        <v>0</v>
      </c>
    </row>
    <row r="86" spans="1:6" ht="14.25" customHeight="1" x14ac:dyDescent="0.3">
      <c r="A86" s="44">
        <v>74</v>
      </c>
      <c r="B86" s="10">
        <f t="shared" si="3"/>
        <v>0</v>
      </c>
      <c r="C86" s="10">
        <f t="shared" si="4"/>
        <v>0</v>
      </c>
      <c r="D86" s="10">
        <f t="shared" si="5"/>
        <v>0</v>
      </c>
      <c r="F86" s="10">
        <f t="shared" si="6"/>
        <v>0</v>
      </c>
    </row>
    <row r="87" spans="1:6" ht="14.25" customHeight="1" x14ac:dyDescent="0.3">
      <c r="A87" s="44">
        <v>75</v>
      </c>
      <c r="B87" s="10">
        <f t="shared" si="3"/>
        <v>0</v>
      </c>
      <c r="C87" s="10">
        <f t="shared" si="4"/>
        <v>0</v>
      </c>
      <c r="D87" s="10">
        <f t="shared" si="5"/>
        <v>0</v>
      </c>
      <c r="F87" s="10">
        <f t="shared" si="6"/>
        <v>0</v>
      </c>
    </row>
    <row r="88" spans="1:6" ht="14.25" customHeight="1" x14ac:dyDescent="0.3">
      <c r="A88" s="44">
        <v>76</v>
      </c>
      <c r="B88" s="10">
        <f t="shared" si="3"/>
        <v>0</v>
      </c>
      <c r="C88" s="10">
        <f t="shared" si="4"/>
        <v>0</v>
      </c>
      <c r="D88" s="10">
        <f t="shared" si="5"/>
        <v>0</v>
      </c>
      <c r="F88" s="10">
        <f t="shared" si="6"/>
        <v>0</v>
      </c>
    </row>
    <row r="89" spans="1:6" ht="14.25" customHeight="1" x14ac:dyDescent="0.3">
      <c r="A89" s="44">
        <v>77</v>
      </c>
      <c r="B89" s="10">
        <f t="shared" si="3"/>
        <v>0</v>
      </c>
      <c r="C89" s="10">
        <f t="shared" si="4"/>
        <v>0</v>
      </c>
      <c r="D89" s="10">
        <f t="shared" si="5"/>
        <v>0</v>
      </c>
      <c r="F89" s="10">
        <f t="shared" si="6"/>
        <v>0</v>
      </c>
    </row>
    <row r="90" spans="1:6" ht="14.25" customHeight="1" x14ac:dyDescent="0.3">
      <c r="A90" s="44">
        <v>78</v>
      </c>
      <c r="B90" s="10">
        <f t="shared" si="3"/>
        <v>0</v>
      </c>
      <c r="C90" s="10">
        <f t="shared" si="4"/>
        <v>0</v>
      </c>
      <c r="D90" s="10">
        <f t="shared" si="5"/>
        <v>0</v>
      </c>
      <c r="F90" s="10">
        <f t="shared" si="6"/>
        <v>0</v>
      </c>
    </row>
    <row r="91" spans="1:6" ht="14.25" customHeight="1" x14ac:dyDescent="0.3">
      <c r="A91" s="44">
        <v>79</v>
      </c>
      <c r="B91" s="10">
        <f t="shared" si="3"/>
        <v>0</v>
      </c>
      <c r="C91" s="10">
        <f t="shared" si="4"/>
        <v>0</v>
      </c>
      <c r="D91" s="10">
        <f t="shared" si="5"/>
        <v>0</v>
      </c>
      <c r="F91" s="10">
        <f t="shared" si="6"/>
        <v>0</v>
      </c>
    </row>
    <row r="92" spans="1:6" ht="14.25" customHeight="1" x14ac:dyDescent="0.3">
      <c r="A92" s="44">
        <v>80</v>
      </c>
      <c r="B92" s="10">
        <f t="shared" si="3"/>
        <v>0</v>
      </c>
      <c r="C92" s="10">
        <f t="shared" si="4"/>
        <v>0</v>
      </c>
      <c r="D92" s="10">
        <f t="shared" si="5"/>
        <v>0</v>
      </c>
      <c r="F92" s="10">
        <f t="shared" si="6"/>
        <v>0</v>
      </c>
    </row>
    <row r="93" spans="1:6" ht="14.25" customHeight="1" x14ac:dyDescent="0.3">
      <c r="A93" s="44">
        <v>81</v>
      </c>
      <c r="B93" s="10">
        <f t="shared" si="3"/>
        <v>0</v>
      </c>
      <c r="C93" s="10">
        <f t="shared" si="4"/>
        <v>0</v>
      </c>
      <c r="D93" s="10">
        <f t="shared" si="5"/>
        <v>0</v>
      </c>
      <c r="F93" s="10">
        <f t="shared" si="6"/>
        <v>0</v>
      </c>
    </row>
    <row r="94" spans="1:6" ht="14.25" customHeight="1" x14ac:dyDescent="0.3">
      <c r="A94" s="44">
        <v>82</v>
      </c>
      <c r="B94" s="10">
        <f t="shared" si="3"/>
        <v>0</v>
      </c>
      <c r="C94" s="10">
        <f t="shared" si="4"/>
        <v>0</v>
      </c>
      <c r="D94" s="10">
        <f t="shared" si="5"/>
        <v>0</v>
      </c>
      <c r="F94" s="10">
        <f t="shared" si="6"/>
        <v>0</v>
      </c>
    </row>
    <row r="95" spans="1:6" ht="14.25" customHeight="1" x14ac:dyDescent="0.3">
      <c r="A95" s="44">
        <v>83</v>
      </c>
      <c r="B95" s="10">
        <f t="shared" si="3"/>
        <v>0</v>
      </c>
      <c r="C95" s="10">
        <f t="shared" si="4"/>
        <v>0</v>
      </c>
      <c r="D95" s="10">
        <f t="shared" si="5"/>
        <v>0</v>
      </c>
      <c r="F95" s="10">
        <f t="shared" si="6"/>
        <v>0</v>
      </c>
    </row>
    <row r="96" spans="1:6" ht="14.25" customHeight="1" x14ac:dyDescent="0.3">
      <c r="A96" s="44">
        <v>84</v>
      </c>
      <c r="B96" s="10">
        <f t="shared" si="3"/>
        <v>0</v>
      </c>
      <c r="C96" s="10">
        <f t="shared" si="4"/>
        <v>0</v>
      </c>
      <c r="D96" s="10">
        <f t="shared" si="5"/>
        <v>0</v>
      </c>
      <c r="F96" s="10">
        <f t="shared" si="6"/>
        <v>0</v>
      </c>
    </row>
    <row r="97" spans="1:6" ht="14.25" customHeight="1" x14ac:dyDescent="0.3">
      <c r="A97" s="44">
        <v>85</v>
      </c>
      <c r="B97" s="10">
        <f t="shared" si="3"/>
        <v>0</v>
      </c>
      <c r="C97" s="10">
        <f t="shared" si="4"/>
        <v>0</v>
      </c>
      <c r="D97" s="10">
        <f t="shared" si="5"/>
        <v>0</v>
      </c>
      <c r="F97" s="10">
        <f t="shared" si="6"/>
        <v>0</v>
      </c>
    </row>
    <row r="98" spans="1:6" ht="14.25" customHeight="1" x14ac:dyDescent="0.3">
      <c r="A98" s="44">
        <v>86</v>
      </c>
      <c r="B98" s="10">
        <f t="shared" si="3"/>
        <v>0</v>
      </c>
      <c r="C98" s="10">
        <f t="shared" si="4"/>
        <v>0</v>
      </c>
      <c r="D98" s="10">
        <f t="shared" si="5"/>
        <v>0</v>
      </c>
      <c r="F98" s="10">
        <f t="shared" si="6"/>
        <v>0</v>
      </c>
    </row>
    <row r="99" spans="1:6" ht="14.25" customHeight="1" x14ac:dyDescent="0.3">
      <c r="A99" s="44">
        <v>87</v>
      </c>
      <c r="B99" s="10">
        <f t="shared" si="3"/>
        <v>0</v>
      </c>
      <c r="C99" s="10">
        <f t="shared" si="4"/>
        <v>0</v>
      </c>
      <c r="D99" s="10">
        <f t="shared" si="5"/>
        <v>0</v>
      </c>
      <c r="F99" s="10">
        <f t="shared" si="6"/>
        <v>0</v>
      </c>
    </row>
    <row r="100" spans="1:6" ht="14.25" customHeight="1" x14ac:dyDescent="0.3">
      <c r="A100" s="44">
        <v>88</v>
      </c>
      <c r="B100" s="10">
        <f t="shared" si="3"/>
        <v>0</v>
      </c>
      <c r="C100" s="10">
        <f t="shared" si="4"/>
        <v>0</v>
      </c>
      <c r="D100" s="10">
        <f t="shared" si="5"/>
        <v>0</v>
      </c>
      <c r="F100" s="10">
        <f t="shared" si="6"/>
        <v>0</v>
      </c>
    </row>
    <row r="101" spans="1:6" ht="14.25" customHeight="1" x14ac:dyDescent="0.3">
      <c r="A101" s="44">
        <v>89</v>
      </c>
      <c r="B101" s="10">
        <f t="shared" si="3"/>
        <v>0</v>
      </c>
      <c r="C101" s="10">
        <f t="shared" si="4"/>
        <v>0</v>
      </c>
      <c r="D101" s="10">
        <f t="shared" si="5"/>
        <v>0</v>
      </c>
      <c r="F101" s="10">
        <f t="shared" si="6"/>
        <v>0</v>
      </c>
    </row>
    <row r="102" spans="1:6" ht="14.25" customHeight="1" x14ac:dyDescent="0.3">
      <c r="A102" s="44">
        <v>90</v>
      </c>
      <c r="B102" s="10">
        <f t="shared" si="3"/>
        <v>0</v>
      </c>
      <c r="C102" s="10">
        <f t="shared" si="4"/>
        <v>0</v>
      </c>
      <c r="D102" s="10">
        <f t="shared" si="5"/>
        <v>0</v>
      </c>
      <c r="F102" s="10">
        <f t="shared" si="6"/>
        <v>0</v>
      </c>
    </row>
    <row r="103" spans="1:6" ht="14.25" customHeight="1" x14ac:dyDescent="0.3">
      <c r="A103" s="44">
        <v>91</v>
      </c>
      <c r="B103" s="10">
        <f t="shared" si="3"/>
        <v>0</v>
      </c>
      <c r="C103" s="10">
        <f t="shared" si="4"/>
        <v>0</v>
      </c>
      <c r="D103" s="10">
        <f t="shared" si="5"/>
        <v>0</v>
      </c>
      <c r="F103" s="10">
        <f t="shared" si="6"/>
        <v>0</v>
      </c>
    </row>
    <row r="104" spans="1:6" ht="14.25" customHeight="1" x14ac:dyDescent="0.3">
      <c r="A104" s="44">
        <v>92</v>
      </c>
      <c r="B104" s="10">
        <f t="shared" si="3"/>
        <v>0</v>
      </c>
      <c r="C104" s="10">
        <f t="shared" si="4"/>
        <v>0</v>
      </c>
      <c r="D104" s="10">
        <f t="shared" si="5"/>
        <v>0</v>
      </c>
      <c r="F104" s="10">
        <f t="shared" si="6"/>
        <v>0</v>
      </c>
    </row>
    <row r="105" spans="1:6" ht="14.25" customHeight="1" x14ac:dyDescent="0.3">
      <c r="A105" s="44">
        <v>93</v>
      </c>
      <c r="B105" s="10">
        <f t="shared" si="3"/>
        <v>0</v>
      </c>
      <c r="C105" s="10">
        <f t="shared" si="4"/>
        <v>0</v>
      </c>
      <c r="D105" s="10">
        <f t="shared" si="5"/>
        <v>0</v>
      </c>
      <c r="F105" s="10">
        <f t="shared" si="6"/>
        <v>0</v>
      </c>
    </row>
    <row r="106" spans="1:6" ht="14.25" customHeight="1" x14ac:dyDescent="0.3">
      <c r="A106" s="44">
        <v>94</v>
      </c>
      <c r="B106" s="10">
        <f t="shared" si="3"/>
        <v>0</v>
      </c>
      <c r="C106" s="10">
        <f t="shared" si="4"/>
        <v>0</v>
      </c>
      <c r="D106" s="10">
        <f t="shared" si="5"/>
        <v>0</v>
      </c>
      <c r="F106" s="10">
        <f t="shared" si="6"/>
        <v>0</v>
      </c>
    </row>
    <row r="107" spans="1:6" ht="14.25" customHeight="1" x14ac:dyDescent="0.3">
      <c r="A107" s="44">
        <v>95</v>
      </c>
      <c r="B107" s="10">
        <f t="shared" si="3"/>
        <v>0</v>
      </c>
      <c r="C107" s="10">
        <f t="shared" si="4"/>
        <v>0</v>
      </c>
      <c r="D107" s="10">
        <f t="shared" si="5"/>
        <v>0</v>
      </c>
      <c r="F107" s="10">
        <f t="shared" si="6"/>
        <v>0</v>
      </c>
    </row>
    <row r="108" spans="1:6" ht="14.25" customHeight="1" x14ac:dyDescent="0.3">
      <c r="A108" s="44">
        <v>96</v>
      </c>
      <c r="B108" s="10">
        <f t="shared" si="3"/>
        <v>0</v>
      </c>
      <c r="C108" s="10">
        <f t="shared" si="4"/>
        <v>0</v>
      </c>
      <c r="D108" s="10">
        <f t="shared" si="5"/>
        <v>0</v>
      </c>
      <c r="F108" s="10">
        <f t="shared" si="6"/>
        <v>0</v>
      </c>
    </row>
    <row r="109" spans="1:6" ht="14.25" customHeight="1" x14ac:dyDescent="0.3">
      <c r="A109" s="44">
        <v>97</v>
      </c>
      <c r="B109" s="10">
        <f t="shared" si="3"/>
        <v>0</v>
      </c>
      <c r="C109" s="10">
        <f t="shared" si="4"/>
        <v>0</v>
      </c>
      <c r="D109" s="10">
        <f t="shared" si="5"/>
        <v>0</v>
      </c>
      <c r="F109" s="10">
        <f t="shared" si="6"/>
        <v>0</v>
      </c>
    </row>
    <row r="110" spans="1:6" ht="14.25" customHeight="1" x14ac:dyDescent="0.3">
      <c r="A110" s="44">
        <v>98</v>
      </c>
      <c r="B110" s="10">
        <f t="shared" si="3"/>
        <v>0</v>
      </c>
      <c r="C110" s="10">
        <f t="shared" si="4"/>
        <v>0</v>
      </c>
      <c r="D110" s="10">
        <f t="shared" si="5"/>
        <v>0</v>
      </c>
      <c r="F110" s="10">
        <f t="shared" si="6"/>
        <v>0</v>
      </c>
    </row>
    <row r="111" spans="1:6" ht="14.25" customHeight="1" x14ac:dyDescent="0.3">
      <c r="A111" s="44">
        <v>99</v>
      </c>
      <c r="B111" s="10">
        <f t="shared" si="3"/>
        <v>0</v>
      </c>
      <c r="C111" s="10">
        <f t="shared" si="4"/>
        <v>0</v>
      </c>
      <c r="D111" s="10">
        <f t="shared" si="5"/>
        <v>0</v>
      </c>
      <c r="F111" s="10">
        <f t="shared" si="6"/>
        <v>0</v>
      </c>
    </row>
    <row r="112" spans="1:6" ht="14.25" customHeight="1" x14ac:dyDescent="0.3">
      <c r="A112" s="44">
        <v>100</v>
      </c>
      <c r="B112" s="10">
        <f t="shared" si="3"/>
        <v>0</v>
      </c>
      <c r="C112" s="10">
        <f t="shared" si="4"/>
        <v>0</v>
      </c>
      <c r="D112" s="10">
        <f t="shared" si="5"/>
        <v>0</v>
      </c>
      <c r="F112" s="10">
        <f t="shared" si="6"/>
        <v>0</v>
      </c>
    </row>
    <row r="113" spans="1:6" ht="14.25" customHeight="1" x14ac:dyDescent="0.3">
      <c r="A113" s="44">
        <v>101</v>
      </c>
      <c r="B113" s="10">
        <f t="shared" si="3"/>
        <v>0</v>
      </c>
      <c r="C113" s="10">
        <f t="shared" si="4"/>
        <v>0</v>
      </c>
      <c r="D113" s="10">
        <f t="shared" si="5"/>
        <v>0</v>
      </c>
      <c r="F113" s="10">
        <f t="shared" si="6"/>
        <v>0</v>
      </c>
    </row>
    <row r="114" spans="1:6" ht="14.25" customHeight="1" x14ac:dyDescent="0.3">
      <c r="A114" s="44">
        <v>102</v>
      </c>
      <c r="B114" s="10">
        <f t="shared" si="3"/>
        <v>0</v>
      </c>
      <c r="C114" s="10">
        <f t="shared" si="4"/>
        <v>0</v>
      </c>
      <c r="D114" s="10">
        <f t="shared" si="5"/>
        <v>0</v>
      </c>
      <c r="F114" s="10">
        <f t="shared" si="6"/>
        <v>0</v>
      </c>
    </row>
    <row r="115" spans="1:6" ht="14.25" customHeight="1" x14ac:dyDescent="0.3">
      <c r="A115" s="44">
        <v>103</v>
      </c>
      <c r="B115" s="10">
        <f t="shared" si="3"/>
        <v>0</v>
      </c>
      <c r="C115" s="10">
        <f t="shared" si="4"/>
        <v>0</v>
      </c>
      <c r="D115" s="10">
        <f t="shared" si="5"/>
        <v>0</v>
      </c>
      <c r="F115" s="10">
        <f t="shared" si="6"/>
        <v>0</v>
      </c>
    </row>
    <row r="116" spans="1:6" ht="14.25" customHeight="1" x14ac:dyDescent="0.3">
      <c r="A116" s="44">
        <v>104</v>
      </c>
      <c r="B116" s="10">
        <f t="shared" si="3"/>
        <v>0</v>
      </c>
      <c r="C116" s="10">
        <f t="shared" si="4"/>
        <v>0</v>
      </c>
      <c r="D116" s="10">
        <f t="shared" si="5"/>
        <v>0</v>
      </c>
      <c r="F116" s="10">
        <f t="shared" si="6"/>
        <v>0</v>
      </c>
    </row>
    <row r="117" spans="1:6" ht="14.25" customHeight="1" x14ac:dyDescent="0.3">
      <c r="A117" s="44">
        <v>105</v>
      </c>
      <c r="B117" s="10">
        <f t="shared" si="3"/>
        <v>0</v>
      </c>
      <c r="C117" s="10">
        <f t="shared" si="4"/>
        <v>0</v>
      </c>
      <c r="D117" s="10">
        <f t="shared" si="5"/>
        <v>0</v>
      </c>
      <c r="F117" s="10">
        <f t="shared" si="6"/>
        <v>0</v>
      </c>
    </row>
    <row r="118" spans="1:6" ht="14.25" customHeight="1" x14ac:dyDescent="0.3">
      <c r="A118" s="44">
        <v>106</v>
      </c>
      <c r="B118" s="10">
        <f t="shared" si="3"/>
        <v>0</v>
      </c>
      <c r="C118" s="10">
        <f t="shared" si="4"/>
        <v>0</v>
      </c>
      <c r="D118" s="10">
        <f t="shared" si="5"/>
        <v>0</v>
      </c>
      <c r="F118" s="10">
        <f t="shared" si="6"/>
        <v>0</v>
      </c>
    </row>
    <row r="119" spans="1:6" ht="14.25" customHeight="1" x14ac:dyDescent="0.3">
      <c r="A119" s="44">
        <v>107</v>
      </c>
      <c r="B119" s="10">
        <f t="shared" si="3"/>
        <v>0</v>
      </c>
      <c r="C119" s="10">
        <f t="shared" si="4"/>
        <v>0</v>
      </c>
      <c r="D119" s="10">
        <f t="shared" si="5"/>
        <v>0</v>
      </c>
      <c r="F119" s="10">
        <f t="shared" si="6"/>
        <v>0</v>
      </c>
    </row>
    <row r="120" spans="1:6" ht="14.25" customHeight="1" x14ac:dyDescent="0.3">
      <c r="A120" s="44">
        <v>108</v>
      </c>
      <c r="B120" s="10">
        <f t="shared" si="3"/>
        <v>0</v>
      </c>
      <c r="C120" s="10">
        <f t="shared" si="4"/>
        <v>0</v>
      </c>
      <c r="D120" s="10">
        <f t="shared" si="5"/>
        <v>0</v>
      </c>
      <c r="F120" s="10">
        <f t="shared" si="6"/>
        <v>0</v>
      </c>
    </row>
    <row r="121" spans="1:6" ht="14.25" customHeight="1" x14ac:dyDescent="0.3">
      <c r="A121" s="44">
        <v>109</v>
      </c>
      <c r="B121" s="10">
        <f t="shared" si="3"/>
        <v>0</v>
      </c>
      <c r="C121" s="10">
        <f t="shared" si="4"/>
        <v>0</v>
      </c>
      <c r="D121" s="10">
        <f t="shared" si="5"/>
        <v>0</v>
      </c>
      <c r="F121" s="10">
        <f t="shared" si="6"/>
        <v>0</v>
      </c>
    </row>
    <row r="122" spans="1:6" ht="14.25" customHeight="1" x14ac:dyDescent="0.3">
      <c r="A122" s="44">
        <v>110</v>
      </c>
      <c r="B122" s="10">
        <f t="shared" si="3"/>
        <v>0</v>
      </c>
      <c r="C122" s="10">
        <f t="shared" si="4"/>
        <v>0</v>
      </c>
      <c r="D122" s="10">
        <f t="shared" si="5"/>
        <v>0</v>
      </c>
      <c r="F122" s="10">
        <f t="shared" si="6"/>
        <v>0</v>
      </c>
    </row>
    <row r="123" spans="1:6" ht="14.25" customHeight="1" x14ac:dyDescent="0.3">
      <c r="A123" s="44">
        <v>111</v>
      </c>
      <c r="B123" s="10">
        <f t="shared" si="3"/>
        <v>0</v>
      </c>
      <c r="C123" s="10">
        <f t="shared" si="4"/>
        <v>0</v>
      </c>
      <c r="D123" s="10">
        <f t="shared" si="5"/>
        <v>0</v>
      </c>
      <c r="F123" s="10">
        <f t="shared" si="6"/>
        <v>0</v>
      </c>
    </row>
    <row r="124" spans="1:6" ht="14.25" customHeight="1" x14ac:dyDescent="0.3">
      <c r="A124" s="44">
        <v>112</v>
      </c>
      <c r="B124" s="10">
        <f t="shared" si="3"/>
        <v>0</v>
      </c>
      <c r="C124" s="10">
        <f t="shared" si="4"/>
        <v>0</v>
      </c>
      <c r="D124" s="10">
        <f t="shared" si="5"/>
        <v>0</v>
      </c>
      <c r="F124" s="10">
        <f t="shared" si="6"/>
        <v>0</v>
      </c>
    </row>
    <row r="125" spans="1:6" ht="14.25" customHeight="1" x14ac:dyDescent="0.3">
      <c r="A125" s="44">
        <v>113</v>
      </c>
      <c r="B125" s="10">
        <f t="shared" si="3"/>
        <v>0</v>
      </c>
      <c r="C125" s="10">
        <f t="shared" si="4"/>
        <v>0</v>
      </c>
      <c r="D125" s="10">
        <f t="shared" si="5"/>
        <v>0</v>
      </c>
      <c r="F125" s="10">
        <f t="shared" si="6"/>
        <v>0</v>
      </c>
    </row>
    <row r="126" spans="1:6" ht="14.25" customHeight="1" x14ac:dyDescent="0.3">
      <c r="A126" s="44">
        <v>114</v>
      </c>
      <c r="B126" s="10">
        <f t="shared" si="3"/>
        <v>0</v>
      </c>
      <c r="C126" s="10">
        <f t="shared" si="4"/>
        <v>0</v>
      </c>
      <c r="D126" s="10">
        <f t="shared" si="5"/>
        <v>0</v>
      </c>
      <c r="F126" s="10">
        <f t="shared" si="6"/>
        <v>0</v>
      </c>
    </row>
    <row r="127" spans="1:6" ht="14.25" customHeight="1" x14ac:dyDescent="0.3">
      <c r="A127" s="44">
        <v>115</v>
      </c>
      <c r="B127" s="10">
        <f t="shared" si="3"/>
        <v>0</v>
      </c>
      <c r="C127" s="10">
        <f t="shared" si="4"/>
        <v>0</v>
      </c>
      <c r="D127" s="10">
        <f t="shared" si="5"/>
        <v>0</v>
      </c>
      <c r="F127" s="10">
        <f t="shared" si="6"/>
        <v>0</v>
      </c>
    </row>
    <row r="128" spans="1:6" ht="14.25" customHeight="1" x14ac:dyDescent="0.3">
      <c r="A128" s="44">
        <v>116</v>
      </c>
      <c r="B128" s="10">
        <f t="shared" si="3"/>
        <v>0</v>
      </c>
      <c r="C128" s="10">
        <f t="shared" si="4"/>
        <v>0</v>
      </c>
      <c r="D128" s="10">
        <f t="shared" si="5"/>
        <v>0</v>
      </c>
      <c r="F128" s="10">
        <f t="shared" si="6"/>
        <v>0</v>
      </c>
    </row>
    <row r="129" spans="1:6" ht="14.25" customHeight="1" x14ac:dyDescent="0.3">
      <c r="A129" s="44">
        <v>117</v>
      </c>
      <c r="B129" s="10">
        <f t="shared" si="3"/>
        <v>0</v>
      </c>
      <c r="C129" s="10">
        <f t="shared" si="4"/>
        <v>0</v>
      </c>
      <c r="D129" s="10">
        <f t="shared" si="5"/>
        <v>0</v>
      </c>
      <c r="F129" s="10">
        <f t="shared" si="6"/>
        <v>0</v>
      </c>
    </row>
    <row r="130" spans="1:6" ht="14.25" customHeight="1" x14ac:dyDescent="0.3">
      <c r="A130" s="44">
        <v>118</v>
      </c>
      <c r="B130" s="10">
        <f t="shared" si="3"/>
        <v>0</v>
      </c>
      <c r="C130" s="10">
        <f t="shared" si="4"/>
        <v>0</v>
      </c>
      <c r="D130" s="10">
        <f t="shared" si="5"/>
        <v>0</v>
      </c>
      <c r="F130" s="10">
        <f t="shared" si="6"/>
        <v>0</v>
      </c>
    </row>
    <row r="131" spans="1:6" ht="14.25" customHeight="1" x14ac:dyDescent="0.3">
      <c r="A131" s="44">
        <v>119</v>
      </c>
      <c r="B131" s="10">
        <f t="shared" si="3"/>
        <v>0</v>
      </c>
      <c r="C131" s="10">
        <f t="shared" si="4"/>
        <v>0</v>
      </c>
      <c r="D131" s="10">
        <f t="shared" si="5"/>
        <v>0</v>
      </c>
      <c r="F131" s="10">
        <f t="shared" si="6"/>
        <v>0</v>
      </c>
    </row>
    <row r="132" spans="1:6" ht="14.25" customHeight="1" x14ac:dyDescent="0.3">
      <c r="A132" s="44">
        <v>120</v>
      </c>
      <c r="B132" s="10">
        <f t="shared" si="3"/>
        <v>0</v>
      </c>
      <c r="C132" s="10">
        <f t="shared" si="4"/>
        <v>0</v>
      </c>
      <c r="D132" s="10">
        <f t="shared" si="5"/>
        <v>0</v>
      </c>
      <c r="F132" s="10">
        <f t="shared" si="6"/>
        <v>0</v>
      </c>
    </row>
    <row r="133" spans="1:6" ht="14.25" customHeight="1" x14ac:dyDescent="0.3">
      <c r="A133" s="44">
        <v>121</v>
      </c>
      <c r="B133" s="10">
        <f t="shared" si="3"/>
        <v>0</v>
      </c>
      <c r="C133" s="10">
        <f t="shared" si="4"/>
        <v>0</v>
      </c>
      <c r="D133" s="10">
        <f t="shared" si="5"/>
        <v>0</v>
      </c>
      <c r="F133" s="10">
        <f t="shared" si="6"/>
        <v>0</v>
      </c>
    </row>
    <row r="134" spans="1:6" ht="14.25" customHeight="1" x14ac:dyDescent="0.3">
      <c r="A134" s="44">
        <v>122</v>
      </c>
      <c r="B134" s="10">
        <f t="shared" si="3"/>
        <v>0</v>
      </c>
      <c r="C134" s="10">
        <f t="shared" si="4"/>
        <v>0</v>
      </c>
      <c r="D134" s="10">
        <f t="shared" si="5"/>
        <v>0</v>
      </c>
      <c r="F134" s="10">
        <f t="shared" si="6"/>
        <v>0</v>
      </c>
    </row>
    <row r="135" spans="1:6" ht="14.25" customHeight="1" x14ac:dyDescent="0.3">
      <c r="A135" s="44">
        <v>123</v>
      </c>
      <c r="B135" s="10">
        <f t="shared" si="3"/>
        <v>0</v>
      </c>
      <c r="C135" s="10">
        <f t="shared" si="4"/>
        <v>0</v>
      </c>
      <c r="D135" s="10">
        <f t="shared" si="5"/>
        <v>0</v>
      </c>
      <c r="F135" s="10">
        <f t="shared" si="6"/>
        <v>0</v>
      </c>
    </row>
    <row r="136" spans="1:6" ht="14.25" customHeight="1" x14ac:dyDescent="0.3">
      <c r="A136" s="44">
        <v>124</v>
      </c>
      <c r="B136" s="10">
        <f t="shared" si="3"/>
        <v>0</v>
      </c>
      <c r="C136" s="10">
        <f t="shared" si="4"/>
        <v>0</v>
      </c>
      <c r="D136" s="10">
        <f t="shared" si="5"/>
        <v>0</v>
      </c>
      <c r="F136" s="10">
        <f t="shared" si="6"/>
        <v>0</v>
      </c>
    </row>
    <row r="137" spans="1:6" ht="14.25" customHeight="1" x14ac:dyDescent="0.3">
      <c r="A137" s="44">
        <v>125</v>
      </c>
      <c r="B137" s="10">
        <f t="shared" si="3"/>
        <v>0</v>
      </c>
      <c r="C137" s="10">
        <f t="shared" si="4"/>
        <v>0</v>
      </c>
      <c r="D137" s="10">
        <f t="shared" si="5"/>
        <v>0</v>
      </c>
      <c r="F137" s="10">
        <f t="shared" si="6"/>
        <v>0</v>
      </c>
    </row>
    <row r="138" spans="1:6" ht="14.25" customHeight="1" x14ac:dyDescent="0.3">
      <c r="A138" s="44">
        <v>126</v>
      </c>
      <c r="B138" s="10">
        <f t="shared" si="3"/>
        <v>0</v>
      </c>
      <c r="C138" s="10">
        <f t="shared" si="4"/>
        <v>0</v>
      </c>
      <c r="D138" s="10">
        <f t="shared" si="5"/>
        <v>0</v>
      </c>
      <c r="F138" s="10">
        <f t="shared" si="6"/>
        <v>0</v>
      </c>
    </row>
    <row r="139" spans="1:6" ht="14.25" customHeight="1" x14ac:dyDescent="0.3">
      <c r="A139" s="44">
        <v>127</v>
      </c>
      <c r="B139" s="10">
        <f t="shared" si="3"/>
        <v>0</v>
      </c>
      <c r="C139" s="10">
        <f t="shared" si="4"/>
        <v>0</v>
      </c>
      <c r="D139" s="10">
        <f t="shared" si="5"/>
        <v>0</v>
      </c>
      <c r="F139" s="10">
        <f t="shared" si="6"/>
        <v>0</v>
      </c>
    </row>
    <row r="140" spans="1:6" ht="14.25" customHeight="1" x14ac:dyDescent="0.3">
      <c r="A140" s="44">
        <v>128</v>
      </c>
      <c r="B140" s="10">
        <f t="shared" si="3"/>
        <v>0</v>
      </c>
      <c r="C140" s="10">
        <f t="shared" si="4"/>
        <v>0</v>
      </c>
      <c r="D140" s="10">
        <f t="shared" si="5"/>
        <v>0</v>
      </c>
      <c r="F140" s="10">
        <f t="shared" si="6"/>
        <v>0</v>
      </c>
    </row>
    <row r="141" spans="1:6" ht="14.25" customHeight="1" x14ac:dyDescent="0.3">
      <c r="A141" s="44">
        <v>129</v>
      </c>
      <c r="B141" s="10">
        <f t="shared" si="3"/>
        <v>0</v>
      </c>
      <c r="C141" s="10">
        <f t="shared" si="4"/>
        <v>0</v>
      </c>
      <c r="D141" s="10">
        <f t="shared" si="5"/>
        <v>0</v>
      </c>
      <c r="F141" s="10">
        <f t="shared" si="6"/>
        <v>0</v>
      </c>
    </row>
    <row r="142" spans="1:6" ht="14.25" customHeight="1" x14ac:dyDescent="0.3">
      <c r="A142" s="44">
        <v>130</v>
      </c>
      <c r="B142" s="10">
        <f t="shared" si="3"/>
        <v>0</v>
      </c>
      <c r="C142" s="10">
        <f t="shared" si="4"/>
        <v>0</v>
      </c>
      <c r="D142" s="10">
        <f t="shared" si="5"/>
        <v>0</v>
      </c>
      <c r="F142" s="10">
        <f t="shared" si="6"/>
        <v>0</v>
      </c>
    </row>
    <row r="143" spans="1:6" ht="14.25" customHeight="1" x14ac:dyDescent="0.3">
      <c r="A143" s="44">
        <v>131</v>
      </c>
      <c r="B143" s="10">
        <f t="shared" si="3"/>
        <v>0</v>
      </c>
      <c r="C143" s="10">
        <f t="shared" si="4"/>
        <v>0</v>
      </c>
      <c r="D143" s="10">
        <f t="shared" si="5"/>
        <v>0</v>
      </c>
      <c r="F143" s="10">
        <f t="shared" si="6"/>
        <v>0</v>
      </c>
    </row>
    <row r="144" spans="1:6" ht="14.25" customHeight="1" x14ac:dyDescent="0.3">
      <c r="A144" s="44">
        <v>132</v>
      </c>
      <c r="B144" s="10">
        <f t="shared" si="3"/>
        <v>0</v>
      </c>
      <c r="C144" s="10">
        <f t="shared" si="4"/>
        <v>0</v>
      </c>
      <c r="D144" s="10">
        <f t="shared" si="5"/>
        <v>0</v>
      </c>
      <c r="F144" s="10">
        <f t="shared" si="6"/>
        <v>0</v>
      </c>
    </row>
    <row r="145" spans="1:6" ht="14.25" customHeight="1" x14ac:dyDescent="0.3">
      <c r="A145" s="44">
        <v>133</v>
      </c>
      <c r="B145" s="10">
        <f t="shared" si="3"/>
        <v>0</v>
      </c>
      <c r="C145" s="10">
        <f t="shared" si="4"/>
        <v>0</v>
      </c>
      <c r="D145" s="10">
        <f t="shared" si="5"/>
        <v>0</v>
      </c>
      <c r="F145" s="10">
        <f t="shared" si="6"/>
        <v>0</v>
      </c>
    </row>
    <row r="146" spans="1:6" ht="14.25" customHeight="1" x14ac:dyDescent="0.3">
      <c r="A146" s="44">
        <v>134</v>
      </c>
      <c r="B146" s="10">
        <f t="shared" si="3"/>
        <v>0</v>
      </c>
      <c r="C146" s="10">
        <f t="shared" si="4"/>
        <v>0</v>
      </c>
      <c r="D146" s="10">
        <f t="shared" si="5"/>
        <v>0</v>
      </c>
      <c r="F146" s="10">
        <f t="shared" si="6"/>
        <v>0</v>
      </c>
    </row>
    <row r="147" spans="1:6" ht="14.25" customHeight="1" x14ac:dyDescent="0.3">
      <c r="A147" s="44">
        <v>135</v>
      </c>
      <c r="B147" s="10">
        <f t="shared" si="3"/>
        <v>0</v>
      </c>
      <c r="C147" s="10">
        <f t="shared" si="4"/>
        <v>0</v>
      </c>
      <c r="D147" s="10">
        <f t="shared" si="5"/>
        <v>0</v>
      </c>
      <c r="F147" s="10">
        <f t="shared" si="6"/>
        <v>0</v>
      </c>
    </row>
    <row r="148" spans="1:6" ht="14.25" customHeight="1" x14ac:dyDescent="0.3">
      <c r="A148" s="44">
        <v>136</v>
      </c>
      <c r="B148" s="10">
        <f t="shared" si="3"/>
        <v>0</v>
      </c>
      <c r="C148" s="10">
        <f t="shared" si="4"/>
        <v>0</v>
      </c>
      <c r="D148" s="10">
        <f t="shared" si="5"/>
        <v>0</v>
      </c>
      <c r="F148" s="10">
        <f t="shared" si="6"/>
        <v>0</v>
      </c>
    </row>
    <row r="149" spans="1:6" ht="14.25" customHeight="1" x14ac:dyDescent="0.3">
      <c r="A149" s="44">
        <v>137</v>
      </c>
      <c r="B149" s="10">
        <f t="shared" si="3"/>
        <v>0</v>
      </c>
      <c r="C149" s="10">
        <f t="shared" si="4"/>
        <v>0</v>
      </c>
      <c r="D149" s="10">
        <f t="shared" si="5"/>
        <v>0</v>
      </c>
      <c r="F149" s="10">
        <f t="shared" si="6"/>
        <v>0</v>
      </c>
    </row>
    <row r="150" spans="1:6" ht="14.25" customHeight="1" x14ac:dyDescent="0.3">
      <c r="A150" s="44">
        <v>138</v>
      </c>
      <c r="B150" s="10">
        <f t="shared" si="3"/>
        <v>0</v>
      </c>
      <c r="C150" s="10">
        <f t="shared" si="4"/>
        <v>0</v>
      </c>
      <c r="D150" s="10">
        <f t="shared" si="5"/>
        <v>0</v>
      </c>
      <c r="F150" s="10">
        <f t="shared" si="6"/>
        <v>0</v>
      </c>
    </row>
    <row r="151" spans="1:6" ht="14.25" customHeight="1" x14ac:dyDescent="0.3">
      <c r="A151" s="44">
        <v>139</v>
      </c>
      <c r="B151" s="10">
        <f t="shared" si="3"/>
        <v>0</v>
      </c>
      <c r="C151" s="10">
        <f t="shared" si="4"/>
        <v>0</v>
      </c>
      <c r="D151" s="10">
        <f t="shared" si="5"/>
        <v>0</v>
      </c>
      <c r="F151" s="10">
        <f t="shared" si="6"/>
        <v>0</v>
      </c>
    </row>
    <row r="152" spans="1:6" ht="14.25" customHeight="1" x14ac:dyDescent="0.3">
      <c r="A152" s="44">
        <v>140</v>
      </c>
      <c r="B152" s="10">
        <f t="shared" si="3"/>
        <v>0</v>
      </c>
      <c r="C152" s="10">
        <f t="shared" si="4"/>
        <v>0</v>
      </c>
      <c r="D152" s="10">
        <f t="shared" si="5"/>
        <v>0</v>
      </c>
      <c r="F152" s="10">
        <f t="shared" si="6"/>
        <v>0</v>
      </c>
    </row>
    <row r="153" spans="1:6" ht="14.25" customHeight="1" x14ac:dyDescent="0.3">
      <c r="A153" s="44">
        <v>141</v>
      </c>
      <c r="B153" s="10">
        <f t="shared" si="3"/>
        <v>0</v>
      </c>
      <c r="C153" s="10">
        <f t="shared" si="4"/>
        <v>0</v>
      </c>
      <c r="D153" s="10">
        <f t="shared" si="5"/>
        <v>0</v>
      </c>
      <c r="F153" s="10">
        <f t="shared" si="6"/>
        <v>0</v>
      </c>
    </row>
    <row r="154" spans="1:6" ht="14.25" customHeight="1" x14ac:dyDescent="0.3">
      <c r="A154" s="44">
        <v>142</v>
      </c>
      <c r="B154" s="10">
        <f t="shared" si="3"/>
        <v>0</v>
      </c>
      <c r="C154" s="10">
        <f t="shared" si="4"/>
        <v>0</v>
      </c>
      <c r="D154" s="10">
        <f t="shared" si="5"/>
        <v>0</v>
      </c>
      <c r="F154" s="10">
        <f t="shared" si="6"/>
        <v>0</v>
      </c>
    </row>
    <row r="155" spans="1:6" ht="14.25" customHeight="1" x14ac:dyDescent="0.3">
      <c r="A155" s="44">
        <v>143</v>
      </c>
      <c r="B155" s="10">
        <f t="shared" si="3"/>
        <v>0</v>
      </c>
      <c r="C155" s="10">
        <f t="shared" si="4"/>
        <v>0</v>
      </c>
      <c r="D155" s="10">
        <f t="shared" si="5"/>
        <v>0</v>
      </c>
      <c r="F155" s="10">
        <f t="shared" si="6"/>
        <v>0</v>
      </c>
    </row>
    <row r="156" spans="1:6" ht="14.25" customHeight="1" x14ac:dyDescent="0.3">
      <c r="A156" s="44">
        <v>144</v>
      </c>
      <c r="B156" s="10">
        <f t="shared" si="3"/>
        <v>0</v>
      </c>
      <c r="C156" s="10">
        <f t="shared" si="4"/>
        <v>0</v>
      </c>
      <c r="D156" s="10">
        <f t="shared" si="5"/>
        <v>0</v>
      </c>
      <c r="F156" s="10">
        <f t="shared" si="6"/>
        <v>0</v>
      </c>
    </row>
    <row r="157" spans="1:6" ht="14.25" customHeight="1" x14ac:dyDescent="0.3">
      <c r="A157" s="44">
        <v>145</v>
      </c>
      <c r="B157" s="10">
        <f t="shared" si="3"/>
        <v>0</v>
      </c>
      <c r="C157" s="10">
        <f t="shared" si="4"/>
        <v>0</v>
      </c>
      <c r="D157" s="10">
        <f t="shared" si="5"/>
        <v>0</v>
      </c>
      <c r="F157" s="10">
        <f t="shared" si="6"/>
        <v>0</v>
      </c>
    </row>
    <row r="158" spans="1:6" ht="14.25" customHeight="1" x14ac:dyDescent="0.3">
      <c r="A158" s="44">
        <v>146</v>
      </c>
      <c r="B158" s="10">
        <f t="shared" si="3"/>
        <v>0</v>
      </c>
      <c r="C158" s="10">
        <f t="shared" si="4"/>
        <v>0</v>
      </c>
      <c r="D158" s="10">
        <f t="shared" si="5"/>
        <v>0</v>
      </c>
      <c r="F158" s="10">
        <f t="shared" si="6"/>
        <v>0</v>
      </c>
    </row>
    <row r="159" spans="1:6" ht="14.25" customHeight="1" x14ac:dyDescent="0.3">
      <c r="A159" s="44">
        <v>147</v>
      </c>
      <c r="B159" s="10">
        <f t="shared" si="3"/>
        <v>0</v>
      </c>
      <c r="C159" s="10">
        <f t="shared" si="4"/>
        <v>0</v>
      </c>
      <c r="D159" s="10">
        <f t="shared" si="5"/>
        <v>0</v>
      </c>
      <c r="F159" s="10">
        <f t="shared" si="6"/>
        <v>0</v>
      </c>
    </row>
    <row r="160" spans="1:6" ht="14.25" customHeight="1" x14ac:dyDescent="0.3">
      <c r="A160" s="44">
        <v>148</v>
      </c>
      <c r="B160" s="10">
        <f t="shared" si="3"/>
        <v>0</v>
      </c>
      <c r="C160" s="10">
        <f t="shared" si="4"/>
        <v>0</v>
      </c>
      <c r="D160" s="10">
        <f t="shared" si="5"/>
        <v>0</v>
      </c>
      <c r="F160" s="10">
        <f t="shared" si="6"/>
        <v>0</v>
      </c>
    </row>
    <row r="161" spans="1:6" ht="14.25" customHeight="1" x14ac:dyDescent="0.3">
      <c r="A161" s="44">
        <v>149</v>
      </c>
      <c r="B161" s="10">
        <f t="shared" si="3"/>
        <v>0</v>
      </c>
      <c r="C161" s="10">
        <f t="shared" si="4"/>
        <v>0</v>
      </c>
      <c r="D161" s="10">
        <f t="shared" si="5"/>
        <v>0</v>
      </c>
      <c r="F161" s="10">
        <f t="shared" si="6"/>
        <v>0</v>
      </c>
    </row>
    <row r="162" spans="1:6" ht="14.25" customHeight="1" x14ac:dyDescent="0.3">
      <c r="A162" s="44">
        <v>150</v>
      </c>
      <c r="B162" s="10">
        <f t="shared" si="3"/>
        <v>0</v>
      </c>
      <c r="C162" s="10">
        <f t="shared" si="4"/>
        <v>0</v>
      </c>
      <c r="D162" s="10">
        <f t="shared" si="5"/>
        <v>0</v>
      </c>
      <c r="F162" s="10">
        <f t="shared" si="6"/>
        <v>0</v>
      </c>
    </row>
    <row r="163" spans="1:6" ht="14.25" customHeight="1" x14ac:dyDescent="0.3">
      <c r="A163" s="44">
        <v>151</v>
      </c>
      <c r="B163" s="10">
        <f t="shared" si="3"/>
        <v>0</v>
      </c>
      <c r="C163" s="10">
        <f t="shared" si="4"/>
        <v>0</v>
      </c>
      <c r="D163" s="10">
        <f t="shared" si="5"/>
        <v>0</v>
      </c>
      <c r="F163" s="10">
        <f t="shared" si="6"/>
        <v>0</v>
      </c>
    </row>
    <row r="164" spans="1:6" ht="14.25" customHeight="1" x14ac:dyDescent="0.3">
      <c r="A164" s="44">
        <v>152</v>
      </c>
      <c r="B164" s="10">
        <f t="shared" si="3"/>
        <v>0</v>
      </c>
      <c r="C164" s="10">
        <f t="shared" si="4"/>
        <v>0</v>
      </c>
      <c r="D164" s="10">
        <f t="shared" si="5"/>
        <v>0</v>
      </c>
      <c r="F164" s="10">
        <f t="shared" si="6"/>
        <v>0</v>
      </c>
    </row>
    <row r="165" spans="1:6" ht="14.25" customHeight="1" x14ac:dyDescent="0.3">
      <c r="A165" s="44">
        <v>153</v>
      </c>
      <c r="B165" s="10">
        <f t="shared" si="3"/>
        <v>0</v>
      </c>
      <c r="C165" s="10">
        <f t="shared" si="4"/>
        <v>0</v>
      </c>
      <c r="D165" s="10">
        <f t="shared" si="5"/>
        <v>0</v>
      </c>
      <c r="F165" s="10">
        <f t="shared" si="6"/>
        <v>0</v>
      </c>
    </row>
    <row r="166" spans="1:6" ht="14.25" customHeight="1" x14ac:dyDescent="0.3">
      <c r="A166" s="44">
        <v>154</v>
      </c>
      <c r="B166" s="10">
        <f t="shared" si="3"/>
        <v>0</v>
      </c>
      <c r="C166" s="10">
        <f t="shared" si="4"/>
        <v>0</v>
      </c>
      <c r="D166" s="10">
        <f t="shared" si="5"/>
        <v>0</v>
      </c>
      <c r="F166" s="10">
        <f t="shared" si="6"/>
        <v>0</v>
      </c>
    </row>
    <row r="167" spans="1:6" ht="14.25" customHeight="1" x14ac:dyDescent="0.3">
      <c r="A167" s="44">
        <v>155</v>
      </c>
      <c r="B167" s="10">
        <f t="shared" si="3"/>
        <v>0</v>
      </c>
      <c r="C167" s="10">
        <f t="shared" si="4"/>
        <v>0</v>
      </c>
      <c r="D167" s="10">
        <f t="shared" si="5"/>
        <v>0</v>
      </c>
      <c r="F167" s="10">
        <f t="shared" si="6"/>
        <v>0</v>
      </c>
    </row>
    <row r="168" spans="1:6" ht="14.25" customHeight="1" x14ac:dyDescent="0.3">
      <c r="A168" s="44">
        <v>156</v>
      </c>
      <c r="B168" s="10">
        <f t="shared" si="3"/>
        <v>0</v>
      </c>
      <c r="C168" s="10">
        <f t="shared" si="4"/>
        <v>0</v>
      </c>
      <c r="D168" s="10">
        <f t="shared" si="5"/>
        <v>0</v>
      </c>
      <c r="F168" s="10">
        <f t="shared" si="6"/>
        <v>0</v>
      </c>
    </row>
    <row r="169" spans="1:6" ht="14.25" customHeight="1" x14ac:dyDescent="0.3">
      <c r="A169" s="44">
        <v>157</v>
      </c>
      <c r="B169" s="10">
        <f t="shared" si="3"/>
        <v>0</v>
      </c>
      <c r="C169" s="10">
        <f t="shared" si="4"/>
        <v>0</v>
      </c>
      <c r="D169" s="10">
        <f t="shared" si="5"/>
        <v>0</v>
      </c>
      <c r="F169" s="10">
        <f t="shared" si="6"/>
        <v>0</v>
      </c>
    </row>
    <row r="170" spans="1:6" ht="14.25" customHeight="1" x14ac:dyDescent="0.3">
      <c r="A170" s="44">
        <v>158</v>
      </c>
      <c r="B170" s="12">
        <f t="shared" si="3"/>
        <v>0</v>
      </c>
      <c r="C170" s="12">
        <f t="shared" si="4"/>
        <v>0</v>
      </c>
      <c r="D170" s="12">
        <f t="shared" si="5"/>
        <v>0</v>
      </c>
      <c r="F170" s="10">
        <f t="shared" si="6"/>
        <v>0</v>
      </c>
    </row>
    <row r="171" spans="1:6" ht="14.25" customHeight="1" x14ac:dyDescent="0.3">
      <c r="A171" s="44">
        <v>159</v>
      </c>
      <c r="B171" s="12">
        <f t="shared" si="3"/>
        <v>0</v>
      </c>
      <c r="C171" s="12">
        <f t="shared" si="4"/>
        <v>0</v>
      </c>
      <c r="D171" s="12">
        <f t="shared" si="5"/>
        <v>0</v>
      </c>
      <c r="F171" s="10">
        <f t="shared" si="6"/>
        <v>0</v>
      </c>
    </row>
    <row r="172" spans="1:6" ht="14.25" customHeight="1" x14ac:dyDescent="0.3">
      <c r="A172" s="44">
        <v>160</v>
      </c>
      <c r="B172" s="12">
        <f t="shared" si="3"/>
        <v>0</v>
      </c>
      <c r="C172" s="12">
        <f t="shared" si="4"/>
        <v>0</v>
      </c>
      <c r="D172" s="12">
        <f t="shared" si="5"/>
        <v>0</v>
      </c>
      <c r="F172" s="10">
        <f t="shared" si="6"/>
        <v>0</v>
      </c>
    </row>
    <row r="173" spans="1:6" ht="14.25" customHeight="1" x14ac:dyDescent="0.3">
      <c r="A173" s="44">
        <v>161</v>
      </c>
      <c r="B173" s="12">
        <f t="shared" si="3"/>
        <v>0</v>
      </c>
      <c r="C173" s="12">
        <f t="shared" si="4"/>
        <v>0</v>
      </c>
      <c r="D173" s="12">
        <f t="shared" si="5"/>
        <v>0</v>
      </c>
      <c r="F173" s="10">
        <f t="shared" si="6"/>
        <v>0</v>
      </c>
    </row>
    <row r="174" spans="1:6" ht="14.25" customHeight="1" x14ac:dyDescent="0.3">
      <c r="A174" s="44">
        <v>162</v>
      </c>
      <c r="B174" s="12">
        <f t="shared" si="3"/>
        <v>0</v>
      </c>
      <c r="C174" s="12">
        <f t="shared" si="4"/>
        <v>0</v>
      </c>
      <c r="D174" s="12">
        <f t="shared" si="5"/>
        <v>0</v>
      </c>
      <c r="F174" s="10">
        <f t="shared" si="6"/>
        <v>0</v>
      </c>
    </row>
    <row r="175" spans="1:6" ht="14.25" customHeight="1" x14ac:dyDescent="0.3">
      <c r="A175" s="44">
        <v>163</v>
      </c>
      <c r="B175" s="12">
        <f t="shared" si="3"/>
        <v>0</v>
      </c>
      <c r="C175" s="12">
        <f t="shared" si="4"/>
        <v>0</v>
      </c>
      <c r="D175" s="12">
        <f t="shared" si="5"/>
        <v>0</v>
      </c>
      <c r="F175" s="10">
        <f t="shared" si="6"/>
        <v>0</v>
      </c>
    </row>
    <row r="176" spans="1:6" ht="14.25" customHeight="1" x14ac:dyDescent="0.3">
      <c r="A176" s="44">
        <v>164</v>
      </c>
      <c r="B176" s="12">
        <f t="shared" si="3"/>
        <v>0</v>
      </c>
      <c r="C176" s="12">
        <f t="shared" si="4"/>
        <v>0</v>
      </c>
      <c r="D176" s="12">
        <f t="shared" si="5"/>
        <v>0</v>
      </c>
      <c r="F176" s="10">
        <f t="shared" si="6"/>
        <v>0</v>
      </c>
    </row>
    <row r="177" spans="1:6" ht="14.25" customHeight="1" x14ac:dyDescent="0.3">
      <c r="A177" s="44">
        <v>165</v>
      </c>
      <c r="B177" s="12">
        <f t="shared" si="3"/>
        <v>0</v>
      </c>
      <c r="C177" s="12">
        <f t="shared" si="4"/>
        <v>0</v>
      </c>
      <c r="D177" s="12">
        <f t="shared" si="5"/>
        <v>0</v>
      </c>
      <c r="F177" s="10">
        <f t="shared" si="6"/>
        <v>0</v>
      </c>
    </row>
    <row r="178" spans="1:6" ht="14.25" customHeight="1" x14ac:dyDescent="0.3">
      <c r="A178" s="44">
        <v>166</v>
      </c>
      <c r="B178" s="12">
        <f t="shared" si="3"/>
        <v>0</v>
      </c>
      <c r="C178" s="12">
        <f t="shared" si="4"/>
        <v>0</v>
      </c>
      <c r="D178" s="12">
        <f t="shared" si="5"/>
        <v>0</v>
      </c>
      <c r="F178" s="10">
        <f t="shared" si="6"/>
        <v>0</v>
      </c>
    </row>
    <row r="179" spans="1:6" ht="14.25" customHeight="1" x14ac:dyDescent="0.3">
      <c r="A179" s="44">
        <v>167</v>
      </c>
      <c r="B179" s="12">
        <f t="shared" si="3"/>
        <v>0</v>
      </c>
      <c r="C179" s="12">
        <f t="shared" si="4"/>
        <v>0</v>
      </c>
      <c r="D179" s="12">
        <f t="shared" si="5"/>
        <v>0</v>
      </c>
      <c r="F179" s="10">
        <f t="shared" si="6"/>
        <v>0</v>
      </c>
    </row>
    <row r="180" spans="1:6" ht="14.25" customHeight="1" x14ac:dyDescent="0.3">
      <c r="A180" s="44">
        <v>168</v>
      </c>
      <c r="B180" s="12">
        <f t="shared" si="3"/>
        <v>0</v>
      </c>
      <c r="C180" s="12">
        <f t="shared" si="4"/>
        <v>0</v>
      </c>
      <c r="D180" s="12">
        <f t="shared" si="5"/>
        <v>0</v>
      </c>
      <c r="F180" s="10">
        <f t="shared" si="6"/>
        <v>0</v>
      </c>
    </row>
    <row r="181" spans="1:6" ht="14.25" customHeight="1" x14ac:dyDescent="0.3">
      <c r="A181" s="44">
        <v>169</v>
      </c>
      <c r="B181" s="12">
        <f t="shared" si="3"/>
        <v>0</v>
      </c>
      <c r="C181" s="12">
        <f t="shared" si="4"/>
        <v>0</v>
      </c>
      <c r="D181" s="12">
        <f t="shared" si="5"/>
        <v>0</v>
      </c>
      <c r="F181" s="10">
        <f t="shared" si="6"/>
        <v>0</v>
      </c>
    </row>
    <row r="182" spans="1:6" ht="14.25" customHeight="1" x14ac:dyDescent="0.3">
      <c r="A182" s="44">
        <v>170</v>
      </c>
      <c r="B182" s="12">
        <f t="shared" si="3"/>
        <v>0</v>
      </c>
      <c r="C182" s="12">
        <f t="shared" si="4"/>
        <v>0</v>
      </c>
      <c r="D182" s="12">
        <f t="shared" si="5"/>
        <v>0</v>
      </c>
      <c r="F182" s="10">
        <f t="shared" si="6"/>
        <v>0</v>
      </c>
    </row>
    <row r="183" spans="1:6" ht="14.25" customHeight="1" x14ac:dyDescent="0.3">
      <c r="A183" s="44">
        <v>171</v>
      </c>
      <c r="B183" s="12">
        <f t="shared" si="3"/>
        <v>0</v>
      </c>
      <c r="C183" s="12">
        <f t="shared" si="4"/>
        <v>0</v>
      </c>
      <c r="D183" s="12">
        <f t="shared" si="5"/>
        <v>0</v>
      </c>
      <c r="F183" s="10">
        <f t="shared" si="6"/>
        <v>0</v>
      </c>
    </row>
    <row r="184" spans="1:6" ht="14.25" customHeight="1" x14ac:dyDescent="0.3">
      <c r="A184" s="44">
        <v>172</v>
      </c>
      <c r="B184" s="12">
        <f t="shared" si="3"/>
        <v>0</v>
      </c>
      <c r="C184" s="12">
        <f t="shared" si="4"/>
        <v>0</v>
      </c>
      <c r="D184" s="12">
        <f t="shared" si="5"/>
        <v>0</v>
      </c>
      <c r="F184" s="10">
        <f t="shared" si="6"/>
        <v>0</v>
      </c>
    </row>
    <row r="185" spans="1:6" ht="14.25" customHeight="1" x14ac:dyDescent="0.3">
      <c r="A185" s="44">
        <v>173</v>
      </c>
      <c r="B185" s="12">
        <f t="shared" si="3"/>
        <v>0</v>
      </c>
      <c r="C185" s="12">
        <f t="shared" si="4"/>
        <v>0</v>
      </c>
      <c r="D185" s="12">
        <f t="shared" si="5"/>
        <v>0</v>
      </c>
      <c r="F185" s="10">
        <f t="shared" si="6"/>
        <v>0</v>
      </c>
    </row>
    <row r="186" spans="1:6" ht="14.25" customHeight="1" x14ac:dyDescent="0.3">
      <c r="A186" s="44">
        <v>174</v>
      </c>
      <c r="B186" s="12">
        <f t="shared" si="3"/>
        <v>0</v>
      </c>
      <c r="C186" s="12">
        <f t="shared" si="4"/>
        <v>0</v>
      </c>
      <c r="D186" s="12">
        <f t="shared" si="5"/>
        <v>0</v>
      </c>
      <c r="F186" s="10">
        <f t="shared" si="6"/>
        <v>0</v>
      </c>
    </row>
    <row r="187" spans="1:6" ht="14.25" customHeight="1" x14ac:dyDescent="0.3">
      <c r="A187" s="44">
        <v>175</v>
      </c>
      <c r="B187" s="12">
        <f t="shared" si="3"/>
        <v>0</v>
      </c>
      <c r="C187" s="12">
        <f t="shared" si="4"/>
        <v>0</v>
      </c>
      <c r="D187" s="12">
        <f t="shared" si="5"/>
        <v>0</v>
      </c>
      <c r="F187" s="10">
        <f t="shared" si="6"/>
        <v>0</v>
      </c>
    </row>
    <row r="188" spans="1:6" ht="14.25" customHeight="1" x14ac:dyDescent="0.3">
      <c r="A188" s="44">
        <v>176</v>
      </c>
      <c r="B188" s="12">
        <f t="shared" si="3"/>
        <v>0</v>
      </c>
      <c r="C188" s="12">
        <f t="shared" si="4"/>
        <v>0</v>
      </c>
      <c r="D188" s="12">
        <f t="shared" si="5"/>
        <v>0</v>
      </c>
      <c r="F188" s="10">
        <f t="shared" si="6"/>
        <v>0</v>
      </c>
    </row>
    <row r="189" spans="1:6" ht="14.25" customHeight="1" x14ac:dyDescent="0.3">
      <c r="A189" s="44">
        <v>177</v>
      </c>
      <c r="B189" s="12">
        <f t="shared" si="3"/>
        <v>0</v>
      </c>
      <c r="C189" s="12">
        <f t="shared" si="4"/>
        <v>0</v>
      </c>
      <c r="D189" s="12">
        <f t="shared" si="5"/>
        <v>0</v>
      </c>
      <c r="F189" s="10">
        <f t="shared" si="6"/>
        <v>0</v>
      </c>
    </row>
    <row r="190" spans="1:6" ht="14.25" customHeight="1" x14ac:dyDescent="0.3">
      <c r="A190" s="44">
        <v>178</v>
      </c>
      <c r="B190" s="12">
        <f t="shared" si="3"/>
        <v>0</v>
      </c>
      <c r="C190" s="12">
        <f t="shared" si="4"/>
        <v>0</v>
      </c>
      <c r="D190" s="12">
        <f t="shared" si="5"/>
        <v>0</v>
      </c>
      <c r="F190" s="10">
        <f t="shared" si="6"/>
        <v>0</v>
      </c>
    </row>
    <row r="191" spans="1:6" ht="14.25" customHeight="1" x14ac:dyDescent="0.3">
      <c r="A191" s="44">
        <v>179</v>
      </c>
      <c r="B191" s="12">
        <f t="shared" si="3"/>
        <v>0</v>
      </c>
      <c r="C191" s="12">
        <f t="shared" si="4"/>
        <v>0</v>
      </c>
      <c r="D191" s="12">
        <f t="shared" si="5"/>
        <v>0</v>
      </c>
      <c r="F191" s="10">
        <f t="shared" si="6"/>
        <v>0</v>
      </c>
    </row>
    <row r="192" spans="1:6" ht="14.25" customHeight="1" x14ac:dyDescent="0.3">
      <c r="A192" s="44">
        <v>180</v>
      </c>
      <c r="B192" s="12">
        <f t="shared" si="3"/>
        <v>0</v>
      </c>
      <c r="C192" s="12">
        <f t="shared" si="4"/>
        <v>0</v>
      </c>
      <c r="D192" s="12">
        <f t="shared" si="5"/>
        <v>0</v>
      </c>
      <c r="F192" s="10">
        <f t="shared" si="6"/>
        <v>0</v>
      </c>
    </row>
    <row r="193" spans="1:6" ht="14.25" customHeight="1" x14ac:dyDescent="0.3">
      <c r="A193" s="44">
        <v>181</v>
      </c>
      <c r="B193" s="12">
        <f t="shared" si="3"/>
        <v>0</v>
      </c>
      <c r="C193" s="12">
        <f t="shared" si="4"/>
        <v>0</v>
      </c>
      <c r="D193" s="12">
        <f t="shared" si="5"/>
        <v>0</v>
      </c>
      <c r="F193" s="10">
        <f t="shared" si="6"/>
        <v>0</v>
      </c>
    </row>
    <row r="194" spans="1:6" ht="14.25" customHeight="1" x14ac:dyDescent="0.3">
      <c r="A194" s="44">
        <v>182</v>
      </c>
      <c r="B194" s="12">
        <f t="shared" si="3"/>
        <v>0</v>
      </c>
      <c r="C194" s="12">
        <f t="shared" si="4"/>
        <v>0</v>
      </c>
      <c r="D194" s="12">
        <f t="shared" si="5"/>
        <v>0</v>
      </c>
      <c r="F194" s="10">
        <f t="shared" si="6"/>
        <v>0</v>
      </c>
    </row>
    <row r="195" spans="1:6" ht="14.25" customHeight="1" x14ac:dyDescent="0.3">
      <c r="A195" s="44">
        <v>183</v>
      </c>
      <c r="B195" s="12">
        <f t="shared" si="3"/>
        <v>0</v>
      </c>
      <c r="C195" s="12">
        <f t="shared" si="4"/>
        <v>0</v>
      </c>
      <c r="D195" s="12">
        <f t="shared" si="5"/>
        <v>0</v>
      </c>
      <c r="F195" s="10">
        <f t="shared" si="6"/>
        <v>0</v>
      </c>
    </row>
    <row r="196" spans="1:6" ht="14.25" customHeight="1" x14ac:dyDescent="0.3">
      <c r="A196" s="44">
        <v>184</v>
      </c>
      <c r="B196" s="12">
        <f t="shared" si="3"/>
        <v>0</v>
      </c>
      <c r="C196" s="12">
        <f t="shared" si="4"/>
        <v>0</v>
      </c>
      <c r="D196" s="12">
        <f t="shared" si="5"/>
        <v>0</v>
      </c>
      <c r="F196" s="10">
        <f t="shared" si="6"/>
        <v>0</v>
      </c>
    </row>
    <row r="197" spans="1:6" ht="14.25" customHeight="1" x14ac:dyDescent="0.3">
      <c r="A197" s="44">
        <v>185</v>
      </c>
      <c r="B197" s="12">
        <f t="shared" si="3"/>
        <v>0</v>
      </c>
      <c r="C197" s="12">
        <f t="shared" si="4"/>
        <v>0</v>
      </c>
      <c r="D197" s="12">
        <f t="shared" si="5"/>
        <v>0</v>
      </c>
      <c r="F197" s="10">
        <f t="shared" si="6"/>
        <v>0</v>
      </c>
    </row>
    <row r="198" spans="1:6" ht="14.25" customHeight="1" x14ac:dyDescent="0.3">
      <c r="A198" s="44">
        <v>186</v>
      </c>
      <c r="B198" s="12">
        <f t="shared" si="3"/>
        <v>0</v>
      </c>
      <c r="C198" s="12">
        <f t="shared" si="4"/>
        <v>0</v>
      </c>
      <c r="D198" s="12">
        <f t="shared" si="5"/>
        <v>0</v>
      </c>
      <c r="F198" s="10">
        <f t="shared" si="6"/>
        <v>0</v>
      </c>
    </row>
    <row r="199" spans="1:6" ht="14.25" customHeight="1" x14ac:dyDescent="0.3">
      <c r="A199" s="44">
        <v>187</v>
      </c>
      <c r="B199" s="12">
        <f t="shared" si="3"/>
        <v>0</v>
      </c>
      <c r="C199" s="12">
        <f t="shared" si="4"/>
        <v>0</v>
      </c>
      <c r="D199" s="12">
        <f t="shared" si="5"/>
        <v>0</v>
      </c>
      <c r="F199" s="10">
        <f t="shared" si="6"/>
        <v>0</v>
      </c>
    </row>
    <row r="200" spans="1:6" ht="14.25" customHeight="1" x14ac:dyDescent="0.3">
      <c r="A200" s="44">
        <v>188</v>
      </c>
      <c r="B200" s="12">
        <f t="shared" si="3"/>
        <v>0</v>
      </c>
      <c r="C200" s="12">
        <f t="shared" si="4"/>
        <v>0</v>
      </c>
      <c r="D200" s="12">
        <f t="shared" si="5"/>
        <v>0</v>
      </c>
      <c r="F200" s="10">
        <f t="shared" si="6"/>
        <v>0</v>
      </c>
    </row>
    <row r="201" spans="1:6" ht="14.25" customHeight="1" x14ac:dyDescent="0.3">
      <c r="A201" s="44">
        <v>189</v>
      </c>
      <c r="B201" s="12">
        <f t="shared" si="3"/>
        <v>0</v>
      </c>
      <c r="C201" s="12">
        <f t="shared" si="4"/>
        <v>0</v>
      </c>
      <c r="D201" s="12">
        <f t="shared" si="5"/>
        <v>0</v>
      </c>
      <c r="F201" s="10">
        <f t="shared" si="6"/>
        <v>0</v>
      </c>
    </row>
    <row r="202" spans="1:6" ht="14.25" customHeight="1" x14ac:dyDescent="0.3">
      <c r="A202" s="44">
        <v>190</v>
      </c>
      <c r="B202" s="12">
        <f t="shared" si="3"/>
        <v>0</v>
      </c>
      <c r="C202" s="12">
        <f t="shared" si="4"/>
        <v>0</v>
      </c>
      <c r="D202" s="12">
        <f t="shared" si="5"/>
        <v>0</v>
      </c>
      <c r="F202" s="10">
        <f t="shared" si="6"/>
        <v>0</v>
      </c>
    </row>
    <row r="203" spans="1:6" ht="14.25" customHeight="1" x14ac:dyDescent="0.3">
      <c r="A203" s="44">
        <v>191</v>
      </c>
      <c r="B203" s="12">
        <f t="shared" si="3"/>
        <v>0</v>
      </c>
      <c r="C203" s="12">
        <f t="shared" si="4"/>
        <v>0</v>
      </c>
      <c r="D203" s="12">
        <f t="shared" si="5"/>
        <v>0</v>
      </c>
      <c r="F203" s="10">
        <f t="shared" si="6"/>
        <v>0</v>
      </c>
    </row>
    <row r="204" spans="1:6" ht="14.25" customHeight="1" x14ac:dyDescent="0.3">
      <c r="A204" s="44">
        <v>192</v>
      </c>
      <c r="B204" s="12">
        <f t="shared" si="3"/>
        <v>0</v>
      </c>
      <c r="C204" s="12">
        <f t="shared" si="4"/>
        <v>0</v>
      </c>
      <c r="D204" s="12">
        <f t="shared" si="5"/>
        <v>0</v>
      </c>
      <c r="F204" s="10">
        <f t="shared" si="6"/>
        <v>0</v>
      </c>
    </row>
    <row r="205" spans="1:6" ht="14.25" customHeight="1" x14ac:dyDescent="0.3">
      <c r="A205" s="44">
        <v>193</v>
      </c>
      <c r="B205" s="12">
        <f t="shared" si="3"/>
        <v>0</v>
      </c>
      <c r="C205" s="12">
        <f t="shared" si="4"/>
        <v>0</v>
      </c>
      <c r="D205" s="12">
        <f t="shared" si="5"/>
        <v>0</v>
      </c>
      <c r="F205" s="10">
        <f t="shared" si="6"/>
        <v>0</v>
      </c>
    </row>
    <row r="206" spans="1:6" ht="14.25" customHeight="1" x14ac:dyDescent="0.3">
      <c r="A206" s="44">
        <v>194</v>
      </c>
      <c r="B206" s="12">
        <f t="shared" si="3"/>
        <v>0</v>
      </c>
      <c r="C206" s="12">
        <f t="shared" si="4"/>
        <v>0</v>
      </c>
      <c r="D206" s="12">
        <f t="shared" si="5"/>
        <v>0</v>
      </c>
      <c r="F206" s="10">
        <f t="shared" si="6"/>
        <v>0</v>
      </c>
    </row>
    <row r="207" spans="1:6" ht="14.25" customHeight="1" x14ac:dyDescent="0.3">
      <c r="A207" s="44">
        <v>195</v>
      </c>
      <c r="B207" s="12">
        <f t="shared" si="3"/>
        <v>0</v>
      </c>
      <c r="C207" s="12">
        <f t="shared" si="4"/>
        <v>0</v>
      </c>
      <c r="D207" s="12">
        <f t="shared" si="5"/>
        <v>0</v>
      </c>
      <c r="F207" s="10">
        <f t="shared" si="6"/>
        <v>0</v>
      </c>
    </row>
    <row r="208" spans="1:6" ht="14.25" customHeight="1" x14ac:dyDescent="0.3">
      <c r="A208" s="44">
        <v>196</v>
      </c>
      <c r="B208" s="12">
        <f t="shared" si="3"/>
        <v>0</v>
      </c>
      <c r="C208" s="12">
        <f t="shared" si="4"/>
        <v>0</v>
      </c>
      <c r="D208" s="12">
        <f t="shared" si="5"/>
        <v>0</v>
      </c>
      <c r="F208" s="10">
        <f t="shared" si="6"/>
        <v>0</v>
      </c>
    </row>
    <row r="209" spans="1:6" ht="14.25" customHeight="1" x14ac:dyDescent="0.3">
      <c r="A209" s="44">
        <v>197</v>
      </c>
      <c r="B209" s="12">
        <f t="shared" si="3"/>
        <v>0</v>
      </c>
      <c r="C209" s="12">
        <f t="shared" si="4"/>
        <v>0</v>
      </c>
      <c r="D209" s="12">
        <f t="shared" si="5"/>
        <v>0</v>
      </c>
      <c r="F209" s="10">
        <f t="shared" si="6"/>
        <v>0</v>
      </c>
    </row>
    <row r="210" spans="1:6" ht="14.25" customHeight="1" x14ac:dyDescent="0.3">
      <c r="A210" s="44">
        <v>198</v>
      </c>
      <c r="B210" s="12">
        <f t="shared" si="3"/>
        <v>0</v>
      </c>
      <c r="C210" s="12">
        <f t="shared" si="4"/>
        <v>0</v>
      </c>
      <c r="D210" s="12">
        <f t="shared" si="5"/>
        <v>0</v>
      </c>
      <c r="F210" s="10">
        <f t="shared" si="6"/>
        <v>0</v>
      </c>
    </row>
    <row r="211" spans="1:6" ht="14.25" customHeight="1" x14ac:dyDescent="0.3">
      <c r="A211" s="44">
        <v>199</v>
      </c>
      <c r="B211" s="12">
        <f t="shared" si="3"/>
        <v>0</v>
      </c>
      <c r="C211" s="12">
        <f t="shared" si="4"/>
        <v>0</v>
      </c>
      <c r="D211" s="12">
        <f t="shared" si="5"/>
        <v>0</v>
      </c>
      <c r="F211" s="10">
        <f t="shared" si="6"/>
        <v>0</v>
      </c>
    </row>
    <row r="212" spans="1:6" ht="14.25" customHeight="1" x14ac:dyDescent="0.3">
      <c r="A212" s="44">
        <v>200</v>
      </c>
      <c r="B212" s="12">
        <f t="shared" si="3"/>
        <v>0</v>
      </c>
      <c r="C212" s="12">
        <f t="shared" si="4"/>
        <v>0</v>
      </c>
      <c r="D212" s="12">
        <f t="shared" si="5"/>
        <v>0</v>
      </c>
      <c r="F212" s="10">
        <f t="shared" si="6"/>
        <v>0</v>
      </c>
    </row>
    <row r="213" spans="1:6" ht="14.25" customHeight="1" x14ac:dyDescent="0.3">
      <c r="A213" s="44">
        <v>201</v>
      </c>
      <c r="B213" s="12">
        <f t="shared" si="3"/>
        <v>0</v>
      </c>
      <c r="C213" s="12">
        <f t="shared" si="4"/>
        <v>0</v>
      </c>
      <c r="D213" s="12">
        <f t="shared" si="5"/>
        <v>0</v>
      </c>
      <c r="F213" s="10">
        <f t="shared" si="6"/>
        <v>0</v>
      </c>
    </row>
    <row r="214" spans="1:6" ht="14.25" customHeight="1" x14ac:dyDescent="0.3">
      <c r="A214" s="44">
        <v>202</v>
      </c>
      <c r="B214" s="12">
        <f t="shared" si="3"/>
        <v>0</v>
      </c>
      <c r="C214" s="12">
        <f t="shared" si="4"/>
        <v>0</v>
      </c>
      <c r="D214" s="12">
        <f t="shared" si="5"/>
        <v>0</v>
      </c>
      <c r="F214" s="10">
        <f t="shared" si="6"/>
        <v>0</v>
      </c>
    </row>
    <row r="215" spans="1:6" ht="14.25" customHeight="1" x14ac:dyDescent="0.3">
      <c r="A215" s="44">
        <v>203</v>
      </c>
      <c r="B215" s="12">
        <f t="shared" si="3"/>
        <v>0</v>
      </c>
      <c r="C215" s="12">
        <f t="shared" si="4"/>
        <v>0</v>
      </c>
      <c r="D215" s="12">
        <f t="shared" si="5"/>
        <v>0</v>
      </c>
      <c r="F215" s="10">
        <f t="shared" si="6"/>
        <v>0</v>
      </c>
    </row>
    <row r="216" spans="1:6" ht="14.25" customHeight="1" x14ac:dyDescent="0.3">
      <c r="A216" s="44">
        <v>204</v>
      </c>
      <c r="B216" s="12">
        <f t="shared" si="3"/>
        <v>0</v>
      </c>
      <c r="C216" s="12">
        <f t="shared" si="4"/>
        <v>0</v>
      </c>
      <c r="D216" s="12">
        <f t="shared" si="5"/>
        <v>0</v>
      </c>
      <c r="F216" s="10">
        <f t="shared" si="6"/>
        <v>0</v>
      </c>
    </row>
    <row r="217" spans="1:6" ht="14.25" customHeight="1" x14ac:dyDescent="0.3">
      <c r="A217" s="44">
        <v>205</v>
      </c>
      <c r="B217" s="12">
        <f t="shared" si="3"/>
        <v>0</v>
      </c>
      <c r="C217" s="12">
        <f t="shared" si="4"/>
        <v>0</v>
      </c>
      <c r="D217" s="12">
        <f t="shared" si="5"/>
        <v>0</v>
      </c>
      <c r="F217" s="10">
        <f t="shared" si="6"/>
        <v>0</v>
      </c>
    </row>
    <row r="218" spans="1:6" ht="14.25" customHeight="1" x14ac:dyDescent="0.3">
      <c r="A218" s="44">
        <v>206</v>
      </c>
      <c r="B218" s="12">
        <f t="shared" si="3"/>
        <v>0</v>
      </c>
      <c r="C218" s="12">
        <f t="shared" si="4"/>
        <v>0</v>
      </c>
      <c r="D218" s="12">
        <f t="shared" si="5"/>
        <v>0</v>
      </c>
      <c r="F218" s="10">
        <f t="shared" si="6"/>
        <v>0</v>
      </c>
    </row>
    <row r="219" spans="1:6" ht="14.25" customHeight="1" x14ac:dyDescent="0.3">
      <c r="A219" s="44">
        <v>207</v>
      </c>
      <c r="B219" s="12">
        <f t="shared" si="3"/>
        <v>0</v>
      </c>
      <c r="C219" s="12">
        <f t="shared" si="4"/>
        <v>0</v>
      </c>
      <c r="D219" s="12">
        <f t="shared" si="5"/>
        <v>0</v>
      </c>
      <c r="F219" s="10">
        <f t="shared" si="6"/>
        <v>0</v>
      </c>
    </row>
    <row r="220" spans="1:6" ht="14.25" customHeight="1" x14ac:dyDescent="0.3">
      <c r="A220" s="44">
        <v>208</v>
      </c>
      <c r="B220" s="12">
        <f t="shared" si="3"/>
        <v>0</v>
      </c>
      <c r="C220" s="12">
        <f t="shared" si="4"/>
        <v>0</v>
      </c>
      <c r="D220" s="12">
        <f t="shared" si="5"/>
        <v>0</v>
      </c>
      <c r="F220" s="10">
        <f t="shared" si="6"/>
        <v>0</v>
      </c>
    </row>
    <row r="221" spans="1:6" ht="14.25" customHeight="1" x14ac:dyDescent="0.3">
      <c r="A221" s="44">
        <v>209</v>
      </c>
      <c r="B221" s="12">
        <f t="shared" si="3"/>
        <v>0</v>
      </c>
      <c r="C221" s="12">
        <f t="shared" si="4"/>
        <v>0</v>
      </c>
      <c r="D221" s="12">
        <f t="shared" si="5"/>
        <v>0</v>
      </c>
      <c r="F221" s="10">
        <f t="shared" si="6"/>
        <v>0</v>
      </c>
    </row>
    <row r="222" spans="1:6" ht="14.25" customHeight="1" x14ac:dyDescent="0.3">
      <c r="A222" s="44">
        <v>210</v>
      </c>
      <c r="B222" s="12">
        <f t="shared" si="3"/>
        <v>0</v>
      </c>
      <c r="C222" s="12">
        <f t="shared" si="4"/>
        <v>0</v>
      </c>
      <c r="D222" s="12">
        <f t="shared" si="5"/>
        <v>0</v>
      </c>
      <c r="F222" s="10">
        <f t="shared" si="6"/>
        <v>0</v>
      </c>
    </row>
    <row r="223" spans="1:6" ht="14.25" customHeight="1" x14ac:dyDescent="0.3">
      <c r="A223" s="44">
        <v>211</v>
      </c>
      <c r="B223" s="12">
        <f t="shared" si="3"/>
        <v>0</v>
      </c>
      <c r="C223" s="12">
        <f t="shared" si="4"/>
        <v>0</v>
      </c>
      <c r="D223" s="12">
        <f t="shared" si="5"/>
        <v>0</v>
      </c>
      <c r="F223" s="10">
        <f t="shared" si="6"/>
        <v>0</v>
      </c>
    </row>
    <row r="224" spans="1:6" ht="14.25" customHeight="1" x14ac:dyDescent="0.3">
      <c r="A224" s="44">
        <v>212</v>
      </c>
      <c r="B224" s="12">
        <f t="shared" si="3"/>
        <v>0</v>
      </c>
      <c r="C224" s="12">
        <f t="shared" si="4"/>
        <v>0</v>
      </c>
      <c r="D224" s="12">
        <f t="shared" si="5"/>
        <v>0</v>
      </c>
      <c r="F224" s="10">
        <f t="shared" si="6"/>
        <v>0</v>
      </c>
    </row>
    <row r="225" spans="1:6" ht="14.25" customHeight="1" x14ac:dyDescent="0.3">
      <c r="A225" s="44">
        <v>213</v>
      </c>
      <c r="B225" s="12">
        <f t="shared" si="3"/>
        <v>0</v>
      </c>
      <c r="C225" s="12">
        <f t="shared" si="4"/>
        <v>0</v>
      </c>
      <c r="D225" s="12">
        <f t="shared" si="5"/>
        <v>0</v>
      </c>
      <c r="F225" s="10">
        <f t="shared" si="6"/>
        <v>0</v>
      </c>
    </row>
    <row r="226" spans="1:6" ht="14.25" customHeight="1" x14ac:dyDescent="0.3">
      <c r="A226" s="44">
        <v>214</v>
      </c>
      <c r="B226" s="12">
        <f t="shared" si="3"/>
        <v>0</v>
      </c>
      <c r="C226" s="12">
        <f t="shared" si="4"/>
        <v>0</v>
      </c>
      <c r="D226" s="12">
        <f t="shared" si="5"/>
        <v>0</v>
      </c>
      <c r="F226" s="10">
        <f t="shared" si="6"/>
        <v>0</v>
      </c>
    </row>
    <row r="227" spans="1:6" ht="14.25" customHeight="1" x14ac:dyDescent="0.3">
      <c r="A227" s="44">
        <v>215</v>
      </c>
      <c r="B227" s="12">
        <f t="shared" si="3"/>
        <v>0</v>
      </c>
      <c r="C227" s="12">
        <f t="shared" si="4"/>
        <v>0</v>
      </c>
      <c r="D227" s="12">
        <f t="shared" si="5"/>
        <v>0</v>
      </c>
      <c r="F227" s="10">
        <f t="shared" si="6"/>
        <v>0</v>
      </c>
    </row>
    <row r="228" spans="1:6" ht="14.25" customHeight="1" x14ac:dyDescent="0.3">
      <c r="A228" s="44">
        <v>216</v>
      </c>
      <c r="B228" s="12">
        <f t="shared" si="3"/>
        <v>0</v>
      </c>
      <c r="C228" s="12">
        <f t="shared" si="4"/>
        <v>0</v>
      </c>
      <c r="D228" s="12">
        <f t="shared" si="5"/>
        <v>0</v>
      </c>
      <c r="F228" s="10">
        <f t="shared" si="6"/>
        <v>0</v>
      </c>
    </row>
    <row r="229" spans="1:6" ht="14.25" customHeight="1" x14ac:dyDescent="0.3">
      <c r="A229" s="44">
        <v>217</v>
      </c>
      <c r="B229" s="12">
        <f t="shared" si="3"/>
        <v>0</v>
      </c>
      <c r="C229" s="12">
        <f t="shared" si="4"/>
        <v>0</v>
      </c>
      <c r="D229" s="12">
        <f t="shared" si="5"/>
        <v>0</v>
      </c>
      <c r="F229" s="10">
        <f t="shared" si="6"/>
        <v>0</v>
      </c>
    </row>
    <row r="230" spans="1:6" ht="14.25" customHeight="1" x14ac:dyDescent="0.3">
      <c r="A230" s="44">
        <v>218</v>
      </c>
      <c r="B230" s="12">
        <f t="shared" si="3"/>
        <v>0</v>
      </c>
      <c r="C230" s="12">
        <f t="shared" si="4"/>
        <v>0</v>
      </c>
      <c r="D230" s="12">
        <f t="shared" si="5"/>
        <v>0</v>
      </c>
      <c r="F230" s="10">
        <f t="shared" si="6"/>
        <v>0</v>
      </c>
    </row>
    <row r="231" spans="1:6" ht="14.25" customHeight="1" x14ac:dyDescent="0.3">
      <c r="A231" s="44">
        <v>219</v>
      </c>
      <c r="B231" s="12">
        <f t="shared" si="3"/>
        <v>0</v>
      </c>
      <c r="C231" s="12">
        <f t="shared" si="4"/>
        <v>0</v>
      </c>
      <c r="D231" s="12">
        <f t="shared" si="5"/>
        <v>0</v>
      </c>
      <c r="F231" s="10">
        <f t="shared" si="6"/>
        <v>0</v>
      </c>
    </row>
    <row r="232" spans="1:6" ht="14.25" customHeight="1" x14ac:dyDescent="0.3">
      <c r="A232" s="44">
        <v>220</v>
      </c>
      <c r="B232" s="12">
        <f t="shared" si="3"/>
        <v>0</v>
      </c>
      <c r="C232" s="12">
        <f t="shared" si="4"/>
        <v>0</v>
      </c>
      <c r="D232" s="12">
        <f t="shared" si="5"/>
        <v>0</v>
      </c>
      <c r="F232" s="10">
        <f t="shared" si="6"/>
        <v>0</v>
      </c>
    </row>
    <row r="233" spans="1:6" ht="14.25" customHeight="1" x14ac:dyDescent="0.3">
      <c r="A233" s="44">
        <v>221</v>
      </c>
      <c r="B233" s="12">
        <f t="shared" si="3"/>
        <v>0</v>
      </c>
      <c r="C233" s="12">
        <f t="shared" si="4"/>
        <v>0</v>
      </c>
      <c r="D233" s="12">
        <f t="shared" si="5"/>
        <v>0</v>
      </c>
      <c r="F233" s="10">
        <f t="shared" si="6"/>
        <v>0</v>
      </c>
    </row>
    <row r="234" spans="1:6" ht="14.25" customHeight="1" x14ac:dyDescent="0.3">
      <c r="A234" s="44">
        <v>222</v>
      </c>
      <c r="B234" s="12">
        <f t="shared" si="3"/>
        <v>0</v>
      </c>
      <c r="C234" s="12">
        <f t="shared" si="4"/>
        <v>0</v>
      </c>
      <c r="D234" s="12">
        <f t="shared" si="5"/>
        <v>0</v>
      </c>
      <c r="F234" s="10">
        <f t="shared" si="6"/>
        <v>0</v>
      </c>
    </row>
    <row r="235" spans="1:6" ht="14.25" customHeight="1" x14ac:dyDescent="0.3">
      <c r="A235" s="44">
        <v>223</v>
      </c>
      <c r="B235" s="12">
        <f t="shared" si="3"/>
        <v>0</v>
      </c>
      <c r="C235" s="12">
        <f t="shared" si="4"/>
        <v>0</v>
      </c>
      <c r="D235" s="12">
        <f t="shared" si="5"/>
        <v>0</v>
      </c>
      <c r="F235" s="10">
        <f t="shared" si="6"/>
        <v>0</v>
      </c>
    </row>
    <row r="236" spans="1:6" ht="14.25" customHeight="1" x14ac:dyDescent="0.3">
      <c r="A236" s="44">
        <v>224</v>
      </c>
      <c r="B236" s="12">
        <f t="shared" si="3"/>
        <v>0</v>
      </c>
      <c r="C236" s="12">
        <f t="shared" si="4"/>
        <v>0</v>
      </c>
      <c r="D236" s="12">
        <f t="shared" si="5"/>
        <v>0</v>
      </c>
      <c r="F236" s="10">
        <f t="shared" si="6"/>
        <v>0</v>
      </c>
    </row>
    <row r="237" spans="1:6" ht="14.25" customHeight="1" x14ac:dyDescent="0.3">
      <c r="A237" s="44">
        <v>225</v>
      </c>
      <c r="B237" s="12">
        <f t="shared" si="3"/>
        <v>0</v>
      </c>
      <c r="C237" s="12">
        <f t="shared" si="4"/>
        <v>0</v>
      </c>
      <c r="D237" s="12">
        <f t="shared" si="5"/>
        <v>0</v>
      </c>
      <c r="F237" s="10">
        <f t="shared" si="6"/>
        <v>0</v>
      </c>
    </row>
    <row r="238" spans="1:6" ht="14.25" customHeight="1" x14ac:dyDescent="0.3">
      <c r="A238" s="44">
        <v>226</v>
      </c>
      <c r="B238" s="12">
        <f t="shared" si="3"/>
        <v>0</v>
      </c>
      <c r="C238" s="12">
        <f t="shared" si="4"/>
        <v>0</v>
      </c>
      <c r="D238" s="12">
        <f t="shared" si="5"/>
        <v>0</v>
      </c>
      <c r="F238" s="10">
        <f t="shared" si="6"/>
        <v>0</v>
      </c>
    </row>
    <row r="239" spans="1:6" ht="14.25" customHeight="1" x14ac:dyDescent="0.3">
      <c r="A239" s="44">
        <v>227</v>
      </c>
      <c r="B239" s="12">
        <f t="shared" si="3"/>
        <v>0</v>
      </c>
      <c r="C239" s="12">
        <f t="shared" si="4"/>
        <v>0</v>
      </c>
      <c r="D239" s="12">
        <f t="shared" si="5"/>
        <v>0</v>
      </c>
      <c r="F239" s="10">
        <f t="shared" si="6"/>
        <v>0</v>
      </c>
    </row>
    <row r="240" spans="1:6" ht="14.25" customHeight="1" x14ac:dyDescent="0.3">
      <c r="A240" s="44">
        <v>228</v>
      </c>
      <c r="B240" s="12">
        <f t="shared" si="3"/>
        <v>0</v>
      </c>
      <c r="C240" s="12">
        <f t="shared" si="4"/>
        <v>0</v>
      </c>
      <c r="D240" s="12">
        <f t="shared" si="5"/>
        <v>0</v>
      </c>
      <c r="F240" s="10">
        <f t="shared" si="6"/>
        <v>0</v>
      </c>
    </row>
    <row r="241" spans="1:6" ht="14.25" customHeight="1" x14ac:dyDescent="0.3">
      <c r="A241" s="44">
        <v>229</v>
      </c>
      <c r="B241" s="12">
        <f t="shared" si="3"/>
        <v>0</v>
      </c>
      <c r="C241" s="12">
        <f t="shared" si="4"/>
        <v>0</v>
      </c>
      <c r="D241" s="12">
        <f t="shared" si="5"/>
        <v>0</v>
      </c>
      <c r="F241" s="10">
        <f t="shared" si="6"/>
        <v>0</v>
      </c>
    </row>
    <row r="242" spans="1:6" ht="14.25" customHeight="1" x14ac:dyDescent="0.3">
      <c r="A242" s="44">
        <v>230</v>
      </c>
      <c r="B242" s="12">
        <f t="shared" si="3"/>
        <v>0</v>
      </c>
      <c r="C242" s="12">
        <f t="shared" si="4"/>
        <v>0</v>
      </c>
      <c r="D242" s="12">
        <f t="shared" si="5"/>
        <v>0</v>
      </c>
      <c r="F242" s="10">
        <f t="shared" si="6"/>
        <v>0</v>
      </c>
    </row>
    <row r="243" spans="1:6" ht="14.25" customHeight="1" x14ac:dyDescent="0.3">
      <c r="A243" s="44">
        <v>231</v>
      </c>
      <c r="B243" s="12">
        <f t="shared" si="3"/>
        <v>0</v>
      </c>
      <c r="C243" s="12">
        <f t="shared" si="4"/>
        <v>0</v>
      </c>
      <c r="D243" s="12">
        <f t="shared" si="5"/>
        <v>0</v>
      </c>
      <c r="F243" s="10">
        <f t="shared" si="6"/>
        <v>0</v>
      </c>
    </row>
    <row r="244" spans="1:6" ht="14.25" customHeight="1" x14ac:dyDescent="0.3">
      <c r="A244" s="44">
        <v>232</v>
      </c>
      <c r="B244" s="12">
        <f t="shared" si="3"/>
        <v>0</v>
      </c>
      <c r="C244" s="12">
        <f t="shared" si="4"/>
        <v>0</v>
      </c>
      <c r="D244" s="12">
        <f t="shared" si="5"/>
        <v>0</v>
      </c>
      <c r="F244" s="10">
        <f t="shared" si="6"/>
        <v>0</v>
      </c>
    </row>
    <row r="245" spans="1:6" ht="14.25" customHeight="1" x14ac:dyDescent="0.3">
      <c r="A245" s="44">
        <v>233</v>
      </c>
      <c r="B245" s="12">
        <f t="shared" si="3"/>
        <v>0</v>
      </c>
      <c r="C245" s="12">
        <f t="shared" si="4"/>
        <v>0</v>
      </c>
      <c r="D245" s="12">
        <f t="shared" si="5"/>
        <v>0</v>
      </c>
      <c r="F245" s="10">
        <f t="shared" si="6"/>
        <v>0</v>
      </c>
    </row>
    <row r="246" spans="1:6" ht="14.25" customHeight="1" x14ac:dyDescent="0.3">
      <c r="A246" s="44">
        <v>234</v>
      </c>
      <c r="B246" s="12">
        <f t="shared" si="3"/>
        <v>0</v>
      </c>
      <c r="C246" s="12">
        <f t="shared" si="4"/>
        <v>0</v>
      </c>
      <c r="D246" s="12">
        <f t="shared" si="5"/>
        <v>0</v>
      </c>
      <c r="F246" s="10">
        <f t="shared" si="6"/>
        <v>0</v>
      </c>
    </row>
    <row r="247" spans="1:6" ht="14.25" customHeight="1" x14ac:dyDescent="0.3">
      <c r="A247" s="44">
        <v>235</v>
      </c>
      <c r="B247" s="12">
        <f t="shared" si="3"/>
        <v>0</v>
      </c>
      <c r="C247" s="12">
        <f t="shared" si="4"/>
        <v>0</v>
      </c>
      <c r="D247" s="12">
        <f t="shared" si="5"/>
        <v>0</v>
      </c>
      <c r="F247" s="10">
        <f t="shared" si="6"/>
        <v>0</v>
      </c>
    </row>
    <row r="248" spans="1:6" ht="14.25" customHeight="1" x14ac:dyDescent="0.3">
      <c r="A248" s="44">
        <v>236</v>
      </c>
      <c r="B248" s="12">
        <f t="shared" si="3"/>
        <v>0</v>
      </c>
      <c r="C248" s="12">
        <f t="shared" si="4"/>
        <v>0</v>
      </c>
      <c r="D248" s="12">
        <f t="shared" si="5"/>
        <v>0</v>
      </c>
      <c r="F248" s="10">
        <f t="shared" si="6"/>
        <v>0</v>
      </c>
    </row>
    <row r="249" spans="1:6" ht="14.25" customHeight="1" x14ac:dyDescent="0.3">
      <c r="A249" s="44">
        <v>237</v>
      </c>
      <c r="B249" s="12">
        <f t="shared" si="3"/>
        <v>0</v>
      </c>
      <c r="C249" s="12">
        <f t="shared" si="4"/>
        <v>0</v>
      </c>
      <c r="D249" s="12">
        <f t="shared" si="5"/>
        <v>0</v>
      </c>
      <c r="F249" s="10">
        <f t="shared" si="6"/>
        <v>0</v>
      </c>
    </row>
    <row r="250" spans="1:6" ht="14.25" customHeight="1" x14ac:dyDescent="0.3">
      <c r="A250" s="44">
        <v>238</v>
      </c>
      <c r="B250" s="12">
        <f t="shared" si="3"/>
        <v>0</v>
      </c>
      <c r="C250" s="12">
        <f t="shared" si="4"/>
        <v>0</v>
      </c>
      <c r="D250" s="12">
        <f t="shared" si="5"/>
        <v>0</v>
      </c>
      <c r="F250" s="10">
        <f t="shared" si="6"/>
        <v>0</v>
      </c>
    </row>
    <row r="251" spans="1:6" ht="14.25" customHeight="1" x14ac:dyDescent="0.3">
      <c r="A251" s="44">
        <v>239</v>
      </c>
      <c r="B251" s="12">
        <f t="shared" si="3"/>
        <v>0</v>
      </c>
      <c r="C251" s="12">
        <f t="shared" si="4"/>
        <v>0</v>
      </c>
      <c r="D251" s="12">
        <f t="shared" si="5"/>
        <v>0</v>
      </c>
      <c r="F251" s="10">
        <f t="shared" si="6"/>
        <v>0</v>
      </c>
    </row>
    <row r="252" spans="1:6" ht="14.25" customHeight="1" x14ac:dyDescent="0.3">
      <c r="A252" s="44">
        <v>240</v>
      </c>
      <c r="B252" s="12">
        <f t="shared" si="3"/>
        <v>0</v>
      </c>
      <c r="C252" s="12">
        <f t="shared" si="4"/>
        <v>0</v>
      </c>
      <c r="D252" s="12">
        <f t="shared" si="5"/>
        <v>0</v>
      </c>
      <c r="F252" s="10">
        <f t="shared" si="6"/>
        <v>0</v>
      </c>
    </row>
    <row r="253" spans="1:6" ht="14.25" customHeight="1" x14ac:dyDescent="0.3">
      <c r="A253" s="44">
        <v>241</v>
      </c>
      <c r="B253" s="12">
        <f t="shared" si="3"/>
        <v>0</v>
      </c>
      <c r="C253" s="12">
        <f t="shared" si="4"/>
        <v>0</v>
      </c>
      <c r="D253" s="12">
        <f t="shared" si="5"/>
        <v>0</v>
      </c>
      <c r="F253" s="10">
        <f t="shared" si="6"/>
        <v>0</v>
      </c>
    </row>
    <row r="254" spans="1:6" ht="14.25" customHeight="1" x14ac:dyDescent="0.3">
      <c r="A254" s="44">
        <v>242</v>
      </c>
      <c r="B254" s="12">
        <f t="shared" si="3"/>
        <v>0</v>
      </c>
      <c r="C254" s="12">
        <f t="shared" si="4"/>
        <v>0</v>
      </c>
      <c r="D254" s="12">
        <f t="shared" si="5"/>
        <v>0</v>
      </c>
      <c r="F254" s="10">
        <f t="shared" si="6"/>
        <v>0</v>
      </c>
    </row>
    <row r="255" spans="1:6" ht="14.25" customHeight="1" x14ac:dyDescent="0.3">
      <c r="A255" s="44">
        <v>243</v>
      </c>
      <c r="B255" s="12">
        <f t="shared" si="3"/>
        <v>0</v>
      </c>
      <c r="C255" s="12">
        <f t="shared" si="4"/>
        <v>0</v>
      </c>
      <c r="D255" s="12">
        <f t="shared" si="5"/>
        <v>0</v>
      </c>
      <c r="F255" s="10">
        <f t="shared" si="6"/>
        <v>0</v>
      </c>
    </row>
    <row r="256" spans="1:6" ht="14.25" customHeight="1" x14ac:dyDescent="0.3">
      <c r="A256" s="44">
        <v>244</v>
      </c>
      <c r="B256" s="12">
        <f t="shared" si="3"/>
        <v>0</v>
      </c>
      <c r="C256" s="12">
        <f t="shared" si="4"/>
        <v>0</v>
      </c>
      <c r="D256" s="12">
        <f t="shared" si="5"/>
        <v>0</v>
      </c>
      <c r="F256" s="10">
        <f t="shared" si="6"/>
        <v>0</v>
      </c>
    </row>
    <row r="257" spans="1:6" ht="14.25" customHeight="1" x14ac:dyDescent="0.3">
      <c r="A257" s="44">
        <v>245</v>
      </c>
      <c r="B257" s="12">
        <f t="shared" si="3"/>
        <v>0</v>
      </c>
      <c r="C257" s="12">
        <f t="shared" si="4"/>
        <v>0</v>
      </c>
      <c r="D257" s="12">
        <f t="shared" si="5"/>
        <v>0</v>
      </c>
      <c r="F257" s="10">
        <f t="shared" si="6"/>
        <v>0</v>
      </c>
    </row>
    <row r="258" spans="1:6" ht="14.25" customHeight="1" x14ac:dyDescent="0.3">
      <c r="A258" s="44">
        <v>246</v>
      </c>
      <c r="B258" s="12">
        <f t="shared" si="3"/>
        <v>0</v>
      </c>
      <c r="C258" s="12">
        <f t="shared" si="4"/>
        <v>0</v>
      </c>
      <c r="D258" s="12">
        <f t="shared" si="5"/>
        <v>0</v>
      </c>
      <c r="F258" s="10">
        <f t="shared" si="6"/>
        <v>0</v>
      </c>
    </row>
    <row r="259" spans="1:6" ht="14.25" customHeight="1" x14ac:dyDescent="0.3">
      <c r="A259" s="44">
        <v>247</v>
      </c>
      <c r="B259" s="12">
        <f t="shared" si="3"/>
        <v>0</v>
      </c>
      <c r="C259" s="12">
        <f t="shared" si="4"/>
        <v>0</v>
      </c>
      <c r="D259" s="12">
        <f t="shared" si="5"/>
        <v>0</v>
      </c>
      <c r="F259" s="10">
        <f t="shared" si="6"/>
        <v>0</v>
      </c>
    </row>
    <row r="260" spans="1:6" ht="14.25" customHeight="1" x14ac:dyDescent="0.3">
      <c r="A260" s="44">
        <v>248</v>
      </c>
      <c r="B260" s="12">
        <f t="shared" si="3"/>
        <v>0</v>
      </c>
      <c r="C260" s="12">
        <f t="shared" si="4"/>
        <v>0</v>
      </c>
      <c r="D260" s="12">
        <f t="shared" si="5"/>
        <v>0</v>
      </c>
      <c r="F260" s="10">
        <f t="shared" si="6"/>
        <v>0</v>
      </c>
    </row>
    <row r="261" spans="1:6" ht="14.25" customHeight="1" x14ac:dyDescent="0.3">
      <c r="A261" s="44">
        <v>249</v>
      </c>
      <c r="B261" s="12">
        <f t="shared" si="3"/>
        <v>0</v>
      </c>
      <c r="C261" s="12">
        <f t="shared" si="4"/>
        <v>0</v>
      </c>
      <c r="D261" s="12">
        <f t="shared" si="5"/>
        <v>0</v>
      </c>
      <c r="F261" s="10">
        <f t="shared" si="6"/>
        <v>0</v>
      </c>
    </row>
    <row r="262" spans="1:6" ht="14.25" customHeight="1" x14ac:dyDescent="0.3">
      <c r="A262" s="44">
        <v>250</v>
      </c>
      <c r="B262" s="12">
        <f t="shared" si="3"/>
        <v>0</v>
      </c>
      <c r="C262" s="12">
        <f t="shared" si="4"/>
        <v>0</v>
      </c>
      <c r="D262" s="12">
        <f t="shared" si="5"/>
        <v>0</v>
      </c>
      <c r="F262" s="10">
        <f t="shared" si="6"/>
        <v>0</v>
      </c>
    </row>
    <row r="263" spans="1:6" ht="14.25" customHeight="1" x14ac:dyDescent="0.3">
      <c r="A263" s="44">
        <v>251</v>
      </c>
      <c r="B263" s="12">
        <f t="shared" si="3"/>
        <v>0</v>
      </c>
      <c r="C263" s="12">
        <f t="shared" si="4"/>
        <v>0</v>
      </c>
      <c r="D263" s="12">
        <f t="shared" si="5"/>
        <v>0</v>
      </c>
      <c r="F263" s="10">
        <f t="shared" si="6"/>
        <v>0</v>
      </c>
    </row>
    <row r="264" spans="1:6" ht="14.25" customHeight="1" x14ac:dyDescent="0.3">
      <c r="A264" s="44">
        <v>252</v>
      </c>
      <c r="B264" s="12">
        <f t="shared" si="3"/>
        <v>0</v>
      </c>
      <c r="C264" s="12">
        <f t="shared" si="4"/>
        <v>0</v>
      </c>
      <c r="D264" s="12">
        <f t="shared" si="5"/>
        <v>0</v>
      </c>
      <c r="F264" s="10">
        <f t="shared" si="6"/>
        <v>0</v>
      </c>
    </row>
    <row r="265" spans="1:6" ht="14.25" customHeight="1" x14ac:dyDescent="0.3">
      <c r="A265" s="44">
        <v>253</v>
      </c>
      <c r="B265" s="12">
        <f t="shared" si="3"/>
        <v>0</v>
      </c>
      <c r="C265" s="12">
        <f t="shared" si="4"/>
        <v>0</v>
      </c>
      <c r="D265" s="12">
        <f t="shared" si="5"/>
        <v>0</v>
      </c>
      <c r="F265" s="10">
        <f t="shared" si="6"/>
        <v>0</v>
      </c>
    </row>
    <row r="266" spans="1:6" ht="14.25" customHeight="1" x14ac:dyDescent="0.3">
      <c r="A266" s="44">
        <v>254</v>
      </c>
      <c r="B266" s="12">
        <f t="shared" si="3"/>
        <v>0</v>
      </c>
      <c r="C266" s="12">
        <f t="shared" si="4"/>
        <v>0</v>
      </c>
      <c r="D266" s="12">
        <f t="shared" si="5"/>
        <v>0</v>
      </c>
      <c r="F266" s="10">
        <f t="shared" si="6"/>
        <v>0</v>
      </c>
    </row>
    <row r="267" spans="1:6" ht="14.25" customHeight="1" x14ac:dyDescent="0.3">
      <c r="A267" s="44">
        <v>255</v>
      </c>
      <c r="B267" s="12">
        <f t="shared" si="3"/>
        <v>0</v>
      </c>
      <c r="C267" s="12">
        <f t="shared" si="4"/>
        <v>0</v>
      </c>
      <c r="D267" s="12">
        <f t="shared" si="5"/>
        <v>0</v>
      </c>
      <c r="F267" s="10">
        <f t="shared" si="6"/>
        <v>0</v>
      </c>
    </row>
    <row r="268" spans="1:6" ht="14.25" customHeight="1" x14ac:dyDescent="0.3">
      <c r="A268" s="44">
        <v>256</v>
      </c>
      <c r="B268" s="12">
        <f t="shared" ref="B268:B372" si="13">IF($B$9&lt;=F267,$B$9,F267+F267*$B$7/$B$8)</f>
        <v>0</v>
      </c>
      <c r="C268" s="12">
        <f t="shared" ref="C268:C372" si="14">IF(B268&gt;0,$B$7/$B$8*F267,0)</f>
        <v>0</v>
      </c>
      <c r="D268" s="12">
        <f t="shared" ref="D268:D372" si="15">IF(B268&gt;0,MIN(B268-C268,F267),0)</f>
        <v>0</v>
      </c>
      <c r="F268" s="10">
        <f t="shared" ref="F268:F372" si="16">IF(ROUND(F267,5)&gt;0,F267-D268,0)</f>
        <v>0</v>
      </c>
    </row>
    <row r="269" spans="1:6" ht="14.25" customHeight="1" x14ac:dyDescent="0.3">
      <c r="A269" s="44">
        <v>257</v>
      </c>
      <c r="B269" s="12">
        <f t="shared" si="13"/>
        <v>0</v>
      </c>
      <c r="C269" s="12">
        <f t="shared" si="14"/>
        <v>0</v>
      </c>
      <c r="D269" s="12">
        <f t="shared" si="15"/>
        <v>0</v>
      </c>
      <c r="F269" s="10">
        <f t="shared" si="16"/>
        <v>0</v>
      </c>
    </row>
    <row r="270" spans="1:6" ht="14.25" customHeight="1" x14ac:dyDescent="0.3">
      <c r="A270" s="44">
        <v>258</v>
      </c>
      <c r="B270" s="12">
        <f t="shared" si="13"/>
        <v>0</v>
      </c>
      <c r="C270" s="12">
        <f t="shared" si="14"/>
        <v>0</v>
      </c>
      <c r="D270" s="12">
        <f t="shared" si="15"/>
        <v>0</v>
      </c>
      <c r="F270" s="10">
        <f t="shared" si="16"/>
        <v>0</v>
      </c>
    </row>
    <row r="271" spans="1:6" ht="14.25" customHeight="1" x14ac:dyDescent="0.3">
      <c r="A271" s="44">
        <v>259</v>
      </c>
      <c r="B271" s="12">
        <f t="shared" si="13"/>
        <v>0</v>
      </c>
      <c r="C271" s="12">
        <f t="shared" si="14"/>
        <v>0</v>
      </c>
      <c r="D271" s="12">
        <f t="shared" si="15"/>
        <v>0</v>
      </c>
      <c r="F271" s="10">
        <f t="shared" si="16"/>
        <v>0</v>
      </c>
    </row>
    <row r="272" spans="1:6" ht="14.25" customHeight="1" x14ac:dyDescent="0.3">
      <c r="A272" s="44">
        <v>260</v>
      </c>
      <c r="B272" s="12">
        <f t="shared" si="13"/>
        <v>0</v>
      </c>
      <c r="C272" s="12">
        <f t="shared" si="14"/>
        <v>0</v>
      </c>
      <c r="D272" s="12">
        <f t="shared" si="15"/>
        <v>0</v>
      </c>
      <c r="F272" s="10">
        <f t="shared" si="16"/>
        <v>0</v>
      </c>
    </row>
    <row r="273" spans="1:6" ht="14.25" customHeight="1" x14ac:dyDescent="0.3">
      <c r="A273" s="44">
        <v>261</v>
      </c>
      <c r="B273" s="12">
        <f t="shared" si="13"/>
        <v>0</v>
      </c>
      <c r="C273" s="12">
        <f t="shared" si="14"/>
        <v>0</v>
      </c>
      <c r="D273" s="12">
        <f t="shared" si="15"/>
        <v>0</v>
      </c>
      <c r="F273" s="10">
        <f t="shared" si="16"/>
        <v>0</v>
      </c>
    </row>
    <row r="274" spans="1:6" ht="14.25" customHeight="1" x14ac:dyDescent="0.3">
      <c r="A274" s="44">
        <v>262</v>
      </c>
      <c r="B274" s="12">
        <f t="shared" si="13"/>
        <v>0</v>
      </c>
      <c r="C274" s="12">
        <f t="shared" si="14"/>
        <v>0</v>
      </c>
      <c r="D274" s="12">
        <f t="shared" si="15"/>
        <v>0</v>
      </c>
      <c r="F274" s="10">
        <f t="shared" si="16"/>
        <v>0</v>
      </c>
    </row>
    <row r="275" spans="1:6" ht="14.25" customHeight="1" x14ac:dyDescent="0.3">
      <c r="A275" s="44">
        <v>263</v>
      </c>
      <c r="B275" s="12">
        <f t="shared" si="13"/>
        <v>0</v>
      </c>
      <c r="C275" s="12">
        <f t="shared" si="14"/>
        <v>0</v>
      </c>
      <c r="D275" s="12">
        <f t="shared" si="15"/>
        <v>0</v>
      </c>
      <c r="F275" s="10">
        <f t="shared" si="16"/>
        <v>0</v>
      </c>
    </row>
    <row r="276" spans="1:6" ht="14.25" customHeight="1" x14ac:dyDescent="0.3">
      <c r="A276" s="44">
        <v>264</v>
      </c>
      <c r="B276" s="12">
        <f t="shared" si="13"/>
        <v>0</v>
      </c>
      <c r="C276" s="12">
        <f t="shared" si="14"/>
        <v>0</v>
      </c>
      <c r="D276" s="12">
        <f t="shared" si="15"/>
        <v>0</v>
      </c>
      <c r="F276" s="10">
        <f t="shared" si="16"/>
        <v>0</v>
      </c>
    </row>
    <row r="277" spans="1:6" ht="14.25" customHeight="1" x14ac:dyDescent="0.3">
      <c r="A277" s="44">
        <v>265</v>
      </c>
      <c r="B277" s="12">
        <f t="shared" si="13"/>
        <v>0</v>
      </c>
      <c r="C277" s="12">
        <f t="shared" si="14"/>
        <v>0</v>
      </c>
      <c r="D277" s="12">
        <f t="shared" si="15"/>
        <v>0</v>
      </c>
      <c r="F277" s="10">
        <f t="shared" si="16"/>
        <v>0</v>
      </c>
    </row>
    <row r="278" spans="1:6" ht="14.25" customHeight="1" x14ac:dyDescent="0.3">
      <c r="A278" s="44">
        <v>266</v>
      </c>
      <c r="B278" s="12">
        <f t="shared" si="13"/>
        <v>0</v>
      </c>
      <c r="C278" s="12">
        <f t="shared" si="14"/>
        <v>0</v>
      </c>
      <c r="D278" s="12">
        <f t="shared" si="15"/>
        <v>0</v>
      </c>
      <c r="F278" s="10">
        <f t="shared" si="16"/>
        <v>0</v>
      </c>
    </row>
    <row r="279" spans="1:6" ht="14.25" customHeight="1" x14ac:dyDescent="0.3">
      <c r="A279" s="44">
        <v>267</v>
      </c>
      <c r="B279" s="12">
        <f t="shared" si="13"/>
        <v>0</v>
      </c>
      <c r="C279" s="12">
        <f t="shared" si="14"/>
        <v>0</v>
      </c>
      <c r="D279" s="12">
        <f t="shared" si="15"/>
        <v>0</v>
      </c>
      <c r="F279" s="10">
        <f t="shared" si="16"/>
        <v>0</v>
      </c>
    </row>
    <row r="280" spans="1:6" ht="14.25" customHeight="1" x14ac:dyDescent="0.3">
      <c r="A280" s="44">
        <v>268</v>
      </c>
      <c r="B280" s="12">
        <f t="shared" si="13"/>
        <v>0</v>
      </c>
      <c r="C280" s="12">
        <f t="shared" si="14"/>
        <v>0</v>
      </c>
      <c r="D280" s="12">
        <f t="shared" si="15"/>
        <v>0</v>
      </c>
      <c r="F280" s="10">
        <f t="shared" si="16"/>
        <v>0</v>
      </c>
    </row>
    <row r="281" spans="1:6" ht="14.25" customHeight="1" x14ac:dyDescent="0.3">
      <c r="A281" s="44">
        <v>269</v>
      </c>
      <c r="B281" s="12">
        <f t="shared" si="13"/>
        <v>0</v>
      </c>
      <c r="C281" s="12">
        <f t="shared" si="14"/>
        <v>0</v>
      </c>
      <c r="D281" s="12">
        <f t="shared" si="15"/>
        <v>0</v>
      </c>
      <c r="F281" s="10">
        <f t="shared" si="16"/>
        <v>0</v>
      </c>
    </row>
    <row r="282" spans="1:6" ht="14.25" customHeight="1" x14ac:dyDescent="0.3">
      <c r="A282" s="44">
        <v>270</v>
      </c>
      <c r="B282" s="12">
        <f t="shared" si="13"/>
        <v>0</v>
      </c>
      <c r="C282" s="12">
        <f t="shared" si="14"/>
        <v>0</v>
      </c>
      <c r="D282" s="12">
        <f t="shared" si="15"/>
        <v>0</v>
      </c>
      <c r="F282" s="10">
        <f t="shared" si="16"/>
        <v>0</v>
      </c>
    </row>
    <row r="283" spans="1:6" ht="14.25" customHeight="1" x14ac:dyDescent="0.3">
      <c r="A283" s="44">
        <v>271</v>
      </c>
      <c r="B283" s="12">
        <f t="shared" si="13"/>
        <v>0</v>
      </c>
      <c r="C283" s="12">
        <f t="shared" si="14"/>
        <v>0</v>
      </c>
      <c r="D283" s="12">
        <f t="shared" si="15"/>
        <v>0</v>
      </c>
      <c r="F283" s="10">
        <f t="shared" si="16"/>
        <v>0</v>
      </c>
    </row>
    <row r="284" spans="1:6" ht="14.25" customHeight="1" x14ac:dyDescent="0.3">
      <c r="A284" s="44">
        <v>272</v>
      </c>
      <c r="B284" s="12">
        <f t="shared" si="13"/>
        <v>0</v>
      </c>
      <c r="C284" s="12">
        <f t="shared" si="14"/>
        <v>0</v>
      </c>
      <c r="D284" s="12">
        <f t="shared" si="15"/>
        <v>0</v>
      </c>
      <c r="F284" s="10">
        <f t="shared" si="16"/>
        <v>0</v>
      </c>
    </row>
    <row r="285" spans="1:6" ht="14.25" customHeight="1" x14ac:dyDescent="0.3">
      <c r="A285" s="44">
        <v>273</v>
      </c>
      <c r="B285" s="12">
        <f t="shared" si="13"/>
        <v>0</v>
      </c>
      <c r="C285" s="12">
        <f t="shared" si="14"/>
        <v>0</v>
      </c>
      <c r="D285" s="12">
        <f t="shared" si="15"/>
        <v>0</v>
      </c>
      <c r="F285" s="10">
        <f t="shared" si="16"/>
        <v>0</v>
      </c>
    </row>
    <row r="286" spans="1:6" ht="14.25" customHeight="1" x14ac:dyDescent="0.3">
      <c r="A286" s="44">
        <v>274</v>
      </c>
      <c r="B286" s="12">
        <f t="shared" si="13"/>
        <v>0</v>
      </c>
      <c r="C286" s="12">
        <f t="shared" si="14"/>
        <v>0</v>
      </c>
      <c r="D286" s="12">
        <f t="shared" si="15"/>
        <v>0</v>
      </c>
      <c r="F286" s="10">
        <f t="shared" si="16"/>
        <v>0</v>
      </c>
    </row>
    <row r="287" spans="1:6" ht="14.25" customHeight="1" x14ac:dyDescent="0.3">
      <c r="A287" s="44">
        <v>275</v>
      </c>
      <c r="B287" s="12">
        <f t="shared" si="13"/>
        <v>0</v>
      </c>
      <c r="C287" s="12">
        <f t="shared" si="14"/>
        <v>0</v>
      </c>
      <c r="D287" s="12">
        <f t="shared" si="15"/>
        <v>0</v>
      </c>
      <c r="F287" s="10">
        <f t="shared" si="16"/>
        <v>0</v>
      </c>
    </row>
    <row r="288" spans="1:6" ht="14.25" customHeight="1" x14ac:dyDescent="0.3">
      <c r="A288" s="44">
        <v>276</v>
      </c>
      <c r="B288" s="12">
        <f t="shared" si="13"/>
        <v>0</v>
      </c>
      <c r="C288" s="12">
        <f t="shared" si="14"/>
        <v>0</v>
      </c>
      <c r="D288" s="12">
        <f t="shared" si="15"/>
        <v>0</v>
      </c>
      <c r="F288" s="10">
        <f t="shared" si="16"/>
        <v>0</v>
      </c>
    </row>
    <row r="289" spans="1:6" ht="14.25" customHeight="1" x14ac:dyDescent="0.3">
      <c r="A289" s="44">
        <v>277</v>
      </c>
      <c r="B289" s="12">
        <f t="shared" si="13"/>
        <v>0</v>
      </c>
      <c r="C289" s="12">
        <f t="shared" si="14"/>
        <v>0</v>
      </c>
      <c r="D289" s="12">
        <f t="shared" si="15"/>
        <v>0</v>
      </c>
      <c r="F289" s="10">
        <f t="shared" si="16"/>
        <v>0</v>
      </c>
    </row>
    <row r="290" spans="1:6" ht="14.25" customHeight="1" x14ac:dyDescent="0.3">
      <c r="A290" s="44">
        <v>278</v>
      </c>
      <c r="B290" s="12">
        <f t="shared" si="13"/>
        <v>0</v>
      </c>
      <c r="C290" s="12">
        <f t="shared" si="14"/>
        <v>0</v>
      </c>
      <c r="D290" s="12">
        <f t="shared" si="15"/>
        <v>0</v>
      </c>
      <c r="F290" s="10">
        <f t="shared" si="16"/>
        <v>0</v>
      </c>
    </row>
    <row r="291" spans="1:6" ht="14.25" customHeight="1" x14ac:dyDescent="0.3">
      <c r="A291" s="44">
        <v>279</v>
      </c>
      <c r="B291" s="12">
        <f t="shared" si="13"/>
        <v>0</v>
      </c>
      <c r="C291" s="12">
        <f t="shared" si="14"/>
        <v>0</v>
      </c>
      <c r="D291" s="12">
        <f t="shared" si="15"/>
        <v>0</v>
      </c>
      <c r="F291" s="10">
        <f t="shared" si="16"/>
        <v>0</v>
      </c>
    </row>
    <row r="292" spans="1:6" ht="14.25" customHeight="1" x14ac:dyDescent="0.3">
      <c r="A292" s="44">
        <v>280</v>
      </c>
      <c r="B292" s="12">
        <f t="shared" si="13"/>
        <v>0</v>
      </c>
      <c r="C292" s="12">
        <f t="shared" si="14"/>
        <v>0</v>
      </c>
      <c r="D292" s="12">
        <f t="shared" si="15"/>
        <v>0</v>
      </c>
      <c r="F292" s="10">
        <f t="shared" si="16"/>
        <v>0</v>
      </c>
    </row>
    <row r="293" spans="1:6" ht="14.25" customHeight="1" x14ac:dyDescent="0.3">
      <c r="A293" s="44">
        <v>281</v>
      </c>
      <c r="B293" s="12">
        <f t="shared" si="13"/>
        <v>0</v>
      </c>
      <c r="C293" s="12">
        <f t="shared" si="14"/>
        <v>0</v>
      </c>
      <c r="D293" s="12">
        <f t="shared" si="15"/>
        <v>0</v>
      </c>
      <c r="F293" s="10">
        <f t="shared" si="16"/>
        <v>0</v>
      </c>
    </row>
    <row r="294" spans="1:6" ht="14.25" customHeight="1" x14ac:dyDescent="0.3">
      <c r="A294" s="44">
        <v>282</v>
      </c>
      <c r="B294" s="12">
        <f t="shared" si="13"/>
        <v>0</v>
      </c>
      <c r="C294" s="12">
        <f t="shared" si="14"/>
        <v>0</v>
      </c>
      <c r="D294" s="12">
        <f t="shared" si="15"/>
        <v>0</v>
      </c>
      <c r="F294" s="10">
        <f t="shared" si="16"/>
        <v>0</v>
      </c>
    </row>
    <row r="295" spans="1:6" ht="14.25" customHeight="1" x14ac:dyDescent="0.3">
      <c r="A295" s="44">
        <v>283</v>
      </c>
      <c r="B295" s="12">
        <f t="shared" si="13"/>
        <v>0</v>
      </c>
      <c r="C295" s="12">
        <f t="shared" si="14"/>
        <v>0</v>
      </c>
      <c r="D295" s="12">
        <f t="shared" si="15"/>
        <v>0</v>
      </c>
      <c r="F295" s="10">
        <f t="shared" si="16"/>
        <v>0</v>
      </c>
    </row>
    <row r="296" spans="1:6" ht="14.25" customHeight="1" x14ac:dyDescent="0.3">
      <c r="A296" s="44">
        <v>284</v>
      </c>
      <c r="B296" s="12">
        <f t="shared" si="13"/>
        <v>0</v>
      </c>
      <c r="C296" s="12">
        <f t="shared" si="14"/>
        <v>0</v>
      </c>
      <c r="D296" s="12">
        <f t="shared" si="15"/>
        <v>0</v>
      </c>
      <c r="F296" s="10">
        <f t="shared" si="16"/>
        <v>0</v>
      </c>
    </row>
    <row r="297" spans="1:6" ht="14.25" customHeight="1" x14ac:dyDescent="0.3">
      <c r="A297" s="44">
        <v>285</v>
      </c>
      <c r="B297" s="12">
        <f t="shared" si="13"/>
        <v>0</v>
      </c>
      <c r="C297" s="12">
        <f t="shared" si="14"/>
        <v>0</v>
      </c>
      <c r="D297" s="12">
        <f t="shared" si="15"/>
        <v>0</v>
      </c>
      <c r="F297" s="10">
        <f t="shared" si="16"/>
        <v>0</v>
      </c>
    </row>
    <row r="298" spans="1:6" ht="14.25" customHeight="1" x14ac:dyDescent="0.3">
      <c r="A298" s="44">
        <v>286</v>
      </c>
      <c r="B298" s="12">
        <f t="shared" si="13"/>
        <v>0</v>
      </c>
      <c r="C298" s="12">
        <f t="shared" si="14"/>
        <v>0</v>
      </c>
      <c r="D298" s="12">
        <f t="shared" si="15"/>
        <v>0</v>
      </c>
      <c r="F298" s="10">
        <f t="shared" si="16"/>
        <v>0</v>
      </c>
    </row>
    <row r="299" spans="1:6" ht="14.25" customHeight="1" x14ac:dyDescent="0.3">
      <c r="A299" s="44">
        <v>287</v>
      </c>
      <c r="B299" s="12">
        <f t="shared" si="13"/>
        <v>0</v>
      </c>
      <c r="C299" s="12">
        <f t="shared" si="14"/>
        <v>0</v>
      </c>
      <c r="D299" s="12">
        <f t="shared" si="15"/>
        <v>0</v>
      </c>
      <c r="F299" s="10">
        <f t="shared" si="16"/>
        <v>0</v>
      </c>
    </row>
    <row r="300" spans="1:6" ht="14.25" customHeight="1" x14ac:dyDescent="0.3">
      <c r="A300" s="44">
        <v>288</v>
      </c>
      <c r="B300" s="12">
        <f t="shared" si="13"/>
        <v>0</v>
      </c>
      <c r="C300" s="12">
        <f t="shared" si="14"/>
        <v>0</v>
      </c>
      <c r="D300" s="12">
        <f t="shared" si="15"/>
        <v>0</v>
      </c>
      <c r="F300" s="10">
        <f t="shared" si="16"/>
        <v>0</v>
      </c>
    </row>
    <row r="301" spans="1:6" ht="14.25" customHeight="1" x14ac:dyDescent="0.3">
      <c r="A301" s="44">
        <v>289</v>
      </c>
      <c r="B301" s="12">
        <f t="shared" si="13"/>
        <v>0</v>
      </c>
      <c r="C301" s="12">
        <f t="shared" si="14"/>
        <v>0</v>
      </c>
      <c r="D301" s="12">
        <f t="shared" si="15"/>
        <v>0</v>
      </c>
      <c r="F301" s="10">
        <f t="shared" si="16"/>
        <v>0</v>
      </c>
    </row>
    <row r="302" spans="1:6" ht="14.25" customHeight="1" x14ac:dyDescent="0.3">
      <c r="A302" s="44">
        <v>290</v>
      </c>
      <c r="B302" s="12">
        <f t="shared" si="13"/>
        <v>0</v>
      </c>
      <c r="C302" s="12">
        <f t="shared" si="14"/>
        <v>0</v>
      </c>
      <c r="D302" s="12">
        <f t="shared" si="15"/>
        <v>0</v>
      </c>
      <c r="F302" s="10">
        <f t="shared" si="16"/>
        <v>0</v>
      </c>
    </row>
    <row r="303" spans="1:6" ht="14.25" customHeight="1" x14ac:dyDescent="0.3">
      <c r="A303" s="44">
        <v>291</v>
      </c>
      <c r="B303" s="12">
        <f t="shared" si="13"/>
        <v>0</v>
      </c>
      <c r="C303" s="12">
        <f t="shared" si="14"/>
        <v>0</v>
      </c>
      <c r="D303" s="12">
        <f t="shared" si="15"/>
        <v>0</v>
      </c>
      <c r="F303" s="10">
        <f t="shared" si="16"/>
        <v>0</v>
      </c>
    </row>
    <row r="304" spans="1:6" ht="14.25" customHeight="1" x14ac:dyDescent="0.3">
      <c r="A304" s="44">
        <v>292</v>
      </c>
      <c r="B304" s="12">
        <f t="shared" si="13"/>
        <v>0</v>
      </c>
      <c r="C304" s="12">
        <f t="shared" si="14"/>
        <v>0</v>
      </c>
      <c r="D304" s="12">
        <f t="shared" si="15"/>
        <v>0</v>
      </c>
      <c r="F304" s="10">
        <f t="shared" si="16"/>
        <v>0</v>
      </c>
    </row>
    <row r="305" spans="1:6" ht="14.25" customHeight="1" x14ac:dyDescent="0.3">
      <c r="A305" s="44">
        <v>293</v>
      </c>
      <c r="B305" s="12">
        <f t="shared" si="13"/>
        <v>0</v>
      </c>
      <c r="C305" s="12">
        <f t="shared" si="14"/>
        <v>0</v>
      </c>
      <c r="D305" s="12">
        <f t="shared" si="15"/>
        <v>0</v>
      </c>
      <c r="F305" s="10">
        <f t="shared" si="16"/>
        <v>0</v>
      </c>
    </row>
    <row r="306" spans="1:6" ht="14.25" customHeight="1" x14ac:dyDescent="0.3">
      <c r="A306" s="44">
        <v>294</v>
      </c>
      <c r="B306" s="12">
        <f t="shared" si="13"/>
        <v>0</v>
      </c>
      <c r="C306" s="12">
        <f t="shared" si="14"/>
        <v>0</v>
      </c>
      <c r="D306" s="12">
        <f t="shared" si="15"/>
        <v>0</v>
      </c>
      <c r="F306" s="10">
        <f t="shared" si="16"/>
        <v>0</v>
      </c>
    </row>
    <row r="307" spans="1:6" ht="14.25" customHeight="1" x14ac:dyDescent="0.3">
      <c r="A307" s="44">
        <v>295</v>
      </c>
      <c r="B307" s="12">
        <f t="shared" si="13"/>
        <v>0</v>
      </c>
      <c r="C307" s="12">
        <f t="shared" si="14"/>
        <v>0</v>
      </c>
      <c r="D307" s="12">
        <f t="shared" si="15"/>
        <v>0</v>
      </c>
      <c r="F307" s="10">
        <f t="shared" si="16"/>
        <v>0</v>
      </c>
    </row>
    <row r="308" spans="1:6" ht="14.25" customHeight="1" x14ac:dyDescent="0.3">
      <c r="A308" s="44">
        <v>296</v>
      </c>
      <c r="B308" s="12">
        <f t="shared" si="13"/>
        <v>0</v>
      </c>
      <c r="C308" s="12">
        <f t="shared" si="14"/>
        <v>0</v>
      </c>
      <c r="D308" s="12">
        <f t="shared" si="15"/>
        <v>0</v>
      </c>
      <c r="F308" s="10">
        <f t="shared" si="16"/>
        <v>0</v>
      </c>
    </row>
    <row r="309" spans="1:6" ht="14.25" customHeight="1" x14ac:dyDescent="0.3">
      <c r="A309" s="44">
        <v>297</v>
      </c>
      <c r="B309" s="12">
        <f t="shared" si="13"/>
        <v>0</v>
      </c>
      <c r="C309" s="12">
        <f t="shared" si="14"/>
        <v>0</v>
      </c>
      <c r="D309" s="12">
        <f t="shared" si="15"/>
        <v>0</v>
      </c>
      <c r="F309" s="10">
        <f t="shared" si="16"/>
        <v>0</v>
      </c>
    </row>
    <row r="310" spans="1:6" ht="14.25" customHeight="1" x14ac:dyDescent="0.3">
      <c r="A310" s="44">
        <v>298</v>
      </c>
      <c r="B310" s="12">
        <f t="shared" si="13"/>
        <v>0</v>
      </c>
      <c r="C310" s="12">
        <f t="shared" si="14"/>
        <v>0</v>
      </c>
      <c r="D310" s="12">
        <f t="shared" si="15"/>
        <v>0</v>
      </c>
      <c r="F310" s="10">
        <f t="shared" si="16"/>
        <v>0</v>
      </c>
    </row>
    <row r="311" spans="1:6" ht="14.25" customHeight="1" x14ac:dyDescent="0.3">
      <c r="A311" s="44">
        <v>299</v>
      </c>
      <c r="B311" s="12">
        <f t="shared" si="13"/>
        <v>0</v>
      </c>
      <c r="C311" s="12">
        <f t="shared" si="14"/>
        <v>0</v>
      </c>
      <c r="D311" s="12">
        <f t="shared" si="15"/>
        <v>0</v>
      </c>
      <c r="F311" s="10">
        <f t="shared" si="16"/>
        <v>0</v>
      </c>
    </row>
    <row r="312" spans="1:6" ht="14.25" customHeight="1" x14ac:dyDescent="0.3">
      <c r="A312" s="44">
        <v>300</v>
      </c>
      <c r="B312" s="12">
        <f t="shared" si="13"/>
        <v>0</v>
      </c>
      <c r="C312" s="12">
        <f t="shared" si="14"/>
        <v>0</v>
      </c>
      <c r="D312" s="12">
        <f t="shared" si="15"/>
        <v>0</v>
      </c>
      <c r="F312" s="10">
        <f t="shared" si="16"/>
        <v>0</v>
      </c>
    </row>
    <row r="313" spans="1:6" ht="14.25" customHeight="1" x14ac:dyDescent="0.3">
      <c r="A313" s="44">
        <v>301</v>
      </c>
      <c r="B313" s="12">
        <f t="shared" si="13"/>
        <v>0</v>
      </c>
      <c r="C313" s="12">
        <f t="shared" si="14"/>
        <v>0</v>
      </c>
      <c r="D313" s="12">
        <f t="shared" si="15"/>
        <v>0</v>
      </c>
      <c r="F313" s="10">
        <f t="shared" si="16"/>
        <v>0</v>
      </c>
    </row>
    <row r="314" spans="1:6" ht="14.25" customHeight="1" x14ac:dyDescent="0.3">
      <c r="A314" s="44">
        <v>302</v>
      </c>
      <c r="B314" s="12">
        <f t="shared" si="13"/>
        <v>0</v>
      </c>
      <c r="C314" s="12">
        <f t="shared" si="14"/>
        <v>0</v>
      </c>
      <c r="D314" s="12">
        <f t="shared" si="15"/>
        <v>0</v>
      </c>
      <c r="F314" s="10">
        <f t="shared" si="16"/>
        <v>0</v>
      </c>
    </row>
    <row r="315" spans="1:6" ht="14.25" customHeight="1" x14ac:dyDescent="0.3">
      <c r="A315" s="44">
        <v>303</v>
      </c>
      <c r="B315" s="12">
        <f t="shared" si="13"/>
        <v>0</v>
      </c>
      <c r="C315" s="12">
        <f t="shared" si="14"/>
        <v>0</v>
      </c>
      <c r="D315" s="12">
        <f t="shared" si="15"/>
        <v>0</v>
      </c>
      <c r="F315" s="10">
        <f t="shared" si="16"/>
        <v>0</v>
      </c>
    </row>
    <row r="316" spans="1:6" ht="14.25" customHeight="1" x14ac:dyDescent="0.3">
      <c r="A316" s="44">
        <v>304</v>
      </c>
      <c r="B316" s="12">
        <f t="shared" si="13"/>
        <v>0</v>
      </c>
      <c r="C316" s="12">
        <f t="shared" si="14"/>
        <v>0</v>
      </c>
      <c r="D316" s="12">
        <f t="shared" si="15"/>
        <v>0</v>
      </c>
      <c r="F316" s="10">
        <f t="shared" si="16"/>
        <v>0</v>
      </c>
    </row>
    <row r="317" spans="1:6" ht="14.25" customHeight="1" x14ac:dyDescent="0.3">
      <c r="A317" s="44">
        <v>305</v>
      </c>
      <c r="B317" s="12">
        <f t="shared" si="13"/>
        <v>0</v>
      </c>
      <c r="C317" s="12">
        <f t="shared" si="14"/>
        <v>0</v>
      </c>
      <c r="D317" s="12">
        <f t="shared" si="15"/>
        <v>0</v>
      </c>
      <c r="F317" s="10">
        <f t="shared" si="16"/>
        <v>0</v>
      </c>
    </row>
    <row r="318" spans="1:6" ht="14.25" customHeight="1" x14ac:dyDescent="0.3">
      <c r="A318" s="44">
        <v>306</v>
      </c>
      <c r="B318" s="12">
        <f t="shared" si="13"/>
        <v>0</v>
      </c>
      <c r="C318" s="12">
        <f t="shared" si="14"/>
        <v>0</v>
      </c>
      <c r="D318" s="12">
        <f t="shared" si="15"/>
        <v>0</v>
      </c>
      <c r="F318" s="10">
        <f t="shared" si="16"/>
        <v>0</v>
      </c>
    </row>
    <row r="319" spans="1:6" ht="14.25" customHeight="1" x14ac:dyDescent="0.3">
      <c r="A319" s="44">
        <v>307</v>
      </c>
      <c r="B319" s="12">
        <f t="shared" si="13"/>
        <v>0</v>
      </c>
      <c r="C319" s="12">
        <f t="shared" si="14"/>
        <v>0</v>
      </c>
      <c r="D319" s="12">
        <f t="shared" si="15"/>
        <v>0</v>
      </c>
      <c r="F319" s="10">
        <f t="shared" si="16"/>
        <v>0</v>
      </c>
    </row>
    <row r="320" spans="1:6" ht="14.25" customHeight="1" x14ac:dyDescent="0.3">
      <c r="A320" s="44">
        <v>308</v>
      </c>
      <c r="B320" s="12">
        <f t="shared" si="13"/>
        <v>0</v>
      </c>
      <c r="C320" s="12">
        <f t="shared" si="14"/>
        <v>0</v>
      </c>
      <c r="D320" s="12">
        <f t="shared" si="15"/>
        <v>0</v>
      </c>
      <c r="F320" s="10">
        <f t="shared" si="16"/>
        <v>0</v>
      </c>
    </row>
    <row r="321" spans="1:6" ht="14.25" customHeight="1" x14ac:dyDescent="0.3">
      <c r="A321" s="44">
        <v>309</v>
      </c>
      <c r="B321" s="12">
        <f t="shared" si="13"/>
        <v>0</v>
      </c>
      <c r="C321" s="12">
        <f t="shared" si="14"/>
        <v>0</v>
      </c>
      <c r="D321" s="12">
        <f t="shared" si="15"/>
        <v>0</v>
      </c>
      <c r="F321" s="10">
        <f t="shared" si="16"/>
        <v>0</v>
      </c>
    </row>
    <row r="322" spans="1:6" ht="14.25" customHeight="1" x14ac:dyDescent="0.3">
      <c r="A322" s="44">
        <v>310</v>
      </c>
      <c r="B322" s="12">
        <f t="shared" si="13"/>
        <v>0</v>
      </c>
      <c r="C322" s="12">
        <f t="shared" si="14"/>
        <v>0</v>
      </c>
      <c r="D322" s="12">
        <f t="shared" si="15"/>
        <v>0</v>
      </c>
      <c r="F322" s="10">
        <f t="shared" si="16"/>
        <v>0</v>
      </c>
    </row>
    <row r="323" spans="1:6" ht="14.25" customHeight="1" x14ac:dyDescent="0.3">
      <c r="A323" s="44">
        <v>311</v>
      </c>
      <c r="B323" s="12">
        <f t="shared" si="13"/>
        <v>0</v>
      </c>
      <c r="C323" s="12">
        <f t="shared" si="14"/>
        <v>0</v>
      </c>
      <c r="D323" s="12">
        <f t="shared" si="15"/>
        <v>0</v>
      </c>
      <c r="F323" s="10">
        <f t="shared" si="16"/>
        <v>0</v>
      </c>
    </row>
    <row r="324" spans="1:6" ht="14.25" customHeight="1" x14ac:dyDescent="0.3">
      <c r="A324" s="44">
        <v>312</v>
      </c>
      <c r="B324" s="12">
        <f t="shared" si="13"/>
        <v>0</v>
      </c>
      <c r="C324" s="12">
        <f t="shared" si="14"/>
        <v>0</v>
      </c>
      <c r="D324" s="12">
        <f t="shared" si="15"/>
        <v>0</v>
      </c>
      <c r="F324" s="10">
        <f t="shared" si="16"/>
        <v>0</v>
      </c>
    </row>
    <row r="325" spans="1:6" ht="14.25" customHeight="1" x14ac:dyDescent="0.3">
      <c r="A325" s="44">
        <v>313</v>
      </c>
      <c r="B325" s="12">
        <f t="shared" si="13"/>
        <v>0</v>
      </c>
      <c r="C325" s="12">
        <f t="shared" si="14"/>
        <v>0</v>
      </c>
      <c r="D325" s="12">
        <f t="shared" si="15"/>
        <v>0</v>
      </c>
      <c r="F325" s="10">
        <f t="shared" si="16"/>
        <v>0</v>
      </c>
    </row>
    <row r="326" spans="1:6" ht="14.25" customHeight="1" x14ac:dyDescent="0.3">
      <c r="A326" s="44">
        <v>314</v>
      </c>
      <c r="B326" s="12">
        <f t="shared" si="13"/>
        <v>0</v>
      </c>
      <c r="C326" s="12">
        <f t="shared" si="14"/>
        <v>0</v>
      </c>
      <c r="D326" s="12">
        <f t="shared" si="15"/>
        <v>0</v>
      </c>
      <c r="F326" s="10">
        <f t="shared" si="16"/>
        <v>0</v>
      </c>
    </row>
    <row r="327" spans="1:6" ht="14.25" customHeight="1" x14ac:dyDescent="0.3">
      <c r="A327" s="44">
        <v>315</v>
      </c>
      <c r="B327" s="12">
        <f t="shared" si="13"/>
        <v>0</v>
      </c>
      <c r="C327" s="12">
        <f t="shared" si="14"/>
        <v>0</v>
      </c>
      <c r="D327" s="12">
        <f t="shared" si="15"/>
        <v>0</v>
      </c>
      <c r="F327" s="10">
        <f t="shared" si="16"/>
        <v>0</v>
      </c>
    </row>
    <row r="328" spans="1:6" ht="14.25" customHeight="1" x14ac:dyDescent="0.3">
      <c r="A328" s="44">
        <v>316</v>
      </c>
      <c r="B328" s="12">
        <f t="shared" si="13"/>
        <v>0</v>
      </c>
      <c r="C328" s="12">
        <f t="shared" si="14"/>
        <v>0</v>
      </c>
      <c r="D328" s="12">
        <f t="shared" si="15"/>
        <v>0</v>
      </c>
      <c r="F328" s="10">
        <f t="shared" si="16"/>
        <v>0</v>
      </c>
    </row>
    <row r="329" spans="1:6" ht="14.25" customHeight="1" x14ac:dyDescent="0.3">
      <c r="A329" s="44">
        <v>317</v>
      </c>
      <c r="B329" s="12">
        <f t="shared" si="13"/>
        <v>0</v>
      </c>
      <c r="C329" s="12">
        <f t="shared" si="14"/>
        <v>0</v>
      </c>
      <c r="D329" s="12">
        <f t="shared" si="15"/>
        <v>0</v>
      </c>
      <c r="F329" s="10">
        <f t="shared" si="16"/>
        <v>0</v>
      </c>
    </row>
    <row r="330" spans="1:6" ht="14.25" customHeight="1" x14ac:dyDescent="0.3">
      <c r="A330" s="44">
        <v>318</v>
      </c>
      <c r="B330" s="12">
        <f t="shared" si="13"/>
        <v>0</v>
      </c>
      <c r="C330" s="12">
        <f t="shared" si="14"/>
        <v>0</v>
      </c>
      <c r="D330" s="12">
        <f t="shared" si="15"/>
        <v>0</v>
      </c>
      <c r="F330" s="10">
        <f t="shared" si="16"/>
        <v>0</v>
      </c>
    </row>
    <row r="331" spans="1:6" ht="14.25" customHeight="1" x14ac:dyDescent="0.3">
      <c r="A331" s="44">
        <v>319</v>
      </c>
      <c r="B331" s="12">
        <f t="shared" si="13"/>
        <v>0</v>
      </c>
      <c r="C331" s="12">
        <f t="shared" si="14"/>
        <v>0</v>
      </c>
      <c r="D331" s="12">
        <f t="shared" si="15"/>
        <v>0</v>
      </c>
      <c r="F331" s="10">
        <f t="shared" si="16"/>
        <v>0</v>
      </c>
    </row>
    <row r="332" spans="1:6" ht="14.25" customHeight="1" x14ac:dyDescent="0.3">
      <c r="A332" s="44">
        <v>320</v>
      </c>
      <c r="B332" s="12">
        <f t="shared" si="13"/>
        <v>0</v>
      </c>
      <c r="C332" s="12">
        <f t="shared" si="14"/>
        <v>0</v>
      </c>
      <c r="D332" s="12">
        <f t="shared" si="15"/>
        <v>0</v>
      </c>
      <c r="F332" s="10">
        <f t="shared" si="16"/>
        <v>0</v>
      </c>
    </row>
    <row r="333" spans="1:6" ht="14.25" customHeight="1" x14ac:dyDescent="0.3">
      <c r="A333" s="44">
        <v>321</v>
      </c>
      <c r="B333" s="12">
        <f t="shared" si="13"/>
        <v>0</v>
      </c>
      <c r="C333" s="12">
        <f t="shared" si="14"/>
        <v>0</v>
      </c>
      <c r="D333" s="12">
        <f t="shared" si="15"/>
        <v>0</v>
      </c>
      <c r="F333" s="10">
        <f t="shared" si="16"/>
        <v>0</v>
      </c>
    </row>
    <row r="334" spans="1:6" ht="14.25" customHeight="1" x14ac:dyDescent="0.3">
      <c r="A334" s="44">
        <v>322</v>
      </c>
      <c r="B334" s="12">
        <f t="shared" si="13"/>
        <v>0</v>
      </c>
      <c r="C334" s="12">
        <f t="shared" si="14"/>
        <v>0</v>
      </c>
      <c r="D334" s="12">
        <f t="shared" si="15"/>
        <v>0</v>
      </c>
      <c r="F334" s="10">
        <f t="shared" si="16"/>
        <v>0</v>
      </c>
    </row>
    <row r="335" spans="1:6" ht="14.25" customHeight="1" x14ac:dyDescent="0.3">
      <c r="A335" s="44">
        <v>323</v>
      </c>
      <c r="B335" s="12">
        <f t="shared" si="13"/>
        <v>0</v>
      </c>
      <c r="C335" s="12">
        <f t="shared" si="14"/>
        <v>0</v>
      </c>
      <c r="D335" s="12">
        <f t="shared" si="15"/>
        <v>0</v>
      </c>
      <c r="F335" s="10">
        <f t="shared" si="16"/>
        <v>0</v>
      </c>
    </row>
    <row r="336" spans="1:6" ht="14.25" customHeight="1" x14ac:dyDescent="0.3">
      <c r="A336" s="44">
        <v>324</v>
      </c>
      <c r="B336" s="12">
        <f t="shared" si="13"/>
        <v>0</v>
      </c>
      <c r="C336" s="12">
        <f t="shared" si="14"/>
        <v>0</v>
      </c>
      <c r="D336" s="12">
        <f t="shared" si="15"/>
        <v>0</v>
      </c>
      <c r="F336" s="10">
        <f t="shared" si="16"/>
        <v>0</v>
      </c>
    </row>
    <row r="337" spans="1:6" ht="14.25" customHeight="1" x14ac:dyDescent="0.3">
      <c r="A337" s="44">
        <v>325</v>
      </c>
      <c r="B337" s="12">
        <f t="shared" si="13"/>
        <v>0</v>
      </c>
      <c r="C337" s="12">
        <f t="shared" si="14"/>
        <v>0</v>
      </c>
      <c r="D337" s="12">
        <f t="shared" si="15"/>
        <v>0</v>
      </c>
      <c r="F337" s="10">
        <f t="shared" si="16"/>
        <v>0</v>
      </c>
    </row>
    <row r="338" spans="1:6" ht="14.25" customHeight="1" x14ac:dyDescent="0.3">
      <c r="A338" s="44">
        <v>326</v>
      </c>
      <c r="B338" s="12">
        <f t="shared" si="13"/>
        <v>0</v>
      </c>
      <c r="C338" s="12">
        <f t="shared" si="14"/>
        <v>0</v>
      </c>
      <c r="D338" s="12">
        <f t="shared" si="15"/>
        <v>0</v>
      </c>
      <c r="F338" s="10">
        <f t="shared" si="16"/>
        <v>0</v>
      </c>
    </row>
    <row r="339" spans="1:6" ht="14.25" customHeight="1" x14ac:dyDescent="0.3">
      <c r="A339" s="44">
        <v>327</v>
      </c>
      <c r="B339" s="12">
        <f t="shared" si="13"/>
        <v>0</v>
      </c>
      <c r="C339" s="12">
        <f t="shared" si="14"/>
        <v>0</v>
      </c>
      <c r="D339" s="12">
        <f t="shared" si="15"/>
        <v>0</v>
      </c>
      <c r="F339" s="10">
        <f t="shared" si="16"/>
        <v>0</v>
      </c>
    </row>
    <row r="340" spans="1:6" ht="14.25" customHeight="1" x14ac:dyDescent="0.3">
      <c r="A340" s="44">
        <v>328</v>
      </c>
      <c r="B340" s="12">
        <f t="shared" si="13"/>
        <v>0</v>
      </c>
      <c r="C340" s="12">
        <f t="shared" si="14"/>
        <v>0</v>
      </c>
      <c r="D340" s="12">
        <f t="shared" si="15"/>
        <v>0</v>
      </c>
      <c r="F340" s="10">
        <f t="shared" si="16"/>
        <v>0</v>
      </c>
    </row>
    <row r="341" spans="1:6" ht="14.25" customHeight="1" x14ac:dyDescent="0.3">
      <c r="A341" s="44">
        <v>329</v>
      </c>
      <c r="B341" s="12">
        <f t="shared" si="13"/>
        <v>0</v>
      </c>
      <c r="C341" s="12">
        <f t="shared" si="14"/>
        <v>0</v>
      </c>
      <c r="D341" s="12">
        <f t="shared" si="15"/>
        <v>0</v>
      </c>
      <c r="F341" s="10">
        <f t="shared" si="16"/>
        <v>0</v>
      </c>
    </row>
    <row r="342" spans="1:6" ht="14.25" customHeight="1" x14ac:dyDescent="0.3">
      <c r="A342" s="44">
        <v>330</v>
      </c>
      <c r="B342" s="12">
        <f t="shared" si="13"/>
        <v>0</v>
      </c>
      <c r="C342" s="12">
        <f t="shared" si="14"/>
        <v>0</v>
      </c>
      <c r="D342" s="12">
        <f t="shared" si="15"/>
        <v>0</v>
      </c>
      <c r="F342" s="10">
        <f t="shared" si="16"/>
        <v>0</v>
      </c>
    </row>
    <row r="343" spans="1:6" ht="14.25" customHeight="1" x14ac:dyDescent="0.3">
      <c r="A343" s="44">
        <v>331</v>
      </c>
      <c r="B343" s="12">
        <f t="shared" si="13"/>
        <v>0</v>
      </c>
      <c r="C343" s="12">
        <f t="shared" si="14"/>
        <v>0</v>
      </c>
      <c r="D343" s="12">
        <f t="shared" si="15"/>
        <v>0</v>
      </c>
      <c r="F343" s="10">
        <f t="shared" si="16"/>
        <v>0</v>
      </c>
    </row>
    <row r="344" spans="1:6" ht="14.25" customHeight="1" x14ac:dyDescent="0.3">
      <c r="A344" s="44">
        <v>332</v>
      </c>
      <c r="B344" s="12">
        <f t="shared" si="13"/>
        <v>0</v>
      </c>
      <c r="C344" s="12">
        <f t="shared" si="14"/>
        <v>0</v>
      </c>
      <c r="D344" s="12">
        <f t="shared" si="15"/>
        <v>0</v>
      </c>
      <c r="F344" s="10">
        <f t="shared" si="16"/>
        <v>0</v>
      </c>
    </row>
    <row r="345" spans="1:6" ht="14.25" customHeight="1" x14ac:dyDescent="0.3">
      <c r="A345" s="44">
        <v>333</v>
      </c>
      <c r="B345" s="12">
        <f t="shared" si="13"/>
        <v>0</v>
      </c>
      <c r="C345" s="12">
        <f t="shared" si="14"/>
        <v>0</v>
      </c>
      <c r="D345" s="12">
        <f t="shared" si="15"/>
        <v>0</v>
      </c>
      <c r="F345" s="10">
        <f t="shared" si="16"/>
        <v>0</v>
      </c>
    </row>
    <row r="346" spans="1:6" ht="14.25" customHeight="1" x14ac:dyDescent="0.3">
      <c r="A346" s="44">
        <v>334</v>
      </c>
      <c r="B346" s="12">
        <f t="shared" si="13"/>
        <v>0</v>
      </c>
      <c r="C346" s="12">
        <f t="shared" si="14"/>
        <v>0</v>
      </c>
      <c r="D346" s="12">
        <f t="shared" si="15"/>
        <v>0</v>
      </c>
      <c r="F346" s="10">
        <f t="shared" si="16"/>
        <v>0</v>
      </c>
    </row>
    <row r="347" spans="1:6" ht="14.25" customHeight="1" x14ac:dyDescent="0.3">
      <c r="A347" s="44">
        <v>335</v>
      </c>
      <c r="B347" s="12">
        <f t="shared" si="13"/>
        <v>0</v>
      </c>
      <c r="C347" s="12">
        <f t="shared" si="14"/>
        <v>0</v>
      </c>
      <c r="D347" s="12">
        <f t="shared" si="15"/>
        <v>0</v>
      </c>
      <c r="F347" s="10">
        <f t="shared" si="16"/>
        <v>0</v>
      </c>
    </row>
    <row r="348" spans="1:6" ht="14.25" customHeight="1" x14ac:dyDescent="0.3">
      <c r="A348" s="44">
        <v>336</v>
      </c>
      <c r="B348" s="12">
        <f t="shared" si="13"/>
        <v>0</v>
      </c>
      <c r="C348" s="12">
        <f t="shared" si="14"/>
        <v>0</v>
      </c>
      <c r="D348" s="12">
        <f t="shared" si="15"/>
        <v>0</v>
      </c>
      <c r="F348" s="10">
        <f t="shared" si="16"/>
        <v>0</v>
      </c>
    </row>
    <row r="349" spans="1:6" ht="14.25" customHeight="1" x14ac:dyDescent="0.3">
      <c r="A349" s="44">
        <v>337</v>
      </c>
      <c r="B349" s="12">
        <f t="shared" si="13"/>
        <v>0</v>
      </c>
      <c r="C349" s="12">
        <f t="shared" si="14"/>
        <v>0</v>
      </c>
      <c r="D349" s="12">
        <f t="shared" si="15"/>
        <v>0</v>
      </c>
      <c r="F349" s="10">
        <f t="shared" si="16"/>
        <v>0</v>
      </c>
    </row>
    <row r="350" spans="1:6" ht="14.25" customHeight="1" x14ac:dyDescent="0.3">
      <c r="A350" s="44">
        <v>338</v>
      </c>
      <c r="B350" s="12">
        <f t="shared" si="13"/>
        <v>0</v>
      </c>
      <c r="C350" s="12">
        <f t="shared" si="14"/>
        <v>0</v>
      </c>
      <c r="D350" s="12">
        <f t="shared" si="15"/>
        <v>0</v>
      </c>
      <c r="F350" s="10">
        <f t="shared" si="16"/>
        <v>0</v>
      </c>
    </row>
    <row r="351" spans="1:6" ht="14.25" customHeight="1" x14ac:dyDescent="0.3">
      <c r="A351" s="44">
        <v>339</v>
      </c>
      <c r="B351" s="12">
        <f t="shared" si="13"/>
        <v>0</v>
      </c>
      <c r="C351" s="12">
        <f t="shared" si="14"/>
        <v>0</v>
      </c>
      <c r="D351" s="12">
        <f t="shared" si="15"/>
        <v>0</v>
      </c>
      <c r="F351" s="10">
        <f t="shared" si="16"/>
        <v>0</v>
      </c>
    </row>
    <row r="352" spans="1:6" ht="14.25" customHeight="1" x14ac:dyDescent="0.3">
      <c r="A352" s="44">
        <v>340</v>
      </c>
      <c r="B352" s="12">
        <f t="shared" si="13"/>
        <v>0</v>
      </c>
      <c r="C352" s="12">
        <f t="shared" si="14"/>
        <v>0</v>
      </c>
      <c r="D352" s="12">
        <f t="shared" si="15"/>
        <v>0</v>
      </c>
      <c r="F352" s="10">
        <f t="shared" si="16"/>
        <v>0</v>
      </c>
    </row>
    <row r="353" spans="1:6" ht="14.25" customHeight="1" x14ac:dyDescent="0.3">
      <c r="A353" s="44">
        <v>341</v>
      </c>
      <c r="B353" s="12">
        <f t="shared" si="13"/>
        <v>0</v>
      </c>
      <c r="C353" s="12">
        <f t="shared" si="14"/>
        <v>0</v>
      </c>
      <c r="D353" s="12">
        <f t="shared" si="15"/>
        <v>0</v>
      </c>
      <c r="F353" s="10">
        <f t="shared" si="16"/>
        <v>0</v>
      </c>
    </row>
    <row r="354" spans="1:6" ht="14.25" customHeight="1" x14ac:dyDescent="0.3">
      <c r="A354" s="44">
        <v>342</v>
      </c>
      <c r="B354" s="12">
        <f t="shared" si="13"/>
        <v>0</v>
      </c>
      <c r="C354" s="12">
        <f t="shared" si="14"/>
        <v>0</v>
      </c>
      <c r="D354" s="12">
        <f t="shared" si="15"/>
        <v>0</v>
      </c>
      <c r="F354" s="10">
        <f t="shared" si="16"/>
        <v>0</v>
      </c>
    </row>
    <row r="355" spans="1:6" ht="14.25" customHeight="1" x14ac:dyDescent="0.3">
      <c r="A355" s="44">
        <v>343</v>
      </c>
      <c r="B355" s="12">
        <f t="shared" si="13"/>
        <v>0</v>
      </c>
      <c r="C355" s="12">
        <f t="shared" si="14"/>
        <v>0</v>
      </c>
      <c r="D355" s="12">
        <f t="shared" si="15"/>
        <v>0</v>
      </c>
      <c r="F355" s="10">
        <f t="shared" si="16"/>
        <v>0</v>
      </c>
    </row>
    <row r="356" spans="1:6" ht="14.25" customHeight="1" x14ac:dyDescent="0.3">
      <c r="A356" s="44">
        <v>344</v>
      </c>
      <c r="B356" s="12">
        <f t="shared" si="13"/>
        <v>0</v>
      </c>
      <c r="C356" s="12">
        <f t="shared" si="14"/>
        <v>0</v>
      </c>
      <c r="D356" s="12">
        <f t="shared" si="15"/>
        <v>0</v>
      </c>
      <c r="F356" s="10">
        <f t="shared" si="16"/>
        <v>0</v>
      </c>
    </row>
    <row r="357" spans="1:6" ht="14.25" customHeight="1" x14ac:dyDescent="0.3">
      <c r="A357" s="44">
        <v>345</v>
      </c>
      <c r="B357" s="12">
        <f t="shared" si="13"/>
        <v>0</v>
      </c>
      <c r="C357" s="12">
        <f t="shared" si="14"/>
        <v>0</v>
      </c>
      <c r="D357" s="12">
        <f t="shared" si="15"/>
        <v>0</v>
      </c>
      <c r="F357" s="10">
        <f t="shared" si="16"/>
        <v>0</v>
      </c>
    </row>
    <row r="358" spans="1:6" ht="14.25" customHeight="1" x14ac:dyDescent="0.3">
      <c r="A358" s="44">
        <v>346</v>
      </c>
      <c r="B358" s="12">
        <f t="shared" si="13"/>
        <v>0</v>
      </c>
      <c r="C358" s="12">
        <f t="shared" si="14"/>
        <v>0</v>
      </c>
      <c r="D358" s="12">
        <f t="shared" si="15"/>
        <v>0</v>
      </c>
      <c r="F358" s="10">
        <f t="shared" si="16"/>
        <v>0</v>
      </c>
    </row>
    <row r="359" spans="1:6" ht="14.25" customHeight="1" x14ac:dyDescent="0.3">
      <c r="A359" s="44">
        <v>347</v>
      </c>
      <c r="B359" s="12">
        <f t="shared" si="13"/>
        <v>0</v>
      </c>
      <c r="C359" s="12">
        <f t="shared" si="14"/>
        <v>0</v>
      </c>
      <c r="D359" s="12">
        <f t="shared" si="15"/>
        <v>0</v>
      </c>
      <c r="F359" s="10">
        <f t="shared" si="16"/>
        <v>0</v>
      </c>
    </row>
    <row r="360" spans="1:6" ht="14.25" customHeight="1" x14ac:dyDescent="0.3">
      <c r="A360" s="44">
        <v>348</v>
      </c>
      <c r="B360" s="12">
        <f t="shared" si="13"/>
        <v>0</v>
      </c>
      <c r="C360" s="12">
        <f t="shared" si="14"/>
        <v>0</v>
      </c>
      <c r="D360" s="12">
        <f t="shared" si="15"/>
        <v>0</v>
      </c>
      <c r="F360" s="10">
        <f t="shared" si="16"/>
        <v>0</v>
      </c>
    </row>
    <row r="361" spans="1:6" ht="14.25" customHeight="1" x14ac:dyDescent="0.3">
      <c r="A361" s="44">
        <v>349</v>
      </c>
      <c r="B361" s="12">
        <f t="shared" si="13"/>
        <v>0</v>
      </c>
      <c r="C361" s="12">
        <f t="shared" si="14"/>
        <v>0</v>
      </c>
      <c r="D361" s="12">
        <f t="shared" si="15"/>
        <v>0</v>
      </c>
      <c r="F361" s="10">
        <f t="shared" si="16"/>
        <v>0</v>
      </c>
    </row>
    <row r="362" spans="1:6" ht="14.25" customHeight="1" x14ac:dyDescent="0.3">
      <c r="A362" s="44">
        <v>350</v>
      </c>
      <c r="B362" s="12">
        <f t="shared" si="13"/>
        <v>0</v>
      </c>
      <c r="C362" s="12">
        <f t="shared" si="14"/>
        <v>0</v>
      </c>
      <c r="D362" s="12">
        <f t="shared" si="15"/>
        <v>0</v>
      </c>
      <c r="F362" s="10">
        <f t="shared" si="16"/>
        <v>0</v>
      </c>
    </row>
    <row r="363" spans="1:6" ht="14.25" customHeight="1" x14ac:dyDescent="0.3">
      <c r="A363" s="44">
        <v>351</v>
      </c>
      <c r="B363" s="12">
        <f t="shared" si="13"/>
        <v>0</v>
      </c>
      <c r="C363" s="12">
        <f t="shared" si="14"/>
        <v>0</v>
      </c>
      <c r="D363" s="12">
        <f t="shared" si="15"/>
        <v>0</v>
      </c>
      <c r="F363" s="10">
        <f t="shared" si="16"/>
        <v>0</v>
      </c>
    </row>
    <row r="364" spans="1:6" ht="14.25" customHeight="1" x14ac:dyDescent="0.3">
      <c r="A364" s="44">
        <v>352</v>
      </c>
      <c r="B364" s="12">
        <f t="shared" si="13"/>
        <v>0</v>
      </c>
      <c r="C364" s="12">
        <f t="shared" si="14"/>
        <v>0</v>
      </c>
      <c r="D364" s="12">
        <f t="shared" si="15"/>
        <v>0</v>
      </c>
      <c r="F364" s="10">
        <f t="shared" si="16"/>
        <v>0</v>
      </c>
    </row>
    <row r="365" spans="1:6" ht="14.25" customHeight="1" x14ac:dyDescent="0.3">
      <c r="A365" s="44">
        <v>353</v>
      </c>
      <c r="B365" s="12">
        <f t="shared" si="13"/>
        <v>0</v>
      </c>
      <c r="C365" s="12">
        <f t="shared" si="14"/>
        <v>0</v>
      </c>
      <c r="D365" s="12">
        <f t="shared" si="15"/>
        <v>0</v>
      </c>
      <c r="F365" s="10">
        <f t="shared" si="16"/>
        <v>0</v>
      </c>
    </row>
    <row r="366" spans="1:6" ht="14.25" customHeight="1" x14ac:dyDescent="0.3">
      <c r="A366" s="44">
        <v>354</v>
      </c>
      <c r="B366" s="12">
        <f t="shared" si="13"/>
        <v>0</v>
      </c>
      <c r="C366" s="12">
        <f t="shared" si="14"/>
        <v>0</v>
      </c>
      <c r="D366" s="12">
        <f t="shared" si="15"/>
        <v>0</v>
      </c>
      <c r="F366" s="10">
        <f t="shared" si="16"/>
        <v>0</v>
      </c>
    </row>
    <row r="367" spans="1:6" ht="14.25" customHeight="1" x14ac:dyDescent="0.3">
      <c r="A367" s="44">
        <v>355</v>
      </c>
      <c r="B367" s="12">
        <f t="shared" si="13"/>
        <v>0</v>
      </c>
      <c r="C367" s="12">
        <f t="shared" si="14"/>
        <v>0</v>
      </c>
      <c r="D367" s="12">
        <f t="shared" si="15"/>
        <v>0</v>
      </c>
      <c r="F367" s="10">
        <f t="shared" si="16"/>
        <v>0</v>
      </c>
    </row>
    <row r="368" spans="1:6" ht="14.25" customHeight="1" x14ac:dyDescent="0.3">
      <c r="A368" s="44">
        <v>356</v>
      </c>
      <c r="B368" s="12">
        <f t="shared" si="13"/>
        <v>0</v>
      </c>
      <c r="C368" s="12">
        <f t="shared" si="14"/>
        <v>0</v>
      </c>
      <c r="D368" s="12">
        <f t="shared" si="15"/>
        <v>0</v>
      </c>
      <c r="F368" s="10">
        <f t="shared" si="16"/>
        <v>0</v>
      </c>
    </row>
    <row r="369" spans="1:6" ht="14.25" customHeight="1" x14ac:dyDescent="0.3">
      <c r="A369" s="44">
        <v>357</v>
      </c>
      <c r="B369" s="12">
        <f t="shared" si="13"/>
        <v>0</v>
      </c>
      <c r="C369" s="12">
        <f t="shared" si="14"/>
        <v>0</v>
      </c>
      <c r="D369" s="12">
        <f t="shared" si="15"/>
        <v>0</v>
      </c>
      <c r="F369" s="10">
        <f t="shared" si="16"/>
        <v>0</v>
      </c>
    </row>
    <row r="370" spans="1:6" ht="14.25" customHeight="1" x14ac:dyDescent="0.3">
      <c r="A370" s="44">
        <v>358</v>
      </c>
      <c r="B370" s="12">
        <f t="shared" si="13"/>
        <v>0</v>
      </c>
      <c r="C370" s="12">
        <f t="shared" si="14"/>
        <v>0</v>
      </c>
      <c r="D370" s="12">
        <f t="shared" si="15"/>
        <v>0</v>
      </c>
      <c r="F370" s="10">
        <f t="shared" si="16"/>
        <v>0</v>
      </c>
    </row>
    <row r="371" spans="1:6" ht="14.25" customHeight="1" x14ac:dyDescent="0.3">
      <c r="A371" s="44">
        <v>359</v>
      </c>
      <c r="B371" s="12">
        <f t="shared" si="13"/>
        <v>0</v>
      </c>
      <c r="C371" s="12">
        <f t="shared" si="14"/>
        <v>0</v>
      </c>
      <c r="D371" s="12">
        <f t="shared" si="15"/>
        <v>0</v>
      </c>
      <c r="F371" s="10">
        <f t="shared" si="16"/>
        <v>0</v>
      </c>
    </row>
    <row r="372" spans="1:6" ht="14.25" customHeight="1" x14ac:dyDescent="0.3">
      <c r="A372" s="44">
        <v>360</v>
      </c>
      <c r="B372" s="12">
        <f t="shared" si="13"/>
        <v>0</v>
      </c>
      <c r="C372" s="12">
        <f t="shared" si="14"/>
        <v>0</v>
      </c>
      <c r="D372" s="12">
        <f t="shared" si="15"/>
        <v>0</v>
      </c>
      <c r="F372" s="10">
        <f t="shared" si="16"/>
        <v>0</v>
      </c>
    </row>
    <row r="373" spans="1:6" ht="14.25" customHeight="1" x14ac:dyDescent="0.3"/>
    <row r="374" spans="1:6" ht="14.25" customHeight="1" x14ac:dyDescent="0.3"/>
    <row r="375" spans="1:6" ht="14.25" customHeight="1" x14ac:dyDescent="0.3"/>
    <row r="376" spans="1:6" ht="14.25" customHeight="1" x14ac:dyDescent="0.3"/>
    <row r="377" spans="1:6" ht="14.25" customHeight="1" x14ac:dyDescent="0.3"/>
    <row r="378" spans="1:6" ht="14.25" customHeight="1" x14ac:dyDescent="0.3"/>
    <row r="379" spans="1:6" ht="14.25" customHeight="1" x14ac:dyDescent="0.3"/>
    <row r="380" spans="1:6" ht="14.25" customHeight="1" x14ac:dyDescent="0.3"/>
    <row r="381" spans="1:6" ht="14.25" customHeight="1" x14ac:dyDescent="0.3"/>
    <row r="382" spans="1:6" ht="14.25" customHeight="1" x14ac:dyDescent="0.3"/>
    <row r="383" spans="1:6" ht="14.25" customHeight="1" x14ac:dyDescent="0.3"/>
    <row r="384" spans="1:6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conditionalFormatting sqref="A13:D372 F13:F372">
    <cfRule type="expression" dxfId="2" priority="1" stopIfTrue="1">
      <formula>ROUND($F12,5)=0</formula>
    </cfRule>
    <cfRule type="expression" dxfId="1" priority="2" stopIfTrue="1">
      <formula>$A13&gt;($B$6*$B$8)</formula>
    </cfRule>
    <cfRule type="expression" dxfId="0" priority="3" stopIfTrue="1">
      <formula>ROUND($F13,5)=0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Financial Lease (L.E. &amp; S.E.)</vt:lpstr>
      <vt:lpstr>Financial Lease (Indiv.)</vt:lpstr>
      <vt:lpstr>F.L. (3)</vt:lpstr>
      <vt:lpstr>Credit</vt:lpstr>
      <vt:lpstr>Credit (2)</vt:lpstr>
      <vt:lpstr>Credit (3)</vt:lpstr>
      <vt:lpstr>interest on the ballon PV only</vt:lpstr>
      <vt:lpstr>interest on total ballon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  Pouloupatis</dc:creator>
  <cp:lastModifiedBy>Pouloupatis Vassileios</cp:lastModifiedBy>
  <dcterms:created xsi:type="dcterms:W3CDTF">2024-01-18T18:49:56Z</dcterms:created>
  <dcterms:modified xsi:type="dcterms:W3CDTF">2025-07-21T12:36:56Z</dcterms:modified>
</cp:coreProperties>
</file>