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OneDrive - Eurobank S.A\Backup 2025\Desktop\McKinsey\"/>
    </mc:Choice>
  </mc:AlternateContent>
  <xr:revisionPtr revIDLastSave="0" documentId="13_ncr:1_{4C0E8629-4225-4B2D-A1F2-D17E79BFE694}" xr6:coauthVersionLast="47" xr6:coauthVersionMax="47" xr10:uidLastSave="{00000000-0000-0000-0000-000000000000}"/>
  <bookViews>
    <workbookView xWindow="-108" yWindow="-108" windowWidth="23256" windowHeight="12456" activeTab="1" xr2:uid="{C85E3EE9-5935-4EF0-970C-AA7C367775F3}"/>
  </bookViews>
  <sheets>
    <sheet name="Ann." sheetId="1" r:id="rId1"/>
    <sheet name="m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17" i="2" l="1"/>
  <c r="BY15" i="2"/>
  <c r="P18" i="2"/>
  <c r="P19" i="2" s="1"/>
  <c r="AB18" i="2"/>
  <c r="AB19" i="2" s="1"/>
  <c r="AN18" i="2"/>
  <c r="AN19" i="2" s="1"/>
  <c r="AZ18" i="2"/>
  <c r="AZ19" i="2" s="1"/>
  <c r="BL18" i="2"/>
  <c r="BL19" i="2" s="1"/>
  <c r="BX18" i="2"/>
  <c r="BL17" i="2"/>
  <c r="AZ17" i="2"/>
  <c r="AN17" i="2"/>
  <c r="AB17" i="2"/>
  <c r="P17" i="2"/>
  <c r="P15" i="2"/>
  <c r="P14" i="2"/>
  <c r="Q14" i="2" s="1"/>
  <c r="P13" i="2"/>
  <c r="Q13" i="2" s="1"/>
  <c r="AB14" i="2"/>
  <c r="AB13" i="2"/>
  <c r="AB15" i="2" s="1"/>
  <c r="AN14" i="2"/>
  <c r="AN13" i="2"/>
  <c r="AN15" i="2" s="1"/>
  <c r="AO13" i="2" s="1"/>
  <c r="AZ14" i="2"/>
  <c r="AZ13" i="2"/>
  <c r="AZ15" i="2" s="1"/>
  <c r="BL14" i="2"/>
  <c r="BL13" i="2"/>
  <c r="BL15" i="2" s="1"/>
  <c r="BY14" i="2"/>
  <c r="BY13" i="2"/>
  <c r="BX19" i="2" l="1"/>
  <c r="BY19" i="2" s="1"/>
  <c r="BY16" i="2" s="1"/>
  <c r="AC14" i="2"/>
  <c r="AC13" i="2"/>
  <c r="AO14" i="2"/>
  <c r="BA14" i="2"/>
  <c r="BA13" i="2"/>
  <c r="BM14" i="2"/>
  <c r="BM13" i="2"/>
  <c r="BW14" i="2" l="1"/>
  <c r="BW13" i="2"/>
  <c r="BX15" i="2"/>
  <c r="BX14" i="2"/>
  <c r="BX13" i="2"/>
  <c r="G23" i="1"/>
  <c r="H23" i="1"/>
  <c r="I23" i="1"/>
  <c r="J23" i="1"/>
  <c r="F23" i="1"/>
  <c r="E23" i="1"/>
  <c r="D24" i="1" l="1"/>
  <c r="D25" i="1"/>
  <c r="D26" i="1"/>
  <c r="C24" i="1"/>
  <c r="C25" i="1"/>
  <c r="C26" i="1"/>
  <c r="B25" i="1"/>
  <c r="B26" i="1"/>
  <c r="B24" i="1"/>
  <c r="C18" i="1" l="1"/>
  <c r="C19" i="1"/>
  <c r="C20" i="1"/>
  <c r="B20" i="1"/>
  <c r="B19" i="1"/>
  <c r="B18" i="1"/>
  <c r="F20" i="1"/>
  <c r="G20" i="1"/>
  <c r="H20" i="1"/>
  <c r="I20" i="1"/>
  <c r="J20" i="1"/>
  <c r="E20" i="1"/>
  <c r="F18" i="1"/>
  <c r="G18" i="1"/>
  <c r="H18" i="1"/>
  <c r="I18" i="1"/>
  <c r="J18" i="1"/>
  <c r="F19" i="1"/>
  <c r="G19" i="1"/>
  <c r="H19" i="1"/>
  <c r="I19" i="1"/>
  <c r="J19" i="1"/>
  <c r="E19" i="1"/>
  <c r="E18" i="1"/>
  <c r="BN6" i="2"/>
  <c r="BO6" i="2"/>
  <c r="BP6" i="2"/>
  <c r="BQ6" i="2"/>
  <c r="BR6" i="2"/>
  <c r="BR9" i="2" s="1"/>
  <c r="BS6" i="2"/>
  <c r="BS9" i="2" s="1"/>
  <c r="BT6" i="2"/>
  <c r="BU6" i="2"/>
  <c r="BV6" i="2"/>
  <c r="BW6" i="2"/>
  <c r="BX6" i="2"/>
  <c r="BN7" i="2"/>
  <c r="BO7" i="2"/>
  <c r="BP7" i="2"/>
  <c r="BQ7" i="2"/>
  <c r="BR7" i="2"/>
  <c r="BS7" i="2"/>
  <c r="BT7" i="2"/>
  <c r="BU7" i="2"/>
  <c r="BV7" i="2"/>
  <c r="BW7" i="2"/>
  <c r="BX7" i="2"/>
  <c r="BN8" i="2"/>
  <c r="BO8" i="2"/>
  <c r="BP8" i="2"/>
  <c r="BQ8" i="2"/>
  <c r="BR8" i="2"/>
  <c r="BS8" i="2"/>
  <c r="BT8" i="2"/>
  <c r="BU8" i="2"/>
  <c r="BV8" i="2"/>
  <c r="BW8" i="2"/>
  <c r="BW9" i="2" s="1"/>
  <c r="BX8" i="2"/>
  <c r="BM8" i="2"/>
  <c r="BM7" i="2"/>
  <c r="BM6" i="2"/>
  <c r="BB6" i="2"/>
  <c r="BC6" i="2"/>
  <c r="BC9" i="2" s="1"/>
  <c r="BD6" i="2"/>
  <c r="BE6" i="2"/>
  <c r="BF6" i="2"/>
  <c r="BG6" i="2"/>
  <c r="BH6" i="2"/>
  <c r="BI6" i="2"/>
  <c r="BJ6" i="2"/>
  <c r="BK6" i="2"/>
  <c r="BK9" i="2" s="1"/>
  <c r="BL6" i="2"/>
  <c r="BB7" i="2"/>
  <c r="BB9" i="2" s="1"/>
  <c r="BC7" i="2"/>
  <c r="BD7" i="2"/>
  <c r="BE7" i="2"/>
  <c r="BF7" i="2"/>
  <c r="BG7" i="2"/>
  <c r="BH7" i="2"/>
  <c r="BI7" i="2"/>
  <c r="BJ7" i="2"/>
  <c r="BK7" i="2"/>
  <c r="BL7" i="2"/>
  <c r="BB8" i="2"/>
  <c r="BC8" i="2"/>
  <c r="BD8" i="2"/>
  <c r="BE8" i="2"/>
  <c r="BF8" i="2"/>
  <c r="BG8" i="2"/>
  <c r="BH8" i="2"/>
  <c r="BI8" i="2"/>
  <c r="BJ8" i="2"/>
  <c r="BK8" i="2"/>
  <c r="BL8" i="2"/>
  <c r="BA8" i="2"/>
  <c r="BA7" i="2"/>
  <c r="BA6" i="2"/>
  <c r="AP6" i="2"/>
  <c r="AQ6" i="2"/>
  <c r="AR6" i="2"/>
  <c r="AS6" i="2"/>
  <c r="AT6" i="2"/>
  <c r="AU6" i="2"/>
  <c r="AV6" i="2"/>
  <c r="AV9" i="2" s="1"/>
  <c r="AW6" i="2"/>
  <c r="AW9" i="2" s="1"/>
  <c r="AX6" i="2"/>
  <c r="AY6" i="2"/>
  <c r="AZ6" i="2"/>
  <c r="AP7" i="2"/>
  <c r="AQ7" i="2"/>
  <c r="AR7" i="2"/>
  <c r="AR9" i="2" s="1"/>
  <c r="AS7" i="2"/>
  <c r="AS9" i="2" s="1"/>
  <c r="AT7" i="2"/>
  <c r="AT9" i="2" s="1"/>
  <c r="AU7" i="2"/>
  <c r="AV7" i="2"/>
  <c r="AW7" i="2"/>
  <c r="AX7" i="2"/>
  <c r="AY7" i="2"/>
  <c r="AZ7" i="2"/>
  <c r="AP8" i="2"/>
  <c r="AQ8" i="2"/>
  <c r="AR8" i="2"/>
  <c r="AS8" i="2"/>
  <c r="AT8" i="2"/>
  <c r="AU8" i="2"/>
  <c r="AV8" i="2"/>
  <c r="AW8" i="2"/>
  <c r="AX8" i="2"/>
  <c r="AY8" i="2"/>
  <c r="AY9" i="2" s="1"/>
  <c r="AZ8" i="2"/>
  <c r="AO8" i="2"/>
  <c r="AO7" i="2"/>
  <c r="AO6" i="2"/>
  <c r="AD6" i="2"/>
  <c r="AE6" i="2"/>
  <c r="AF6" i="2"/>
  <c r="AF9" i="2" s="1"/>
  <c r="AG6" i="2"/>
  <c r="AG9" i="2" s="1"/>
  <c r="AH6" i="2"/>
  <c r="AI6" i="2"/>
  <c r="AJ6" i="2"/>
  <c r="AK6" i="2"/>
  <c r="AL6" i="2"/>
  <c r="AM6" i="2"/>
  <c r="AN6" i="2"/>
  <c r="AN9" i="2" s="1"/>
  <c r="AD7" i="2"/>
  <c r="AE7" i="2"/>
  <c r="AF7" i="2"/>
  <c r="AG7" i="2"/>
  <c r="AH7" i="2"/>
  <c r="AI7" i="2"/>
  <c r="AJ7" i="2"/>
  <c r="AK7" i="2"/>
  <c r="AL7" i="2"/>
  <c r="AM7" i="2"/>
  <c r="AN7" i="2"/>
  <c r="AD8" i="2"/>
  <c r="AE8" i="2"/>
  <c r="AF8" i="2"/>
  <c r="AG8" i="2"/>
  <c r="AH8" i="2"/>
  <c r="AI8" i="2"/>
  <c r="AJ8" i="2"/>
  <c r="AK8" i="2"/>
  <c r="AL8" i="2"/>
  <c r="AM8" i="2"/>
  <c r="AN8" i="2"/>
  <c r="AC8" i="2"/>
  <c r="AC7" i="2"/>
  <c r="AC6" i="2"/>
  <c r="R6" i="2"/>
  <c r="S6" i="2"/>
  <c r="T6" i="2"/>
  <c r="U6" i="2"/>
  <c r="V6" i="2"/>
  <c r="W6" i="2"/>
  <c r="X6" i="2"/>
  <c r="X9" i="2" s="1"/>
  <c r="Y6" i="2"/>
  <c r="Y9" i="2" s="1"/>
  <c r="Z6" i="2"/>
  <c r="AA6" i="2"/>
  <c r="AB6" i="2"/>
  <c r="R7" i="2"/>
  <c r="S7" i="2"/>
  <c r="T7" i="2"/>
  <c r="T9" i="2" s="1"/>
  <c r="U7" i="2"/>
  <c r="U9" i="2" s="1"/>
  <c r="V7" i="2"/>
  <c r="W7" i="2"/>
  <c r="X7" i="2"/>
  <c r="Y7" i="2"/>
  <c r="Z7" i="2"/>
  <c r="AA7" i="2"/>
  <c r="AB7" i="2"/>
  <c r="R8" i="2"/>
  <c r="S8" i="2"/>
  <c r="S9" i="2" s="1"/>
  <c r="T8" i="2"/>
  <c r="U8" i="2"/>
  <c r="V8" i="2"/>
  <c r="W8" i="2"/>
  <c r="X8" i="2"/>
  <c r="Y8" i="2"/>
  <c r="Z8" i="2"/>
  <c r="AA8" i="2"/>
  <c r="AA9" i="2" s="1"/>
  <c r="AB8" i="2"/>
  <c r="Q8" i="2"/>
  <c r="Q7" i="2"/>
  <c r="Q6" i="2"/>
  <c r="F8" i="2"/>
  <c r="G8" i="2"/>
  <c r="H8" i="2"/>
  <c r="I8" i="2"/>
  <c r="J8" i="2"/>
  <c r="K8" i="2"/>
  <c r="L8" i="2"/>
  <c r="M8" i="2"/>
  <c r="N8" i="2"/>
  <c r="O8" i="2"/>
  <c r="P8" i="2"/>
  <c r="E8" i="2"/>
  <c r="F7" i="2"/>
  <c r="G7" i="2"/>
  <c r="H7" i="2"/>
  <c r="I7" i="2"/>
  <c r="J7" i="2"/>
  <c r="K7" i="2"/>
  <c r="L7" i="2"/>
  <c r="M7" i="2"/>
  <c r="M9" i="2" s="1"/>
  <c r="N7" i="2"/>
  <c r="N9" i="2" s="1"/>
  <c r="O7" i="2"/>
  <c r="O9" i="2" s="1"/>
  <c r="P7" i="2"/>
  <c r="E7" i="2"/>
  <c r="F6" i="2"/>
  <c r="G6" i="2"/>
  <c r="H6" i="2"/>
  <c r="H9" i="2" s="1"/>
  <c r="I6" i="2"/>
  <c r="J6" i="2"/>
  <c r="K6" i="2"/>
  <c r="L6" i="2"/>
  <c r="M6" i="2"/>
  <c r="N6" i="2"/>
  <c r="O6" i="2"/>
  <c r="P6" i="2"/>
  <c r="P9" i="2" s="1"/>
  <c r="E6" i="2"/>
  <c r="B6" i="2"/>
  <c r="C6" i="2"/>
  <c r="D6" i="2"/>
  <c r="B7" i="2"/>
  <c r="C7" i="2"/>
  <c r="D7" i="2"/>
  <c r="B8" i="2"/>
  <c r="C8" i="2"/>
  <c r="D8" i="2"/>
  <c r="A7" i="2"/>
  <c r="A8" i="2"/>
  <c r="A6" i="2"/>
  <c r="E11" i="1"/>
  <c r="F11" i="1"/>
  <c r="G11" i="1"/>
  <c r="H11" i="1"/>
  <c r="I11" i="1"/>
  <c r="J11" i="1"/>
  <c r="E7" i="1"/>
  <c r="F7" i="1"/>
  <c r="G7" i="1"/>
  <c r="H7" i="1"/>
  <c r="I7" i="1"/>
  <c r="J7" i="1"/>
  <c r="BO9" i="2" l="1"/>
  <c r="BG9" i="2"/>
  <c r="BJ9" i="2"/>
  <c r="G9" i="2"/>
  <c r="F9" i="2"/>
  <c r="AB9" i="2"/>
  <c r="AH9" i="2"/>
  <c r="AZ9" i="2"/>
  <c r="AU9" i="2"/>
  <c r="BF9" i="2"/>
  <c r="BX9" i="2"/>
  <c r="BP9" i="2"/>
  <c r="BH9" i="2"/>
  <c r="Z9" i="2"/>
  <c r="R9" i="2"/>
  <c r="AX9" i="2"/>
  <c r="AP9" i="2"/>
  <c r="BV9" i="2"/>
  <c r="BN9" i="2"/>
  <c r="BQ9" i="2"/>
  <c r="L9" i="2"/>
  <c r="W9" i="2"/>
  <c r="K9" i="2"/>
  <c r="V9" i="2"/>
  <c r="AQ9" i="2"/>
  <c r="J9" i="2"/>
  <c r="AM9" i="2"/>
  <c r="AE9" i="2"/>
  <c r="AK9" i="2"/>
  <c r="BI9" i="2"/>
  <c r="E9" i="2"/>
  <c r="I9" i="2"/>
  <c r="AL9" i="2"/>
  <c r="AD9" i="2"/>
  <c r="AJ9" i="2"/>
  <c r="AO9" i="2"/>
  <c r="BE9" i="2"/>
  <c r="Q9" i="2"/>
  <c r="AI9" i="2"/>
  <c r="BL9" i="2"/>
  <c r="BD9" i="2"/>
  <c r="BM9" i="2"/>
  <c r="BU9" i="2"/>
  <c r="BT9" i="2"/>
  <c r="BA9" i="2"/>
  <c r="AC9" i="2"/>
  <c r="A1" i="2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</calcChain>
</file>

<file path=xl/sharedStrings.xml><?xml version="1.0" encoding="utf-8"?>
<sst xmlns="http://schemas.openxmlformats.org/spreadsheetml/2006/main" count="72" uniqueCount="16">
  <si>
    <t>Cars financed</t>
  </si>
  <si>
    <t>New</t>
  </si>
  <si>
    <t>Auto loan</t>
  </si>
  <si>
    <t>k#</t>
  </si>
  <si>
    <t>Used</t>
  </si>
  <si>
    <t>Cash loan</t>
  </si>
  <si>
    <t>Total</t>
  </si>
  <si>
    <t>Loan disbursements</t>
  </si>
  <si>
    <t>Avg. loan amount</t>
  </si>
  <si>
    <t>€k</t>
  </si>
  <si>
    <t>€m</t>
  </si>
  <si>
    <t>Auto 5Y BP</t>
  </si>
  <si>
    <t>Seasonality</t>
  </si>
  <si>
    <t>Potfolio Composition</t>
  </si>
  <si>
    <t>%</t>
  </si>
  <si>
    <t>Weighted Avg. Spreads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</si>
</sst>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1"/>
      <scheme val="minor"/>
    </font>
    <font>
      <i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0" fillId="2" borderId="1" xfId="0" applyFill="1" applyBorder="1" applyAlignment="1">
      <alignment horizontal="right"/>
    </xf>
    <xf numFmtId="1" fontId="0" fillId="3" borderId="0" xfId="0" applyNumberFormat="1" applyFill="1"/>
    <xf numFmtId="0" fontId="2" fillId="3" borderId="0" xfId="0" applyFont="1" applyFill="1"/>
    <xf numFmtId="0" fontId="3" fillId="4" borderId="2" xfId="0" applyFont="1" applyFill="1" applyBorder="1"/>
    <xf numFmtId="3" fontId="3" fillId="4" borderId="2" xfId="0" applyNumberFormat="1" applyFont="1" applyFill="1" applyBorder="1"/>
    <xf numFmtId="17" fontId="0" fillId="2" borderId="1" xfId="0" applyNumberFormat="1" applyFill="1" applyBorder="1" applyAlignment="1">
      <alignment horizontal="right"/>
    </xf>
    <xf numFmtId="0" fontId="3" fillId="3" borderId="0" xfId="0" applyFont="1" applyFill="1"/>
    <xf numFmtId="3" fontId="2" fillId="3" borderId="0" xfId="0" applyNumberFormat="1" applyFont="1" applyFill="1"/>
    <xf numFmtId="0" fontId="5" fillId="5" borderId="0" xfId="0" applyFont="1" applyFill="1"/>
    <xf numFmtId="9" fontId="5" fillId="5" borderId="0" xfId="1" applyFont="1" applyFill="1"/>
    <xf numFmtId="0" fontId="6" fillId="3" borderId="0" xfId="0" applyFont="1" applyFill="1"/>
    <xf numFmtId="9" fontId="0" fillId="3" borderId="0" xfId="1" applyFont="1" applyFill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0" xfId="0" applyFill="1"/>
    <xf numFmtId="9" fontId="0" fillId="6" borderId="0" xfId="1" applyFont="1" applyFill="1" applyBorder="1"/>
    <xf numFmtId="9" fontId="0" fillId="6" borderId="7" xfId="1" applyFont="1" applyFill="1" applyBorder="1"/>
    <xf numFmtId="0" fontId="0" fillId="6" borderId="8" xfId="0" applyFill="1" applyBorder="1"/>
    <xf numFmtId="0" fontId="0" fillId="6" borderId="9" xfId="0" applyFill="1" applyBorder="1"/>
    <xf numFmtId="9" fontId="0" fillId="6" borderId="9" xfId="1" applyFont="1" applyFill="1" applyBorder="1"/>
    <xf numFmtId="9" fontId="0" fillId="6" borderId="10" xfId="1" applyFont="1" applyFill="1" applyBorder="1"/>
    <xf numFmtId="0" fontId="0" fillId="3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10" fontId="0" fillId="7" borderId="6" xfId="0" applyNumberFormat="1" applyFill="1" applyBorder="1" applyAlignment="1">
      <alignment horizontal="left"/>
    </xf>
    <xf numFmtId="0" fontId="0" fillId="7" borderId="0" xfId="0" applyFill="1"/>
    <xf numFmtId="0" fontId="0" fillId="7" borderId="7" xfId="0" applyFill="1" applyBorder="1"/>
    <xf numFmtId="0" fontId="0" fillId="7" borderId="9" xfId="0" applyFill="1" applyBorder="1"/>
    <xf numFmtId="0" fontId="0" fillId="7" borderId="10" xfId="0" applyFill="1" applyBorder="1"/>
    <xf numFmtId="10" fontId="0" fillId="7" borderId="8" xfId="0" applyNumberFormat="1" applyFill="1" applyBorder="1" applyAlignment="1">
      <alignment horizontal="left"/>
    </xf>
    <xf numFmtId="10" fontId="0" fillId="7" borderId="0" xfId="0" applyNumberFormat="1" applyFill="1"/>
    <xf numFmtId="10" fontId="0" fillId="7" borderId="4" xfId="0" applyNumberFormat="1" applyFill="1" applyBorder="1"/>
    <xf numFmtId="10" fontId="0" fillId="7" borderId="5" xfId="0" applyNumberFormat="1" applyFill="1" applyBorder="1"/>
    <xf numFmtId="9" fontId="0" fillId="3" borderId="0" xfId="1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00EE-B417-4FF4-BED9-EDBD0F2D080E}">
  <dimension ref="A1:P29"/>
  <sheetViews>
    <sheetView workbookViewId="0">
      <selection activeCell="L9" sqref="L9"/>
    </sheetView>
  </sheetViews>
  <sheetFormatPr defaultRowHeight="14.4" x14ac:dyDescent="0.3"/>
  <cols>
    <col min="1" max="1" width="19.33203125" style="1" bestFit="1" customWidth="1"/>
    <col min="2" max="2" width="5.77734375" style="1" bestFit="1" customWidth="1"/>
    <col min="3" max="3" width="9.109375" style="1" bestFit="1" customWidth="1"/>
    <col min="4" max="4" width="3.6640625" style="26" bestFit="1" customWidth="1"/>
    <col min="5" max="10" width="11.77734375" style="1" customWidth="1"/>
    <col min="11" max="16384" width="8.88671875" style="1"/>
  </cols>
  <sheetData>
    <row r="1" spans="1:10" x14ac:dyDescent="0.3">
      <c r="A1" s="1" t="s">
        <v>11</v>
      </c>
    </row>
    <row r="2" spans="1:10" ht="15" thickBot="1" x14ac:dyDescent="0.35">
      <c r="E2" s="3">
        <v>2025</v>
      </c>
      <c r="F2" s="3">
        <v>2026</v>
      </c>
      <c r="G2" s="3">
        <v>2027</v>
      </c>
      <c r="H2" s="3">
        <v>2028</v>
      </c>
      <c r="I2" s="3">
        <v>2029</v>
      </c>
      <c r="J2" s="3">
        <v>2030</v>
      </c>
    </row>
    <row r="4" spans="1:10" x14ac:dyDescent="0.3">
      <c r="A4" s="1" t="s">
        <v>0</v>
      </c>
      <c r="B4" s="1" t="s">
        <v>1</v>
      </c>
      <c r="C4" s="1" t="s">
        <v>2</v>
      </c>
      <c r="D4" s="26" t="s">
        <v>3</v>
      </c>
      <c r="E4" s="2">
        <v>10.121323116151283</v>
      </c>
      <c r="F4" s="2">
        <v>11.334451255013045</v>
      </c>
      <c r="G4" s="2">
        <v>11.827846171927403</v>
      </c>
      <c r="H4" s="2">
        <v>12.008140607328162</v>
      </c>
      <c r="I4" s="2">
        <v>12.191568275533106</v>
      </c>
      <c r="J4" s="2">
        <v>12.689699987167785</v>
      </c>
    </row>
    <row r="5" spans="1:10" x14ac:dyDescent="0.3">
      <c r="A5" s="1" t="s">
        <v>0</v>
      </c>
      <c r="B5" s="1" t="s">
        <v>4</v>
      </c>
      <c r="C5" s="1" t="s">
        <v>2</v>
      </c>
      <c r="D5" s="26" t="s">
        <v>3</v>
      </c>
      <c r="E5" s="2">
        <v>3.1966259029496693</v>
      </c>
      <c r="F5" s="2">
        <v>6.3483151384495127</v>
      </c>
      <c r="G5" s="2">
        <v>6.7128303709684811</v>
      </c>
      <c r="H5" s="2">
        <v>9.1555174325210054</v>
      </c>
      <c r="I5" s="2">
        <v>9.6804038641530639</v>
      </c>
      <c r="J5" s="2">
        <v>10.870489591055371</v>
      </c>
    </row>
    <row r="6" spans="1:10" x14ac:dyDescent="0.3">
      <c r="A6" s="1" t="s">
        <v>0</v>
      </c>
      <c r="B6" s="1" t="s">
        <v>4</v>
      </c>
      <c r="C6" s="1" t="s">
        <v>5</v>
      </c>
      <c r="D6" s="26" t="s">
        <v>3</v>
      </c>
      <c r="E6" s="2">
        <v>7.3055584011607877</v>
      </c>
      <c r="F6" s="2">
        <v>7.6191151301112416</v>
      </c>
      <c r="G6" s="2">
        <v>8.2298867105180555</v>
      </c>
      <c r="H6" s="2">
        <v>8.8440396211217767</v>
      </c>
      <c r="I6" s="2">
        <v>9.4618053758521548</v>
      </c>
      <c r="J6" s="2">
        <v>9.8536908580503848</v>
      </c>
    </row>
    <row r="7" spans="1:10" x14ac:dyDescent="0.3">
      <c r="A7" s="6" t="s">
        <v>0</v>
      </c>
      <c r="B7" s="6" t="s">
        <v>6</v>
      </c>
      <c r="C7" s="6" t="s">
        <v>6</v>
      </c>
      <c r="D7" s="27" t="s">
        <v>3</v>
      </c>
      <c r="E7" s="7">
        <f t="shared" ref="E7:I7" si="0">SUM(E4:E6)</f>
        <v>20.623507420261738</v>
      </c>
      <c r="F7" s="7">
        <f t="shared" si="0"/>
        <v>25.301881523573797</v>
      </c>
      <c r="G7" s="7">
        <f t="shared" si="0"/>
        <v>26.77056325341394</v>
      </c>
      <c r="H7" s="7">
        <f t="shared" si="0"/>
        <v>30.007697660970944</v>
      </c>
      <c r="I7" s="7">
        <f t="shared" si="0"/>
        <v>31.333777515538326</v>
      </c>
      <c r="J7" s="7">
        <f>SUM(J4:J6)</f>
        <v>33.413880436273544</v>
      </c>
    </row>
    <row r="8" spans="1:10" x14ac:dyDescent="0.3">
      <c r="A8" s="1" t="s">
        <v>7</v>
      </c>
      <c r="B8" s="1" t="s">
        <v>1</v>
      </c>
      <c r="C8" s="1" t="s">
        <v>2</v>
      </c>
      <c r="D8" s="26" t="s">
        <v>10</v>
      </c>
      <c r="E8" s="2">
        <v>155.83830645161291</v>
      </c>
      <c r="F8" s="2">
        <v>179.01845500848896</v>
      </c>
      <c r="G8" s="2">
        <v>191.50564091680815</v>
      </c>
      <c r="H8" s="2">
        <v>199.18696095076402</v>
      </c>
      <c r="I8" s="2">
        <v>207.06241511035654</v>
      </c>
      <c r="J8" s="2">
        <v>225</v>
      </c>
    </row>
    <row r="9" spans="1:10" x14ac:dyDescent="0.3">
      <c r="A9" s="1" t="s">
        <v>7</v>
      </c>
      <c r="B9" s="1" t="s">
        <v>4</v>
      </c>
      <c r="C9" s="1" t="s">
        <v>2</v>
      </c>
      <c r="D9" s="26" t="s">
        <v>10</v>
      </c>
      <c r="E9" s="2">
        <v>31.133159648135827</v>
      </c>
      <c r="F9" s="2">
        <v>63.432459730100192</v>
      </c>
      <c r="G9" s="2">
        <v>68.732509588501458</v>
      </c>
      <c r="H9" s="2">
        <v>96.060723139751033</v>
      </c>
      <c r="I9" s="2">
        <v>103.97992655422289</v>
      </c>
      <c r="J9" s="2">
        <v>120</v>
      </c>
    </row>
    <row r="10" spans="1:10" x14ac:dyDescent="0.3">
      <c r="A10" s="1" t="s">
        <v>7</v>
      </c>
      <c r="B10" s="1" t="s">
        <v>4</v>
      </c>
      <c r="C10" s="1" t="s">
        <v>5</v>
      </c>
      <c r="D10" s="26" t="s">
        <v>10</v>
      </c>
      <c r="E10" s="2">
        <v>37.5</v>
      </c>
      <c r="F10" s="2">
        <v>40.123446548697913</v>
      </c>
      <c r="G10" s="2">
        <v>44.435080403358967</v>
      </c>
      <c r="H10" s="2">
        <v>48.927981165299478</v>
      </c>
      <c r="I10" s="2">
        <v>53.604810391489664</v>
      </c>
      <c r="J10" s="2">
        <v>55</v>
      </c>
    </row>
    <row r="11" spans="1:10" x14ac:dyDescent="0.3">
      <c r="A11" s="6" t="s">
        <v>7</v>
      </c>
      <c r="B11" s="6" t="s">
        <v>6</v>
      </c>
      <c r="C11" s="6" t="s">
        <v>6</v>
      </c>
      <c r="D11" s="27" t="s">
        <v>10</v>
      </c>
      <c r="E11" s="7">
        <f t="shared" ref="E11:I11" si="1">SUM(E8:E10)</f>
        <v>224.47146609974874</v>
      </c>
      <c r="F11" s="7">
        <f t="shared" si="1"/>
        <v>282.57436128728705</v>
      </c>
      <c r="G11" s="7">
        <f t="shared" si="1"/>
        <v>304.67323090866853</v>
      </c>
      <c r="H11" s="7">
        <f t="shared" si="1"/>
        <v>344.17566525581452</v>
      </c>
      <c r="I11" s="7">
        <f t="shared" si="1"/>
        <v>364.6471520560691</v>
      </c>
      <c r="J11" s="7">
        <f>SUM(J8:J10)</f>
        <v>400</v>
      </c>
    </row>
    <row r="12" spans="1:10" ht="5.4" customHeight="1" x14ac:dyDescent="0.3"/>
    <row r="13" spans="1:10" x14ac:dyDescent="0.3">
      <c r="A13" s="5" t="s">
        <v>8</v>
      </c>
      <c r="B13" s="1" t="s">
        <v>1</v>
      </c>
      <c r="C13" s="1" t="s">
        <v>2</v>
      </c>
      <c r="D13" s="28" t="s">
        <v>9</v>
      </c>
      <c r="E13" s="10">
        <f t="shared" ref="E13:J13" si="2">+E8/E4</f>
        <v>15.397029090290689</v>
      </c>
      <c r="F13" s="10">
        <f t="shared" si="2"/>
        <v>15.794188089106827</v>
      </c>
      <c r="G13" s="10">
        <f t="shared" si="2"/>
        <v>16.191083155218394</v>
      </c>
      <c r="H13" s="10">
        <f t="shared" si="2"/>
        <v>16.587660609937142</v>
      </c>
      <c r="I13" s="10">
        <f t="shared" si="2"/>
        <v>16.984067220121624</v>
      </c>
      <c r="J13" s="10">
        <f t="shared" si="2"/>
        <v>17.730915642412896</v>
      </c>
    </row>
    <row r="14" spans="1:10" x14ac:dyDescent="0.3">
      <c r="A14" s="5" t="s">
        <v>8</v>
      </c>
      <c r="B14" s="1" t="s">
        <v>4</v>
      </c>
      <c r="C14" s="1" t="s">
        <v>2</v>
      </c>
      <c r="D14" s="28" t="s">
        <v>9</v>
      </c>
      <c r="E14" s="10">
        <f t="shared" ref="E14:J15" si="3">+E9/E5</f>
        <v>9.7393816459435776</v>
      </c>
      <c r="F14" s="10">
        <f t="shared" si="3"/>
        <v>9.9920149436048131</v>
      </c>
      <c r="G14" s="10">
        <f t="shared" si="3"/>
        <v>10.238976078667873</v>
      </c>
      <c r="H14" s="10">
        <f t="shared" si="3"/>
        <v>10.492112963330392</v>
      </c>
      <c r="I14" s="10">
        <f t="shared" si="3"/>
        <v>10.741279807474237</v>
      </c>
      <c r="J14" s="10">
        <f t="shared" si="3"/>
        <v>11.039061211993644</v>
      </c>
    </row>
    <row r="15" spans="1:10" x14ac:dyDescent="0.3">
      <c r="A15" s="5" t="s">
        <v>8</v>
      </c>
      <c r="B15" s="1" t="s">
        <v>4</v>
      </c>
      <c r="C15" s="1" t="s">
        <v>5</v>
      </c>
      <c r="D15" s="28" t="s">
        <v>9</v>
      </c>
      <c r="E15" s="10">
        <f t="shared" si="3"/>
        <v>5.1330778485107427</v>
      </c>
      <c r="F15" s="10">
        <f t="shared" si="3"/>
        <v>5.2661556970214853</v>
      </c>
      <c r="G15" s="10">
        <f t="shared" si="3"/>
        <v>5.399233545532228</v>
      </c>
      <c r="H15" s="10">
        <f t="shared" si="3"/>
        <v>5.5323113940429698</v>
      </c>
      <c r="I15" s="10">
        <f t="shared" si="3"/>
        <v>5.6653892425537107</v>
      </c>
      <c r="J15" s="10">
        <f t="shared" si="3"/>
        <v>5.5816648596262235</v>
      </c>
    </row>
    <row r="17" spans="1:16" x14ac:dyDescent="0.3">
      <c r="A17" s="15" t="s">
        <v>13</v>
      </c>
      <c r="B17" s="16"/>
      <c r="C17" s="16"/>
      <c r="D17" s="29"/>
      <c r="E17" s="16"/>
      <c r="F17" s="16"/>
      <c r="G17" s="16"/>
      <c r="H17" s="16"/>
      <c r="I17" s="16"/>
      <c r="J17" s="17"/>
    </row>
    <row r="18" spans="1:16" x14ac:dyDescent="0.3">
      <c r="A18" s="18"/>
      <c r="B18" s="19" t="str">
        <f t="shared" ref="B18:C20" si="4">+B13</f>
        <v>New</v>
      </c>
      <c r="C18" s="19" t="str">
        <f t="shared" si="4"/>
        <v>Auto loan</v>
      </c>
      <c r="D18" s="30" t="s">
        <v>14</v>
      </c>
      <c r="E18" s="20">
        <f>+E8/E11</f>
        <v>0.69424550549495134</v>
      </c>
      <c r="F18" s="20">
        <f t="shared" ref="F18:J18" si="5">+F8/F11</f>
        <v>0.63352688542923008</v>
      </c>
      <c r="G18" s="20">
        <f t="shared" si="5"/>
        <v>0.62856077097963203</v>
      </c>
      <c r="H18" s="20">
        <f t="shared" si="5"/>
        <v>0.57873632873699787</v>
      </c>
      <c r="I18" s="20">
        <f t="shared" si="5"/>
        <v>0.56784322582209024</v>
      </c>
      <c r="J18" s="21">
        <f t="shared" si="5"/>
        <v>0.5625</v>
      </c>
    </row>
    <row r="19" spans="1:16" x14ac:dyDescent="0.3">
      <c r="A19" s="18"/>
      <c r="B19" s="19" t="str">
        <f t="shared" si="4"/>
        <v>Used</v>
      </c>
      <c r="C19" s="19" t="str">
        <f t="shared" si="4"/>
        <v>Auto loan</v>
      </c>
      <c r="D19" s="30" t="s">
        <v>14</v>
      </c>
      <c r="E19" s="20">
        <f>+E9/E11</f>
        <v>0.13869539941571521</v>
      </c>
      <c r="F19" s="20">
        <f t="shared" ref="F19:J19" si="6">+F9/F11</f>
        <v>0.22448059137824547</v>
      </c>
      <c r="G19" s="20">
        <f t="shared" si="6"/>
        <v>0.22559418621554353</v>
      </c>
      <c r="H19" s="20">
        <f t="shared" si="6"/>
        <v>0.27910376251717922</v>
      </c>
      <c r="I19" s="20">
        <f t="shared" si="6"/>
        <v>0.28515216961912448</v>
      </c>
      <c r="J19" s="21">
        <f t="shared" si="6"/>
        <v>0.3</v>
      </c>
      <c r="M19" s="9"/>
      <c r="N19" s="9"/>
      <c r="O19" s="9"/>
      <c r="P19" s="9"/>
    </row>
    <row r="20" spans="1:16" x14ac:dyDescent="0.3">
      <c r="A20" s="22"/>
      <c r="B20" s="23" t="str">
        <f t="shared" si="4"/>
        <v>Used</v>
      </c>
      <c r="C20" s="23" t="str">
        <f t="shared" si="4"/>
        <v>Cash loan</v>
      </c>
      <c r="D20" s="31" t="s">
        <v>14</v>
      </c>
      <c r="E20" s="24">
        <f>+E10/E11</f>
        <v>0.16705909508933339</v>
      </c>
      <c r="F20" s="24">
        <f t="shared" ref="F20:J20" si="7">+F10/F11</f>
        <v>0.14199252319252453</v>
      </c>
      <c r="G20" s="24">
        <f t="shared" si="7"/>
        <v>0.14584504280482458</v>
      </c>
      <c r="H20" s="24">
        <f t="shared" si="7"/>
        <v>0.14215990874582288</v>
      </c>
      <c r="I20" s="24">
        <f t="shared" si="7"/>
        <v>0.14700460455878522</v>
      </c>
      <c r="J20" s="25">
        <f t="shared" si="7"/>
        <v>0.13750000000000001</v>
      </c>
    </row>
    <row r="23" spans="1:16" x14ac:dyDescent="0.3">
      <c r="A23" s="32" t="s">
        <v>15</v>
      </c>
      <c r="B23" s="33"/>
      <c r="C23" s="33"/>
      <c r="D23" s="34" t="s">
        <v>14</v>
      </c>
      <c r="E23" s="42">
        <f>+E18*A24+E19*A25+E20*A26</f>
        <v>6.8246175489888178E-2</v>
      </c>
      <c r="F23" s="42">
        <f>+F18*$A$24+F19*$A$25+F20*$A$26</f>
        <v>7.0491367313536432E-2</v>
      </c>
      <c r="G23" s="42">
        <f t="shared" ref="G23:J23" si="8">+G18*$A$24+G19*$A$25+G20*$A$26</f>
        <v>7.0639583144373769E-2</v>
      </c>
      <c r="H23" s="42">
        <f t="shared" si="8"/>
        <v>7.2380637206098636E-2</v>
      </c>
      <c r="I23" s="42">
        <f t="shared" si="8"/>
        <v>7.272738108178517E-2</v>
      </c>
      <c r="J23" s="43">
        <f t="shared" si="8"/>
        <v>7.2968749999999999E-2</v>
      </c>
    </row>
    <row r="24" spans="1:16" x14ac:dyDescent="0.3">
      <c r="A24" s="35">
        <v>5.8700000000000002E-2</v>
      </c>
      <c r="B24" s="36" t="str">
        <f>+B18</f>
        <v>New</v>
      </c>
      <c r="C24" s="36" t="str">
        <f>+C18</f>
        <v>Auto loan</v>
      </c>
      <c r="D24" s="36" t="str">
        <f>+D18</f>
        <v>%</v>
      </c>
      <c r="E24" s="41"/>
      <c r="F24" s="36"/>
      <c r="G24" s="36"/>
      <c r="H24" s="36"/>
      <c r="I24" s="36"/>
      <c r="J24" s="37"/>
    </row>
    <row r="25" spans="1:16" x14ac:dyDescent="0.3">
      <c r="A25" s="35">
        <v>9.3200000000000005E-2</v>
      </c>
      <c r="B25" s="36" t="str">
        <f t="shared" ref="B25:C26" si="9">+B19</f>
        <v>Used</v>
      </c>
      <c r="C25" s="36" t="str">
        <f t="shared" si="9"/>
        <v>Auto loan</v>
      </c>
      <c r="D25" s="36" t="str">
        <f t="shared" ref="D25" si="10">+D19</f>
        <v>%</v>
      </c>
      <c r="E25" s="36"/>
      <c r="F25" s="36"/>
      <c r="G25" s="36"/>
      <c r="H25" s="36"/>
      <c r="I25" s="36"/>
      <c r="J25" s="37"/>
    </row>
    <row r="26" spans="1:16" x14ac:dyDescent="0.3">
      <c r="A26" s="40">
        <v>8.72E-2</v>
      </c>
      <c r="B26" s="38" t="str">
        <f t="shared" si="9"/>
        <v>Used</v>
      </c>
      <c r="C26" s="38" t="str">
        <f t="shared" si="9"/>
        <v>Cash loan</v>
      </c>
      <c r="D26" s="38" t="str">
        <f t="shared" ref="D26" si="11">+D20</f>
        <v>%</v>
      </c>
      <c r="E26" s="38"/>
      <c r="F26" s="38"/>
      <c r="G26" s="38"/>
      <c r="H26" s="38"/>
      <c r="I26" s="38"/>
      <c r="J26" s="39"/>
    </row>
    <row r="28" spans="1:16" x14ac:dyDescent="0.3">
      <c r="E28" s="2"/>
      <c r="F28" s="2"/>
      <c r="G28" s="2"/>
      <c r="H28" s="2"/>
      <c r="I28" s="2"/>
      <c r="J28" s="2"/>
    </row>
    <row r="29" spans="1:16" x14ac:dyDescent="0.3">
      <c r="J29" s="1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0655-7694-4284-8D4E-B163397FE748}">
  <dimension ref="A1:BY23"/>
  <sheetViews>
    <sheetView tabSelected="1" workbookViewId="0">
      <pane xSplit="4" topLeftCell="BP1" activePane="topRight" state="frozen"/>
      <selection pane="topRight" activeCell="BX20" sqref="BX20"/>
    </sheetView>
  </sheetViews>
  <sheetFormatPr defaultRowHeight="14.4" x14ac:dyDescent="0.3"/>
  <cols>
    <col min="1" max="1" width="17.88671875" style="1" bestFit="1" customWidth="1"/>
    <col min="2" max="2" width="5.109375" style="1" bestFit="1" customWidth="1"/>
    <col min="3" max="3" width="8.88671875" style="1"/>
    <col min="4" max="4" width="3.6640625" style="1" bestFit="1" customWidth="1"/>
    <col min="5" max="75" width="11.77734375" style="1" customWidth="1"/>
    <col min="76" max="76" width="17.33203125" style="1" bestFit="1" customWidth="1"/>
    <col min="77" max="77" width="33.6640625" style="1" bestFit="1" customWidth="1"/>
    <col min="78" max="16384" width="8.88671875" style="1"/>
  </cols>
  <sheetData>
    <row r="1" spans="1:77" x14ac:dyDescent="0.3">
      <c r="A1" s="1" t="str">
        <f>+Ann.!A1</f>
        <v>Auto 5Y BP</v>
      </c>
    </row>
    <row r="2" spans="1:77" ht="15" thickBot="1" x14ac:dyDescent="0.35">
      <c r="E2" s="8">
        <v>45658</v>
      </c>
      <c r="F2" s="8">
        <v>45689</v>
      </c>
      <c r="G2" s="8">
        <v>45717</v>
      </c>
      <c r="H2" s="8">
        <v>45748</v>
      </c>
      <c r="I2" s="8">
        <v>45778</v>
      </c>
      <c r="J2" s="8">
        <v>45809</v>
      </c>
      <c r="K2" s="8">
        <v>45839</v>
      </c>
      <c r="L2" s="8">
        <v>45870</v>
      </c>
      <c r="M2" s="8">
        <v>45901</v>
      </c>
      <c r="N2" s="8">
        <v>45931</v>
      </c>
      <c r="O2" s="8">
        <v>45962</v>
      </c>
      <c r="P2" s="8">
        <v>45992</v>
      </c>
      <c r="Q2" s="8">
        <v>46023</v>
      </c>
      <c r="R2" s="8">
        <v>46054</v>
      </c>
      <c r="S2" s="8">
        <v>46082</v>
      </c>
      <c r="T2" s="8">
        <v>46113</v>
      </c>
      <c r="U2" s="8">
        <v>46143</v>
      </c>
      <c r="V2" s="8">
        <v>46174</v>
      </c>
      <c r="W2" s="8">
        <v>46204</v>
      </c>
      <c r="X2" s="8">
        <v>46235</v>
      </c>
      <c r="Y2" s="8">
        <v>46266</v>
      </c>
      <c r="Z2" s="8">
        <v>46296</v>
      </c>
      <c r="AA2" s="8">
        <v>46327</v>
      </c>
      <c r="AB2" s="8">
        <v>46357</v>
      </c>
      <c r="AC2" s="8">
        <v>46388</v>
      </c>
      <c r="AD2" s="8">
        <v>46419</v>
      </c>
      <c r="AE2" s="8">
        <v>46447</v>
      </c>
      <c r="AF2" s="8">
        <v>46478</v>
      </c>
      <c r="AG2" s="8">
        <v>46508</v>
      </c>
      <c r="AH2" s="8">
        <v>46539</v>
      </c>
      <c r="AI2" s="8">
        <v>46569</v>
      </c>
      <c r="AJ2" s="8">
        <v>46600</v>
      </c>
      <c r="AK2" s="8">
        <v>46631</v>
      </c>
      <c r="AL2" s="8">
        <v>46661</v>
      </c>
      <c r="AM2" s="8">
        <v>46692</v>
      </c>
      <c r="AN2" s="8">
        <v>46722</v>
      </c>
      <c r="AO2" s="8">
        <v>46753</v>
      </c>
      <c r="AP2" s="8">
        <v>46784</v>
      </c>
      <c r="AQ2" s="8">
        <v>46813</v>
      </c>
      <c r="AR2" s="8">
        <v>46844</v>
      </c>
      <c r="AS2" s="8">
        <v>46874</v>
      </c>
      <c r="AT2" s="8">
        <v>46905</v>
      </c>
      <c r="AU2" s="8">
        <v>46935</v>
      </c>
      <c r="AV2" s="8">
        <v>46966</v>
      </c>
      <c r="AW2" s="8">
        <v>46997</v>
      </c>
      <c r="AX2" s="8">
        <v>47027</v>
      </c>
      <c r="AY2" s="8">
        <v>47058</v>
      </c>
      <c r="AZ2" s="8">
        <v>47088</v>
      </c>
      <c r="BA2" s="8">
        <v>47119</v>
      </c>
      <c r="BB2" s="8">
        <v>47150</v>
      </c>
      <c r="BC2" s="8">
        <v>47178</v>
      </c>
      <c r="BD2" s="8">
        <v>47209</v>
      </c>
      <c r="BE2" s="8">
        <v>47239</v>
      </c>
      <c r="BF2" s="8">
        <v>47270</v>
      </c>
      <c r="BG2" s="8">
        <v>47300</v>
      </c>
      <c r="BH2" s="8">
        <v>47331</v>
      </c>
      <c r="BI2" s="8">
        <v>47362</v>
      </c>
      <c r="BJ2" s="8">
        <v>47392</v>
      </c>
      <c r="BK2" s="8">
        <v>47423</v>
      </c>
      <c r="BL2" s="8">
        <v>47453</v>
      </c>
      <c r="BM2" s="8">
        <v>47484</v>
      </c>
      <c r="BN2" s="8">
        <v>47515</v>
      </c>
      <c r="BO2" s="8">
        <v>47543</v>
      </c>
      <c r="BP2" s="8">
        <v>47574</v>
      </c>
      <c r="BQ2" s="8">
        <v>47604</v>
      </c>
      <c r="BR2" s="8">
        <v>47635</v>
      </c>
      <c r="BS2" s="8">
        <v>47665</v>
      </c>
      <c r="BT2" s="8">
        <v>47696</v>
      </c>
      <c r="BU2" s="8">
        <v>47727</v>
      </c>
      <c r="BV2" s="8">
        <v>47757</v>
      </c>
      <c r="BW2" s="8">
        <v>47788</v>
      </c>
      <c r="BX2" s="8">
        <v>47818</v>
      </c>
    </row>
    <row r="4" spans="1:77" s="13" customFormat="1" ht="10.8" x14ac:dyDescent="0.25">
      <c r="A4" s="11" t="s">
        <v>12</v>
      </c>
      <c r="B4" s="11"/>
      <c r="C4" s="11"/>
      <c r="D4" s="11"/>
      <c r="E4" s="12">
        <v>8.8016091769845109E-2</v>
      </c>
      <c r="F4" s="12">
        <v>9.7187160552532778E-2</v>
      </c>
      <c r="G4" s="12">
        <v>7.589782579864196E-2</v>
      </c>
      <c r="H4" s="12">
        <v>9.0050693691549138E-2</v>
      </c>
      <c r="I4" s="12">
        <v>8.3251359847836673E-2</v>
      </c>
      <c r="J4" s="12">
        <v>9.372553892181569E-2</v>
      </c>
      <c r="K4" s="12">
        <v>0.1013777800319007</v>
      </c>
      <c r="L4" s="12">
        <v>7.1547306085661955E-2</v>
      </c>
      <c r="M4" s="12">
        <v>8.4158927771424294E-2</v>
      </c>
      <c r="N4" s="12">
        <v>7.4099787642634279E-2</v>
      </c>
      <c r="O4" s="12">
        <v>6.9900235887205231E-2</v>
      </c>
      <c r="P4" s="12">
        <v>7.0787291998952118E-2</v>
      </c>
      <c r="Q4" s="12">
        <v>8.8016091769845109E-2</v>
      </c>
      <c r="R4" s="12">
        <v>9.7187160552532778E-2</v>
      </c>
      <c r="S4" s="12">
        <v>7.589782579864196E-2</v>
      </c>
      <c r="T4" s="12">
        <v>9.0050693691549138E-2</v>
      </c>
      <c r="U4" s="12">
        <v>8.3251359847836673E-2</v>
      </c>
      <c r="V4" s="12">
        <v>9.372553892181569E-2</v>
      </c>
      <c r="W4" s="12">
        <v>0.1013777800319007</v>
      </c>
      <c r="X4" s="12">
        <v>7.1547306085661955E-2</v>
      </c>
      <c r="Y4" s="12">
        <v>8.4158927771424294E-2</v>
      </c>
      <c r="Z4" s="12">
        <v>7.4099787642634279E-2</v>
      </c>
      <c r="AA4" s="12">
        <v>6.9900235887205231E-2</v>
      </c>
      <c r="AB4" s="12">
        <v>7.0787291998952118E-2</v>
      </c>
      <c r="AC4" s="12">
        <v>8.8016091769845109E-2</v>
      </c>
      <c r="AD4" s="12">
        <v>9.7187160552532778E-2</v>
      </c>
      <c r="AE4" s="12">
        <v>7.589782579864196E-2</v>
      </c>
      <c r="AF4" s="12">
        <v>9.0050693691549138E-2</v>
      </c>
      <c r="AG4" s="12">
        <v>8.3251359847836673E-2</v>
      </c>
      <c r="AH4" s="12">
        <v>9.372553892181569E-2</v>
      </c>
      <c r="AI4" s="12">
        <v>0.1013777800319007</v>
      </c>
      <c r="AJ4" s="12">
        <v>7.1547306085661955E-2</v>
      </c>
      <c r="AK4" s="12">
        <v>8.4158927771424294E-2</v>
      </c>
      <c r="AL4" s="12">
        <v>7.4099787642634279E-2</v>
      </c>
      <c r="AM4" s="12">
        <v>6.9900235887205231E-2</v>
      </c>
      <c r="AN4" s="12">
        <v>7.0787291998952118E-2</v>
      </c>
      <c r="AO4" s="12">
        <v>8.8016091769845109E-2</v>
      </c>
      <c r="AP4" s="12">
        <v>9.7187160552532778E-2</v>
      </c>
      <c r="AQ4" s="12">
        <v>7.589782579864196E-2</v>
      </c>
      <c r="AR4" s="12">
        <v>9.0050693691549138E-2</v>
      </c>
      <c r="AS4" s="12">
        <v>8.3251359847836673E-2</v>
      </c>
      <c r="AT4" s="12">
        <v>9.372553892181569E-2</v>
      </c>
      <c r="AU4" s="12">
        <v>0.1013777800319007</v>
      </c>
      <c r="AV4" s="12">
        <v>7.1547306085661955E-2</v>
      </c>
      <c r="AW4" s="12">
        <v>8.4158927771424294E-2</v>
      </c>
      <c r="AX4" s="12">
        <v>7.4099787642634279E-2</v>
      </c>
      <c r="AY4" s="12">
        <v>6.9900235887205231E-2</v>
      </c>
      <c r="AZ4" s="12">
        <v>7.0787291998952118E-2</v>
      </c>
      <c r="BA4" s="12">
        <v>8.8016091769845109E-2</v>
      </c>
      <c r="BB4" s="12">
        <v>9.7187160552532778E-2</v>
      </c>
      <c r="BC4" s="12">
        <v>7.589782579864196E-2</v>
      </c>
      <c r="BD4" s="12">
        <v>9.0050693691549138E-2</v>
      </c>
      <c r="BE4" s="12">
        <v>8.3251359847836673E-2</v>
      </c>
      <c r="BF4" s="12">
        <v>9.372553892181569E-2</v>
      </c>
      <c r="BG4" s="12">
        <v>0.1013777800319007</v>
      </c>
      <c r="BH4" s="12">
        <v>7.1547306085661955E-2</v>
      </c>
      <c r="BI4" s="12">
        <v>8.4158927771424294E-2</v>
      </c>
      <c r="BJ4" s="12">
        <v>7.4099787642634279E-2</v>
      </c>
      <c r="BK4" s="12">
        <v>6.9900235887205231E-2</v>
      </c>
      <c r="BL4" s="12">
        <v>7.0787291998952118E-2</v>
      </c>
      <c r="BM4" s="12">
        <v>8.8016091769845109E-2</v>
      </c>
      <c r="BN4" s="12">
        <v>9.7187160552532778E-2</v>
      </c>
      <c r="BO4" s="12">
        <v>7.589782579864196E-2</v>
      </c>
      <c r="BP4" s="12">
        <v>9.0050693691549138E-2</v>
      </c>
      <c r="BQ4" s="12">
        <v>8.3251359847836673E-2</v>
      </c>
      <c r="BR4" s="12">
        <v>9.372553892181569E-2</v>
      </c>
      <c r="BS4" s="12">
        <v>0.1013777800319007</v>
      </c>
      <c r="BT4" s="12">
        <v>7.1547306085661955E-2</v>
      </c>
      <c r="BU4" s="12">
        <v>8.4158927771424294E-2</v>
      </c>
      <c r="BV4" s="12">
        <v>7.4099787642634279E-2</v>
      </c>
      <c r="BW4" s="12">
        <v>6.9900235887205231E-2</v>
      </c>
      <c r="BX4" s="12">
        <v>7.0787291998952118E-2</v>
      </c>
    </row>
    <row r="5" spans="1:77" ht="3.6" customHeight="1" x14ac:dyDescent="0.3"/>
    <row r="6" spans="1:77" x14ac:dyDescent="0.3">
      <c r="A6" s="1" t="str">
        <f>+Ann.!A8</f>
        <v>Loan disbursements</v>
      </c>
      <c r="B6" s="1" t="str">
        <f>+Ann.!B8</f>
        <v>New</v>
      </c>
      <c r="C6" s="1" t="str">
        <f>+Ann.!C8</f>
        <v>Auto loan</v>
      </c>
      <c r="D6" s="1" t="str">
        <f>+Ann.!D8</f>
        <v>€m</v>
      </c>
      <c r="E6" s="4">
        <f>+Ann.!$E$8*mos!E4</f>
        <v>13.716278681902407</v>
      </c>
      <c r="F6" s="4">
        <f>+Ann.!$E$8*mos!F4</f>
        <v>15.145482509347708</v>
      </c>
      <c r="G6" s="4">
        <f>+Ann.!$E$8*mos!G4</f>
        <v>11.827788635819898</v>
      </c>
      <c r="H6" s="4">
        <f>+Ann.!$E$8*mos!H4</f>
        <v>14.03334759968396</v>
      </c>
      <c r="I6" s="4">
        <f>+Ann.!$E$8*mos!I4</f>
        <v>12.973750928480674</v>
      </c>
      <c r="J6" s="4">
        <f>+Ann.!$E$8*mos!J4</f>
        <v>14.606029256840486</v>
      </c>
      <c r="K6" s="4">
        <f>+Ann.!$E$8*mos!K4</f>
        <v>15.798541551995546</v>
      </c>
      <c r="L6" s="4">
        <f>+Ann.!$E$8*mos!L4</f>
        <v>11.149811011564736</v>
      </c>
      <c r="M6" s="4">
        <f>+Ann.!$E$8*mos!M4</f>
        <v>13.115184776682375</v>
      </c>
      <c r="N6" s="4">
        <f>+Ann.!$E$8*mos!N4</f>
        <v>11.54758541465228</v>
      </c>
      <c r="O6" s="4">
        <f>+Ann.!$E$8*mos!O4</f>
        <v>10.893134381230318</v>
      </c>
      <c r="P6" s="4">
        <f>+Ann.!$E$8*mos!P4</f>
        <v>11.031371703412507</v>
      </c>
      <c r="Q6" s="4">
        <f>+Ann.!$F$8*mos!Q4</f>
        <v>15.756504764523052</v>
      </c>
      <c r="R6" s="4">
        <f>+Ann.!$F$8*mos!R4</f>
        <v>17.398295328776381</v>
      </c>
      <c r="S6" s="4">
        <f>+Ann.!$F$8*mos!S4</f>
        <v>13.587111512976318</v>
      </c>
      <c r="T6" s="4">
        <f>+Ann.!$F$8*mos!T4</f>
        <v>16.120736057103809</v>
      </c>
      <c r="U6" s="4">
        <f>+Ann.!$F$8*mos!U4</f>
        <v>14.903529817315473</v>
      </c>
      <c r="V6" s="4">
        <f>+Ann.!$F$8*mos!V4</f>
        <v>16.778601172621443</v>
      </c>
      <c r="W6" s="4">
        <f>+Ann.!$F$8*mos!W4</f>
        <v>18.148493553501307</v>
      </c>
      <c r="X6" s="4">
        <f>+Ann.!$F$8*mos!X4</f>
        <v>12.808288195474663</v>
      </c>
      <c r="Y6" s="4">
        <f>+Ann.!$F$8*mos!Y4</f>
        <v>15.066001224811393</v>
      </c>
      <c r="Z6" s="4">
        <f>+Ann.!$F$8*mos!Z4</f>
        <v>13.26522950024151</v>
      </c>
      <c r="AA6" s="4">
        <f>+Ann.!$F$8*mos!AA4</f>
        <v>12.513432233256415</v>
      </c>
      <c r="AB6" s="4">
        <f>+Ann.!$F$8*mos!AB4</f>
        <v>12.67223164788718</v>
      </c>
      <c r="AC6" s="4">
        <f>+Ann.!$G$8*mos!AC4</f>
        <v>16.85557806537679</v>
      </c>
      <c r="AD6" s="4">
        <f>+Ann.!$G$8*mos!AD4</f>
        <v>18.611889470497523</v>
      </c>
      <c r="AE6" s="4">
        <f>+Ann.!$G$8*mos!AE4</f>
        <v>14.534861773761184</v>
      </c>
      <c r="AF6" s="4">
        <f>+Ann.!$G$8*mos!AF4</f>
        <v>17.245215810403291</v>
      </c>
      <c r="AG6" s="4">
        <f>+Ann.!$G$8*mos!AG4</f>
        <v>15.94310502485579</v>
      </c>
      <c r="AH6" s="4">
        <f>+Ann.!$G$8*mos!AH4</f>
        <v>17.94896940149556</v>
      </c>
      <c r="AI6" s="4">
        <f>+Ann.!$G$8*mos!AI4</f>
        <v>19.414416739732339</v>
      </c>
      <c r="AJ6" s="4">
        <f>+Ann.!$G$8*mos!AJ4</f>
        <v>13.70171270780574</v>
      </c>
      <c r="AK6" s="4">
        <f>+Ann.!$G$8*mos!AK4</f>
        <v>16.116909401737974</v>
      </c>
      <c r="AL6" s="4">
        <f>+Ann.!$G$8*mos!AL4</f>
        <v>14.190527324302058</v>
      </c>
      <c r="AM6" s="4">
        <f>+Ann.!$G$8*mos!AM4</f>
        <v>13.386289473815312</v>
      </c>
      <c r="AN6" s="4">
        <f>+Ann.!$G$8*mos!AN4</f>
        <v>13.55616572302457</v>
      </c>
      <c r="AO6" s="4">
        <f>+Ann.!$H$8*mos!AO4</f>
        <v>17.531657834398999</v>
      </c>
      <c r="AP6" s="4">
        <f>+Ann.!$H$8*mos!AP4</f>
        <v>19.358415153892981</v>
      </c>
      <c r="AQ6" s="4">
        <f>+Ann.!$H$8*mos!AQ4</f>
        <v>15.117857263601985</v>
      </c>
      <c r="AR6" s="4">
        <f>+Ann.!$H$8*mos!AR4</f>
        <v>17.936924007927811</v>
      </c>
      <c r="AS6" s="4">
        <f>+Ann.!$H$8*mos!AS4</f>
        <v>16.582585363109047</v>
      </c>
      <c r="AT6" s="4">
        <f>+Ann.!$H$8*mos!AT4</f>
        <v>18.668905261309014</v>
      </c>
      <c r="AU6" s="4">
        <f>+Ann.!$H$8*mos!AU4</f>
        <v>20.193131912489349</v>
      </c>
      <c r="AV6" s="4">
        <f>+Ann.!$H$8*mos!AV4</f>
        <v>14.251290463417108</v>
      </c>
      <c r="AW6" s="4">
        <f>+Ann.!$H$8*mos!AW4</f>
        <v>16.763361059664859</v>
      </c>
      <c r="AX6" s="4">
        <f>+Ann.!$H$8*mos!AX4</f>
        <v>14.7597115076333</v>
      </c>
      <c r="AY6" s="4">
        <f>+Ann.!$H$8*mos!AY4</f>
        <v>13.923215556113941</v>
      </c>
      <c r="AZ6" s="4">
        <f>+Ann.!$H$8*mos!AZ4</f>
        <v>14.099905567205605</v>
      </c>
      <c r="BA6" s="4">
        <f>+Ann.!$I$8*mos!BA4</f>
        <v>18.224824530438905</v>
      </c>
      <c r="BB6" s="4">
        <f>+Ann.!$I$8*mos!BB4</f>
        <v>20.123808181725408</v>
      </c>
      <c r="BC6" s="4">
        <f>+Ann.!$I$8*mos!BC4</f>
        <v>15.71558711149193</v>
      </c>
      <c r="BD6" s="4">
        <f>+Ann.!$I$8*mos!BD4</f>
        <v>18.646114118135113</v>
      </c>
      <c r="BE6" s="4">
        <f>+Ann.!$I$8*mos!BE4</f>
        <v>17.238227631314427</v>
      </c>
      <c r="BF6" s="4">
        <f>+Ann.!$I$8*mos!BF4</f>
        <v>19.40703644667088</v>
      </c>
      <c r="BG6" s="4">
        <f>+Ann.!$I$8*mos!BG4</f>
        <v>20.991527971931838</v>
      </c>
      <c r="BH6" s="4">
        <f>+Ann.!$I$8*mos!BH4</f>
        <v>14.814757992737075</v>
      </c>
      <c r="BI6" s="4">
        <f>+Ann.!$I$8*mos!BI4</f>
        <v>17.426150837449171</v>
      </c>
      <c r="BJ6" s="4">
        <f>+Ann.!$I$8*mos!BJ4</f>
        <v>15.343280988448408</v>
      </c>
      <c r="BK6" s="4">
        <f>+Ann.!$I$8*mos!BK4</f>
        <v>14.47371165958833</v>
      </c>
      <c r="BL6" s="4">
        <f>+Ann.!$I$8*mos!BL4</f>
        <v>14.657387640425043</v>
      </c>
      <c r="BM6" s="4">
        <f>+Ann.!$J$8*mos!BM4</f>
        <v>19.803620648215148</v>
      </c>
      <c r="BN6" s="4">
        <f>+Ann.!$J$8*mos!BN4</f>
        <v>21.867111124319877</v>
      </c>
      <c r="BO6" s="4">
        <f>+Ann.!$J$8*mos!BO4</f>
        <v>17.077010804694442</v>
      </c>
      <c r="BP6" s="4">
        <f>+Ann.!$J$8*mos!BP4</f>
        <v>20.261406080598555</v>
      </c>
      <c r="BQ6" s="4">
        <f>+Ann.!$J$8*mos!BQ4</f>
        <v>18.731555965763253</v>
      </c>
      <c r="BR6" s="4">
        <f>+Ann.!$J$8*mos!BR4</f>
        <v>21.088246257408532</v>
      </c>
      <c r="BS6" s="4">
        <f>+Ann.!$J$8*mos!BS4</f>
        <v>22.810000507177659</v>
      </c>
      <c r="BT6" s="4">
        <f>+Ann.!$J$8*mos!BT4</f>
        <v>16.09814386927394</v>
      </c>
      <c r="BU6" s="4">
        <f>+Ann.!$J$8*mos!BU4</f>
        <v>18.935758748570468</v>
      </c>
      <c r="BV6" s="4">
        <f>+Ann.!$J$8*mos!BV4</f>
        <v>16.672452219592714</v>
      </c>
      <c r="BW6" s="4">
        <f>+Ann.!$J$8*mos!BW4</f>
        <v>15.727553074621177</v>
      </c>
      <c r="BX6" s="4">
        <f>+Ann.!$J$8*mos!BX4</f>
        <v>15.927140699764227</v>
      </c>
    </row>
    <row r="7" spans="1:77" x14ac:dyDescent="0.3">
      <c r="A7" s="1" t="str">
        <f>+Ann.!A9</f>
        <v>Loan disbursements</v>
      </c>
      <c r="B7" s="1" t="str">
        <f>+Ann.!B9</f>
        <v>Used</v>
      </c>
      <c r="C7" s="1" t="str">
        <f>+Ann.!C9</f>
        <v>Auto loan</v>
      </c>
      <c r="D7" s="1" t="str">
        <f>+Ann.!D9</f>
        <v>€m</v>
      </c>
      <c r="E7" s="4">
        <f>+Ann.!$E$9*mos!E4</f>
        <v>2.7402190366755614</v>
      </c>
      <c r="F7" s="4">
        <f>+Ann.!$E$9*mos!F4</f>
        <v>3.0257433852310114</v>
      </c>
      <c r="G7" s="4">
        <f>+Ann.!$E$9*mos!G4</f>
        <v>2.362939127535522</v>
      </c>
      <c r="H7" s="4">
        <f>+Ann.!$E$9*mos!H4</f>
        <v>2.8035626231243773</v>
      </c>
      <c r="I7" s="4">
        <f>+Ann.!$E$9*mos!I4</f>
        <v>2.591877877067104</v>
      </c>
      <c r="J7" s="4">
        <f>+Ann.!$E$9*mos!J4</f>
        <v>2.9179721663604563</v>
      </c>
      <c r="K7" s="4">
        <f>+Ann.!$E$9*mos!K4</f>
        <v>3.1562106105067609</v>
      </c>
      <c r="L7" s="4">
        <f>+Ann.!$E$9*mos!L4</f>
        <v>2.2274937027589536</v>
      </c>
      <c r="M7" s="4">
        <f>+Ann.!$E$9*mos!M4</f>
        <v>2.6201333341236843</v>
      </c>
      <c r="N7" s="4">
        <f>+Ann.!$E$9*mos!N4</f>
        <v>2.3069605185710955</v>
      </c>
      <c r="O7" s="4">
        <f>+Ann.!$E$9*mos!O4</f>
        <v>2.1762152033187139</v>
      </c>
      <c r="P7" s="4">
        <f>+Ann.!$E$9*mos!P4</f>
        <v>2.2038320628625843</v>
      </c>
      <c r="Q7" s="4">
        <f>+Ann.!$F$9*mos!Q4</f>
        <v>5.5830771967915025</v>
      </c>
      <c r="R7" s="4">
        <f>+Ann.!$F$9*mos!R4</f>
        <v>6.1648206480313172</v>
      </c>
      <c r="S7" s="4">
        <f>+Ann.!$F$9*mos!S4</f>
        <v>4.8143857785745157</v>
      </c>
      <c r="T7" s="4">
        <f>+Ann.!$F$9*mos!T4</f>
        <v>5.712137001256778</v>
      </c>
      <c r="U7" s="4">
        <f>+Ann.!$F$9*mos!U4</f>
        <v>5.2808385310239796</v>
      </c>
      <c r="V7" s="4">
        <f>+Ann.!$F$9*mos!V4</f>
        <v>5.9452414733400119</v>
      </c>
      <c r="W7" s="4">
        <f>+Ann.!$F$9*mos!W4</f>
        <v>6.4306419494004965</v>
      </c>
      <c r="X7" s="4">
        <f>+Ann.!$F$9*mos!X4</f>
        <v>4.5384216120759042</v>
      </c>
      <c r="Y7" s="4">
        <f>+Ann.!$F$9*mos!Y4</f>
        <v>5.3384077967892818</v>
      </c>
      <c r="Z7" s="4">
        <f>+Ann.!$F$9*mos!Z4</f>
        <v>4.7003317956503752</v>
      </c>
      <c r="AA7" s="4">
        <f>+Ann.!$F$9*mos!AA4</f>
        <v>4.4339438980396499</v>
      </c>
      <c r="AB7" s="4">
        <f>+Ann.!$F$9*mos!AB4</f>
        <v>4.4902120491263737</v>
      </c>
      <c r="AC7" s="4">
        <f>+Ann.!$G$9*mos!AC4</f>
        <v>6.0495668715133029</v>
      </c>
      <c r="AD7" s="4">
        <f>+Ann.!$G$9*mos!AD4</f>
        <v>6.6799174445561897</v>
      </c>
      <c r="AE7" s="4">
        <f>+Ann.!$G$9*mos!AE4</f>
        <v>5.216648039451572</v>
      </c>
      <c r="AF7" s="4">
        <f>+Ann.!$G$9*mos!AF4</f>
        <v>6.189410167605609</v>
      </c>
      <c r="AG7" s="4">
        <f>+Ann.!$G$9*mos!AG4</f>
        <v>5.7220748889972191</v>
      </c>
      <c r="AH7" s="4">
        <f>+Ann.!$G$9*mos!AH4</f>
        <v>6.4419915026311632</v>
      </c>
      <c r="AI7" s="4">
        <f>+Ann.!$G$9*mos!AI4</f>
        <v>6.967949238103607</v>
      </c>
      <c r="AJ7" s="4">
        <f>+Ann.!$G$9*mos!AJ4</f>
        <v>4.9176259015642092</v>
      </c>
      <c r="AK7" s="4">
        <f>+Ann.!$G$9*mos!AK4</f>
        <v>5.7844543100074217</v>
      </c>
      <c r="AL7" s="4">
        <f>+Ann.!$G$9*mos!AL4</f>
        <v>5.0930643646532827</v>
      </c>
      <c r="AM7" s="4">
        <f>+Ann.!$G$9*mos!AM4</f>
        <v>4.804418633355847</v>
      </c>
      <c r="AN7" s="4">
        <f>+Ann.!$G$9*mos!AN4</f>
        <v>4.8653882260620289</v>
      </c>
      <c r="AO7" s="4">
        <f>+Ann.!$H$9*mos!AO4</f>
        <v>8.4548894233460103</v>
      </c>
      <c r="AP7" s="4">
        <f>+Ann.!$H$9*mos!AP4</f>
        <v>9.3358689225753846</v>
      </c>
      <c r="AQ7" s="4">
        <f>+Ann.!$H$9*mos!AQ4</f>
        <v>7.2908000309523988</v>
      </c>
      <c r="AR7" s="4">
        <f>+Ann.!$H$9*mos!AR4</f>
        <v>8.6503347552464263</v>
      </c>
      <c r="AS7" s="4">
        <f>+Ann.!$H$9*mos!AS4</f>
        <v>7.9971858293508244</v>
      </c>
      <c r="AT7" s="4">
        <f>+Ann.!$H$9*mos!AT4</f>
        <v>9.0033430454924961</v>
      </c>
      <c r="AU7" s="4">
        <f>+Ann.!$H$9*mos!AU4</f>
        <v>9.7384228601669935</v>
      </c>
      <c r="AV7" s="4">
        <f>+Ann.!$H$9*mos!AV4</f>
        <v>6.8728859612897972</v>
      </c>
      <c r="AW7" s="4">
        <f>+Ann.!$H$9*mos!AW4</f>
        <v>8.0843674603890943</v>
      </c>
      <c r="AX7" s="4">
        <f>+Ann.!$H$9*mos!AX4</f>
        <v>7.1180791854534364</v>
      </c>
      <c r="AY7" s="4">
        <f>+Ann.!$H$9*mos!AY4</f>
        <v>6.7146672069641111</v>
      </c>
      <c r="AZ7" s="4">
        <f>+Ann.!$H$9*mos!AZ4</f>
        <v>6.799878458524053</v>
      </c>
      <c r="BA7" s="4">
        <f>+Ann.!$I$9*mos!BA4</f>
        <v>9.1519067578182351</v>
      </c>
      <c r="BB7" s="4">
        <f>+Ann.!$I$9*mos!BB4</f>
        <v>10.105513816265827</v>
      </c>
      <c r="BC7" s="4">
        <f>+Ann.!$I$9*mos!BC4</f>
        <v>7.8918503521679941</v>
      </c>
      <c r="BD7" s="4">
        <f>+Ann.!$I$9*mos!BD4</f>
        <v>9.3634645162041021</v>
      </c>
      <c r="BE7" s="4">
        <f>+Ann.!$I$9*mos!BE4</f>
        <v>8.6564702825172368</v>
      </c>
      <c r="BF7" s="4">
        <f>+Ann.!$I$9*mos!BF4</f>
        <v>9.7455746533453542</v>
      </c>
      <c r="BG7" s="4">
        <f>+Ann.!$I$9*mos!BG4</f>
        <v>10.541254121947199</v>
      </c>
      <c r="BH7" s="4">
        <f>+Ann.!$I$9*mos!BH4</f>
        <v>7.439483631939634</v>
      </c>
      <c r="BI7" s="4">
        <f>+Ann.!$I$9*mos!BI4</f>
        <v>8.7508391285548459</v>
      </c>
      <c r="BJ7" s="4">
        <f>+Ann.!$I$9*mos!BJ4</f>
        <v>7.7048904767646249</v>
      </c>
      <c r="BK7" s="4">
        <f>+Ann.!$I$9*mos!BK4</f>
        <v>7.2682213936744544</v>
      </c>
      <c r="BL7" s="4">
        <f>+Ann.!$I$9*mos!BL4</f>
        <v>7.3604574230233704</v>
      </c>
      <c r="BM7" s="4">
        <f>+Ann.!$J$9*mos!BM4</f>
        <v>10.561931012381413</v>
      </c>
      <c r="BN7" s="4">
        <f>+Ann.!$J$9*mos!BN4</f>
        <v>11.662459266303934</v>
      </c>
      <c r="BO7" s="4">
        <f>+Ann.!$J$9*mos!BO4</f>
        <v>9.1077390958370348</v>
      </c>
      <c r="BP7" s="4">
        <f>+Ann.!$J$9*mos!BP4</f>
        <v>10.806083242985897</v>
      </c>
      <c r="BQ7" s="4">
        <f>+Ann.!$J$9*mos!BQ4</f>
        <v>9.9901631817404013</v>
      </c>
      <c r="BR7" s="4">
        <f>+Ann.!$J$9*mos!BR4</f>
        <v>11.247064670617883</v>
      </c>
      <c r="BS7" s="4">
        <f>+Ann.!$J$9*mos!BS4</f>
        <v>12.165333603828085</v>
      </c>
      <c r="BT7" s="4">
        <f>+Ann.!$J$9*mos!BT4</f>
        <v>8.5856767302794346</v>
      </c>
      <c r="BU7" s="4">
        <f>+Ann.!$J$9*mos!BU4</f>
        <v>10.099071332570915</v>
      </c>
      <c r="BV7" s="4">
        <f>+Ann.!$J$9*mos!BV4</f>
        <v>8.8919745171161129</v>
      </c>
      <c r="BW7" s="4">
        <f>+Ann.!$J$9*mos!BW4</f>
        <v>8.3880283064646282</v>
      </c>
      <c r="BX7" s="4">
        <f>+Ann.!$J$9*mos!BX4</f>
        <v>8.4944750398742546</v>
      </c>
    </row>
    <row r="8" spans="1:77" hidden="1" x14ac:dyDescent="0.3">
      <c r="A8" s="1" t="str">
        <f>+Ann.!A10</f>
        <v>Loan disbursements</v>
      </c>
      <c r="B8" s="1" t="str">
        <f>+Ann.!B10</f>
        <v>Used</v>
      </c>
      <c r="C8" s="1" t="str">
        <f>+Ann.!C10</f>
        <v>Cash loan</v>
      </c>
      <c r="D8" s="1" t="str">
        <f>+Ann.!D10</f>
        <v>€m</v>
      </c>
      <c r="E8" s="4">
        <f>+Ann.!$E$10*mos!E4</f>
        <v>3.3006034413691916</v>
      </c>
      <c r="F8" s="4">
        <f>+Ann.!$E$10*mos!F4</f>
        <v>3.6445185207199793</v>
      </c>
      <c r="G8" s="4">
        <f>+Ann.!$E$10*mos!G4</f>
        <v>2.8461684674490737</v>
      </c>
      <c r="H8" s="4">
        <f>+Ann.!$E$10*mos!H4</f>
        <v>3.3769010134330926</v>
      </c>
      <c r="I8" s="4">
        <f>+Ann.!$E$10*mos!I4</f>
        <v>3.1219259942938753</v>
      </c>
      <c r="J8" s="4">
        <f>+Ann.!$E$10*mos!J4</f>
        <v>3.5147077095680883</v>
      </c>
      <c r="K8" s="4">
        <f>+Ann.!$E$10*mos!K4</f>
        <v>3.8016667511962763</v>
      </c>
      <c r="L8" s="4">
        <f>+Ann.!$E$10*mos!L4</f>
        <v>2.6830239782123231</v>
      </c>
      <c r="M8" s="4">
        <f>+Ann.!$E$10*mos!M4</f>
        <v>3.155959791428411</v>
      </c>
      <c r="N8" s="4">
        <f>+Ann.!$E$10*mos!N4</f>
        <v>2.7787420365987856</v>
      </c>
      <c r="O8" s="4">
        <f>+Ann.!$E$10*mos!O4</f>
        <v>2.6212588457701962</v>
      </c>
      <c r="P8" s="4">
        <f>+Ann.!$E$10*mos!P4</f>
        <v>2.6545234499607044</v>
      </c>
      <c r="Q8" s="4">
        <f>+Ann.!$F$10*mos!Q4</f>
        <v>3.5315089535526707</v>
      </c>
      <c r="R8" s="4">
        <f>+Ann.!$F$10*mos!R4</f>
        <v>3.8994838416492712</v>
      </c>
      <c r="S8" s="4">
        <f>+Ann.!$F$10*mos!S4</f>
        <v>3.0452823565941962</v>
      </c>
      <c r="T8" s="4">
        <f>+Ann.!$F$10*mos!T4</f>
        <v>3.6131441950060403</v>
      </c>
      <c r="U8" s="4">
        <f>+Ann.!$F$10*mos!U4</f>
        <v>3.3403314869610905</v>
      </c>
      <c r="V8" s="4">
        <f>+Ann.!$F$10*mos!V4</f>
        <v>3.7605916511773776</v>
      </c>
      <c r="W8" s="4">
        <f>+Ann.!$F$10*mos!W4</f>
        <v>4.0676259383356221</v>
      </c>
      <c r="X8" s="4">
        <f>+Ann.!$F$10*mos!X4</f>
        <v>2.8707245114313862</v>
      </c>
      <c r="Y8" s="4">
        <f>+Ann.!$F$10*mos!Y4</f>
        <v>3.376746240032471</v>
      </c>
      <c r="Z8" s="4">
        <f>+Ann.!$F$10*mos!Z4</f>
        <v>2.9731388687491025</v>
      </c>
      <c r="AA8" s="4">
        <f>+Ann.!$F$10*mos!AA4</f>
        <v>2.8046383783616546</v>
      </c>
      <c r="AB8" s="4">
        <f>+Ann.!$F$10*mos!AB4</f>
        <v>2.8402301268470267</v>
      </c>
      <c r="AC8" s="4">
        <f>+Ann.!$G$10*mos!AC4</f>
        <v>3.9110021145824887</v>
      </c>
      <c r="AD8" s="4">
        <f>+Ann.!$G$10*mos!AD4</f>
        <v>4.3185192933259513</v>
      </c>
      <c r="AE8" s="4">
        <f>+Ann.!$G$10*mos!AE4</f>
        <v>3.3725259918027879</v>
      </c>
      <c r="AF8" s="4">
        <f>+Ann.!$G$10*mos!AF4</f>
        <v>4.0014098145622361</v>
      </c>
      <c r="AG8" s="4">
        <f>+Ann.!$G$10*mos!AG4</f>
        <v>3.6992808685275929</v>
      </c>
      <c r="AH8" s="4">
        <f>+Ann.!$G$10*mos!AH4</f>
        <v>4.1647018578390309</v>
      </c>
      <c r="AI8" s="4">
        <f>+Ann.!$G$10*mos!AI4</f>
        <v>4.5047298068315467</v>
      </c>
      <c r="AJ8" s="4">
        <f>+Ann.!$G$10*mos!AJ4</f>
        <v>3.1792102985601232</v>
      </c>
      <c r="AK8" s="4">
        <f>+Ann.!$G$10*mos!AK4</f>
        <v>3.7396087221837182</v>
      </c>
      <c r="AL8" s="4">
        <f>+Ann.!$G$10*mos!AL4</f>
        <v>3.2926300217722795</v>
      </c>
      <c r="AM8" s="4">
        <f>+Ann.!$G$10*mos!AM4</f>
        <v>3.1060226018617225</v>
      </c>
      <c r="AN8" s="4">
        <f>+Ann.!$G$10*mos!AN4</f>
        <v>3.1454390115094863</v>
      </c>
      <c r="AO8" s="4">
        <f>+Ann.!$H$10*mos!AO4</f>
        <v>4.3064496803582522</v>
      </c>
      <c r="AP8" s="4">
        <f>+Ann.!$H$10*mos!AP4</f>
        <v>4.7551715610232606</v>
      </c>
      <c r="AQ8" s="4">
        <f>+Ann.!$H$10*mos!AQ4</f>
        <v>3.7135273911631348</v>
      </c>
      <c r="AR8" s="4">
        <f>+Ann.!$H$10*mos!AR4</f>
        <v>4.4059986448622688</v>
      </c>
      <c r="AS8" s="4">
        <f>+Ann.!$H$10*mos!AS4</f>
        <v>4.0733209666205221</v>
      </c>
      <c r="AT8" s="4">
        <f>+Ann.!$H$10*mos!AT4</f>
        <v>4.5858014030741412</v>
      </c>
      <c r="AU8" s="4">
        <f>+Ann.!$H$10*mos!AU4</f>
        <v>4.9602101119807109</v>
      </c>
      <c r="AV8" s="4">
        <f>+Ann.!$H$10*mos!AV4</f>
        <v>3.5006652445871849</v>
      </c>
      <c r="AW8" s="4">
        <f>+Ann.!$H$10*mos!AW4</f>
        <v>4.1177264328920469</v>
      </c>
      <c r="AX8" s="4">
        <f>+Ann.!$H$10*mos!AX4</f>
        <v>3.6255530141315009</v>
      </c>
      <c r="AY8" s="4">
        <f>+Ann.!$H$10*mos!AY4</f>
        <v>3.4200774249391683</v>
      </c>
      <c r="AZ8" s="4">
        <f>+Ann.!$H$10*mos!AZ4</f>
        <v>3.4634792896672835</v>
      </c>
      <c r="BA8" s="4">
        <f>+Ann.!$I$10*mos!BA4</f>
        <v>4.7180859107225013</v>
      </c>
      <c r="BB8" s="4">
        <f>+Ann.!$I$10*mos!BB4</f>
        <v>5.2096993139057837</v>
      </c>
      <c r="BC8" s="4">
        <f>+Ann.!$I$10*mos!BC4</f>
        <v>4.068488561062515</v>
      </c>
      <c r="BD8" s="4">
        <f>+Ann.!$I$10*mos!BD4</f>
        <v>4.8271503609576056</v>
      </c>
      <c r="BE8" s="4">
        <f>+Ann.!$I$10*mos!BE4</f>
        <v>4.4626733594769608</v>
      </c>
      <c r="BF8" s="4">
        <f>+Ann.!$I$10*mos!BF4</f>
        <v>5.024139742744115</v>
      </c>
      <c r="BG8" s="4">
        <f>+Ann.!$I$10*mos!BG4</f>
        <v>5.4343366765201839</v>
      </c>
      <c r="BH8" s="4">
        <f>+Ann.!$I$10*mos!BH4</f>
        <v>3.8352797767437838</v>
      </c>
      <c r="BI8" s="4">
        <f>+Ann.!$I$10*mos!BI4</f>
        <v>4.5113233659382734</v>
      </c>
      <c r="BJ8" s="4">
        <f>+Ann.!$I$10*mos!BJ4</f>
        <v>3.9721050666330595</v>
      </c>
      <c r="BK8" s="4">
        <f>+Ann.!$I$10*mos!BK4</f>
        <v>3.7469888910540377</v>
      </c>
      <c r="BL8" s="4">
        <f>+Ann.!$I$10*mos!BL4</f>
        <v>3.7945393657308415</v>
      </c>
      <c r="BM8" s="4">
        <f>+Ann.!$J$10*mos!BM4</f>
        <v>4.8408850473414811</v>
      </c>
      <c r="BN8" s="4">
        <f>+Ann.!$J$10*mos!BN4</f>
        <v>5.3452938303893029</v>
      </c>
      <c r="BO8" s="4">
        <f>+Ann.!$J$10*mos!BO4</f>
        <v>4.174380418925308</v>
      </c>
      <c r="BP8" s="4">
        <f>+Ann.!$J$10*mos!BP4</f>
        <v>4.9527881530352023</v>
      </c>
      <c r="BQ8" s="4">
        <f>+Ann.!$J$10*mos!BQ4</f>
        <v>4.5788247916310167</v>
      </c>
      <c r="BR8" s="4">
        <f>+Ann.!$J$10*mos!BR4</f>
        <v>5.1549046406998631</v>
      </c>
      <c r="BS8" s="4">
        <f>+Ann.!$J$10*mos!BS4</f>
        <v>5.575777901754539</v>
      </c>
      <c r="BT8" s="4">
        <f>+Ann.!$J$10*mos!BT4</f>
        <v>3.9351018347114075</v>
      </c>
      <c r="BU8" s="4">
        <f>+Ann.!$J$10*mos!BU4</f>
        <v>4.6287410274283358</v>
      </c>
      <c r="BV8" s="4">
        <f>+Ann.!$J$10*mos!BV4</f>
        <v>4.0754883203448857</v>
      </c>
      <c r="BW8" s="4">
        <f>+Ann.!$J$10*mos!BW4</f>
        <v>3.8445129737962875</v>
      </c>
      <c r="BX8" s="4">
        <f>+Ann.!$J$10*mos!BX4</f>
        <v>3.8933010599423663</v>
      </c>
    </row>
    <row r="9" spans="1:77" x14ac:dyDescent="0.3">
      <c r="A9" s="6" t="s">
        <v>7</v>
      </c>
      <c r="B9" s="6" t="s">
        <v>6</v>
      </c>
      <c r="C9" s="6" t="s">
        <v>6</v>
      </c>
      <c r="D9" s="6" t="s">
        <v>10</v>
      </c>
      <c r="E9" s="7">
        <f t="shared" ref="E9:O9" si="0">SUM(E6:E8)</f>
        <v>19.757101159947158</v>
      </c>
      <c r="F9" s="7">
        <f t="shared" si="0"/>
        <v>21.815744415298699</v>
      </c>
      <c r="G9" s="7">
        <f t="shared" si="0"/>
        <v>17.036896230804494</v>
      </c>
      <c r="H9" s="7">
        <f t="shared" si="0"/>
        <v>20.21381123624143</v>
      </c>
      <c r="I9" s="7">
        <f t="shared" si="0"/>
        <v>18.687554799841653</v>
      </c>
      <c r="J9" s="7">
        <f t="shared" si="0"/>
        <v>21.038709132769032</v>
      </c>
      <c r="K9" s="7">
        <f t="shared" si="0"/>
        <v>22.756418913698582</v>
      </c>
      <c r="L9" s="7">
        <f t="shared" si="0"/>
        <v>16.060328692536014</v>
      </c>
      <c r="M9" s="7">
        <f t="shared" si="0"/>
        <v>18.891277902234471</v>
      </c>
      <c r="N9" s="7">
        <f t="shared" si="0"/>
        <v>16.633287969822163</v>
      </c>
      <c r="O9" s="7">
        <f t="shared" si="0"/>
        <v>15.690608430319228</v>
      </c>
      <c r="P9" s="7">
        <f>SUM(P6:P8)</f>
        <v>15.889727216235796</v>
      </c>
      <c r="Q9" s="7">
        <f t="shared" ref="Q9:BX9" si="1">SUM(Q6:Q8)</f>
        <v>24.871090914867224</v>
      </c>
      <c r="R9" s="7">
        <f t="shared" si="1"/>
        <v>27.462599818456969</v>
      </c>
      <c r="S9" s="7">
        <f t="shared" si="1"/>
        <v>21.446779648145029</v>
      </c>
      <c r="T9" s="7">
        <f t="shared" si="1"/>
        <v>25.446017253366627</v>
      </c>
      <c r="U9" s="7">
        <f t="shared" si="1"/>
        <v>23.524699835300545</v>
      </c>
      <c r="V9" s="7">
        <f t="shared" si="1"/>
        <v>26.484434297138833</v>
      </c>
      <c r="W9" s="7">
        <f t="shared" si="1"/>
        <v>28.646761441237423</v>
      </c>
      <c r="X9" s="7">
        <f t="shared" si="1"/>
        <v>20.217434318981955</v>
      </c>
      <c r="Y9" s="7">
        <f t="shared" si="1"/>
        <v>23.781155261633145</v>
      </c>
      <c r="Z9" s="7">
        <f t="shared" si="1"/>
        <v>20.938700164640988</v>
      </c>
      <c r="AA9" s="7">
        <f t="shared" si="1"/>
        <v>19.75201450965772</v>
      </c>
      <c r="AB9" s="7">
        <f t="shared" si="1"/>
        <v>20.002673823860579</v>
      </c>
      <c r="AC9" s="7">
        <f t="shared" si="1"/>
        <v>26.81614705147258</v>
      </c>
      <c r="AD9" s="7">
        <f t="shared" si="1"/>
        <v>29.610326208379664</v>
      </c>
      <c r="AE9" s="7">
        <f t="shared" si="1"/>
        <v>23.124035805015545</v>
      </c>
      <c r="AF9" s="7">
        <f t="shared" si="1"/>
        <v>27.436035792571136</v>
      </c>
      <c r="AG9" s="7">
        <f t="shared" si="1"/>
        <v>25.364460782380604</v>
      </c>
      <c r="AH9" s="7">
        <f t="shared" si="1"/>
        <v>28.555662761965753</v>
      </c>
      <c r="AI9" s="7">
        <f t="shared" si="1"/>
        <v>30.887095784667494</v>
      </c>
      <c r="AJ9" s="7">
        <f t="shared" si="1"/>
        <v>21.798548907930069</v>
      </c>
      <c r="AK9" s="7">
        <f t="shared" si="1"/>
        <v>25.640972433929115</v>
      </c>
      <c r="AL9" s="7">
        <f t="shared" si="1"/>
        <v>22.576221710727619</v>
      </c>
      <c r="AM9" s="7">
        <f t="shared" si="1"/>
        <v>21.296730709032879</v>
      </c>
      <c r="AN9" s="7">
        <f t="shared" si="1"/>
        <v>21.566992960596089</v>
      </c>
      <c r="AO9" s="7">
        <f t="shared" si="1"/>
        <v>30.292996938103261</v>
      </c>
      <c r="AP9" s="7">
        <f t="shared" si="1"/>
        <v>33.449455637491624</v>
      </c>
      <c r="AQ9" s="7">
        <f t="shared" si="1"/>
        <v>26.122184685717521</v>
      </c>
      <c r="AR9" s="7">
        <f t="shared" si="1"/>
        <v>30.993257408036506</v>
      </c>
      <c r="AS9" s="7">
        <f t="shared" si="1"/>
        <v>28.653092159080394</v>
      </c>
      <c r="AT9" s="7">
        <f t="shared" si="1"/>
        <v>32.25804970987565</v>
      </c>
      <c r="AU9" s="7">
        <f t="shared" si="1"/>
        <v>34.891764884637055</v>
      </c>
      <c r="AV9" s="7">
        <f t="shared" si="1"/>
        <v>24.624841669294092</v>
      </c>
      <c r="AW9" s="7">
        <f t="shared" si="1"/>
        <v>28.965454952946004</v>
      </c>
      <c r="AX9" s="7">
        <f t="shared" si="1"/>
        <v>25.503343707218239</v>
      </c>
      <c r="AY9" s="7">
        <f t="shared" si="1"/>
        <v>24.057960188017223</v>
      </c>
      <c r="AZ9" s="7">
        <f t="shared" si="1"/>
        <v>24.363263315396942</v>
      </c>
      <c r="BA9" s="7">
        <f t="shared" si="1"/>
        <v>32.094817198979641</v>
      </c>
      <c r="BB9" s="7">
        <f t="shared" si="1"/>
        <v>35.439021311897022</v>
      </c>
      <c r="BC9" s="7">
        <f t="shared" si="1"/>
        <v>27.67592602472244</v>
      </c>
      <c r="BD9" s="7">
        <f t="shared" si="1"/>
        <v>32.836728995296816</v>
      </c>
      <c r="BE9" s="7">
        <f t="shared" si="1"/>
        <v>30.357371273308623</v>
      </c>
      <c r="BF9" s="7">
        <f t="shared" si="1"/>
        <v>34.176750842760349</v>
      </c>
      <c r="BG9" s="7">
        <f t="shared" si="1"/>
        <v>36.967118770399217</v>
      </c>
      <c r="BH9" s="7">
        <f t="shared" si="1"/>
        <v>26.089521401420491</v>
      </c>
      <c r="BI9" s="7">
        <f t="shared" si="1"/>
        <v>30.68831333194229</v>
      </c>
      <c r="BJ9" s="7">
        <f t="shared" si="1"/>
        <v>27.02027653184609</v>
      </c>
      <c r="BK9" s="7">
        <f t="shared" si="1"/>
        <v>25.488921944316822</v>
      </c>
      <c r="BL9" s="7">
        <f t="shared" si="1"/>
        <v>25.812384429179254</v>
      </c>
      <c r="BM9" s="7">
        <f t="shared" si="1"/>
        <v>35.206436707938039</v>
      </c>
      <c r="BN9" s="7">
        <f t="shared" si="1"/>
        <v>38.874864221013112</v>
      </c>
      <c r="BO9" s="7">
        <f t="shared" si="1"/>
        <v>30.359130319456789</v>
      </c>
      <c r="BP9" s="7">
        <f t="shared" si="1"/>
        <v>36.020277476619654</v>
      </c>
      <c r="BQ9" s="7">
        <f t="shared" si="1"/>
        <v>33.30054393913467</v>
      </c>
      <c r="BR9" s="7">
        <f t="shared" si="1"/>
        <v>37.490215568726278</v>
      </c>
      <c r="BS9" s="7">
        <f t="shared" si="1"/>
        <v>40.551112012760285</v>
      </c>
      <c r="BT9" s="7">
        <f t="shared" si="1"/>
        <v>28.618922434264782</v>
      </c>
      <c r="BU9" s="7">
        <f t="shared" si="1"/>
        <v>33.66357110856972</v>
      </c>
      <c r="BV9" s="7">
        <f t="shared" si="1"/>
        <v>29.63991505705371</v>
      </c>
      <c r="BW9" s="7">
        <f t="shared" si="1"/>
        <v>27.960094354882091</v>
      </c>
      <c r="BX9" s="7">
        <f t="shared" si="1"/>
        <v>28.31491679958085</v>
      </c>
    </row>
    <row r="10" spans="1:77" ht="5.4" customHeight="1" x14ac:dyDescent="0.3"/>
    <row r="12" spans="1:77" x14ac:dyDescent="0.3">
      <c r="P12" s="2" t="s">
        <v>7</v>
      </c>
      <c r="Q12" s="2"/>
      <c r="AB12" s="2" t="s">
        <v>7</v>
      </c>
      <c r="AC12" s="2"/>
      <c r="AN12" s="2" t="s">
        <v>7</v>
      </c>
      <c r="AO12" s="2"/>
      <c r="AZ12" s="2" t="s">
        <v>7</v>
      </c>
      <c r="BA12" s="2"/>
      <c r="BL12" s="2" t="s">
        <v>7</v>
      </c>
      <c r="BM12" s="2"/>
      <c r="BX12" s="2" t="s">
        <v>7</v>
      </c>
      <c r="BY12" s="2"/>
    </row>
    <row r="13" spans="1:77" x14ac:dyDescent="0.3">
      <c r="O13" s="1" t="s">
        <v>1</v>
      </c>
      <c r="P13" s="4">
        <f>SUM(E6:P6)</f>
        <v>155.83830645161288</v>
      </c>
      <c r="Q13" s="44">
        <f>+P13/P15</f>
        <v>0.8334871074310003</v>
      </c>
      <c r="AA13" s="1" t="s">
        <v>1</v>
      </c>
      <c r="AB13" s="4">
        <f>SUM(Q6:AB6)</f>
        <v>179.01845500848896</v>
      </c>
      <c r="AC13" s="44">
        <f>+AB13/AB15</f>
        <v>0.73836988902065748</v>
      </c>
      <c r="AM13" s="1" t="s">
        <v>1</v>
      </c>
      <c r="AN13" s="4">
        <f>SUM(AC6:AN6)</f>
        <v>191.50564091680815</v>
      </c>
      <c r="AO13" s="44">
        <f>+AN13/AN15</f>
        <v>0.73588611256634673</v>
      </c>
      <c r="AY13" s="1" t="s">
        <v>1</v>
      </c>
      <c r="AZ13" s="4">
        <f>SUM(AO6:AZ6)</f>
        <v>199.18696095076402</v>
      </c>
      <c r="BA13" s="44">
        <f>+AZ13/AZ15</f>
        <v>0.67464360157249748</v>
      </c>
      <c r="BK13" s="1" t="s">
        <v>1</v>
      </c>
      <c r="BL13" s="4">
        <f>SUM(BA6:BL6)</f>
        <v>207.06241511035654</v>
      </c>
      <c r="BM13" s="44">
        <f>+BL13/BL15</f>
        <v>0.66570491336400639</v>
      </c>
      <c r="BW13" s="1" t="str">
        <f>+B6</f>
        <v>New</v>
      </c>
      <c r="BX13" s="4">
        <f>SUM(BM6:BX6)</f>
        <v>224.99999999999997</v>
      </c>
      <c r="BY13" s="44">
        <f>+BX13/BX15</f>
        <v>0.65217391304347816</v>
      </c>
    </row>
    <row r="14" spans="1:77" x14ac:dyDescent="0.3">
      <c r="E14" s="2"/>
      <c r="O14" s="1" t="s">
        <v>4</v>
      </c>
      <c r="P14" s="4">
        <f>SUM(E7:P7)</f>
        <v>31.13315964813582</v>
      </c>
      <c r="Q14" s="44">
        <f>+P14/P15</f>
        <v>0.16651289256899968</v>
      </c>
      <c r="AA14" s="1" t="s">
        <v>4</v>
      </c>
      <c r="AB14" s="4">
        <f>SUM(Q7:AB7)</f>
        <v>63.432459730100192</v>
      </c>
      <c r="AC14" s="44">
        <f>+AB14/AB15</f>
        <v>0.26163011097934252</v>
      </c>
      <c r="AM14" s="1" t="s">
        <v>4</v>
      </c>
      <c r="AN14" s="4">
        <f>SUM(AC7:AN7)</f>
        <v>68.732509588501443</v>
      </c>
      <c r="AO14" s="44">
        <f>+AN14/AN15</f>
        <v>0.26411388743365322</v>
      </c>
      <c r="AY14" s="1" t="s">
        <v>4</v>
      </c>
      <c r="AZ14" s="4">
        <f>SUM(AO7:AZ7)</f>
        <v>96.060723139751019</v>
      </c>
      <c r="BA14" s="44">
        <f>+AZ14/AZ15</f>
        <v>0.32535639842750258</v>
      </c>
      <c r="BK14" s="1" t="s">
        <v>4</v>
      </c>
      <c r="BL14" s="4">
        <f>SUM(BA7:BL7)</f>
        <v>103.97992655422289</v>
      </c>
      <c r="BM14" s="44">
        <f>+BL14/BL15</f>
        <v>0.3342950866359935</v>
      </c>
      <c r="BW14" s="1" t="str">
        <f>+B7</f>
        <v>Used</v>
      </c>
      <c r="BX14" s="4">
        <f>SUM(BM7:BX7)</f>
        <v>120</v>
      </c>
      <c r="BY14" s="44">
        <f>+BX14/BX15</f>
        <v>0.34782608695652173</v>
      </c>
    </row>
    <row r="15" spans="1:77" s="4" customFormat="1" x14ac:dyDescent="0.3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4">
        <f>SUM(P13:P14)</f>
        <v>186.97146609974871</v>
      </c>
      <c r="AB15" s="4">
        <f>SUM(AB13:AB14)</f>
        <v>242.45091473858915</v>
      </c>
      <c r="AN15" s="4">
        <f>SUM(AN13:AN14)</f>
        <v>260.23815050530959</v>
      </c>
      <c r="AZ15" s="4">
        <f>SUM(AZ13:AZ14)</f>
        <v>295.24768409051501</v>
      </c>
      <c r="BL15" s="4">
        <f>SUM(BL13:BL14)</f>
        <v>311.04234166457945</v>
      </c>
      <c r="BX15" s="4">
        <f>SUM(BX13:BX14)</f>
        <v>345</v>
      </c>
      <c r="BY15" s="4">
        <f>SUM(E15:BX15)</f>
        <v>1640.9505570987419</v>
      </c>
    </row>
    <row r="16" spans="1:77" x14ac:dyDescent="0.3">
      <c r="BY16" s="14">
        <f>+BY19/BY15</f>
        <v>0.45451282709486446</v>
      </c>
    </row>
    <row r="17" spans="16:77" x14ac:dyDescent="0.3">
      <c r="P17" s="4">
        <f>+P13*50%</f>
        <v>77.91915322580644</v>
      </c>
      <c r="Q17" s="44">
        <v>0.55000000000000004</v>
      </c>
      <c r="AB17" s="4">
        <f>+AB13*50%</f>
        <v>89.509227504244478</v>
      </c>
      <c r="AC17" s="44">
        <v>0.6</v>
      </c>
      <c r="AN17" s="4">
        <f>+AN13*50%</f>
        <v>95.752820458404074</v>
      </c>
      <c r="AO17" s="44">
        <v>0.65</v>
      </c>
      <c r="AZ17" s="4">
        <f>+AZ13*50%</f>
        <v>99.593480475382009</v>
      </c>
      <c r="BA17" s="44">
        <v>0.7</v>
      </c>
      <c r="BL17" s="4">
        <f>+BL13*50%</f>
        <v>103.53120755517827</v>
      </c>
      <c r="BM17" s="44">
        <v>0.7</v>
      </c>
      <c r="BX17" s="4">
        <f>+BY17*BX13</f>
        <v>157.49999999999997</v>
      </c>
      <c r="BY17" s="44">
        <v>0.7</v>
      </c>
    </row>
    <row r="18" spans="16:77" x14ac:dyDescent="0.3">
      <c r="P18" s="4">
        <f>+Q18*P14</f>
        <v>1.556657982406791</v>
      </c>
      <c r="Q18" s="44">
        <v>0.05</v>
      </c>
      <c r="AB18" s="4">
        <f>+AC18*AB14</f>
        <v>9.5148689595150291</v>
      </c>
      <c r="AC18" s="44">
        <v>0.15</v>
      </c>
      <c r="AN18" s="4">
        <f>+AO18*AN14</f>
        <v>13.746501917700289</v>
      </c>
      <c r="AO18" s="44">
        <v>0.2</v>
      </c>
      <c r="AZ18" s="4">
        <f>+BA18*AZ14</f>
        <v>24.015180784937755</v>
      </c>
      <c r="BA18" s="44">
        <v>0.25</v>
      </c>
      <c r="BL18" s="4">
        <f>+BM18*BL14</f>
        <v>31.193977966266864</v>
      </c>
      <c r="BM18" s="44">
        <v>0.3</v>
      </c>
      <c r="BX18" s="4">
        <f>+BY18*BX14</f>
        <v>42</v>
      </c>
      <c r="BY18" s="44">
        <v>0.35</v>
      </c>
    </row>
    <row r="19" spans="16:77" x14ac:dyDescent="0.3">
      <c r="P19" s="4">
        <f>+P18+P17</f>
        <v>79.47581120821323</v>
      </c>
      <c r="AB19" s="4">
        <f>+AB18+AB17</f>
        <v>99.024096463759506</v>
      </c>
      <c r="AN19" s="4">
        <f>+AN18+AN17</f>
        <v>109.49932237610436</v>
      </c>
      <c r="AZ19" s="4">
        <f>+AZ18+AZ17</f>
        <v>123.60866126031976</v>
      </c>
      <c r="BL19" s="4">
        <f>+BL18+BL17</f>
        <v>134.72518552144513</v>
      </c>
      <c r="BX19" s="4">
        <f>+BX18+BX17</f>
        <v>199.49999999999997</v>
      </c>
      <c r="BY19" s="4">
        <f>SUM(E19:BX19)</f>
        <v>745.83307682984196</v>
      </c>
    </row>
    <row r="23" spans="16:77" x14ac:dyDescent="0.3">
      <c r="BX2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Ann.</vt:lpstr>
      <vt:lpstr>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2025-10-14T06:26:50Z</dcterms:created>
  <dcterms:modified xsi:type="dcterms:W3CDTF">2026-02-26T11:52:47Z</dcterms:modified>
</cp:coreProperties>
</file>