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kinsey.sharepoint.com/sites/spe-int-g3shlooow/Shared Documents/07. Analysis/"/>
    </mc:Choice>
  </mc:AlternateContent>
  <xr:revisionPtr revIDLastSave="0" documentId="8_{5A12CE2F-253B-4527-BCB6-086112647F71}" xr6:coauthVersionLast="47" xr6:coauthVersionMax="47" xr10:uidLastSave="{00000000-0000-0000-0000-000000000000}"/>
  <bookViews>
    <workbookView xWindow="-110" yWindow="-110" windowWidth="19420" windowHeight="11500" xr2:uid="{2A5BE22D-BAC7-4977-8D36-13CF5E060494}"/>
  </bookViews>
  <sheets>
    <sheet name="2024 business case" sheetId="1" r:id="rId1"/>
    <sheet name="Used car C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F19" i="2"/>
  <c r="F18" i="2"/>
  <c r="F17" i="2"/>
  <c r="F16" i="2"/>
  <c r="H9" i="2"/>
  <c r="H22" i="2" s="1"/>
  <c r="F9" i="2"/>
  <c r="E8" i="2"/>
  <c r="E9" i="2" s="1"/>
  <c r="F4" i="2"/>
  <c r="F15" i="2" s="1"/>
  <c r="G35" i="1"/>
  <c r="F35" i="1"/>
  <c r="E35" i="1"/>
  <c r="D35" i="1"/>
  <c r="G33" i="1"/>
  <c r="F33" i="1"/>
  <c r="E33" i="1"/>
  <c r="D33" i="1"/>
  <c r="F18" i="1"/>
  <c r="K17" i="1"/>
  <c r="M17" i="1" s="1"/>
  <c r="N17" i="1" s="1"/>
  <c r="O17" i="1" s="1"/>
  <c r="H17" i="1"/>
  <c r="J17" i="1" s="1"/>
  <c r="K16" i="1"/>
  <c r="M16" i="1" s="1"/>
  <c r="N16" i="1" s="1"/>
  <c r="O16" i="1" s="1"/>
  <c r="H16" i="1"/>
  <c r="J16" i="1" s="1"/>
  <c r="K15" i="1"/>
  <c r="M15" i="1" s="1"/>
  <c r="N15" i="1" s="1"/>
  <c r="O15" i="1" s="1"/>
  <c r="G15" i="1"/>
  <c r="H15" i="1" s="1"/>
  <c r="J15" i="1" s="1"/>
  <c r="K14" i="1"/>
  <c r="M14" i="1" s="1"/>
  <c r="H14" i="1"/>
  <c r="J14" i="1" s="1"/>
  <c r="K13" i="1"/>
  <c r="M13" i="1" s="1"/>
  <c r="N13" i="1" s="1"/>
  <c r="O13" i="1" s="1"/>
  <c r="G13" i="1"/>
  <c r="H13" i="1" s="1"/>
  <c r="J13" i="1" s="1"/>
  <c r="K12" i="1"/>
  <c r="M12" i="1" s="1"/>
  <c r="N12" i="1" s="1"/>
  <c r="O12" i="1" s="1"/>
  <c r="H12" i="1"/>
  <c r="C25" i="1" l="1"/>
  <c r="P17" i="1" s="1"/>
  <c r="Q17" i="1" s="1"/>
  <c r="R17" i="1" s="1"/>
  <c r="C24" i="1"/>
  <c r="P15" i="1" s="1"/>
  <c r="Q15" i="1" s="1"/>
  <c r="R15" i="1" s="1"/>
  <c r="H18" i="1"/>
  <c r="N14" i="1"/>
  <c r="M21" i="1"/>
  <c r="E20" i="2"/>
  <c r="D20" i="2"/>
  <c r="F20" i="2"/>
  <c r="J12" i="1"/>
  <c r="J18" i="1" s="1"/>
  <c r="P16" i="1" l="1"/>
  <c r="Q16" i="1" s="1"/>
  <c r="R16" i="1" s="1"/>
  <c r="P12" i="1"/>
  <c r="Q12" i="1" s="1"/>
  <c r="R12" i="1" s="1"/>
  <c r="P13" i="1"/>
  <c r="Q13" i="1" s="1"/>
  <c r="R13" i="1" s="1"/>
  <c r="O14" i="1"/>
  <c r="P14" i="1" l="1"/>
  <c r="Q14" i="1" s="1"/>
  <c r="R14" i="1" s="1"/>
  <c r="T1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tc={A1EF904F-EDF7-4BEA-8D2E-60DE67B6F49C}</author>
    <author>tc={30CEA22F-2B1D-47F9-80AD-9D58B241AFE3}</author>
    <author>tc={B7C47BB5-672A-49DB-B8CF-FF931A6287D8}</author>
    <author>tc={0C3EF668-5238-4C9F-9B29-FA317A7D6022}</author>
    <author>tc={81BA61C4-0BC6-4FF4-9FE1-F94F617EE79C}</author>
  </authors>
  <commentList>
    <comment ref="D8" authorId="0" shapeId="0" xr:uid="{A1EF904F-EDF7-4BEA-8D2E-60DE67B6F49C}">
      <text>
        <t>[Threaded comment]
Your version of Excel allows you to read this threaded comment; however, any edits to it will get removed if the file is opened in a newer version of Excel. Learn more: https://go.microsoft.com/fwlink/?linkid=870924
Comment:
    mob 18 at 2023 after policy mitigation actions as shown in the below PBI image</t>
      </text>
    </comment>
    <comment ref="E8" authorId="1" shapeId="0" xr:uid="{30CEA22F-2B1D-47F9-80AD-9D58B241AFE3}">
      <text>
        <t>[Threaded comment]
Your version of Excel allows you to read this threaded comment; however, any edits to it will get removed if the file is opened in a newer version of Excel. Learn more: https://go.microsoft.com/fwlink/?linkid=870924
Comment:
    Minor increase is estimated, like total bad rate of 2022 when no mandatory downpayment was in place (see PBI image below).</t>
      </text>
    </comment>
    <comment ref="F8" authorId="2" shapeId="0" xr:uid="{B7C47BB5-672A-49DB-B8CF-FF931A6287D8}">
      <text>
        <t>[Threaded comment]
Your version of Excel allows you to read this threaded comment; however, any edits to it will get removed if the file is opened in a newer version of Excel. Learn more: https://go.microsoft.com/fwlink/?linkid=870924
Comment:
    Taking into account that more high risk customers will be approved, we assume that the bad rate of them (10,7% below PBI image) will constitute the total bad rate</t>
      </text>
    </comment>
    <comment ref="D9" authorId="3" shapeId="0" xr:uid="{0C3EF668-5238-4C9F-9B29-FA317A7D602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Retail Finance tables (vintage 18 of 2023 used cars)</t>
      </text>
    </comment>
    <comment ref="D20" authorId="4" shapeId="0" xr:uid="{81BA61C4-0BC6-4FF4-9FE1-F94F617EE79C}">
      <text>
        <t>[Threaded comment]
Your version of Excel allows you to read this threaded comment; however, any edits to it will get removed if the file is opened in a newer version of Excel. Learn more: https://go.microsoft.com/fwlink/?linkid=870924
Comment:
    = bad rate * new LGL</t>
      </text>
    </comment>
  </commentList>
</comments>
</file>

<file path=xl/sharedStrings.xml><?xml version="1.0" encoding="utf-8"?>
<sst xmlns="http://schemas.openxmlformats.org/spreadsheetml/2006/main" count="158" uniqueCount="101">
  <si>
    <t>1. Example parameters</t>
  </si>
  <si>
    <t>Initial market price of car, €</t>
  </si>
  <si>
    <t>Time of default post-contract, years</t>
  </si>
  <si>
    <t>2. RV estimation</t>
  </si>
  <si>
    <t>Car type</t>
  </si>
  <si>
    <t>Car age at repayment</t>
  </si>
  <si>
    <t>Avg. car age at origination</t>
  </si>
  <si>
    <t>Product</t>
  </si>
  <si>
    <t># cars for ERB (assuming 2-year fleet)</t>
  </si>
  <si>
    <t>Bad rate (2023) - assuming no release of credit policy</t>
  </si>
  <si>
    <t># expected cars for ERB with bad rates</t>
  </si>
  <si>
    <t>Repossession penetration</t>
  </si>
  <si>
    <t># cars repossessed by ERB</t>
  </si>
  <si>
    <t>Time at default</t>
  </si>
  <si>
    <t>Time to repossess</t>
  </si>
  <si>
    <t>Time when repossessed</t>
  </si>
  <si>
    <t>RV ratio at repossession</t>
  </si>
  <si>
    <t>RV at repossession</t>
  </si>
  <si>
    <t>Expected repossession costs per car</t>
  </si>
  <si>
    <t>RV, incl. repossession costs and repossession penetration</t>
  </si>
  <si>
    <t>RV ratio, incl. repossession costs and repossession penetration</t>
  </si>
  <si>
    <t>years</t>
  </si>
  <si>
    <t>#k</t>
  </si>
  <si>
    <t>%</t>
  </si>
  <si>
    <t>#</t>
  </si>
  <si>
    <t>months</t>
  </si>
  <si>
    <t>€</t>
  </si>
  <si>
    <t>New cars</t>
  </si>
  <si>
    <t>&lt;= 4</t>
  </si>
  <si>
    <t>Loan</t>
  </si>
  <si>
    <t>Leasing</t>
  </si>
  <si>
    <t>Used cars</t>
  </si>
  <si>
    <t>&lt;=9</t>
  </si>
  <si>
    <t>9-12</t>
  </si>
  <si>
    <t>&gt;12</t>
  </si>
  <si>
    <t>Total</t>
  </si>
  <si>
    <t>3. Unit economics</t>
  </si>
  <si>
    <t>Expected repossession costs per car, excl. remarketing</t>
  </si>
  <si>
    <t>Expected remarketing costs</t>
  </si>
  <si>
    <t>Average</t>
  </si>
  <si>
    <t>% of RV</t>
  </si>
  <si>
    <t>Value chain step</t>
  </si>
  <si>
    <t>Cost type</t>
  </si>
  <si>
    <t>per car data</t>
  </si>
  <si>
    <t>€ (% of RV for remarketing)</t>
  </si>
  <si>
    <t>Lower bound</t>
  </si>
  <si>
    <t>Upper bound</t>
  </si>
  <si>
    <t>Legal repossession</t>
  </si>
  <si>
    <t>Commission to repossession agent</t>
  </si>
  <si>
    <t>Asset recovery</t>
  </si>
  <si>
    <t>Fixed fee pre-negotiated with repossession agent depending on car location</t>
  </si>
  <si>
    <t>Storage</t>
  </si>
  <si>
    <t>Rent for outdoor lot with surveillance for ~60-90 days</t>
  </si>
  <si>
    <t>Inspection</t>
  </si>
  <si>
    <t>Fixed fee pre-negotiated with de-fleeting company for inspection and market value estimation</t>
  </si>
  <si>
    <t>Remarketing</t>
  </si>
  <si>
    <t>Marketplace or dealer commission for car resale (higher for dealer)</t>
  </si>
  <si>
    <t>4. Depreciation rates</t>
  </si>
  <si>
    <t>Make</t>
  </si>
  <si>
    <t>Model</t>
  </si>
  <si>
    <t>Market Price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</si>
  <si>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</si>
  <si>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</si>
  <si>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</si>
  <si>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</si>
  <si>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</si>
  <si>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</si>
  <si>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</si>
  <si>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</si>
  <si>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</si>
  <si>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</si>
  <si>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</si>
  <si>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</si>
  <si>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</si>
  <si>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</si>
  <si>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</si>
  <si>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Scenario A: Eurobank does not develop repossession capabilities</t>
  </si>
  <si>
    <t>Initiative:</t>
  </si>
  <si>
    <t xml:space="preserve">(1) No initiative </t>
  </si>
  <si>
    <t>(2) Introduction of AA models</t>
  </si>
  <si>
    <t>(3) Evolve Bank's risk appetite</t>
  </si>
  <si>
    <t>Owner</t>
  </si>
  <si>
    <t>Metrics</t>
  </si>
  <si>
    <t>Applications disbursed, %</t>
  </si>
  <si>
    <t>Credit policy</t>
  </si>
  <si>
    <t>Applications Approved &amp; Cancelled, %</t>
  </si>
  <si>
    <t xml:space="preserve">not necessary </t>
  </si>
  <si>
    <t>Applications Counteroffer &amp; Cancelled, %</t>
  </si>
  <si>
    <t>Applications Rejected, %</t>
  </si>
  <si>
    <t xml:space="preserve">Bad rates, % </t>
  </si>
  <si>
    <t>Cost of Risk, %</t>
  </si>
  <si>
    <t>RAR, €M</t>
  </si>
  <si>
    <t>Business</t>
  </si>
  <si>
    <t>LGL</t>
  </si>
  <si>
    <t>Financing disbursements, €M</t>
  </si>
  <si>
    <t>Scenario B: Eurobank develops repossession capabilities</t>
  </si>
  <si>
    <t>Bad rates, %</t>
  </si>
  <si>
    <t>NEW ESTIMATED LGL based on RV 34% as calculated in total from excel "Repossesion Business Case"</t>
  </si>
  <si>
    <t>Car residual value, %</t>
  </si>
  <si>
    <t>Repossession business case</t>
  </si>
  <si>
    <t>Average RV used 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</si>
</sst>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22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trike/>
      <sz val="24"/>
      <color theme="1"/>
      <name val="Georgia"/>
      <family val="1"/>
    </font>
    <font>
      <b/>
      <sz val="24"/>
      <color theme="1"/>
      <name val="Georgia"/>
      <family val="1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FF0000"/>
      <name val="Arial"/>
      <family val="2"/>
    </font>
    <font>
      <b/>
      <sz val="11"/>
      <color rgb="FF003366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i/>
      <sz val="11"/>
      <color rgb="FF003366"/>
      <name val="Arial"/>
      <family val="2"/>
    </font>
    <font>
      <b/>
      <sz val="11"/>
      <color theme="0"/>
      <name val="Aptos Narrow"/>
      <family val="2"/>
      <charset val="161"/>
      <scheme val="minor"/>
    </font>
    <font>
      <b/>
      <sz val="11"/>
      <color rgb="FF003366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9"/>
      <color indexed="8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15">
    <xf numFmtId="0" fontId="0" fillId="0" borderId="0" xfId="0"/>
    <xf numFmtId="0" fontId="4" fillId="2" borderId="1" xfId="0" applyFont="1" applyFill="1" applyBorder="1"/>
    <xf numFmtId="0" fontId="5" fillId="2" borderId="1" xfId="0" applyFont="1" applyFill="1" applyBorder="1"/>
    <xf numFmtId="0" fontId="6" fillId="2" borderId="0" xfId="2" applyFont="1" applyFill="1"/>
    <xf numFmtId="0" fontId="7" fillId="3" borderId="0" xfId="2" applyFont="1" applyFill="1"/>
    <xf numFmtId="0" fontId="6" fillId="3" borderId="0" xfId="2" applyFont="1" applyFill="1"/>
    <xf numFmtId="0" fontId="6" fillId="0" borderId="0" xfId="0" applyFont="1"/>
    <xf numFmtId="0" fontId="8" fillId="0" borderId="2" xfId="0" applyFont="1" applyBorder="1"/>
    <xf numFmtId="3" fontId="9" fillId="0" borderId="2" xfId="0" applyNumberFormat="1" applyFont="1" applyBorder="1"/>
    <xf numFmtId="9" fontId="6" fillId="0" borderId="0" xfId="0" applyNumberFormat="1" applyFont="1"/>
    <xf numFmtId="3" fontId="9" fillId="4" borderId="2" xfId="0" applyNumberFormat="1" applyFont="1" applyFill="1" applyBorder="1"/>
    <xf numFmtId="0" fontId="10" fillId="0" borderId="0" xfId="0" applyFont="1"/>
    <xf numFmtId="0" fontId="7" fillId="5" borderId="3" xfId="0" applyFont="1" applyFill="1" applyBorder="1" applyAlignment="1">
      <alignment wrapText="1"/>
    </xf>
    <xf numFmtId="0" fontId="7" fillId="5" borderId="2" xfId="0" applyFont="1" applyFill="1" applyBorder="1" applyAlignment="1">
      <alignment wrapText="1"/>
    </xf>
    <xf numFmtId="0" fontId="11" fillId="6" borderId="2" xfId="0" applyFont="1" applyFill="1" applyBorder="1" applyAlignment="1">
      <alignment wrapText="1"/>
    </xf>
    <xf numFmtId="0" fontId="11" fillId="6" borderId="3" xfId="0" applyFont="1" applyFill="1" applyBorder="1" applyAlignment="1">
      <alignment wrapText="1"/>
    </xf>
    <xf numFmtId="0" fontId="11" fillId="6" borderId="2" xfId="0" applyFont="1" applyFill="1" applyBorder="1"/>
    <xf numFmtId="0" fontId="11" fillId="6" borderId="3" xfId="0" applyFont="1" applyFill="1" applyBorder="1"/>
    <xf numFmtId="0" fontId="8" fillId="0" borderId="4" xfId="0" applyFont="1" applyBorder="1"/>
    <xf numFmtId="0" fontId="9" fillId="0" borderId="2" xfId="0" applyFont="1" applyBorder="1"/>
    <xf numFmtId="164" fontId="9" fillId="0" borderId="3" xfId="0" applyNumberFormat="1" applyFont="1" applyBorder="1"/>
    <xf numFmtId="3" fontId="8" fillId="2" borderId="2" xfId="0" applyNumberFormat="1" applyFont="1" applyFill="1" applyBorder="1"/>
    <xf numFmtId="9" fontId="9" fillId="4" borderId="2" xfId="0" applyNumberFormat="1" applyFont="1" applyFill="1" applyBorder="1"/>
    <xf numFmtId="9" fontId="8" fillId="2" borderId="2" xfId="0" applyNumberFormat="1" applyFont="1" applyFill="1" applyBorder="1"/>
    <xf numFmtId="0" fontId="8" fillId="0" borderId="5" xfId="0" applyFont="1" applyBorder="1"/>
    <xf numFmtId="0" fontId="9" fillId="0" borderId="5" xfId="0" applyFont="1" applyBorder="1"/>
    <xf numFmtId="164" fontId="8" fillId="0" borderId="5" xfId="0" applyNumberFormat="1" applyFont="1" applyBorder="1"/>
    <xf numFmtId="3" fontId="8" fillId="2" borderId="5" xfId="0" applyNumberFormat="1" applyFont="1" applyFill="1" applyBorder="1"/>
    <xf numFmtId="9" fontId="9" fillId="4" borderId="5" xfId="0" applyNumberFormat="1" applyFont="1" applyFill="1" applyBorder="1"/>
    <xf numFmtId="3" fontId="9" fillId="4" borderId="5" xfId="0" applyNumberFormat="1" applyFont="1" applyFill="1" applyBorder="1"/>
    <xf numFmtId="9" fontId="8" fillId="2" borderId="5" xfId="0" applyNumberFormat="1" applyFont="1" applyFill="1" applyBorder="1"/>
    <xf numFmtId="9" fontId="12" fillId="0" borderId="0" xfId="0" applyNumberFormat="1" applyFont="1"/>
    <xf numFmtId="0" fontId="8" fillId="0" borderId="0" xfId="0" applyFont="1"/>
    <xf numFmtId="165" fontId="9" fillId="0" borderId="4" xfId="0" applyNumberFormat="1" applyFont="1" applyBorder="1"/>
    <xf numFmtId="164" fontId="9" fillId="0" borderId="4" xfId="0" applyNumberFormat="1" applyFont="1" applyBorder="1"/>
    <xf numFmtId="3" fontId="8" fillId="0" borderId="4" xfId="0" applyNumberFormat="1" applyFont="1" applyBorder="1"/>
    <xf numFmtId="9" fontId="9" fillId="4" borderId="0" xfId="0" applyNumberFormat="1" applyFont="1" applyFill="1"/>
    <xf numFmtId="3" fontId="8" fillId="0" borderId="0" xfId="0" applyNumberFormat="1" applyFont="1"/>
    <xf numFmtId="3" fontId="9" fillId="4" borderId="4" xfId="0" applyNumberFormat="1" applyFont="1" applyFill="1" applyBorder="1"/>
    <xf numFmtId="9" fontId="8" fillId="0" borderId="4" xfId="0" applyNumberFormat="1" applyFont="1" applyBorder="1"/>
    <xf numFmtId="3" fontId="8" fillId="0" borderId="5" xfId="0" applyNumberFormat="1" applyFont="1" applyBorder="1"/>
    <xf numFmtId="9" fontId="8" fillId="0" borderId="5" xfId="0" applyNumberFormat="1" applyFont="1" applyBorder="1"/>
    <xf numFmtId="0" fontId="8" fillId="0" borderId="6" xfId="0" applyFont="1" applyBorder="1"/>
    <xf numFmtId="0" fontId="8" fillId="0" borderId="6" xfId="0" quotePrefix="1" applyFont="1" applyBorder="1"/>
    <xf numFmtId="165" fontId="9" fillId="0" borderId="6" xfId="0" applyNumberFormat="1" applyFont="1" applyBorder="1"/>
    <xf numFmtId="164" fontId="9" fillId="0" borderId="6" xfId="0" applyNumberFormat="1" applyFont="1" applyBorder="1"/>
    <xf numFmtId="3" fontId="8" fillId="0" borderId="6" xfId="0" applyNumberFormat="1" applyFont="1" applyBorder="1"/>
    <xf numFmtId="9" fontId="9" fillId="4" borderId="6" xfId="0" applyNumberFormat="1" applyFont="1" applyFill="1" applyBorder="1"/>
    <xf numFmtId="3" fontId="9" fillId="4" borderId="6" xfId="0" applyNumberFormat="1" applyFont="1" applyFill="1" applyBorder="1"/>
    <xf numFmtId="9" fontId="8" fillId="0" borderId="6" xfId="0" applyNumberFormat="1" applyFont="1" applyBorder="1"/>
    <xf numFmtId="164" fontId="13" fillId="7" borderId="2" xfId="0" applyNumberFormat="1" applyFont="1" applyFill="1" applyBorder="1"/>
    <xf numFmtId="4" fontId="6" fillId="0" borderId="0" xfId="0" applyNumberFormat="1" applyFont="1"/>
    <xf numFmtId="0" fontId="13" fillId="0" borderId="4" xfId="0" applyFont="1" applyBorder="1"/>
    <xf numFmtId="3" fontId="13" fillId="8" borderId="4" xfId="0" applyNumberFormat="1" applyFont="1" applyFill="1" applyBorder="1"/>
    <xf numFmtId="3" fontId="13" fillId="0" borderId="4" xfId="0" applyNumberFormat="1" applyFont="1" applyBorder="1"/>
    <xf numFmtId="0" fontId="8" fillId="8" borderId="4" xfId="0" applyFont="1" applyFill="1" applyBorder="1"/>
    <xf numFmtId="0" fontId="8" fillId="8" borderId="2" xfId="0" applyFont="1" applyFill="1" applyBorder="1"/>
    <xf numFmtId="165" fontId="6" fillId="2" borderId="0" xfId="2" applyNumberFormat="1" applyFont="1" applyFill="1"/>
    <xf numFmtId="3" fontId="6" fillId="2" borderId="0" xfId="2" applyNumberFormat="1" applyFont="1" applyFill="1"/>
    <xf numFmtId="164" fontId="6" fillId="2" borderId="0" xfId="2" applyNumberFormat="1" applyFont="1" applyFill="1"/>
    <xf numFmtId="9" fontId="12" fillId="2" borderId="0" xfId="2" applyNumberFormat="1" applyFont="1" applyFill="1"/>
    <xf numFmtId="4" fontId="6" fillId="2" borderId="0" xfId="2" applyNumberFormat="1" applyFont="1" applyFill="1"/>
    <xf numFmtId="0" fontId="7" fillId="5" borderId="3" xfId="2" applyFont="1" applyFill="1" applyBorder="1"/>
    <xf numFmtId="0" fontId="14" fillId="6" borderId="2" xfId="2" applyFont="1" applyFill="1" applyBorder="1"/>
    <xf numFmtId="0" fontId="11" fillId="6" borderId="2" xfId="2" applyFont="1" applyFill="1" applyBorder="1"/>
    <xf numFmtId="0" fontId="8" fillId="0" borderId="2" xfId="2" applyFont="1" applyBorder="1"/>
    <xf numFmtId="9" fontId="6" fillId="2" borderId="0" xfId="2" applyNumberFormat="1" applyFont="1" applyFill="1"/>
    <xf numFmtId="0" fontId="7" fillId="5" borderId="2" xfId="2" applyFont="1" applyFill="1" applyBorder="1"/>
    <xf numFmtId="0" fontId="9" fillId="0" borderId="2" xfId="2" applyFont="1" applyBorder="1"/>
    <xf numFmtId="0" fontId="8" fillId="0" borderId="5" xfId="2" applyFont="1" applyBorder="1"/>
    <xf numFmtId="0" fontId="9" fillId="0" borderId="5" xfId="2" applyFont="1" applyBorder="1"/>
    <xf numFmtId="0" fontId="13" fillId="0" borderId="4" xfId="2" applyFont="1" applyBorder="1"/>
    <xf numFmtId="9" fontId="9" fillId="0" borderId="5" xfId="2" applyNumberFormat="1" applyFont="1" applyBorder="1"/>
    <xf numFmtId="9" fontId="13" fillId="0" borderId="4" xfId="0" applyNumberFormat="1" applyFont="1" applyBorder="1"/>
    <xf numFmtId="0" fontId="7" fillId="5" borderId="2" xfId="0" applyFont="1" applyFill="1" applyBorder="1"/>
    <xf numFmtId="0" fontId="7" fillId="5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9" fontId="9" fillId="0" borderId="2" xfId="1" applyFont="1" applyBorder="1" applyAlignment="1">
      <alignment horizontal="center"/>
    </xf>
    <xf numFmtId="0" fontId="2" fillId="5" borderId="2" xfId="3" applyFont="1" applyFill="1" applyBorder="1"/>
    <xf numFmtId="0" fontId="2" fillId="5" borderId="2" xfId="3" applyFont="1" applyFill="1" applyBorder="1" applyAlignment="1">
      <alignment horizontal="center"/>
    </xf>
    <xf numFmtId="0" fontId="1" fillId="0" borderId="0" xfId="3"/>
    <xf numFmtId="0" fontId="16" fillId="6" borderId="3" xfId="3" applyFont="1" applyFill="1" applyBorder="1"/>
    <xf numFmtId="0" fontId="16" fillId="6" borderId="3" xfId="3" applyFont="1" applyFill="1" applyBorder="1" applyAlignment="1">
      <alignment horizontal="center"/>
    </xf>
    <xf numFmtId="0" fontId="16" fillId="6" borderId="0" xfId="3" applyFont="1" applyFill="1"/>
    <xf numFmtId="164" fontId="1" fillId="0" borderId="0" xfId="3" applyNumberFormat="1"/>
    <xf numFmtId="0" fontId="16" fillId="6" borderId="3" xfId="3" applyFont="1" applyFill="1" applyBorder="1" applyAlignment="1">
      <alignment horizontal="left" vertical="center"/>
    </xf>
    <xf numFmtId="0" fontId="17" fillId="0" borderId="2" xfId="3" applyFont="1" applyBorder="1"/>
    <xf numFmtId="9" fontId="18" fillId="0" borderId="2" xfId="3" applyNumberFormat="1" applyFont="1" applyBorder="1" applyAlignment="1">
      <alignment horizontal="center"/>
    </xf>
    <xf numFmtId="9" fontId="18" fillId="0" borderId="2" xfId="4" applyNumberFormat="1" applyFont="1" applyBorder="1" applyAlignment="1">
      <alignment horizontal="center"/>
    </xf>
    <xf numFmtId="0" fontId="16" fillId="6" borderId="0" xfId="3" applyFont="1" applyFill="1" applyAlignment="1">
      <alignment horizontal="left" vertical="center"/>
    </xf>
    <xf numFmtId="0" fontId="15" fillId="9" borderId="0" xfId="3" applyFont="1" applyFill="1" applyAlignment="1">
      <alignment horizontal="left" vertical="center"/>
    </xf>
    <xf numFmtId="164" fontId="18" fillId="10" borderId="2" xfId="3" applyNumberFormat="1" applyFont="1" applyFill="1" applyBorder="1" applyAlignment="1">
      <alignment horizontal="center"/>
    </xf>
    <xf numFmtId="164" fontId="18" fillId="0" borderId="2" xfId="3" applyNumberFormat="1" applyFont="1" applyBorder="1" applyAlignment="1">
      <alignment horizontal="center"/>
    </xf>
    <xf numFmtId="0" fontId="19" fillId="0" borderId="0" xfId="3" applyFont="1"/>
    <xf numFmtId="0" fontId="17" fillId="0" borderId="5" xfId="3" applyFont="1" applyBorder="1"/>
    <xf numFmtId="10" fontId="18" fillId="10" borderId="5" xfId="3" applyNumberFormat="1" applyFont="1" applyFill="1" applyBorder="1" applyAlignment="1">
      <alignment horizontal="center"/>
    </xf>
    <xf numFmtId="164" fontId="18" fillId="0" borderId="5" xfId="3" applyNumberFormat="1" applyFont="1" applyBorder="1" applyAlignment="1">
      <alignment horizontal="center"/>
    </xf>
    <xf numFmtId="164" fontId="1" fillId="7" borderId="0" xfId="3" applyNumberFormat="1" applyFill="1" applyAlignment="1">
      <alignment horizontal="left"/>
    </xf>
    <xf numFmtId="0" fontId="17" fillId="0" borderId="4" xfId="3" applyFont="1" applyBorder="1"/>
    <xf numFmtId="0" fontId="18" fillId="0" borderId="4" xfId="3" applyFont="1" applyBorder="1" applyAlignment="1">
      <alignment horizontal="center"/>
    </xf>
    <xf numFmtId="0" fontId="1" fillId="7" borderId="0" xfId="3" applyFill="1" applyAlignment="1">
      <alignment horizontal="left"/>
    </xf>
    <xf numFmtId="0" fontId="16" fillId="6" borderId="4" xfId="3" applyFont="1" applyFill="1" applyBorder="1" applyAlignment="1">
      <alignment horizontal="left" vertical="center"/>
    </xf>
    <xf numFmtId="0" fontId="18" fillId="0" borderId="2" xfId="3" applyFont="1" applyBorder="1" applyAlignment="1">
      <alignment horizontal="center"/>
    </xf>
    <xf numFmtId="0" fontId="1" fillId="0" borderId="0" xfId="3" applyAlignment="1">
      <alignment horizontal="left" vertical="center"/>
    </xf>
    <xf numFmtId="164" fontId="18" fillId="0" borderId="2" xfId="5" applyNumberFormat="1" applyFont="1" applyBorder="1" applyAlignment="1">
      <alignment horizontal="center"/>
    </xf>
    <xf numFmtId="164" fontId="20" fillId="0" borderId="2" xfId="5" applyNumberFormat="1" applyFont="1" applyBorder="1" applyAlignment="1">
      <alignment horizontal="center"/>
    </xf>
    <xf numFmtId="164" fontId="19" fillId="0" borderId="5" xfId="5" applyNumberFormat="1" applyFont="1" applyBorder="1" applyAlignment="1">
      <alignment horizontal="center"/>
    </xf>
    <xf numFmtId="10" fontId="19" fillId="0" borderId="5" xfId="5" applyNumberFormat="1" applyFont="1" applyBorder="1" applyAlignment="1">
      <alignment horizontal="center"/>
    </xf>
    <xf numFmtId="0" fontId="1" fillId="11" borderId="0" xfId="3" applyFill="1" applyAlignment="1">
      <alignment horizontal="left" vertical="center" wrapText="1"/>
    </xf>
    <xf numFmtId="9" fontId="18" fillId="11" borderId="4" xfId="3" applyNumberFormat="1" applyFont="1" applyFill="1" applyBorder="1" applyAlignment="1">
      <alignment horizontal="center"/>
    </xf>
    <xf numFmtId="164" fontId="1" fillId="11" borderId="0" xfId="3" applyNumberFormat="1" applyFill="1" applyAlignment="1">
      <alignment horizontal="left" vertical="center"/>
    </xf>
    <xf numFmtId="0" fontId="1" fillId="0" borderId="0" xfId="3" applyAlignment="1">
      <alignment horizontal="center"/>
    </xf>
    <xf numFmtId="0" fontId="12" fillId="0" borderId="0" xfId="0" applyFont="1"/>
    <xf numFmtId="9" fontId="8" fillId="0" borderId="2" xfId="2" applyNumberFormat="1" applyFont="1" applyBorder="1"/>
  </cellXfs>
  <cellStyles count="6">
    <cellStyle name="Normal" xfId="0" builtinId="0"/>
    <cellStyle name="Normal 2 2" xfId="4" xr:uid="{C4709D9E-E6C1-43B3-AAC6-34406CB757B7}"/>
    <cellStyle name="Normal 3" xfId="2" xr:uid="{BAD5531C-AB89-42BC-A6D1-872DD81CDB36}"/>
    <cellStyle name="Normal 4" xfId="3" xr:uid="{391E3FA5-4AF3-4B20-BEF9-65102CFBFFF4}"/>
    <cellStyle name="Percent" xfId="1" builtinId="5"/>
    <cellStyle name="Percent 2" xfId="5" xr:uid="{B9FBAC6C-12FE-4E0B-95EF-FA94828014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6</xdr:col>
      <xdr:colOff>1076598</xdr:colOff>
      <xdr:row>51</xdr:row>
      <xdr:rowOff>109362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7B664D-19E7-48DA-8374-A2439F069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0" y="4775200"/>
          <a:ext cx="12233548" cy="47131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sematika Kyriaki" id="{12BA1585-8537-4AB2-A345-C1E8240B6E19}" userId="S::kpsematika@eurobank.gr::7866e73e-89f0-4abb-a556-f92f299a335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7-17T11:15:28.55" personId="{12BA1585-8537-4AB2-A345-C1E8240B6E19}" id="{A1EF904F-EDF7-4BEA-8D2E-60DE67B6F49C}">
    <text>mob 18 at 2023 after policy mitigation actions as shown in the below PBI image</text>
  </threadedComment>
  <threadedComment ref="E8" dT="2025-07-15T12:34:24.44" personId="{12BA1585-8537-4AB2-A345-C1E8240B6E19}" id="{30CEA22F-2B1D-47F9-80AD-9D58B241AFE3}">
    <text>Minor increase is estimated, like total bad rate of 2022 when no mandatory downpayment was in place (see PBI image below).</text>
  </threadedComment>
  <threadedComment ref="F8" dT="2025-07-15T12:37:47.85" personId="{12BA1585-8537-4AB2-A345-C1E8240B6E19}" id="{B7C47BB5-672A-49DB-B8CF-FF931A6287D8}">
    <text>Taking into account that more high risk customers will be approved, we assume that the bad rate of them (10,7% below PBI image) will constitute the total bad rate</text>
  </threadedComment>
  <threadedComment ref="D9" dT="2025-07-17T11:16:15.52" personId="{12BA1585-8537-4AB2-A345-C1E8240B6E19}" id="{0C3EF668-5238-4C9F-9B29-FA317A7D6022}">
    <text>From Retail Finance tables (vintage 18 of 2023 used cars)</text>
  </threadedComment>
  <threadedComment ref="D20" dT="2025-07-17T11:19:55.43" personId="{12BA1585-8537-4AB2-A345-C1E8240B6E19}" id="{81BA61C4-0BC6-4FF4-9FE1-F94F617EE79C}">
    <text>= bad rate * new LGL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2324-0D27-4DD2-82EC-FD58E425BB03}">
  <sheetPr>
    <tabColor theme="1"/>
  </sheetPr>
  <dimension ref="A1:U40"/>
  <sheetViews>
    <sheetView showGridLines="0" tabSelected="1" zoomScale="85" zoomScaleNormal="85" workbookViewId="0"/>
  </sheetViews>
  <sheetFormatPr defaultColWidth="8.7265625" defaultRowHeight="14" x14ac:dyDescent="0.3"/>
  <cols>
    <col min="1" max="1" width="2.54296875" style="6" customWidth="1"/>
    <col min="2" max="2" width="55.26953125" style="6" bestFit="1" customWidth="1"/>
    <col min="3" max="3" width="20.81640625" style="6" customWidth="1"/>
    <col min="4" max="4" width="28.1796875" style="6" bestFit="1" customWidth="1"/>
    <col min="5" max="5" width="22.54296875" style="6" bestFit="1" customWidth="1"/>
    <col min="6" max="6" width="23.7265625" style="6" customWidth="1"/>
    <col min="7" max="7" width="22" style="6" customWidth="1"/>
    <col min="8" max="8" width="19.7265625" style="6" bestFit="1" customWidth="1"/>
    <col min="9" max="9" width="25.453125" style="6" bestFit="1" customWidth="1"/>
    <col min="10" max="10" width="21.81640625" style="6" bestFit="1" customWidth="1"/>
    <col min="11" max="11" width="15.1796875" style="6" bestFit="1" customWidth="1"/>
    <col min="12" max="12" width="18.1796875" style="6" bestFit="1" customWidth="1"/>
    <col min="13" max="13" width="15.08984375" style="6" customWidth="1"/>
    <col min="14" max="14" width="13.7265625" style="6" customWidth="1"/>
    <col min="15" max="15" width="15.26953125" style="6" customWidth="1"/>
    <col min="16" max="16" width="23.54296875" style="6" bestFit="1" customWidth="1"/>
    <col min="17" max="17" width="29.81640625" style="6" bestFit="1" customWidth="1"/>
    <col min="18" max="18" width="37.81640625" style="6" bestFit="1" customWidth="1"/>
    <col min="19" max="19" width="8.7265625" style="6"/>
    <col min="20" max="20" width="23.54296875" style="6" bestFit="1" customWidth="1"/>
    <col min="21" max="16384" width="8.7265625" style="6"/>
  </cols>
  <sheetData>
    <row r="1" spans="1:21" s="2" customFormat="1" ht="30.65" customHeight="1" thickBot="1" x14ac:dyDescent="0.65">
      <c r="A1" s="1"/>
      <c r="B1" s="2" t="s">
        <v>99</v>
      </c>
    </row>
    <row r="3" spans="1:21" s="5" customFormat="1" x14ac:dyDescent="0.3">
      <c r="A3" s="3"/>
      <c r="B3" s="4" t="s">
        <v>0</v>
      </c>
    </row>
    <row r="5" spans="1:21" x14ac:dyDescent="0.3">
      <c r="B5" s="7" t="s">
        <v>1</v>
      </c>
      <c r="C5" s="8">
        <v>30000</v>
      </c>
      <c r="D5" s="9"/>
    </row>
    <row r="6" spans="1:21" x14ac:dyDescent="0.3">
      <c r="B6" s="7" t="s">
        <v>2</v>
      </c>
      <c r="C6" s="10">
        <v>2</v>
      </c>
    </row>
    <row r="8" spans="1:21" s="5" customFormat="1" x14ac:dyDescent="0.3">
      <c r="A8" s="3"/>
      <c r="B8" s="4" t="s">
        <v>3</v>
      </c>
    </row>
    <row r="9" spans="1:21" ht="14.5" x14ac:dyDescent="0.35">
      <c r="G9" s="11"/>
    </row>
    <row r="10" spans="1:21" ht="42" x14ac:dyDescent="0.3">
      <c r="B10" s="12" t="s">
        <v>4</v>
      </c>
      <c r="C10" s="12" t="s">
        <v>5</v>
      </c>
      <c r="D10" s="12" t="s">
        <v>6</v>
      </c>
      <c r="E10" s="12" t="s">
        <v>7</v>
      </c>
      <c r="F10" s="12" t="s">
        <v>8</v>
      </c>
      <c r="G10" s="12" t="s">
        <v>9</v>
      </c>
      <c r="H10" s="12" t="s">
        <v>10</v>
      </c>
      <c r="I10" s="12" t="s">
        <v>11</v>
      </c>
      <c r="J10" s="13" t="s">
        <v>12</v>
      </c>
      <c r="K10" s="12" t="s">
        <v>13</v>
      </c>
      <c r="L10" s="12" t="s">
        <v>14</v>
      </c>
      <c r="M10" s="12" t="s">
        <v>15</v>
      </c>
      <c r="N10" s="13" t="s">
        <v>16</v>
      </c>
      <c r="O10" s="12" t="s">
        <v>17</v>
      </c>
      <c r="P10" s="12" t="s">
        <v>18</v>
      </c>
      <c r="Q10" s="13" t="s">
        <v>19</v>
      </c>
      <c r="R10" s="13" t="s">
        <v>20</v>
      </c>
    </row>
    <row r="11" spans="1:21" x14ac:dyDescent="0.3">
      <c r="B11" s="14"/>
      <c r="C11" s="14" t="s">
        <v>21</v>
      </c>
      <c r="D11" s="14" t="s">
        <v>21</v>
      </c>
      <c r="E11" s="14"/>
      <c r="F11" s="15" t="s">
        <v>22</v>
      </c>
      <c r="G11" s="15" t="s">
        <v>23</v>
      </c>
      <c r="H11" s="14" t="s">
        <v>24</v>
      </c>
      <c r="I11" s="15" t="s">
        <v>23</v>
      </c>
      <c r="J11" s="16" t="s">
        <v>24</v>
      </c>
      <c r="K11" s="15" t="s">
        <v>21</v>
      </c>
      <c r="L11" s="15" t="s">
        <v>25</v>
      </c>
      <c r="M11" s="15" t="s">
        <v>21</v>
      </c>
      <c r="N11" s="17" t="s">
        <v>23</v>
      </c>
      <c r="O11" s="17" t="s">
        <v>26</v>
      </c>
      <c r="P11" s="15" t="s">
        <v>26</v>
      </c>
      <c r="Q11" s="14" t="s">
        <v>26</v>
      </c>
      <c r="R11" s="17" t="s">
        <v>23</v>
      </c>
    </row>
    <row r="12" spans="1:21" x14ac:dyDescent="0.3">
      <c r="B12" s="18" t="s">
        <v>27</v>
      </c>
      <c r="C12" s="7" t="s">
        <v>28</v>
      </c>
      <c r="D12" s="7">
        <v>0</v>
      </c>
      <c r="E12" s="18" t="s">
        <v>29</v>
      </c>
      <c r="F12" s="19">
        <v>20</v>
      </c>
      <c r="G12" s="20">
        <v>1.2E-2</v>
      </c>
      <c r="H12" s="21">
        <f t="shared" ref="H12:H17" si="0">F12*G12*1000</f>
        <v>240</v>
      </c>
      <c r="I12" s="22">
        <v>0.85</v>
      </c>
      <c r="J12" s="21">
        <f t="shared" ref="J12:J17" si="1">I12*H12</f>
        <v>204</v>
      </c>
      <c r="K12" s="21">
        <f t="shared" ref="K12:K17" si="2">D12+$C$6</f>
        <v>2</v>
      </c>
      <c r="L12" s="10">
        <v>10</v>
      </c>
      <c r="M12" s="21">
        <f t="shared" ref="M12:M17" si="3">ROUND(K12+L12/12, 0)</f>
        <v>3</v>
      </c>
      <c r="N12" s="23">
        <f t="shared" ref="N12:N17" si="4">1+HLOOKUP("Y"&amp;M12,$E$39:$S$40, 2, FALSE)</f>
        <v>0.70526660608989489</v>
      </c>
      <c r="O12" s="21">
        <f t="shared" ref="O12:O17" si="5">N12*$C$5</f>
        <v>21157.998182696847</v>
      </c>
      <c r="P12" s="21">
        <f>INDEX('2024 business case'!$C$24:$C$25, MATCH($E12, '2024 business case'!$B$24:$B$25,0))+INDEX('2024 business case'!$D$24:$D$25, MATCH($E12, '2024 business case'!$B$24:$B$25,0))*$O12</f>
        <v>2452.8999091348423</v>
      </c>
      <c r="Q12" s="21">
        <f>O12*I12-P12</f>
        <v>15531.398546157478</v>
      </c>
      <c r="R12" s="23">
        <f>Q12/$C$5</f>
        <v>0.51771328487191592</v>
      </c>
    </row>
    <row r="13" spans="1:21" x14ac:dyDescent="0.3">
      <c r="B13" s="24" t="s">
        <v>27</v>
      </c>
      <c r="C13" s="24" t="s">
        <v>28</v>
      </c>
      <c r="D13" s="24">
        <v>0</v>
      </c>
      <c r="E13" s="24" t="s">
        <v>30</v>
      </c>
      <c r="F13" s="25">
        <v>0</v>
      </c>
      <c r="G13" s="26">
        <f>G12</f>
        <v>1.2E-2</v>
      </c>
      <c r="H13" s="27">
        <f t="shared" si="0"/>
        <v>0</v>
      </c>
      <c r="I13" s="28">
        <v>1</v>
      </c>
      <c r="J13" s="27">
        <f t="shared" si="1"/>
        <v>0</v>
      </c>
      <c r="K13" s="27">
        <f t="shared" si="2"/>
        <v>2</v>
      </c>
      <c r="L13" s="29">
        <v>1</v>
      </c>
      <c r="M13" s="27">
        <f t="shared" si="3"/>
        <v>2</v>
      </c>
      <c r="N13" s="30">
        <f t="shared" si="4"/>
        <v>0.79183011914512724</v>
      </c>
      <c r="O13" s="27">
        <f t="shared" si="5"/>
        <v>23754.903574353819</v>
      </c>
      <c r="P13" s="27">
        <f>INDEX('2024 business case'!$C$24:$C$25, MATCH($E13, '2024 business case'!$B$24:$B$25,0))+INDEX('2024 business case'!$D$24:$D$25, MATCH($E13, '2024 business case'!$B$24:$B$25,0))*$O13</f>
        <v>1907.745178717691</v>
      </c>
      <c r="Q13" s="27">
        <f t="shared" ref="Q13:Q17" si="6">O13*I13-P13</f>
        <v>21847.158395636128</v>
      </c>
      <c r="R13" s="30">
        <f t="shared" ref="R13:R15" si="7">Q13/$C$5</f>
        <v>0.72823861318787098</v>
      </c>
      <c r="T13" s="31"/>
      <c r="U13" s="9"/>
    </row>
    <row r="14" spans="1:21" x14ac:dyDescent="0.3">
      <c r="B14" s="32" t="s">
        <v>31</v>
      </c>
      <c r="C14" s="32" t="s">
        <v>32</v>
      </c>
      <c r="D14" s="32">
        <v>3</v>
      </c>
      <c r="E14" s="32" t="s">
        <v>29</v>
      </c>
      <c r="F14" s="33">
        <v>2.1</v>
      </c>
      <c r="G14" s="34">
        <v>8.0000000000000002E-3</v>
      </c>
      <c r="H14" s="35">
        <f t="shared" si="0"/>
        <v>16.8</v>
      </c>
      <c r="I14" s="36">
        <v>0.85</v>
      </c>
      <c r="J14" s="37">
        <f t="shared" si="1"/>
        <v>14.28</v>
      </c>
      <c r="K14" s="35">
        <f t="shared" si="2"/>
        <v>5</v>
      </c>
      <c r="L14" s="38">
        <v>10</v>
      </c>
      <c r="M14" s="35">
        <f t="shared" si="3"/>
        <v>6</v>
      </c>
      <c r="N14" s="39">
        <f t="shared" si="4"/>
        <v>0.51907501887431873</v>
      </c>
      <c r="O14" s="35">
        <f t="shared" si="5"/>
        <v>15572.250566229563</v>
      </c>
      <c r="P14" s="35">
        <f>INDEX('2024 business case'!$C$24:$C$25, MATCH($E14, '2024 business case'!$B$24:$B$25,0))+INDEX('2024 business case'!$D$24:$D$25, MATCH($E14, '2024 business case'!$B$24:$B$25,0))*$O14</f>
        <v>2173.6125283114779</v>
      </c>
      <c r="Q14" s="35">
        <f t="shared" si="6"/>
        <v>11062.800452983651</v>
      </c>
      <c r="R14" s="39">
        <f t="shared" si="7"/>
        <v>0.36876001509945505</v>
      </c>
    </row>
    <row r="15" spans="1:21" x14ac:dyDescent="0.3">
      <c r="B15" s="24" t="s">
        <v>31</v>
      </c>
      <c r="C15" s="24" t="s">
        <v>32</v>
      </c>
      <c r="D15" s="24">
        <v>3</v>
      </c>
      <c r="E15" s="24" t="s">
        <v>30</v>
      </c>
      <c r="F15" s="25">
        <v>0</v>
      </c>
      <c r="G15" s="26">
        <f>G14</f>
        <v>8.0000000000000002E-3</v>
      </c>
      <c r="H15" s="40">
        <f t="shared" si="0"/>
        <v>0</v>
      </c>
      <c r="I15" s="28">
        <v>1</v>
      </c>
      <c r="J15" s="40">
        <f t="shared" si="1"/>
        <v>0</v>
      </c>
      <c r="K15" s="40">
        <f t="shared" si="2"/>
        <v>5</v>
      </c>
      <c r="L15" s="29">
        <v>1</v>
      </c>
      <c r="M15" s="40">
        <f t="shared" si="3"/>
        <v>5</v>
      </c>
      <c r="N15" s="41">
        <f t="shared" si="4"/>
        <v>0.57089112358220762</v>
      </c>
      <c r="O15" s="40">
        <f t="shared" si="5"/>
        <v>17126.733707466228</v>
      </c>
      <c r="P15" s="40">
        <f>INDEX('2024 business case'!$C$24:$C$25, MATCH($E15, '2024 business case'!$B$24:$B$25,0))+INDEX('2024 business case'!$D$24:$D$25, MATCH($E15, '2024 business case'!$B$24:$B$25,0))*$O15</f>
        <v>1576.3366853733114</v>
      </c>
      <c r="Q15" s="40">
        <f t="shared" si="6"/>
        <v>15550.397022092917</v>
      </c>
      <c r="R15" s="41">
        <f t="shared" si="7"/>
        <v>0.51834656740309726</v>
      </c>
      <c r="T15" s="113" t="s">
        <v>100</v>
      </c>
    </row>
    <row r="16" spans="1:21" x14ac:dyDescent="0.3">
      <c r="B16" s="42" t="s">
        <v>31</v>
      </c>
      <c r="C16" s="43" t="s">
        <v>33</v>
      </c>
      <c r="D16" s="42">
        <v>6</v>
      </c>
      <c r="E16" s="42" t="s">
        <v>29</v>
      </c>
      <c r="F16" s="44">
        <v>2.7</v>
      </c>
      <c r="G16" s="45">
        <v>3.5999999999999997E-2</v>
      </c>
      <c r="H16" s="46">
        <f t="shared" si="0"/>
        <v>97.199999999999989</v>
      </c>
      <c r="I16" s="47">
        <v>0.85</v>
      </c>
      <c r="J16" s="46">
        <f t="shared" si="1"/>
        <v>82.61999999999999</v>
      </c>
      <c r="K16" s="46">
        <f t="shared" si="2"/>
        <v>8</v>
      </c>
      <c r="L16" s="48">
        <v>10</v>
      </c>
      <c r="M16" s="46">
        <f t="shared" si="3"/>
        <v>9</v>
      </c>
      <c r="N16" s="49">
        <f>1+HLOOKUP("Y"&amp;M16,$E$39:$S$40, 2, FALSE)</f>
        <v>0.40108843940186911</v>
      </c>
      <c r="O16" s="46">
        <f t="shared" si="5"/>
        <v>12032.653182056074</v>
      </c>
      <c r="P16" s="46">
        <f>INDEX('2024 business case'!$C$24:$C$25, MATCH($E16, '2024 business case'!$B$24:$B$25,0))+INDEX('2024 business case'!$D$24:$D$25, MATCH($E16, '2024 business case'!$B$24:$B$25,0))*$O16</f>
        <v>1996.6326591028037</v>
      </c>
      <c r="Q16" s="46">
        <f t="shared" si="6"/>
        <v>8231.1225456448592</v>
      </c>
      <c r="R16" s="49">
        <f>Q16/$C$5</f>
        <v>0.27437075152149532</v>
      </c>
      <c r="T16" s="50">
        <f>SUMPRODUCT(R14:R17,F14:F17)/SUM(F14:F17)</f>
        <v>0.29079301014535258</v>
      </c>
    </row>
    <row r="17" spans="1:21" x14ac:dyDescent="0.3">
      <c r="B17" s="42" t="s">
        <v>31</v>
      </c>
      <c r="C17" s="42" t="s">
        <v>34</v>
      </c>
      <c r="D17" s="42">
        <v>9</v>
      </c>
      <c r="E17" s="42" t="s">
        <v>29</v>
      </c>
      <c r="F17" s="44">
        <v>1.2</v>
      </c>
      <c r="G17" s="45">
        <v>2.8000000000000001E-2</v>
      </c>
      <c r="H17" s="46">
        <f t="shared" si="0"/>
        <v>33.6</v>
      </c>
      <c r="I17" s="47">
        <v>0.85</v>
      </c>
      <c r="J17" s="46">
        <f t="shared" si="1"/>
        <v>28.56</v>
      </c>
      <c r="K17" s="46">
        <f t="shared" si="2"/>
        <v>11</v>
      </c>
      <c r="L17" s="48">
        <v>10</v>
      </c>
      <c r="M17" s="46">
        <f t="shared" si="3"/>
        <v>12</v>
      </c>
      <c r="N17" s="49">
        <f t="shared" si="4"/>
        <v>0.29725104172419037</v>
      </c>
      <c r="O17" s="46">
        <f t="shared" si="5"/>
        <v>8917.5312517257116</v>
      </c>
      <c r="P17" s="46">
        <f>INDEX('2024 business case'!$C$24:$C$25, MATCH($E17, '2024 business case'!$B$24:$B$25,0))+INDEX('2024 business case'!$D$24:$D$25, MATCH($E17, '2024 business case'!$B$24:$B$25,0))*$O17</f>
        <v>1840.8765625862857</v>
      </c>
      <c r="Q17" s="46">
        <f t="shared" si="6"/>
        <v>5739.0250013805689</v>
      </c>
      <c r="R17" s="49">
        <f>Q17/$C$5</f>
        <v>0.1913008333793523</v>
      </c>
      <c r="T17" s="51"/>
      <c r="U17" s="9"/>
    </row>
    <row r="18" spans="1:21" x14ac:dyDescent="0.3">
      <c r="B18" s="52" t="s">
        <v>35</v>
      </c>
      <c r="C18" s="53"/>
      <c r="D18" s="53"/>
      <c r="E18" s="53"/>
      <c r="F18" s="54">
        <f>SUM(F12:F17)</f>
        <v>26</v>
      </c>
      <c r="G18" s="35"/>
      <c r="H18" s="54">
        <f>SUM(H12:H17)</f>
        <v>387.6</v>
      </c>
      <c r="I18" s="53"/>
      <c r="J18" s="54">
        <f>SUM(J12:J17)</f>
        <v>329.46</v>
      </c>
      <c r="K18" s="53"/>
      <c r="L18" s="55"/>
      <c r="M18" s="53"/>
      <c r="N18" s="56"/>
      <c r="O18" s="55"/>
      <c r="P18" s="55"/>
      <c r="Q18" s="55"/>
      <c r="R18" s="55"/>
      <c r="T18" s="31"/>
      <c r="U18" s="51"/>
    </row>
    <row r="20" spans="1:21" s="5" customFormat="1" x14ac:dyDescent="0.3">
      <c r="A20" s="3"/>
      <c r="B20" s="4" t="s">
        <v>36</v>
      </c>
    </row>
    <row r="21" spans="1:21" s="3" customFormat="1" x14ac:dyDescent="0.3">
      <c r="F21" s="57"/>
      <c r="G21" s="58"/>
      <c r="H21" s="59"/>
      <c r="I21" s="60"/>
      <c r="M21" s="61">
        <f>SUMPRODUCT(M14:M17,F14:F17)/SUM(F14:F17)</f>
        <v>8.5499999999999989</v>
      </c>
    </row>
    <row r="22" spans="1:21" s="3" customFormat="1" x14ac:dyDescent="0.3">
      <c r="B22" s="62" t="s">
        <v>7</v>
      </c>
      <c r="C22" s="62" t="s">
        <v>37</v>
      </c>
      <c r="D22" s="62" t="s">
        <v>38</v>
      </c>
      <c r="F22" s="57"/>
      <c r="G22" s="58"/>
    </row>
    <row r="23" spans="1:21" s="3" customFormat="1" x14ac:dyDescent="0.3">
      <c r="B23" s="63" t="s">
        <v>39</v>
      </c>
      <c r="C23" s="64" t="s">
        <v>26</v>
      </c>
      <c r="D23" s="64" t="s">
        <v>40</v>
      </c>
      <c r="F23" s="57"/>
      <c r="G23" s="58"/>
    </row>
    <row r="24" spans="1:21" s="3" customFormat="1" x14ac:dyDescent="0.3">
      <c r="B24" s="65" t="s">
        <v>30</v>
      </c>
      <c r="C24" s="65">
        <f>AVERAGE(D33:E33)</f>
        <v>720</v>
      </c>
      <c r="D24" s="114">
        <f>AVERAGE(D34:E34)</f>
        <v>0.05</v>
      </c>
      <c r="F24" s="57"/>
      <c r="G24" s="66"/>
    </row>
    <row r="25" spans="1:21" s="3" customFormat="1" x14ac:dyDescent="0.3">
      <c r="B25" s="65" t="s">
        <v>29</v>
      </c>
      <c r="C25" s="65">
        <f>AVERAGE(F33:G33)</f>
        <v>1395</v>
      </c>
      <c r="D25" s="114">
        <f>AVERAGE(F34:G34)</f>
        <v>0.05</v>
      </c>
      <c r="F25" s="57"/>
    </row>
    <row r="26" spans="1:21" s="3" customFormat="1" x14ac:dyDescent="0.3"/>
    <row r="27" spans="1:21" s="3" customFormat="1" x14ac:dyDescent="0.3">
      <c r="B27" s="62" t="s">
        <v>41</v>
      </c>
      <c r="C27" s="62" t="s">
        <v>42</v>
      </c>
      <c r="D27" s="62" t="s">
        <v>30</v>
      </c>
      <c r="E27" s="67"/>
      <c r="F27" s="67" t="s">
        <v>29</v>
      </c>
      <c r="G27" s="67"/>
    </row>
    <row r="28" spans="1:21" s="3" customFormat="1" x14ac:dyDescent="0.3">
      <c r="B28" s="63" t="s">
        <v>43</v>
      </c>
      <c r="C28" s="64" t="s">
        <v>44</v>
      </c>
      <c r="D28" s="64" t="s">
        <v>45</v>
      </c>
      <c r="E28" s="64" t="s">
        <v>46</v>
      </c>
      <c r="F28" s="64" t="s">
        <v>45</v>
      </c>
      <c r="G28" s="64" t="s">
        <v>46</v>
      </c>
    </row>
    <row r="29" spans="1:21" s="3" customFormat="1" x14ac:dyDescent="0.3">
      <c r="B29" s="65" t="s">
        <v>47</v>
      </c>
      <c r="C29" s="65" t="s">
        <v>48</v>
      </c>
      <c r="D29" s="68">
        <v>200</v>
      </c>
      <c r="E29" s="68">
        <v>350</v>
      </c>
      <c r="F29" s="68">
        <v>900</v>
      </c>
      <c r="G29" s="68">
        <v>1000</v>
      </c>
    </row>
    <row r="30" spans="1:21" s="3" customFormat="1" x14ac:dyDescent="0.3">
      <c r="B30" s="65" t="s">
        <v>49</v>
      </c>
      <c r="C30" s="65" t="s">
        <v>50</v>
      </c>
      <c r="D30" s="68">
        <v>150</v>
      </c>
      <c r="E30" s="68">
        <v>300</v>
      </c>
      <c r="F30" s="68">
        <v>150</v>
      </c>
      <c r="G30" s="68">
        <v>300</v>
      </c>
    </row>
    <row r="31" spans="1:21" s="3" customFormat="1" x14ac:dyDescent="0.3">
      <c r="B31" s="65" t="s">
        <v>51</v>
      </c>
      <c r="C31" s="65" t="s">
        <v>52</v>
      </c>
      <c r="D31" s="68">
        <v>40</v>
      </c>
      <c r="E31" s="68">
        <v>50</v>
      </c>
      <c r="F31" s="68">
        <v>40</v>
      </c>
      <c r="G31" s="68">
        <v>50</v>
      </c>
    </row>
    <row r="32" spans="1:21" s="3" customFormat="1" x14ac:dyDescent="0.3">
      <c r="B32" s="69" t="s">
        <v>53</v>
      </c>
      <c r="C32" s="69" t="s">
        <v>54</v>
      </c>
      <c r="D32" s="70">
        <v>150</v>
      </c>
      <c r="E32" s="70">
        <v>200</v>
      </c>
      <c r="F32" s="70">
        <v>150</v>
      </c>
      <c r="G32" s="70">
        <v>200</v>
      </c>
    </row>
    <row r="33" spans="1:19" s="3" customFormat="1" x14ac:dyDescent="0.3">
      <c r="B33" s="71" t="s">
        <v>37</v>
      </c>
      <c r="C33" s="71"/>
      <c r="D33" s="71">
        <f>SUM(D29:D32)</f>
        <v>540</v>
      </c>
      <c r="E33" s="71">
        <f>SUM(E29:E32)</f>
        <v>900</v>
      </c>
      <c r="F33" s="71">
        <f>SUM(F29:F32)</f>
        <v>1240</v>
      </c>
      <c r="G33" s="71">
        <f>SUM(G29:G32)</f>
        <v>1550</v>
      </c>
    </row>
    <row r="34" spans="1:19" s="3" customFormat="1" x14ac:dyDescent="0.3">
      <c r="B34" s="69" t="s">
        <v>55</v>
      </c>
      <c r="C34" s="69" t="s">
        <v>56</v>
      </c>
      <c r="D34" s="72">
        <v>0.02</v>
      </c>
      <c r="E34" s="72">
        <v>0.08</v>
      </c>
      <c r="F34" s="72">
        <v>0.02</v>
      </c>
      <c r="G34" s="72">
        <v>0.08</v>
      </c>
    </row>
    <row r="35" spans="1:19" ht="14.5" x14ac:dyDescent="0.35">
      <c r="B35" s="52" t="s">
        <v>38</v>
      </c>
      <c r="C35" s="52"/>
      <c r="D35" s="73">
        <f>SUM(D34)</f>
        <v>0.02</v>
      </c>
      <c r="E35" s="73">
        <f>SUM(E34)</f>
        <v>0.08</v>
      </c>
      <c r="F35" s="73">
        <f>SUM(F34)</f>
        <v>0.02</v>
      </c>
      <c r="G35" s="73">
        <f>SUM(G34)</f>
        <v>0.08</v>
      </c>
      <c r="Q35"/>
    </row>
    <row r="36" spans="1:19" s="3" customFormat="1" x14ac:dyDescent="0.3"/>
    <row r="37" spans="1:19" s="5" customFormat="1" x14ac:dyDescent="0.3">
      <c r="A37" s="3"/>
      <c r="B37" s="4" t="s">
        <v>57</v>
      </c>
    </row>
    <row r="38" spans="1:19" s="3" customFormat="1" x14ac:dyDescent="0.3"/>
    <row r="39" spans="1:19" s="3" customFormat="1" x14ac:dyDescent="0.3">
      <c r="B39" s="74" t="s">
        <v>58</v>
      </c>
      <c r="C39" s="75" t="s">
        <v>59</v>
      </c>
      <c r="D39" s="75" t="s">
        <v>60</v>
      </c>
      <c r="E39" s="75" t="s">
        <v>61</v>
      </c>
      <c r="F39" s="75" t="s">
        <v>62</v>
      </c>
      <c r="G39" s="75" t="s">
        <v>63</v>
      </c>
      <c r="H39" s="75" t="s">
        <v>64</v>
      </c>
      <c r="I39" s="75" t="s">
        <v>65</v>
      </c>
      <c r="J39" s="75" t="s">
        <v>66</v>
      </c>
      <c r="K39" s="75" t="s">
        <v>67</v>
      </c>
      <c r="L39" s="75" t="s">
        <v>68</v>
      </c>
      <c r="M39" s="75" t="s">
        <v>69</v>
      </c>
      <c r="N39" s="75" t="s">
        <v>70</v>
      </c>
      <c r="O39" s="75" t="s">
        <v>71</v>
      </c>
      <c r="P39" s="75" t="s">
        <v>72</v>
      </c>
      <c r="Q39" s="75" t="s">
        <v>73</v>
      </c>
      <c r="R39" s="75" t="s">
        <v>74</v>
      </c>
      <c r="S39" s="75" t="s">
        <v>75</v>
      </c>
    </row>
    <row r="40" spans="1:19" x14ac:dyDescent="0.3">
      <c r="B40" s="19"/>
      <c r="C40" s="76"/>
      <c r="D40" s="77"/>
      <c r="E40" s="78">
        <v>-0.11779973677232466</v>
      </c>
      <c r="F40" s="78">
        <v>-0.20816988085487276</v>
      </c>
      <c r="G40" s="78">
        <v>-0.29473339391010511</v>
      </c>
      <c r="H40" s="78">
        <v>-0.36771236988850609</v>
      </c>
      <c r="I40" s="78">
        <v>-0.42910887641779244</v>
      </c>
      <c r="J40" s="78">
        <v>-0.48092498112568133</v>
      </c>
      <c r="K40" s="78">
        <v>-0.52516275163988946</v>
      </c>
      <c r="L40" s="78">
        <v>-0.56382425558813365</v>
      </c>
      <c r="M40" s="78">
        <v>-0.59891156059813089</v>
      </c>
      <c r="N40" s="78">
        <v>-0.63242673429759799</v>
      </c>
      <c r="O40" s="78">
        <v>-0.666371844314252</v>
      </c>
      <c r="P40" s="78">
        <v>-0.70274895827580963</v>
      </c>
      <c r="Q40" s="78">
        <v>-0.74356014380998769</v>
      </c>
      <c r="R40" s="78">
        <v>-0.79080746854450323</v>
      </c>
      <c r="S40" s="78">
        <v>-0.84649300010707274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63E2-B93B-4FC8-BF2A-3C837C7F7F99}">
  <sheetPr>
    <tabColor theme="1"/>
  </sheetPr>
  <dimension ref="B2:P26"/>
  <sheetViews>
    <sheetView showGridLines="0" zoomScale="66" zoomScaleNormal="85" workbookViewId="0"/>
  </sheetViews>
  <sheetFormatPr defaultRowHeight="14.5" x14ac:dyDescent="0.35"/>
  <cols>
    <col min="1" max="1" width="5" style="81" customWidth="1"/>
    <col min="2" max="2" width="27.453125" style="81" customWidth="1"/>
    <col min="3" max="3" width="41" style="81" customWidth="1"/>
    <col min="4" max="4" width="27.1796875" style="112" customWidth="1"/>
    <col min="5" max="5" width="34.453125" style="112" customWidth="1"/>
    <col min="6" max="6" width="29.6328125" style="112" bestFit="1" customWidth="1"/>
    <col min="7" max="7" width="18.1796875" style="81" customWidth="1"/>
    <col min="8" max="8" width="26.08984375" style="81" customWidth="1"/>
    <col min="9" max="9" width="39.453125" style="81" customWidth="1"/>
    <col min="10" max="16384" width="8.7265625" style="81"/>
  </cols>
  <sheetData>
    <row r="2" spans="2:16" x14ac:dyDescent="0.35">
      <c r="B2" s="79" t="s">
        <v>76</v>
      </c>
      <c r="C2" s="79"/>
      <c r="D2" s="80"/>
      <c r="E2" s="80"/>
      <c r="F2" s="80"/>
      <c r="G2" s="79"/>
    </row>
    <row r="3" spans="2:16" x14ac:dyDescent="0.35">
      <c r="B3" s="82" t="s">
        <v>77</v>
      </c>
      <c r="C3" s="82"/>
      <c r="D3" s="83" t="s">
        <v>78</v>
      </c>
      <c r="E3" s="83" t="s">
        <v>79</v>
      </c>
      <c r="F3" s="83" t="s">
        <v>80</v>
      </c>
      <c r="G3" s="84" t="s">
        <v>81</v>
      </c>
      <c r="I3" s="85"/>
    </row>
    <row r="4" spans="2:16" x14ac:dyDescent="0.35">
      <c r="B4" s="86" t="s">
        <v>82</v>
      </c>
      <c r="C4" s="87" t="s">
        <v>83</v>
      </c>
      <c r="D4" s="88">
        <v>0.37</v>
      </c>
      <c r="E4" s="88">
        <v>0.45</v>
      </c>
      <c r="F4" s="89">
        <f>100%-F5-F6-F7</f>
        <v>0.57999999999999985</v>
      </c>
      <c r="G4" s="87" t="s">
        <v>84</v>
      </c>
    </row>
    <row r="5" spans="2:16" x14ac:dyDescent="0.35">
      <c r="B5" s="90"/>
      <c r="C5" s="87" t="s">
        <v>85</v>
      </c>
      <c r="D5" s="89">
        <v>0.05</v>
      </c>
      <c r="E5" s="89">
        <v>7.0000000000000007E-2</v>
      </c>
      <c r="F5" s="89">
        <v>7.0000000000000007E-2</v>
      </c>
      <c r="G5" s="87" t="s">
        <v>84</v>
      </c>
      <c r="H5" s="91" t="s">
        <v>86</v>
      </c>
    </row>
    <row r="6" spans="2:16" x14ac:dyDescent="0.35">
      <c r="B6" s="90"/>
      <c r="C6" s="87" t="s">
        <v>87</v>
      </c>
      <c r="D6" s="89">
        <v>0.25</v>
      </c>
      <c r="E6" s="89">
        <v>0.18</v>
      </c>
      <c r="F6" s="89">
        <v>0.15</v>
      </c>
      <c r="G6" s="87" t="s">
        <v>84</v>
      </c>
      <c r="H6" s="91"/>
    </row>
    <row r="7" spans="2:16" x14ac:dyDescent="0.35">
      <c r="B7" s="90"/>
      <c r="C7" s="87" t="s">
        <v>88</v>
      </c>
      <c r="D7" s="88">
        <v>0.33</v>
      </c>
      <c r="E7" s="89">
        <v>0.3</v>
      </c>
      <c r="F7" s="89">
        <v>0.2</v>
      </c>
      <c r="G7" s="87" t="s">
        <v>84</v>
      </c>
    </row>
    <row r="8" spans="2:16" x14ac:dyDescent="0.35">
      <c r="B8" s="90"/>
      <c r="C8" s="87" t="s">
        <v>89</v>
      </c>
      <c r="D8" s="92">
        <v>2.5999999999999999E-2</v>
      </c>
      <c r="E8" s="93">
        <f>((D4*D8)+(E4-D4)*(D8*2))/E4</f>
        <v>3.0622222222222224E-2</v>
      </c>
      <c r="F8" s="93">
        <v>4.8000000000000001E-2</v>
      </c>
      <c r="G8" s="87" t="s">
        <v>84</v>
      </c>
      <c r="H8" s="94"/>
    </row>
    <row r="9" spans="2:16" x14ac:dyDescent="0.35">
      <c r="B9" s="90"/>
      <c r="C9" s="95" t="s">
        <v>90</v>
      </c>
      <c r="D9" s="96">
        <v>1.6E-2</v>
      </c>
      <c r="E9" s="97">
        <f>(D9*E8)/D8</f>
        <v>1.8844444444444445E-2</v>
      </c>
      <c r="F9" s="97">
        <f>F8*D9/D8</f>
        <v>2.9538461538461541E-2</v>
      </c>
      <c r="G9" s="95" t="s">
        <v>84</v>
      </c>
      <c r="H9" s="98">
        <f>D9/D8</f>
        <v>0.61538461538461542</v>
      </c>
      <c r="J9" s="85"/>
    </row>
    <row r="10" spans="2:16" x14ac:dyDescent="0.35">
      <c r="B10" s="90"/>
      <c r="C10" s="99" t="s">
        <v>91</v>
      </c>
      <c r="D10" s="100">
        <v>4</v>
      </c>
      <c r="E10" s="100">
        <v>8</v>
      </c>
      <c r="F10" s="100"/>
      <c r="G10" s="99" t="s">
        <v>92</v>
      </c>
      <c r="H10" s="101" t="s">
        <v>93</v>
      </c>
    </row>
    <row r="11" spans="2:16" x14ac:dyDescent="0.35">
      <c r="B11" s="102"/>
      <c r="C11" s="87" t="s">
        <v>94</v>
      </c>
      <c r="D11" s="103"/>
      <c r="E11" s="103"/>
      <c r="F11" s="103"/>
      <c r="G11" s="87" t="s">
        <v>92</v>
      </c>
      <c r="H11" s="85"/>
    </row>
    <row r="13" spans="2:16" x14ac:dyDescent="0.35">
      <c r="B13" s="79" t="s">
        <v>95</v>
      </c>
      <c r="C13" s="79"/>
      <c r="D13" s="80"/>
      <c r="E13" s="80"/>
      <c r="F13" s="80"/>
      <c r="G13" s="79"/>
      <c r="H13" s="104"/>
      <c r="I13" s="104"/>
      <c r="J13" s="104"/>
      <c r="K13" s="104"/>
      <c r="L13" s="104"/>
      <c r="M13" s="104"/>
      <c r="N13" s="104"/>
      <c r="O13" s="104"/>
      <c r="P13" s="104"/>
    </row>
    <row r="14" spans="2:16" x14ac:dyDescent="0.35">
      <c r="B14" s="82" t="s">
        <v>77</v>
      </c>
      <c r="C14" s="82"/>
      <c r="D14" s="83" t="s">
        <v>78</v>
      </c>
      <c r="E14" s="83" t="s">
        <v>79</v>
      </c>
      <c r="F14" s="83" t="s">
        <v>80</v>
      </c>
      <c r="G14" s="84" t="s">
        <v>81</v>
      </c>
      <c r="H14" s="104"/>
      <c r="I14" s="104"/>
      <c r="J14" s="104"/>
      <c r="K14" s="104"/>
      <c r="L14" s="104"/>
      <c r="M14" s="104"/>
      <c r="N14" s="104"/>
      <c r="O14" s="104"/>
      <c r="P14" s="104"/>
    </row>
    <row r="15" spans="2:16" x14ac:dyDescent="0.35">
      <c r="B15" s="86" t="s">
        <v>82</v>
      </c>
      <c r="C15" s="87" t="s">
        <v>83</v>
      </c>
      <c r="D15" s="88">
        <v>0.37</v>
      </c>
      <c r="E15" s="88">
        <v>0.45</v>
      </c>
      <c r="F15" s="88">
        <f>F4</f>
        <v>0.57999999999999985</v>
      </c>
      <c r="G15" s="87" t="s">
        <v>84</v>
      </c>
      <c r="H15" s="104"/>
      <c r="I15" s="104"/>
      <c r="J15" s="104"/>
      <c r="K15" s="104"/>
      <c r="L15" s="104"/>
      <c r="M15" s="104"/>
      <c r="N15" s="104"/>
      <c r="O15" s="104"/>
      <c r="P15" s="104"/>
    </row>
    <row r="16" spans="2:16" x14ac:dyDescent="0.35">
      <c r="B16" s="90"/>
      <c r="C16" s="87" t="s">
        <v>85</v>
      </c>
      <c r="D16" s="89">
        <v>0.05</v>
      </c>
      <c r="E16" s="89">
        <v>7.0000000000000007E-2</v>
      </c>
      <c r="F16" s="88">
        <f>F5</f>
        <v>7.0000000000000007E-2</v>
      </c>
      <c r="G16" s="87" t="s">
        <v>84</v>
      </c>
      <c r="H16" s="104"/>
      <c r="I16" s="104"/>
      <c r="J16" s="104"/>
      <c r="K16" s="104"/>
      <c r="L16" s="104"/>
      <c r="M16" s="104"/>
      <c r="N16" s="104"/>
      <c r="O16" s="104"/>
      <c r="P16" s="104"/>
    </row>
    <row r="17" spans="2:16" x14ac:dyDescent="0.35">
      <c r="B17" s="90"/>
      <c r="C17" s="87" t="s">
        <v>87</v>
      </c>
      <c r="D17" s="89">
        <v>0.25</v>
      </c>
      <c r="E17" s="89">
        <v>0.18</v>
      </c>
      <c r="F17" s="88">
        <f>F6</f>
        <v>0.15</v>
      </c>
      <c r="G17" s="87" t="s">
        <v>84</v>
      </c>
      <c r="H17" s="104"/>
      <c r="I17" s="104"/>
      <c r="J17" s="104"/>
      <c r="K17" s="104"/>
      <c r="L17" s="104"/>
      <c r="M17" s="104"/>
      <c r="N17" s="104"/>
      <c r="O17" s="104"/>
      <c r="P17" s="104"/>
    </row>
    <row r="18" spans="2:16" x14ac:dyDescent="0.35">
      <c r="B18" s="90"/>
      <c r="C18" s="87" t="s">
        <v>88</v>
      </c>
      <c r="D18" s="88">
        <v>0.33</v>
      </c>
      <c r="E18" s="89">
        <v>0.3</v>
      </c>
      <c r="F18" s="88">
        <f>F7</f>
        <v>0.2</v>
      </c>
      <c r="G18" s="87" t="s">
        <v>84</v>
      </c>
      <c r="H18" s="104"/>
      <c r="I18" s="104"/>
      <c r="J18" s="104"/>
      <c r="K18" s="104"/>
      <c r="L18" s="104"/>
      <c r="M18" s="104"/>
      <c r="N18" s="104"/>
      <c r="O18" s="104"/>
      <c r="P18" s="104"/>
    </row>
    <row r="19" spans="2:16" x14ac:dyDescent="0.35">
      <c r="B19" s="90"/>
      <c r="C19" s="87" t="s">
        <v>96</v>
      </c>
      <c r="D19" s="105">
        <v>2.5999999999999999E-2</v>
      </c>
      <c r="E19" s="105">
        <v>3.1E-2</v>
      </c>
      <c r="F19" s="106">
        <f>F8</f>
        <v>4.8000000000000001E-2</v>
      </c>
      <c r="G19" s="87" t="s">
        <v>84</v>
      </c>
      <c r="H19" s="104"/>
      <c r="I19" s="104"/>
      <c r="J19" s="104"/>
      <c r="K19" s="104"/>
      <c r="L19" s="104"/>
      <c r="M19" s="104"/>
      <c r="N19" s="104"/>
      <c r="O19" s="104"/>
      <c r="P19" s="104"/>
    </row>
    <row r="20" spans="2:16" ht="13.75" customHeight="1" x14ac:dyDescent="0.35">
      <c r="B20" s="90"/>
      <c r="C20" s="95" t="s">
        <v>90</v>
      </c>
      <c r="D20" s="107">
        <f>D19*H22</f>
        <v>8.4339999999999988E-3</v>
      </c>
      <c r="E20" s="107">
        <f>E19*H22</f>
        <v>1.0055923076923077E-2</v>
      </c>
      <c r="F20" s="108">
        <f>F19*H22</f>
        <v>1.5570461538461538E-2</v>
      </c>
      <c r="G20" s="95" t="s">
        <v>84</v>
      </c>
      <c r="H20" s="109" t="s">
        <v>97</v>
      </c>
      <c r="I20" s="109"/>
      <c r="J20" s="104"/>
      <c r="K20" s="104"/>
      <c r="L20" s="104"/>
      <c r="M20" s="104"/>
      <c r="N20" s="104"/>
      <c r="O20" s="104"/>
      <c r="P20" s="104"/>
    </row>
    <row r="21" spans="2:16" x14ac:dyDescent="0.35">
      <c r="B21" s="90"/>
      <c r="C21" s="99" t="s">
        <v>98</v>
      </c>
      <c r="D21" s="110">
        <v>0.29099999999999998</v>
      </c>
      <c r="E21" s="110">
        <v>0.29099999999999998</v>
      </c>
      <c r="F21" s="110">
        <v>0.29099999999999998</v>
      </c>
      <c r="G21" s="99" t="s">
        <v>92</v>
      </c>
      <c r="H21" s="109"/>
      <c r="I21" s="109"/>
      <c r="J21" s="104"/>
      <c r="K21" s="104"/>
      <c r="L21" s="104"/>
      <c r="M21" s="104"/>
      <c r="N21" s="104"/>
      <c r="O21" s="104"/>
      <c r="P21" s="104"/>
    </row>
    <row r="22" spans="2:16" x14ac:dyDescent="0.35">
      <c r="B22" s="90"/>
      <c r="C22" s="87" t="s">
        <v>91</v>
      </c>
      <c r="D22" s="103"/>
      <c r="E22" s="103"/>
      <c r="F22" s="103"/>
      <c r="G22" s="87" t="s">
        <v>92</v>
      </c>
      <c r="H22" s="111">
        <f>H9-29.1%</f>
        <v>0.32438461538461538</v>
      </c>
      <c r="I22" s="104"/>
      <c r="J22" s="104"/>
      <c r="K22" s="104"/>
      <c r="L22" s="104"/>
      <c r="M22" s="104"/>
      <c r="N22" s="104"/>
      <c r="O22" s="104"/>
      <c r="P22" s="104"/>
    </row>
    <row r="23" spans="2:16" x14ac:dyDescent="0.35">
      <c r="B23" s="102"/>
      <c r="C23" s="87" t="s">
        <v>94</v>
      </c>
      <c r="D23" s="103"/>
      <c r="E23" s="103"/>
      <c r="F23" s="103"/>
      <c r="G23" s="87" t="s">
        <v>92</v>
      </c>
      <c r="H23" s="104"/>
      <c r="I23" s="104"/>
      <c r="J23" s="104"/>
      <c r="K23" s="104"/>
      <c r="L23" s="104"/>
      <c r="M23" s="104"/>
      <c r="N23" s="104"/>
      <c r="O23" s="104"/>
      <c r="P23" s="104"/>
    </row>
    <row r="24" spans="2:16" x14ac:dyDescent="0.35">
      <c r="H24" s="104"/>
      <c r="I24" s="104"/>
      <c r="J24" s="104"/>
      <c r="K24" s="104"/>
      <c r="L24" s="104"/>
      <c r="M24" s="104"/>
      <c r="N24" s="104"/>
      <c r="O24" s="104"/>
    </row>
    <row r="25" spans="2:16" x14ac:dyDescent="0.35">
      <c r="H25" s="104"/>
      <c r="I25" s="104"/>
      <c r="J25" s="104"/>
      <c r="K25" s="104"/>
      <c r="L25" s="104"/>
      <c r="M25" s="104"/>
      <c r="N25" s="104"/>
      <c r="O25" s="104"/>
    </row>
    <row r="26" spans="2:16" x14ac:dyDescent="0.35">
      <c r="H26" s="85"/>
    </row>
  </sheetData>
  <mergeCells count="4">
    <mergeCell ref="B4:B11"/>
    <mergeCell ref="H5:H6"/>
    <mergeCell ref="B15:B23"/>
    <mergeCell ref="H20:I21"/>
  </mergeCells>
  <pageMargins left="0.7" right="0.7" top="0.75" bottom="0.75" header="0.3" footer="0.3"/>
  <pageSetup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business case</vt:lpstr>
      <vt:lpstr>Used car 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El Gemayel</dc:creator>
  <cp:lastModifiedBy>Alain El Gemayel</cp:lastModifiedBy>
  <dcterms:created xsi:type="dcterms:W3CDTF">2025-07-18T19:09:38Z</dcterms:created>
  <dcterms:modified xsi:type="dcterms:W3CDTF">2025-07-18T19:12:11Z</dcterms:modified>
</cp:coreProperties>
</file>